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yn\Downloads\"/>
    </mc:Choice>
  </mc:AlternateContent>
  <bookViews>
    <workbookView windowHeight="17655" firstSheet="2"/>
  </bookViews>
  <sheets>
    <sheet name="说明" sheetId="3" r:id="rId1"/>
    <sheet name="词条总目录" sheetId="30" r:id="rId2"/>
    <sheet name="物品总目录" sheetId="19" r:id="rId3"/>
    <sheet name="近战词条" sheetId="1" r:id="rId4"/>
    <sheet name="远程词条" sheetId="6" r:id="rId5"/>
    <sheet name="防具词条" sheetId="5" r:id="rId6"/>
    <sheet name="饰品词条" sheetId="9" r:id="rId7"/>
    <sheet name="绿色星号词条" sheetId="20" r:id="rId8"/>
    <sheet name="绘卷-魂核词条" sheetId="26" r:id="rId9"/>
    <sheet name="武器" sheetId="13" r:id="rId10"/>
    <sheet name="防具" sheetId="15" r:id="rId11"/>
    <sheet name="魂核" sheetId="25" r:id="rId12"/>
    <sheet name="套装" sheetId="17" r:id="rId13"/>
    <sheet name="杂项" sheetId="32" state="hidden" r:id="rId14"/>
    <sheet name="全词条数值(3稀有度" sheetId="49" state="hidden" r:id="rId15"/>
  </sheets>
  <definedNames>
    <definedName name="_xlnm._FilterDatabase" localSheetId="1" hidden="1">词条总目录!$A$1:$C$1760</definedName>
    <definedName name="_xlnm._FilterDatabase" localSheetId="2" hidden="1">物品总目录!$A$1:$F$2340</definedName>
    <definedName name="_xlnm._FilterDatabase" localSheetId="3" hidden="1">近战词条!$A$1:$D$341</definedName>
    <definedName name="_xlnm._FilterDatabase" localSheetId="5" hidden="1">防具词条!$A$1:$E$483</definedName>
    <definedName name="_xlnm._FilterDatabase" localSheetId="6" hidden="1">饰品词条!$A$1:$D$284</definedName>
    <definedName name="_xlnm._FilterDatabase" localSheetId="7" hidden="1">绿色星号词条!$A$1:$H$258</definedName>
    <definedName name="_xlnm._FilterDatabase" localSheetId="8" hidden="1">'绘卷-魂核词条'!$A$1:$H$293</definedName>
    <definedName name="_xlnm._FilterDatabase" localSheetId="9" hidden="1">武器!$A$1:$J$408</definedName>
    <definedName name="_xlnm._FilterDatabase" localSheetId="10" hidden="1">防具!$A$1:$AA$636</definedName>
    <definedName name="_xlnm._FilterDatabase" localSheetId="11" hidden="1">魂核!$A$1:$J$167</definedName>
    <definedName name="_xlnm._FilterDatabase" localSheetId="12" hidden="1">套装!$A$1:$A$486</definedName>
    <definedName name="_xlnm._FilterDatabase" localSheetId="14" hidden="1">'全词条数值(3稀有度'!$A$1:$K$3610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<sst xmlns="http://schemas.openxmlformats.org/spreadsheetml/2006/main" count="60472" uniqueCount="13319">
  <si>
    <t>本表格内容由神烦～(3DM论坛.QQ)/-神-烦-(b站)撰写</t>
  </si>
  <si>
    <t>1.本表格为个人学习、研究或者欣赏，适当引用本表格内容的，属于合理使用范畴。如若大范围引用或传播时必须注明作者名、表格名及来源链接，不得损害声明人的合法权益。</t>
  </si>
  <si>
    <t>2.使用者不得涉及商业目的的使用（包括直接或间接获利、引流、品牌曝光等）</t>
  </si>
  <si>
    <t>3.对于违反本声明、侵犯声明人知识产权的行为，声明人保留依法追究其法律责任的权利。维权措施包括但不限于：向侵权内容发布平台投诉，要求删除侵权内容、封禁账号；</t>
  </si>
  <si>
    <t>4.本声明的解释权归声明人所有。</t>
  </si>
  <si>
    <t>更新链接:https://pan.baidu.com/s/1ECs5TAg3yHZZJzxPuxp-Mg?pwd=SF66</t>
  </si>
  <si>
    <t>紫色星号：紫色星号词条出现在大名器和特大名器上，是固定出处中的必定出现的词条，并非随机可刷到的词条</t>
  </si>
  <si>
    <t>特别感谢：QQ@ReIAm、QQ@MasterBayesian提供的数据支持 欢迎喜欢深挖仁王3游戏数值的玩家加入QQ群:1106302479</t>
  </si>
  <si>
    <t>词条代码</t>
  </si>
  <si>
    <t>词条数值</t>
  </si>
  <si>
    <t>词条大类</t>
  </si>
  <si>
    <t>词条类别</t>
  </si>
  <si>
    <t>词条标识</t>
  </si>
  <si>
    <t>未知</t>
  </si>
  <si>
    <t>绿色星号词条规则推测：
1.绿色星号词条只会出现在被规则所确定的部位。例如：【(星)近距离攻击伤害 +9.0%】只会出现在近战武器和手臂部位上。【(星)精力 +80】只会出现在头部/身体上
2.同名绿色星号词条会有不同的词条代码(一般是三个)，这三种词条代码代表 低/中/高 三种数值。
3.绿色词条代码会有自己的三个数值区间。这三个数值区间分用3，4，5三种稀有度表示，但无论何种稀有度的数值区间都含有本词条代码的理论最大值。稀有度越高，区间内包含的值越少，更容易出最大值</t>
  </si>
  <si>
    <t>FF</t>
  </si>
  <si>
    <t>00</t>
  </si>
  <si>
    <t>基本为00</t>
  </si>
  <si>
    <t>同名固定词条:白装为1E;黄装为32;蓝装为50;紫装为64;绿装为64;橙装为。
加工后的词条为63。其他数值可能是随机值？</t>
  </si>
  <si>
    <t>0:无
3:造成伤害
5:精力减少
6:承受异常状态
9:掉落
10:灵力
12:其他
17:承受伤害
18:造成精力伤害
20:恢复体力
23:恢复精力
25:精华槽
26:忍术
27:远距离
28:移动、闪避
31:造成异常状态</t>
  </si>
  <si>
    <t>00:无;04:星星
08:锤子(获得髓材)
80:无;84:星星
88:锤子(获得髓材)</t>
  </si>
  <si>
    <t>数值可能是随机值？</t>
  </si>
  <si>
    <t>词条名称</t>
  </si>
  <si>
    <t>词条归属</t>
  </si>
  <si>
    <t>将A列的16进制数组取前4组，然后与B列中间用":"同行合并到D列，最后将C列的文本添加为D的后缀</t>
  </si>
  <si>
    <t>FF FF FF FF 00 00 00 00 00 00 00 00</t>
  </si>
  <si>
    <t>无</t>
  </si>
  <si>
    <t>[无]</t>
  </si>
  <si>
    <t>DE 48 00 00 31 00 00 00 00 03 00 00</t>
  </si>
  <si>
    <t>九十九化身时造成的伤害增加 +4.9%</t>
  </si>
  <si>
    <t>[近战]</t>
  </si>
  <si>
    <t>F1 54 00 00 26 00 00 00 00 03 00 00</t>
  </si>
  <si>
    <t>九十九化身时的属性伤害 +3.8%</t>
  </si>
  <si>
    <t>26 8A 00 00 2A 00 00 00 00 43 00 00</t>
  </si>
  <si>
    <t>(同名固定)上段架式攻击伤害 +4.2%</t>
  </si>
  <si>
    <t>77 0B 00 00 2A 00 00 00 00 03 00 00</t>
  </si>
  <si>
    <t>上段架式攻击伤害 +4.2%</t>
  </si>
  <si>
    <t>D2 64 00 00 2A 00 00 00 00 43 00 00</t>
  </si>
  <si>
    <t>(同名固定)中段架式攻击伤害 +4.2%</t>
  </si>
  <si>
    <t>1A 51 00 00 2A 00 00 00 00 03 00 00</t>
  </si>
  <si>
    <t>中段架式攻击伤害 +4.2%</t>
  </si>
  <si>
    <t>95 8D 00 00 2A 00 00 00 00 43 00 00</t>
  </si>
  <si>
    <t>(同名固定)下段架式攻击伤害 +4.2%</t>
  </si>
  <si>
    <t>09 B2 00 00 2A 00 00 00 00 03 00 00</t>
  </si>
  <si>
    <t>下段架式攻击伤害 +4.2%</t>
  </si>
  <si>
    <t>41 D8 00 00 2A 00 00 00 00 43 00 00</t>
  </si>
  <si>
    <t>(同名固定)速攻击伤害 +4.2%</t>
  </si>
  <si>
    <t>26 99 00 00 2A 00 00 00 00 03 00 00</t>
  </si>
  <si>
    <t>速攻击伤害 +4.2%</t>
  </si>
  <si>
    <t>48 F9 00 00 2A 00 00 00 00 43 00 00</t>
  </si>
  <si>
    <t>(同名固定)强攻击伤害 +4.2%</t>
  </si>
  <si>
    <t>42 20 00 00 2A 00 00 00 00 03 00 00</t>
  </si>
  <si>
    <t>强攻击伤害 +4.2%</t>
  </si>
  <si>
    <t>35 B9 00 00 3F 00 00 00 00 03 84 00</t>
  </si>
  <si>
    <t>(星)强攻击伤害 +6.3%</t>
  </si>
  <si>
    <t>0C C8 00 00 26 00 00 00 00 43 00 00</t>
  </si>
  <si>
    <t>(同名固定)近距离攻击伤害 +3.8%</t>
  </si>
  <si>
    <t>DB 01 00 00 26 00 00 00 00 03 00 00</t>
  </si>
  <si>
    <t>近距离攻击伤害 +3.8%</t>
  </si>
  <si>
    <t>5F 4F 00 00 39 00 00 00 00 03 84 00</t>
  </si>
  <si>
    <t>(星)近距离攻击伤害 +5.7%</t>
  </si>
  <si>
    <t>EB 4F 00 00 4C 00 00 00 00 03 00 00</t>
  </si>
  <si>
    <t>(地狱武器)近距离攻击伤害 +7.6%</t>
  </si>
  <si>
    <t>3A 14 00 00 71 00 00 00 00 03 00 00</t>
  </si>
  <si>
    <t>近距离攻击伤害(绝境) +11.3%</t>
  </si>
  <si>
    <t>B6 F6 00 00 3C 00 00 00 00 03 00 00</t>
  </si>
  <si>
    <t>(同名固定)近距离攻击伤害(地狱) +6.0%</t>
  </si>
  <si>
    <t>E6 36 00 00 31 00 00 00 00 03 00 00</t>
  </si>
  <si>
    <t>近距离攻击伤害(地狱) +4.9%</t>
  </si>
  <si>
    <t>85 B2 00 00 0E 00 00 00 00 03 00 00</t>
  </si>
  <si>
    <t>对处于火状态敌人的守护灵技伤害 +1.4%</t>
  </si>
  <si>
    <t>F5 30 00 00 0E 00 00 00 00 03 00 00</t>
  </si>
  <si>
    <t>对处于水状态敌人的守护灵技伤害 +1.4%</t>
  </si>
  <si>
    <t>93 12 00 00 0E 00 00 00 00 03 00 00</t>
  </si>
  <si>
    <t>对处于雷状态敌人的守护灵技伤害 +1.4%</t>
  </si>
  <si>
    <t>54 5E 00 00 0E 00 00 00 00 03 00 00</t>
  </si>
  <si>
    <t>对处于风状态敌人的守护灵技伤害 +1.4%</t>
  </si>
  <si>
    <t>48 41 00 00 0E 00 00 00 00 03 00 00</t>
  </si>
  <si>
    <t>对处于毒状态敌人的守护灵技伤害 +1.4%</t>
  </si>
  <si>
    <t>B9 E5 00 00 46 00 00 00 00 03 00 00</t>
  </si>
  <si>
    <t>对处于麻痹状态敌人的守护灵技伤害 +7.0%</t>
  </si>
  <si>
    <t>93 2E 00 00 03 00 00 00 00 43 00 00</t>
  </si>
  <si>
    <t>(同名固定)伤害反映(爱用度) C-</t>
  </si>
  <si>
    <t>F3 BA 00 00 4B 00 00 00 00 03 00 00</t>
  </si>
  <si>
    <t>对无伤敌人造成的近距离伤害 +7.5%</t>
  </si>
  <si>
    <t>3E 4E 00 00 31 00 00 00 00 43 00 00</t>
  </si>
  <si>
    <t>(同名固定)对精力耗尽敌人的近距离伤害 +4.9%</t>
  </si>
  <si>
    <t>5C 32 00 00 96 00 00 00 00 43 00 00</t>
  </si>
  <si>
    <t>(同名固定)对精力耗尽敌人的近距离伤害 +15.0%</t>
  </si>
  <si>
    <t>52 36 00 00 31 00 00 00 00 03 00 00</t>
  </si>
  <si>
    <t>对精力耗尽敌人的近距离伤害 +4.9%</t>
  </si>
  <si>
    <t>A0 76 00 00 2D 00 00 00 00 03 00 00</t>
  </si>
  <si>
    <t>对攻击中敌人的近距离伤害 +4.5%</t>
  </si>
  <si>
    <t>EF 7D 00 00 2A 00 00 00 00 43 00 00</t>
  </si>
  <si>
    <t>(同名固定)刺击伤害 +4.2%</t>
  </si>
  <si>
    <t>28 BB 00 00 2A 00 00 00 00 03 00 00</t>
  </si>
  <si>
    <t>刺击伤害 +4.2%</t>
  </si>
  <si>
    <t>D3 4B 00 00 26 00 00 00 00 03 00 00</t>
  </si>
  <si>
    <t>暗杀伤害 +3.8%</t>
  </si>
  <si>
    <t>1B D0 00 00 21 00 00 00 00 43 00 00</t>
  </si>
  <si>
    <t>(同名固定)忍术伤害 +3.3%</t>
  </si>
  <si>
    <t>DE A4 00 00 28 00 00 00 00 43 00 00</t>
  </si>
  <si>
    <t>(同名固定)武技伤害 +4.0%</t>
  </si>
  <si>
    <t>B1 E9 00 00 50 00 00 00 00 03 00 00</t>
  </si>
  <si>
    <t>(地狱武器)武技伤害 +8.0%</t>
  </si>
  <si>
    <t>27 5D 00 00 32 00 00 00 00 03 00 00</t>
  </si>
  <si>
    <t>打倒敌人时赋予造成伤害增加(5%)</t>
  </si>
  <si>
    <t>62 A5 00 00 02 00 00 00 00 43 00 00</t>
  </si>
  <si>
    <t>(同名固定)伤害反映(精华槽) D+</t>
  </si>
  <si>
    <t>2E B7 00 00 36 00 00 00 00 03 00 00</t>
  </si>
  <si>
    <t>祓除常世赋予造成伤害增加(5.4%)</t>
  </si>
  <si>
    <t>76 35 00 00 3A 00 00 00 00 03 00 00</t>
  </si>
  <si>
    <t>陷入异常状态时赋予造成伤害增加(5.8%)</t>
  </si>
  <si>
    <t>AA FD 00 00 2E 00 00 00 00 43 00 00</t>
  </si>
  <si>
    <t>(同名固定)吸收精华后赋予造成伤害增加(4.6%)</t>
  </si>
  <si>
    <t>DA 16 00 00 2E 00 00 00 00 03 00 00</t>
  </si>
  <si>
    <t>吸收精华后赋予造成伤害增加(4.6%)</t>
  </si>
  <si>
    <t>A1 58 00 00 02 00 00 00 00 03 00 00</t>
  </si>
  <si>
    <t>对伤害的反映(体) D+</t>
  </si>
  <si>
    <t>E2 ED 00 00 02 00 00 00 00 03 00 00</t>
  </si>
  <si>
    <t>对伤害的反映(心) D+</t>
  </si>
  <si>
    <t>DC 41 00 00 02 00 00 00 00 03 00 00</t>
  </si>
  <si>
    <t>对伤害的反映(刚) D+</t>
  </si>
  <si>
    <t>DC C8 00 00 02 00 00 00 00 03 00 00</t>
  </si>
  <si>
    <t>对伤害的反映(武) D+</t>
  </si>
  <si>
    <t>8E C6 00 00 02 00 00 00 00 03 00 00</t>
  </si>
  <si>
    <t>对伤害的反映(技) D+</t>
  </si>
  <si>
    <t>37 97 00 00 02 00 00 00 00 03 00 00</t>
  </si>
  <si>
    <t>对伤害的反映(智) D+</t>
  </si>
  <si>
    <t>6A E3 00 00 02 00 00 00 00 03 00 00</t>
  </si>
  <si>
    <t>对伤害的反映(咒) D+</t>
  </si>
  <si>
    <t>1A 0F 00 00 2C 00 00 00 00 43 00 00</t>
  </si>
  <si>
    <t>(同名固定)上段武技伤害 +4.4%</t>
  </si>
  <si>
    <t>29 40 00 00 2C 00 00 00 00 03 00 00</t>
  </si>
  <si>
    <t>上段武技伤害 +4.4%</t>
  </si>
  <si>
    <t>72 F2 00 00 2C 00 00 00 00 03 00 00</t>
  </si>
  <si>
    <t>中段武技伤害 +4.4%</t>
  </si>
  <si>
    <t>EC B3 00 00 2C 00 00 00 00 03 00 00</t>
  </si>
  <si>
    <t>下段武技伤害 +4.4%</t>
  </si>
  <si>
    <t>E2 EE 00 00 2E 00 00 00 00 03 00 00</t>
  </si>
  <si>
    <t>格挡成功时赋予造成伤害增加(4.6%)</t>
  </si>
  <si>
    <t>E2 C3 00 00 2E 00 00 00 00 03 00 00</t>
  </si>
  <si>
    <t>成功识破时造成伤害增加(4.6%)</t>
  </si>
  <si>
    <t>F1 68 00 00 2A 00 00 00 00 03 00 00</t>
  </si>
  <si>
    <t>空中攻击伤害 +4.2%</t>
  </si>
  <si>
    <t>14 FE 00 00 2D 00 00 00 00 03 00 00</t>
  </si>
  <si>
    <t>追击和近身刺击伤害 +4.5%</t>
  </si>
  <si>
    <t>A9 AF 00 00 2D 00 00 00 00 43 00 00</t>
  </si>
  <si>
    <t>(同名固定)背后攻击伤害 +4.5%</t>
  </si>
  <si>
    <t>EF AE 00 00 2D 00 00 00 00 03 00 00</t>
  </si>
  <si>
    <t>背后攻击伤害 +4.5%</t>
  </si>
  <si>
    <t>FC FF 00 00 11 00 00 00 00 45 00 00</t>
  </si>
  <si>
    <t>(同名固定)近距离攻击的精力消耗降低 -1.7%</t>
  </si>
  <si>
    <t>5C E3 00 00 11 00 00 00 00 05 00 00</t>
  </si>
  <si>
    <t>近距离攻击的精力消耗降低 -1.7%</t>
  </si>
  <si>
    <t>1D E9 00 00 1A 00 00 00 00 05 84 00</t>
  </si>
  <si>
    <t>(星)近距离攻击的精力消耗降低 -2.6%</t>
  </si>
  <si>
    <t>1C E9 00 00 13 00 00 00 00 45 00 00</t>
  </si>
  <si>
    <t>(同名固定)上段架式攻击的精力消耗降低 -1.9%</t>
  </si>
  <si>
    <t>21 BD 00 00 13 00 00 00 00 05 00 00</t>
  </si>
  <si>
    <t>上段架式攻击的精力消耗降低 -1.9%</t>
  </si>
  <si>
    <t>61 11 00 00 13 00 00 00 00 45 00 00</t>
  </si>
  <si>
    <t>(同名固定)中段架式攻击的精力消耗降低 -1.9%</t>
  </si>
  <si>
    <t>6D 77 00 00 13 00 00 00 00 05 00 00</t>
  </si>
  <si>
    <t>中段架式攻击的精力消耗降低 -1.9%</t>
  </si>
  <si>
    <t>A2 F5 00 00 13 00 00 00 00 45 00 00</t>
  </si>
  <si>
    <t>(同名固定)下段架式攻击的精力消耗降低 -1.9%</t>
  </si>
  <si>
    <t>AB DF 00 00 13 00 00 00 00 05 00 00</t>
  </si>
  <si>
    <t>下段架式攻击的精力消耗降低 -1.9%</t>
  </si>
  <si>
    <t>89 95 00 00 13 00 00 00 00 45 00 00</t>
  </si>
  <si>
    <t>(同名固定)速攻击精力消耗降低 -1.9%</t>
  </si>
  <si>
    <t>FB C7 00 00 13 00 00 00 00 05 00 00</t>
  </si>
  <si>
    <t>速攻击精力消耗降低 -1.9%</t>
  </si>
  <si>
    <t>6C 0F 00 00 13 00 00 00 00 45 00 00</t>
  </si>
  <si>
    <t>(同名固定)强攻击精力消耗降低 -1.9%</t>
  </si>
  <si>
    <t>1C 51 00 00 13 00 00 00 00 05 00 00</t>
  </si>
  <si>
    <t>强攻击精力消耗降低 -1.9%</t>
  </si>
  <si>
    <t>3A FB 00 00 14 00 00 00 00 45 00 00</t>
  </si>
  <si>
    <t>(同名固定)武技精力消耗降低 -2.0%</t>
  </si>
  <si>
    <t>4D FF 00 00 12 00 00 00 00 05 00 00</t>
  </si>
  <si>
    <t>武技精力消耗降低 -1.8%</t>
  </si>
  <si>
    <t>A1 78 00 00 1B 00 00 00 00 05 84 3C</t>
  </si>
  <si>
    <t>(星)武技精力消耗降低 -2.7%</t>
  </si>
  <si>
    <t>5D BF 00 00 33 00 00 00 00 05 00 00</t>
  </si>
  <si>
    <t>近距离攻击精力消耗降低(绝境) -5.1%</t>
  </si>
  <si>
    <t>E0 5E 00 00 4D 00 00 00 00 05 84 00</t>
  </si>
  <si>
    <t>(星)近距离攻击的精力消耗降低(绝境) -7.7%</t>
  </si>
  <si>
    <t>0C 33 00 00 33 00 00 00 00 05 00 00</t>
  </si>
  <si>
    <t>接招(绝境) +5.1%</t>
  </si>
  <si>
    <t>5B E7 00 00 4D 00 00 00 00 05 84 00</t>
  </si>
  <si>
    <t>(星)接招(绝境) +7.7%</t>
  </si>
  <si>
    <t>92 99 00 00 15 00 00 00 00 45 00 00</t>
  </si>
  <si>
    <t>(同名固定)防御精力消耗降低 -2.1%</t>
  </si>
  <si>
    <t>D0 AB 00 00 15 00 00 00 00 05 00 00</t>
  </si>
  <si>
    <t>防御精力消耗降低 -2.1%</t>
  </si>
  <si>
    <t>A5 F8 00 00 17 00 00 00 00 05 00 00</t>
  </si>
  <si>
    <t>上段架式防御精力消耗降低 -2.3%</t>
  </si>
  <si>
    <t>94 8C 00 00 17 00 00 00 00 45 00 00</t>
  </si>
  <si>
    <t>(同名固定)中段架式防御精力消耗降低 -2.3%</t>
  </si>
  <si>
    <t>E3 E9 00 00 17 00 00 00 00 05 00 00</t>
  </si>
  <si>
    <t>中段架式防御精力消耗降低 -2.3%</t>
  </si>
  <si>
    <t>D7 DE 00 00 17 00 00 00 00 05 00 00</t>
  </si>
  <si>
    <t>下段架式防御精力消耗降低 -2.3%</t>
  </si>
  <si>
    <t>2D 1C 00 00 16 00 00 00 00 05 00 00</t>
  </si>
  <si>
    <t>行动精力消耗(负面效果时) -2.2%</t>
  </si>
  <si>
    <t>D8 76 00 00 11 00 00 00 00 05 00 00</t>
  </si>
  <si>
    <t>精力 +17</t>
  </si>
  <si>
    <t>35 7C 00 00 13 00 00 00 00 05 00 00</t>
  </si>
  <si>
    <t>上段武技精力 -1.9%</t>
  </si>
  <si>
    <t>00 CE 00 00 13 00 00 00 00 05 00 00</t>
  </si>
  <si>
    <t>中段武技精力 -1.9%</t>
  </si>
  <si>
    <t>72 AF 00 00 13 00 00 00 00 05 00 00</t>
  </si>
  <si>
    <t>下段武技精力 -1.9%</t>
  </si>
  <si>
    <t>03 FE 00 00 0C 00 00 00 00 09 00 00</t>
  </si>
  <si>
    <t>获得金钱 +1.2%</t>
  </si>
  <si>
    <t>ED 7C 00 00 12 00 00 00 00 09 84 00</t>
  </si>
  <si>
    <t>(星)获得金钱 +1.8%</t>
  </si>
  <si>
    <t>05 53 00 00 08 00 00 00 00 09 00 00</t>
  </si>
  <si>
    <t>获得武功 +0.8%</t>
  </si>
  <si>
    <t>E5 16 00 00 0B 00 00 00 00 09 00 00</t>
  </si>
  <si>
    <t>打倒敌人时赋予幸运增加(11)</t>
  </si>
  <si>
    <t>91 7A 00 00 05 00 00 00 00 09 00 00</t>
  </si>
  <si>
    <t>幸运(绝境) +5</t>
  </si>
  <si>
    <t>AA 5B 00 00 03 00 00 00 00 09 00 00</t>
  </si>
  <si>
    <t>幸运(地狱) +3</t>
  </si>
  <si>
    <t>37 F4 00 00 09 00 00 00 00 09 00 00</t>
  </si>
  <si>
    <t>吸收精华后赋予幸运增加(9)</t>
  </si>
  <si>
    <t>CA 09 00 00 02 00 00 00 00 09 00 00</t>
  </si>
  <si>
    <t>幸运反映(精华槽) D+</t>
  </si>
  <si>
    <t>1D E8 00 00 09 00 00 00 00 09 00 00</t>
  </si>
  <si>
    <t>强攻击获得精华 9</t>
  </si>
  <si>
    <t>B3 47 00 00 08 00 00 00 00 09 00 00</t>
  </si>
  <si>
    <t>获得精华 +0.8%</t>
  </si>
  <si>
    <t>C3 C1 00 00 0C 00 00 00 00 09 04 00</t>
  </si>
  <si>
    <t>(星)获得精华 +1.2%</t>
  </si>
  <si>
    <t>4D 04 00 00 0B 00 00 00 00 09 00 00</t>
  </si>
  <si>
    <t>获得精华(地狱) +1.1%</t>
  </si>
  <si>
    <t>C5 09 00 00 28 00 00 00 00 09 00 00</t>
  </si>
  <si>
    <t>道具掉落率 +4.0%</t>
  </si>
  <si>
    <t>84 07 00 00 3C 00 00 00 00 09 84 00</t>
  </si>
  <si>
    <t>(星)道具掉落率 +6.0%</t>
  </si>
  <si>
    <t>A9 88 00 00 28 00 00 00 00 09 00 00</t>
  </si>
  <si>
    <t>装备品掉落率 +4.0%</t>
  </si>
  <si>
    <t>31 8B 00 00 3C 00 00 00 00 09 84 00</t>
  </si>
  <si>
    <t>(星)装备品掉落率 +6.0%</t>
  </si>
  <si>
    <t>4B F4 00 00 28 00 00 00 00 09 00 00</t>
  </si>
  <si>
    <t>魂核掉落率 +4.0%</t>
  </si>
  <si>
    <t>9F 45 00 00 3C 00 00 00 00 09 84 00</t>
  </si>
  <si>
    <t>(星)魂核掉落率 +6.0%</t>
  </si>
  <si>
    <t>82 99 00 00 28 00 00 00 00 09 00 00</t>
  </si>
  <si>
    <t>地狱武器掉落率 +4.0%</t>
  </si>
  <si>
    <t>97 BC 00 00 3C 00 00 00 00 49 00 00</t>
  </si>
  <si>
    <t>(同名固定)地狱武器掉落率 +6.0%</t>
  </si>
  <si>
    <t>C2 89 00 00 64 00 00 00 00 09 00 00</t>
  </si>
  <si>
    <t>(地狱武器)地狱武器掉落率 +10.0%</t>
  </si>
  <si>
    <t>2C 1A 00 00 02 00 00 00 00 09 00 00</t>
  </si>
  <si>
    <t>幸运 +2</t>
  </si>
  <si>
    <t>1D 15 00 00 0C 00 00 00 00 09 84 00</t>
  </si>
  <si>
    <t>(星)幸运 +12</t>
  </si>
  <si>
    <t>30 C9 00 00 09 00 00 00 00 0A 00 00</t>
  </si>
  <si>
    <t>背后攻击灵力增加量 +0.9%</t>
  </si>
  <si>
    <t>BA A2 00 00 04 00 00 00 00 0A 00 00</t>
  </si>
  <si>
    <t>造成火属性伤害时增加灵力 C</t>
  </si>
  <si>
    <t>17 5E 00 00 04 00 00 00 00 0A 00 00</t>
  </si>
  <si>
    <t>造成水属性伤害时增加灵力 C</t>
  </si>
  <si>
    <t>79 03 00 00 04 00 00 00 00 0A 00 00</t>
  </si>
  <si>
    <t>造成雷属性伤害时增加灵力 C</t>
  </si>
  <si>
    <t>4C 77 00 00 04 00 00 00 00 0A 00 00</t>
  </si>
  <si>
    <t>造成风属性伤害时增加灵力 C</t>
  </si>
  <si>
    <t>EC 58 00 00 04 00 00 00 00 0A 00 00</t>
  </si>
  <si>
    <t>使敌人陷入火状态时增加灵力 C</t>
  </si>
  <si>
    <t>70 DE 00 00 04 00 00 00 00 0A 00 00</t>
  </si>
  <si>
    <t>使敌人陷入水状态时增加灵力 C</t>
  </si>
  <si>
    <t>7A A3 00 00 04 00 00 00 00 0A 00 00</t>
  </si>
  <si>
    <t>使敌人陷入雷状态时增加灵力 C</t>
  </si>
  <si>
    <t>9B 89 00 00 04 00 00 00 00 0A 00 00</t>
  </si>
  <si>
    <t>使敌人陷入风状态时增加灵力 C</t>
  </si>
  <si>
    <t>41 BD 00 00 04 00 00 00 00 0A 00 00</t>
  </si>
  <si>
    <t>使敌人陷入毒状态时增加灵力 C</t>
  </si>
  <si>
    <t>F9 14 00 00 04 00 00 00 00 0A 00 00</t>
  </si>
  <si>
    <t>使敌人陷入麻痹状态时增加灵力 C</t>
  </si>
  <si>
    <t>75 64 00 00 04 00 00 00 00 0A 00 00</t>
  </si>
  <si>
    <t>使敌人陷入异常状态时增加灵力 C</t>
  </si>
  <si>
    <t>F3 78 00 00 07 00 00 00 00 0A 00 00</t>
  </si>
  <si>
    <t>近距离攻击的灵力增加量 +0.7%</t>
  </si>
  <si>
    <t>D1 58 00 00 0B 00 00 00 00 0A 84 00</t>
  </si>
  <si>
    <t>(星)近距离攻击的灵力增加量 +1.1%</t>
  </si>
  <si>
    <t>55 D0 00 00 08 00 00 00 00 0A 00 00</t>
  </si>
  <si>
    <t>强攻击灵力增加量 +0.8%</t>
  </si>
  <si>
    <t>44 35 00 00 0C 00 00 00 00 0A 84 00</t>
  </si>
  <si>
    <t>(星)强攻击灵力增加量 +1.2%</t>
  </si>
  <si>
    <t>EF C7 00 00 08 00 00 00 00 0A 00 00</t>
  </si>
  <si>
    <t>武技灵力增加量 +0.8%</t>
  </si>
  <si>
    <t>00 D9 00 00 02 00 00 00 00 4A 00 00</t>
  </si>
  <si>
    <t>(同名固定)灵力 +2.0</t>
  </si>
  <si>
    <t>17 C0 00 00 01 00 00 00 00 0A 00 00</t>
  </si>
  <si>
    <t>灵力 +1.0</t>
  </si>
  <si>
    <t>B6 75 00 00 03 00 00 00 00 0A 84 00</t>
  </si>
  <si>
    <t>(星)灵力 +3.0</t>
  </si>
  <si>
    <t>A9 7D 00 00 0A 00 00 00 00 0A 00 00</t>
  </si>
  <si>
    <t>(地狱武器)灵力 +10.0</t>
  </si>
  <si>
    <t>66 72 00 00 04 00 00 00 00 4A 00 00</t>
  </si>
  <si>
    <t>(同名固定)获得精华增加灵力 C</t>
  </si>
  <si>
    <t>AC 0D 00 00 04 00 00 00 00 0A 00 00</t>
  </si>
  <si>
    <t>获得精华增加灵力 C</t>
  </si>
  <si>
    <t>DC 96 00 00 07 00 00 00 00 0A 84 00</t>
  </si>
  <si>
    <t>(星)获得精华增加灵力 B</t>
  </si>
  <si>
    <t>7F 5B 00 00 07 00 00 00 00 0A 00 00</t>
  </si>
  <si>
    <t>(地狱武器)获得精华增加灵力 B</t>
  </si>
  <si>
    <t>44 50 00 00 06 00 00 00 00 0A 00 00</t>
  </si>
  <si>
    <t>获得精华增加灵力(绝境) B-</t>
  </si>
  <si>
    <t>1D 1A 00 00 05 00 00 00 00 0A 00 00</t>
  </si>
  <si>
    <t>获得精华增加灵力(无伤) C+</t>
  </si>
  <si>
    <t>A3 0D 00 00 19 00 00 00 00 0A 00 00</t>
  </si>
  <si>
    <t>攻击处于麻痹状态的敌人增加灵力 AAA+</t>
  </si>
  <si>
    <t>C5 2A 00 00 05 00 00 00 00 0A 00 00</t>
  </si>
  <si>
    <t>攻击处于毒状态的敌人增加灵力 C+</t>
  </si>
  <si>
    <t>F3 68 00 00 05 00 00 00 00 0A 00 00</t>
  </si>
  <si>
    <t>攻击处于火状态的敌人增加灵力 C+</t>
  </si>
  <si>
    <t>05 A9 00 00 05 00 00 00 00 0A 00 00</t>
  </si>
  <si>
    <t>攻击处于水状态的敌人增加灵力 C+</t>
  </si>
  <si>
    <t>95 ED 00 00 05 00 00 00 00 0A 00 00</t>
  </si>
  <si>
    <t>攻击处于雷状态的敌人增加灵力 C+</t>
  </si>
  <si>
    <t>8C 51 00 00 05 00 00 00 00 0A 00 00</t>
  </si>
  <si>
    <t>攻击处于风状态的敌人增加灵力 C+</t>
  </si>
  <si>
    <t>38 BD 00 00 05 00 00 00 00 0A 00 00</t>
  </si>
  <si>
    <t>追击和近身刺击增加灵力(C+)</t>
  </si>
  <si>
    <t>F5 DA 00 00 07 00 00 00 00 4A 00 00</t>
  </si>
  <si>
    <t>(同名固定)灵力增加量 +0.7%</t>
  </si>
  <si>
    <t>25 9F 00 00 07 00 00 00 00 0A 00 00</t>
  </si>
  <si>
    <t>灵力增加量 +0.7%</t>
  </si>
  <si>
    <t>2F AD 00 00 15 00 00 00 00 0A 00 00</t>
  </si>
  <si>
    <t>灵力增加量(绝境) +2.1%</t>
  </si>
  <si>
    <t>66 19 00 00 09 00 00 00 00 0A 00 00</t>
  </si>
  <si>
    <t>灵力增加量(无伤) +0.9%</t>
  </si>
  <si>
    <t>02 D2 00 00 09 00 00 00 00 0A 00 00</t>
  </si>
  <si>
    <t>灵力增加量(地狱) +0.9%</t>
  </si>
  <si>
    <t>70 39 00 00 09 00 00 00 00 0A 00 00</t>
  </si>
  <si>
    <t>灵力增加量(负面效果时) +0.9%</t>
  </si>
  <si>
    <t>AE 4F 00 00 08 00 00 00 00 0A 00 00</t>
  </si>
  <si>
    <t>灵力增加量(正面效果时) +0.8%</t>
  </si>
  <si>
    <t>2B 8D 00 00 04 00 00 00 00 0A 00 00</t>
  </si>
  <si>
    <t>承受伤害增加灵力 C</t>
  </si>
  <si>
    <t>F0 43 00 00 04 00 00 00 00 4A 00 00</t>
  </si>
  <si>
    <t>(同名固定)识破可增加灵力 +4</t>
  </si>
  <si>
    <t>1E ED 00 00 07 00 00 00 00 0A 00 00</t>
  </si>
  <si>
    <t>追击与近身刺击赋予昂神(B)</t>
  </si>
  <si>
    <t>A9 DC 00 00 02 00 00 00 00 4C 00 00</t>
  </si>
  <si>
    <t>(同名固定)伤害反映(弓伤害) D+</t>
  </si>
  <si>
    <t>0B 51 00 00 12 00 00 00 00 12 00 00</t>
  </si>
  <si>
    <t>阴阳术精力伤害 +1.8%</t>
  </si>
  <si>
    <t>41 49 00 00 17 00 00 00 00 52 00 00</t>
  </si>
  <si>
    <t>(同名固定)忍术造成的精力伤害 +2.3%</t>
  </si>
  <si>
    <t>C1 BE 00 00 19 00 00 00 00 52 00 00</t>
  </si>
  <si>
    <t>(同名固定)忍术造成的精力伤害 +2.5%</t>
  </si>
  <si>
    <t>BD A5 00 00 0F 00 00 00 00 12 00 00</t>
  </si>
  <si>
    <t>忍术造成的精力伤害 +1.5%</t>
  </si>
  <si>
    <t>7F CB 00 00 19 00 00 00 00 52 00 00</t>
  </si>
  <si>
    <t>(同名固定)武技精力伤害 +2.5%</t>
  </si>
  <si>
    <t>4B 79 00 00 0F 00 00 00 00 12 00 00</t>
  </si>
  <si>
    <t>武技精力伤害 +1.5%</t>
  </si>
  <si>
    <t>90 37 00 00 32 00 00 00 00 12 00 00</t>
  </si>
  <si>
    <t>(地狱武器)武技精力伤害 +5.0%</t>
  </si>
  <si>
    <t>F8 C4 00 00 0F 00 00 00 00 52 00 00</t>
  </si>
  <si>
    <t>(同名固定)近距离攻击精力伤害 +1.5%</t>
  </si>
  <si>
    <t>17 DC 00 00 0F 00 00 00 00 12 00 00</t>
  </si>
  <si>
    <t>近距离攻击精力伤害 +1.5%</t>
  </si>
  <si>
    <t>93 37 00 00 17 00 00 00 00 12 84 00</t>
  </si>
  <si>
    <t>(星)近距离攻击精力伤害 +2.3%</t>
  </si>
  <si>
    <t>D3 21 00 00 1E 00 00 00 00 12 00 00</t>
  </si>
  <si>
    <t>(地狱武器)近距离攻击精力伤害 +3.0%</t>
  </si>
  <si>
    <t>66 A1 00 00 0F 00 00 00 00 12 00 00</t>
  </si>
  <si>
    <t>近距离攻击精力伤害(地狱) +1.5%</t>
  </si>
  <si>
    <t>C6 BF 00 00 13 00 00 00 00 52 00 00</t>
  </si>
  <si>
    <t>(同名固定)强攻击精力伤害 +1.9%</t>
  </si>
  <si>
    <t>07 51 00 00 10 00 00 00 00 12 00 00</t>
  </si>
  <si>
    <t>强攻击精力伤害 +1.6%</t>
  </si>
  <si>
    <t>6B 13 00 00 18 00 00 00 00 12 84 00</t>
  </si>
  <si>
    <t>(星)强攻击精力伤害 +2.4%</t>
  </si>
  <si>
    <t>7D 51 00 00 12 00 00 00 00 12 00 00</t>
  </si>
  <si>
    <t>空中攻击精力伤害 +1.8%</t>
  </si>
  <si>
    <t>D3 4A 00 00 15 00 00 00 00 12 00 00</t>
  </si>
  <si>
    <t>对处于火状态敌人的精力伤害 +2.1%</t>
  </si>
  <si>
    <t>F7 52 00 00 15 00 00 00 00 12 00 00</t>
  </si>
  <si>
    <t>对处于水状态敌人的精力伤害 +2.1%</t>
  </si>
  <si>
    <t>14 27 00 00 15 00 00 00 00 12 00 00</t>
  </si>
  <si>
    <t>对处于雷状态敌人的精力伤害 +2.1%</t>
  </si>
  <si>
    <t>EA D8 00 00 15 00 00 00 00 12 00 00</t>
  </si>
  <si>
    <t>对处于风状态敌人的精力伤害 +2.1%</t>
  </si>
  <si>
    <t>96 97 00 00 11 00 00 00 00 12 00 00</t>
  </si>
  <si>
    <t>上段武技精力伤害 +1.7%</t>
  </si>
  <si>
    <t>EF D7 00 00 11 00 00 00 00 12 00 00</t>
  </si>
  <si>
    <t>中段武技精力伤害 +1.7%</t>
  </si>
  <si>
    <t>4B 1D 00 00 2C 00 00 00 00 52 00 00</t>
  </si>
  <si>
    <t>(同名固定)下段武技精力伤害 +4.4%</t>
  </si>
  <si>
    <t>C3 C4 00 00 11 00 00 00 00 12 00 00</t>
  </si>
  <si>
    <t>下段武技精力伤害 +1.7%</t>
  </si>
  <si>
    <t>34 EA 00 00 03 00 00 00 00 54 00 00</t>
  </si>
  <si>
    <t>(同名固定)近距离攻击吸取体力 3%</t>
  </si>
  <si>
    <t>33 3B 00 00 02 00 00 00 00 14 00 00</t>
  </si>
  <si>
    <t>近距离攻击吸取体力 2%</t>
  </si>
  <si>
    <t>DB F9 00 00 06 00 00 00 00 14 00 00</t>
  </si>
  <si>
    <t>(地狱武器)近距离攻击吸取体力 6%</t>
  </si>
  <si>
    <t>40 26 00 00 03 00 00 00 00 14 00 00</t>
  </si>
  <si>
    <t>上段架式攻击吸取体力 3%</t>
  </si>
  <si>
    <t>BC 88 00 00 04 00 00 00 00 54 00 00</t>
  </si>
  <si>
    <t>(同名固定)中段架式攻击吸取体力 4%</t>
  </si>
  <si>
    <t>D0 87 00 00 03 00 00 00 00 14 00 00</t>
  </si>
  <si>
    <t>中段架式攻击吸取体力 3%</t>
  </si>
  <si>
    <t>0B 31 00 00 03 00 00 00 00 14 00 00</t>
  </si>
  <si>
    <t>下段架式攻击吸取体力 3%</t>
  </si>
  <si>
    <t>3E 6D 00 00 05 00 00 00 00 54 00 00</t>
  </si>
  <si>
    <t>(同名固定)速攻技吸取体力 5%</t>
  </si>
  <si>
    <t>B0 50 00 00 04 00 00 00 00 14 00 00</t>
  </si>
  <si>
    <t>速攻技吸取体力 4%</t>
  </si>
  <si>
    <t>41 E4 00 00 03 00 00 00 00 14 00 00</t>
  </si>
  <si>
    <t>强攻技吸取体力 3%</t>
  </si>
  <si>
    <t>75 D2 00 00 1E 00 00 00 00 14 00 00</t>
  </si>
  <si>
    <t>近距离攻击打倒敌人时恢复体力 30</t>
  </si>
  <si>
    <t>0F 40 00 00 21 00 00 00 00 14 00 00</t>
  </si>
  <si>
    <t>打倒敌人时赋予自动恢复体力(33)</t>
  </si>
  <si>
    <t>3F 61 00 00 04 00 00 00 00 14 00 00</t>
  </si>
  <si>
    <t>造成火属性伤害时吸取体力 C</t>
  </si>
  <si>
    <t>C7 64 00 00 07 00 00 00 00 14 84 00</t>
  </si>
  <si>
    <t>(星)造成火属性伤害时吸取体力 B</t>
  </si>
  <si>
    <t>54 00 00 00 04 00 00 00 00 14 00 00</t>
  </si>
  <si>
    <t>造成水属性伤害时吸取体力 C</t>
  </si>
  <si>
    <t>FB C5 00 00 04 00 00 00 00 14 00 00</t>
  </si>
  <si>
    <t>造成雷属性伤害时吸取体力 C</t>
  </si>
  <si>
    <t>0B 04 00 00 04 00 00 00 00 14 00 00</t>
  </si>
  <si>
    <t>造成风属性伤害时吸取体力 C</t>
  </si>
  <si>
    <t>A7 58 00 00 07 00 00 00 00 14 84 00</t>
  </si>
  <si>
    <t>(星)造成风属性伤害时吸取体力 B</t>
  </si>
  <si>
    <t>D6 53 00 00 02 00 00 00 00 14 00 00</t>
  </si>
  <si>
    <t>造成属性伤害时吸取体力 D+</t>
  </si>
  <si>
    <t>65 CA 00 00 05 00 00 00 00 14 84 00</t>
  </si>
  <si>
    <t>(星)造成属性伤害时吸取体力 C+</t>
  </si>
  <si>
    <t>BA 1C 00 00 1F 00 00 00 00 14 00 00</t>
  </si>
  <si>
    <t>格挡成功时赋予自动恢复体力(31)</t>
  </si>
  <si>
    <t>1E 73 00 00 1F 00 00 00 00 14 00 00</t>
  </si>
  <si>
    <t>成功识破时自动恢复体力(31)</t>
  </si>
  <si>
    <t>FD 3F 00 00 1E 00 00 00 00 14 00 00</t>
  </si>
  <si>
    <t>追击和近身刺击可恢复体力 30</t>
  </si>
  <si>
    <t>C7 7E 00 00 2A 00 00 00 00 14 00 00</t>
  </si>
  <si>
    <t>箭弹命中弱点可恢复体力 42</t>
  </si>
  <si>
    <t>B1 F2 00 00 1C 00 00 00 00 54 00 00</t>
  </si>
  <si>
    <t>(同名固定)吸收精华后赋予自动恢复体力(28)</t>
  </si>
  <si>
    <t>37 57 00 00 06 00 00 00 00 14 00 00</t>
  </si>
  <si>
    <t>吸收精华可恢复体力 6</t>
  </si>
  <si>
    <t>0D 39 00 00 04 00 00 00 00 54 00 00</t>
  </si>
  <si>
    <t>(同名固定)武技吸取体力 +4.0%</t>
  </si>
  <si>
    <t>01 FF 00 00 03 00 00 00 00 14 00 00</t>
  </si>
  <si>
    <t>武技吸取体力 +3.0%</t>
  </si>
  <si>
    <t>F0 44 00 00 1E 00 00 00 00 14 00 00</t>
  </si>
  <si>
    <t>箭弹命中可恢复体力 30</t>
  </si>
  <si>
    <t>13 BB 00 00 0A 00 00 00 00 17 00 00</t>
  </si>
  <si>
    <t>防御时精力恢复速度 +1.0%</t>
  </si>
  <si>
    <t>00 68 00 00 04 00 00 00 00 17 00 00</t>
  </si>
  <si>
    <t>残心精力恢复量 +0.4%</t>
  </si>
  <si>
    <t>FA 94 00 00 06 00 00 00 00 17 84 00</t>
  </si>
  <si>
    <t>(星)残心精力恢复量 +0.6%</t>
  </si>
  <si>
    <t>4F 14 00 00 0A 00 00 00 00 17 00 00</t>
  </si>
  <si>
    <t>精力恢复速度 +1.0%</t>
  </si>
  <si>
    <t>D3 B1 00 00 19 00 00 00 00 17 04 00</t>
  </si>
  <si>
    <t>(星)精力恢复速度 +2.5%</t>
  </si>
  <si>
    <t>43 37 00 00 19 00 00 00 00 17 00 00</t>
  </si>
  <si>
    <t>绝境时赋予精力恢复速度增加(2.5%)</t>
  </si>
  <si>
    <t>26 68 00 00 0D 00 00 00 00 17 00 00</t>
  </si>
  <si>
    <t>精力恢复速度上升(无伤) +1.3%</t>
  </si>
  <si>
    <t>F1 9A 00 00 17 00 00 00 00 17 00 00</t>
  </si>
  <si>
    <t>精力恢复速度(绝境) +2.3%</t>
  </si>
  <si>
    <t>F5 EB 00 00 03 00 00 00 00 17 00 00</t>
  </si>
  <si>
    <t>残心初始量 +3</t>
  </si>
  <si>
    <t>90 50 00 00 02 00 00 00 00 17 00 00</t>
  </si>
  <si>
    <t>抗常世 +0.2</t>
  </si>
  <si>
    <t>CC FC 00 00 03 00 00 00 00 17 84 00</t>
  </si>
  <si>
    <t>(星)抗常世 +0.3</t>
  </si>
  <si>
    <t>18 ED 00 00 05 00 00 00 00 19 00 00</t>
  </si>
  <si>
    <t>祓除常世赋予昂灵(+0.5%)</t>
  </si>
  <si>
    <t>9C B6 00 00 09 00 00 00 00 19 00 00</t>
  </si>
  <si>
    <t>吸收精华后赋予昂灵(+0.9%)</t>
  </si>
  <si>
    <t>02 BC 00 00 03 00 00 00 00 19 00 00</t>
  </si>
  <si>
    <t>打倒敌人时赋予昂灵(+0.3%)</t>
  </si>
  <si>
    <t>19 37 00 00 07 00 00 00 00 19 00 00</t>
  </si>
  <si>
    <t>精华槽增加量 +0.7%</t>
  </si>
  <si>
    <t>46 AB 00 00 0B 00 00 00 00 19 84 00</t>
  </si>
  <si>
    <t>(星)精华槽增加量 +1.1%</t>
  </si>
  <si>
    <t>7E C0 00 00 02 00 00 00 00 19 00 00</t>
  </si>
  <si>
    <t>使敌人陷入火状态时精华槽增加 D+</t>
  </si>
  <si>
    <t>E3 02 00 00 02 00 00 00 00 19 00 00</t>
  </si>
  <si>
    <t>使敌人陷入水状态时精华槽增加 D+</t>
  </si>
  <si>
    <t>7E 07 00 00 02 00 00 00 00 19 00 00</t>
  </si>
  <si>
    <t>使敌人陷入雷状态时精华槽增加 D+</t>
  </si>
  <si>
    <t>87 8F 00 00 02 00 00 00 00 19 00 00</t>
  </si>
  <si>
    <t>使敌人陷入风状态时精华槽增加 D+</t>
  </si>
  <si>
    <t>26 8B 00 00 00 00 00 00 00 19 04 00</t>
  </si>
  <si>
    <t>(星)机关旋棍</t>
  </si>
  <si>
    <t>11 7C 00 00 14 00 00 00 00 5B 00 00</t>
  </si>
  <si>
    <t>(同名固定)弓伤害 +2.0%</t>
  </si>
  <si>
    <t>8A 2C 00 00 0F 00 00 00 00 5F 00 00</t>
  </si>
  <si>
    <t>(同名固定)赋予火属性 +5～15</t>
  </si>
  <si>
    <t>3B 5C 00 00 03 00 00 00 00 1F 00 00</t>
  </si>
  <si>
    <t>赋予火属性 +3</t>
  </si>
  <si>
    <t>41 41 00 00 05 00 00 00 00 1F 84 00</t>
  </si>
  <si>
    <t>(星)赋予火属性 +5</t>
  </si>
  <si>
    <t>4A 3C 00 00 19 00 00 00 00 1F 00 00</t>
  </si>
  <si>
    <t>(地狱武器)赋予火属性 +10～25</t>
  </si>
  <si>
    <t>04 10 00 00 0F 00 00 00 00 5F 00 00</t>
  </si>
  <si>
    <t>(同名固定)赋予水属性 +5～15</t>
  </si>
  <si>
    <t>4E 41 00 00 03 00 00 00 00 1F 00 00</t>
  </si>
  <si>
    <t>赋予水属性 +3</t>
  </si>
  <si>
    <t>A3 57 00 00 05 00 00 00 00 1F 84 00</t>
  </si>
  <si>
    <t>(星)赋予水属性 +5</t>
  </si>
  <si>
    <t>29 21 00 00 19 00 00 00 00 1F 00 00</t>
  </si>
  <si>
    <t>(地狱武器)赋予水属性 +10～25</t>
  </si>
  <si>
    <t>58 EA 00 00 0F 00 00 00 00 5F 00 00</t>
  </si>
  <si>
    <t>(同名固定)赋予雷属性 +5～15</t>
  </si>
  <si>
    <t>8D EC 00 00 03 00 00 00 00 1F 00 00</t>
  </si>
  <si>
    <t>赋予雷属性 +3</t>
  </si>
  <si>
    <t>F5 40 00 00 05 00 00 00 00 1F 84 00</t>
  </si>
  <si>
    <t>(星)赋予雷属性 +5</t>
  </si>
  <si>
    <t>41 86 00 00 16 00 00 00 00 1F 00 00</t>
  </si>
  <si>
    <t>(地狱武器)赋予雷属性 +10～25</t>
  </si>
  <si>
    <t>C1 2F 00 00 0F 00 00 00 00 5F 00 00</t>
  </si>
  <si>
    <t>(同名固定)赋予风属性 +5～15</t>
  </si>
  <si>
    <t>96 75 00 00 03 00 00 00 00 1F 00 00</t>
  </si>
  <si>
    <t>赋予风属性 +3</t>
  </si>
  <si>
    <t>53 3A 00 00 19 00 00 00 00 1F 00 00</t>
  </si>
  <si>
    <t>(地狱武器)赋予风属性 +10～25</t>
  </si>
  <si>
    <t>A0 92 00 00 03 00 00 00 00 1F 00 00</t>
  </si>
  <si>
    <t>赋予毒效果 +3</t>
  </si>
  <si>
    <t>DC B2 00 00 39 00 00 00 00 1F 84 00</t>
  </si>
  <si>
    <t>(星)赋予毒效果 +57</t>
  </si>
  <si>
    <t>CA E7 00 00 03 00 00 00 00 1F 00 00</t>
  </si>
  <si>
    <t>赋予麻痹效果 +3</t>
  </si>
  <si>
    <t>3E D0 00 00 39 00 00 00 00 1F 84 00</t>
  </si>
  <si>
    <t>(星)赋予麻痹效果 +57</t>
  </si>
  <si>
    <t>F9 00 00 00 2F 00 00 00 00 1F 00 00</t>
  </si>
  <si>
    <t>火属性伤害 +4.7%</t>
  </si>
  <si>
    <t>AF F3 00 00 47 00 00 00 00 1F 84 00</t>
  </si>
  <si>
    <t>(星)火属性伤害 +7.1%</t>
  </si>
  <si>
    <t>42 FB 00 00 2F 00 00 00 00 1F 00 00</t>
  </si>
  <si>
    <t>水属性伤害 +4.7%</t>
  </si>
  <si>
    <t>4D 38 00 00 2F 00 00 00 00 1F 00 00</t>
  </si>
  <si>
    <t>雷属性伤害 +4.7%</t>
  </si>
  <si>
    <t>A4 94 00 00 2F 00 00 00 00 1F 00 00</t>
  </si>
  <si>
    <t>风属性伤害 +4.7%</t>
  </si>
  <si>
    <t>7F 63 00 00 C8 00 00 00 00 1F 00 00</t>
  </si>
  <si>
    <t>赋予属性的持续时间延长 +20.0%</t>
  </si>
  <si>
    <t>BA 8C 00 00 26 00 00 00 00 1F 00 00</t>
  </si>
  <si>
    <t>敌人的持续伤害 +3.8%</t>
  </si>
  <si>
    <t>16 F4 00 00 50 00 00 00 00 1F 00 00</t>
  </si>
  <si>
    <t>敌人的火状态累计 +8.0%</t>
  </si>
  <si>
    <t>0C 05 00 00 50 00 00 00 00 1F 00 00</t>
  </si>
  <si>
    <t>敌人的水状态累计 +8.0%</t>
  </si>
  <si>
    <t>65 7C 00 00 50 00 00 00 00 1F 00 00</t>
  </si>
  <si>
    <t>敌人的雷状态累计 +8.0%</t>
  </si>
  <si>
    <t>05 60 00 00 50 00 00 00 00 1F 00 00</t>
  </si>
  <si>
    <t>敌人的风状态累计 +8.0%</t>
  </si>
  <si>
    <t>53 49 00 00 0F 00 00 00 00 5F 00 00</t>
  </si>
  <si>
    <t>(同名固定)敌人的毒状态累计 +1.5%</t>
  </si>
  <si>
    <t>A5 C2 00 00 50 00 00 00 00 1F 00 00</t>
  </si>
  <si>
    <t>敌人的毒状态累计 +8.0%</t>
  </si>
  <si>
    <t>AD CA 00 00 1E 00 00 00 00 1F 00 00</t>
  </si>
  <si>
    <t>(地狱武器)敌人的毒状态累计 +3.0%</t>
  </si>
  <si>
    <t>38 05 00 00 0F 00 00 00 00 5F 00 00</t>
  </si>
  <si>
    <t>(同名固定)敌人的麻痹状态累计 +1.5%</t>
  </si>
  <si>
    <t>89 15 00 00 50 00 00 00 00 1F 00 00</t>
  </si>
  <si>
    <t>敌人的麻痹状态累计 +8.0%</t>
  </si>
  <si>
    <t>6D EE 00 00 1E 00 00 00 00 1F 00 00</t>
  </si>
  <si>
    <t>(地狱武器)敌人的麻痹状态累计 +3.0%</t>
  </si>
  <si>
    <t>4B 84 00 00 32 00 00 00 00 1F 84 00</t>
  </si>
  <si>
    <t>异常状态累计 +5.0%</t>
  </si>
  <si>
    <t>F4 59 00 00 4B 00 00 00 00 1F 84 00</t>
  </si>
  <si>
    <t>(星)异常状态累计 +7.5%</t>
  </si>
  <si>
    <t>46 33 00 00 0B 00 00 00 00 5F 00 00</t>
  </si>
  <si>
    <t>(同名固定)赋予双属性(水、雷) +11</t>
  </si>
  <si>
    <t>9C 20 00 00 07 00 00 00 00 5F 00 00</t>
  </si>
  <si>
    <t>(同名固定)赋予双属性(雷、火) +7</t>
  </si>
  <si>
    <t>20 4A 00 00 2D 00 00 00 00 43 00 00</t>
  </si>
  <si>
    <t>(同名固定)箭弹命中弱点时伤害 +4.5%</t>
  </si>
  <si>
    <t>[远程]</t>
  </si>
  <si>
    <t>5D C0 00 00 0C 00 00 00 00 09 00 00</t>
  </si>
  <si>
    <t>B1 F1 00 00 04 00 00 00 00 09 00 00</t>
  </si>
  <si>
    <t>获得武功 +0.4%</t>
  </si>
  <si>
    <t>6E 87 00 00 05 00 00 00 00 09 00 00</t>
  </si>
  <si>
    <t>打倒敌人时赋予幸运增加(5)</t>
  </si>
  <si>
    <t>15 A8 00 00 03 00 00 00 00 09 00 00</t>
  </si>
  <si>
    <t>幸运(绝境) +3</t>
  </si>
  <si>
    <t>10 BC 00 00 02 00 00 00 00 09 00 00</t>
  </si>
  <si>
    <t>幸运(地狱) +2</t>
  </si>
  <si>
    <t>A8 7D 00 00 05 00 00 00 00 09 00 00</t>
  </si>
  <si>
    <t>吸收精华后赋予幸运增加(5)</t>
  </si>
  <si>
    <t>6C 1F 00 00 02 00 00 00 00 09 00 00</t>
  </si>
  <si>
    <t>C4 C7 00 00 05 00 00 00 00 09 00 00</t>
  </si>
  <si>
    <t>强攻击获得精华 5</t>
  </si>
  <si>
    <t>7C 63 00 00 04 00 00 00 00 09 00 00</t>
  </si>
  <si>
    <t>获得精华 +0.4%</t>
  </si>
  <si>
    <t>25 65 00 00 05 00 00 00 00 09 00 00</t>
  </si>
  <si>
    <t>获得精华(地狱) +0.5%</t>
  </si>
  <si>
    <t>1A 63 00 00 14 00 00 00 00 09 00 00</t>
  </si>
  <si>
    <t>道具掉落率 +2.0%</t>
  </si>
  <si>
    <t>61 B1 00 00 14 00 00 00 00 09 00 00</t>
  </si>
  <si>
    <t>装备品掉落率 +2.0%</t>
  </si>
  <si>
    <t>9B 58 00 00 14 00 00 00 00 09 00 00</t>
  </si>
  <si>
    <t>魂核掉落率 +2.0%</t>
  </si>
  <si>
    <t>1F 18 00 00 14 00 00 00 00 09 00 00</t>
  </si>
  <si>
    <t>地狱武器掉落率 +2.0%</t>
  </si>
  <si>
    <t>15 86 00 00 01 00 00 00 00 09 00 00</t>
  </si>
  <si>
    <t>幸运 +1</t>
  </si>
  <si>
    <t>D3 0B 00 00 01 00 00 00 00 0A 00 00</t>
  </si>
  <si>
    <t>AB 9B 00 00 04 00 00 00 00 0A 00 00</t>
  </si>
  <si>
    <t>A6 C3 00 00 06 00 00 00 00 0A 00 00</t>
  </si>
  <si>
    <t>64 64 00 00 05 00 00 00 00 0A 00 00</t>
  </si>
  <si>
    <t>08 07 00 00 07 00 00 00 00 0A 00 00</t>
  </si>
  <si>
    <t>BE A5 00 00 15 00 00 00 00 0A 00 00</t>
  </si>
  <si>
    <t>83 C6 00 00 09 00 00 00 00 0A 00 00</t>
  </si>
  <si>
    <t>BF D7 00 00 09 00 00 00 00 0A 00 00</t>
  </si>
  <si>
    <t>01 D1 00 00 09 00 00 00 00 0A 00 00</t>
  </si>
  <si>
    <t>7B 3E 00 00 08 00 00 00 00 0A 00 00</t>
  </si>
  <si>
    <t>71 8F 00 00 04 00 00 00 00 0A 00 00</t>
  </si>
  <si>
    <t>箭弹或道具命中增加灵力 C</t>
  </si>
  <si>
    <t>DD CE 00 00 04 00 00 00 00 0A 00 00</t>
  </si>
  <si>
    <t>箭弹命中增加灵力 C</t>
  </si>
  <si>
    <t>1A EA 00 00 13 00 00 00 00 12 00 00</t>
  </si>
  <si>
    <t>阴阳术精力伤害 +1.9%</t>
  </si>
  <si>
    <t>49 04 00 00 13 00 00 00 00 12 00 00</t>
  </si>
  <si>
    <t>忍术造成的精力伤害 +1.9%</t>
  </si>
  <si>
    <t>07 7E 00 00 64 00 00 00 00 12 00 00</t>
  </si>
  <si>
    <t>弓精力伤害 +10.0%</t>
  </si>
  <si>
    <t>41 03 00 00 64 00 00 00 00 12 00 00</t>
  </si>
  <si>
    <t>火枪精力伤害 +10.0%</t>
  </si>
  <si>
    <t>C4 19 00 00 64 00 00 00 00 12 00 00</t>
  </si>
  <si>
    <t>大炮精力伤害 +10.0%</t>
  </si>
  <si>
    <t>C6 E0 00 00 0A 00 00 00 00 14 00 00</t>
  </si>
  <si>
    <t>打倒敌人时赋予自动恢复体力(10)</t>
  </si>
  <si>
    <t>43 02 00 00 0D 00 00 00 00 14 00 00</t>
  </si>
  <si>
    <t>箭弹命中弱点可恢复体力 13</t>
  </si>
  <si>
    <t>DB 31 00 00 02 00 00 00 00 14 00 00</t>
  </si>
  <si>
    <t>吸收精华可恢复体力 2</t>
  </si>
  <si>
    <t>9F 55 00 00 09 00 00 00 00 14 00 00</t>
  </si>
  <si>
    <t>箭弹命中可恢复体力 9</t>
  </si>
  <si>
    <t>45 B3 00 00 0D 00 00 00 00 17 00 00</t>
  </si>
  <si>
    <t>E1 CC 00 00 03 00 00 00 00 17 00 00</t>
  </si>
  <si>
    <t>40 DA 00 00 02 00 00 00 00 19 00 00</t>
  </si>
  <si>
    <t>打倒敌人时赋予昂灵(+0.2%)</t>
  </si>
  <si>
    <t>AB 99 00 00 0A 00 00 00 00 19 00 00</t>
  </si>
  <si>
    <t>祓除常世赋予昂灵(+1.0%)</t>
  </si>
  <si>
    <t>3A C9 00 00 05 00 00 00 00 19 00 00</t>
  </si>
  <si>
    <t>吸收精华后赋予昂灵(+0.5%)</t>
  </si>
  <si>
    <t>E7 FA 00 00 04 00 00 00 00 19 00 00</t>
  </si>
  <si>
    <t>精华槽增加量 +0.4%</t>
  </si>
  <si>
    <t>26 35 00 00 01 00 00 00 00 19 00 00</t>
  </si>
  <si>
    <t>使敌人陷入火状态时精华槽增加 D</t>
  </si>
  <si>
    <t>B8 08 00 00 01 00 00 00 00 19 00 00</t>
  </si>
  <si>
    <t>使敌人陷入水状态时精华槽增加 D</t>
  </si>
  <si>
    <t>45 C4 00 00 01 00 00 00 00 19 00 00</t>
  </si>
  <si>
    <t>使敌人陷入雷状态时精华槽增加 D</t>
  </si>
  <si>
    <t>C5 18 00 00 01 00 00 00 00 19 00 00</t>
  </si>
  <si>
    <t>使敌人陷入风状态时精华槽增加 D</t>
  </si>
  <si>
    <t>D6 EE 00 00 21 00 00 00 00 1B 00 00</t>
  </si>
  <si>
    <t>弓伤害 +3.3%</t>
  </si>
  <si>
    <t>0F C8 00 00 21 00 00 00 00 5B 00 00</t>
  </si>
  <si>
    <t>(同名固定)火枪伤害 +3.3%</t>
  </si>
  <si>
    <t>DB B3 00 00 21 00 00 00 00 1B 00 00</t>
  </si>
  <si>
    <t>火枪伤害 +3.3%</t>
  </si>
  <si>
    <t>CE 7A 00 00 21 00 00 00 00 5B 00 00</t>
  </si>
  <si>
    <t>(同名固定)大炮伤害 +3.3%</t>
  </si>
  <si>
    <t>FC 07 00 00 21 00 00 00 00 1B 00 00</t>
  </si>
  <si>
    <t>大炮伤害 +3.3%</t>
  </si>
  <si>
    <t>99 4E 00 00 21 00 00 00 00 5B 00 00</t>
  </si>
  <si>
    <t>(同名固定)远距离伤害 +3.3%</t>
  </si>
  <si>
    <t>D4 01 00 00 21 00 00 00 00 1B 00 00</t>
  </si>
  <si>
    <t>远距离伤害 +3.3%</t>
  </si>
  <si>
    <t>B2 4C 00 00 F4 01 00 00 00 5B 00 00</t>
  </si>
  <si>
    <t>(同名固定)箭弹命中时施加造成伤害减少 +50.0%</t>
  </si>
  <si>
    <t>B9 D1 00 00 21 00 00 00 00 5B 00 00</t>
  </si>
  <si>
    <t>(同名固定)对极近距离敌人的弓箭伤害 +3.3%</t>
  </si>
  <si>
    <t>92 EC 00 00 21 00 00 00 00 1B 00 00</t>
  </si>
  <si>
    <t>对极近距离敌人的弓箭伤害 +3.3%</t>
  </si>
  <si>
    <t>D2 FC 00 00 21 00 00 00 00 1B 00 00</t>
  </si>
  <si>
    <t>对极近距离敌人的火枪伤害 +3.3%</t>
  </si>
  <si>
    <t>D2 86 00 00 21 00 00 00 00 5B 00 00</t>
  </si>
  <si>
    <t>(同名固定)对极近距离敌人的大炮伤害 +3.3%</t>
  </si>
  <si>
    <t>31 B1 00 00 21 00 00 00 00 1B 00 00</t>
  </si>
  <si>
    <t>对极近距离敌人的大炮伤害 +3.3%</t>
  </si>
  <si>
    <t>9A D0 00 00 28 00 00 00 00 5B 00 00</t>
  </si>
  <si>
    <t>(同名固定)箭弹伤害(无伤) +4.0%</t>
  </si>
  <si>
    <t>94 44 00 00 28 00 00 00 00 1B 00 00</t>
  </si>
  <si>
    <t>箭弹伤害(无伤) +4.0%</t>
  </si>
  <si>
    <t>DD 56 00 00 00 00 00 00 00 5B 00 00</t>
  </si>
  <si>
    <t>(同名固定)自动瞄准要害</t>
  </si>
  <si>
    <t>41 B9 00 00 00 00 00 00 00 5B 00 00</t>
  </si>
  <si>
    <t>(同名固定)弓动作速度加快</t>
  </si>
  <si>
    <t>88 00 00 00 00 00 00 00 00 5B 00 00</t>
  </si>
  <si>
    <t>(同名固定)火枪动作速度加快</t>
  </si>
  <si>
    <t>FF E2 00 00 00 00 00 00 00 5B 00 00</t>
  </si>
  <si>
    <t>(同名固定)拿起远距离武器时不会畏惧</t>
  </si>
  <si>
    <t>8C F5 00 00 03 00 00 00 00 1B 00 00</t>
  </si>
  <si>
    <t>不易被敌人发现 C-</t>
  </si>
  <si>
    <t>C3 CF 00 00 01 00 00 00 00 1B 00 00</t>
  </si>
  <si>
    <t>箭矢持有数量上限 +1</t>
  </si>
  <si>
    <t>64 35 00 00 01 00 00 00 00 1B 00 00</t>
  </si>
  <si>
    <t>枪弹持有数量上限 +1</t>
  </si>
  <si>
    <t>7C 12 00 00 01 00 00 00 00 1B 00 00</t>
  </si>
  <si>
    <t>炮弹持有数量上限 +1</t>
  </si>
  <si>
    <t>43 6B 00 00 64 00 00 00 00 5B 00 00</t>
  </si>
  <si>
    <t>(同名固定)不消耗箭弹 +10.0%</t>
  </si>
  <si>
    <t>CB 28 00 00 4B 00 00 00 00 1B 00 00</t>
  </si>
  <si>
    <t>不消耗箭弹 +7.5%</t>
  </si>
  <si>
    <t>BD 87 00 00 50 00 00 00 00 1B 00 00</t>
  </si>
  <si>
    <t>不消耗枪弹与炮弹 +8.0%</t>
  </si>
  <si>
    <t>48 E5 00 00 15 00 00 00 00 03 00 00</t>
  </si>
  <si>
    <t>上段架式攻击伤害 +2.1%</t>
  </si>
  <si>
    <t>[手臂]</t>
  </si>
  <si>
    <t>95 4F 00 00 15 00 00 00 00 03 00 00</t>
  </si>
  <si>
    <t>中段架式攻击伤害 +2.1%</t>
  </si>
  <si>
    <t>9B D3 00 00 15 00 00 00 00 03 00 00</t>
  </si>
  <si>
    <t>下段架式攻击伤害 +2.1%</t>
  </si>
  <si>
    <t>9A D9 00 00 15 00 00 00 00 03 00 00</t>
  </si>
  <si>
    <t>速攻击伤害 +2.1%</t>
  </si>
  <si>
    <t>04 E3 00 00 20 00 00 00 00 03 04 00</t>
  </si>
  <si>
    <t>(星)速攻击伤害 +3.2%</t>
  </si>
  <si>
    <t>[头部]</t>
  </si>
  <si>
    <t>68 AA 00 00 15 00 00 00 00 03 00 00</t>
  </si>
  <si>
    <t>强攻击伤害 +2.1%</t>
  </si>
  <si>
    <t>2A AA 00 00 13 00 00 00 00 03 00 00</t>
  </si>
  <si>
    <t>近距离攻击伤害 +1.9%</t>
  </si>
  <si>
    <t>25 D5 00 00 39 00 00 00 00 03 00 00</t>
  </si>
  <si>
    <t>近距离攻击伤害(绝境) +5.7%</t>
  </si>
  <si>
    <t>E6 36 00 00 31 00 00 00 00 43 00 00</t>
  </si>
  <si>
    <t>(同名固定)近距离攻击伤害(地狱) +4.9%</t>
  </si>
  <si>
    <t>7A DA 00 00 19 00 00 00 00 03 00 00</t>
  </si>
  <si>
    <t>近距离攻击伤害(地狱) +2.5%</t>
  </si>
  <si>
    <t>E1 F6 00 00 0E 00 00 00 00 03 00 00</t>
  </si>
  <si>
    <t>2B 52 00 00 0E 00 00 00 00 03 00 00</t>
  </si>
  <si>
    <t>FC 41 00 00 0E 00 00 00 00 03 00 00</t>
  </si>
  <si>
    <t>8D 2A 00 00 0E 00 00 00 00 03 00 00</t>
  </si>
  <si>
    <t>9B 06 00 00 0E 00 00 00 00 03 00 00</t>
  </si>
  <si>
    <t>88 66 00 00 46 00 00 00 00 03 00 00</t>
  </si>
  <si>
    <t>94 F8 00 00 4B 00 00 00 00 03 00 00</t>
  </si>
  <si>
    <t>箭弹命中弱点时伤害 +7.5%</t>
  </si>
  <si>
    <t>12 52 00 00 13 00 00 00 00 03 00 00</t>
  </si>
  <si>
    <t>地狱武器伤害 +1.9%</t>
  </si>
  <si>
    <t>59 91 00 00 14 00 00 00 00 43 00 00</t>
  </si>
  <si>
    <t>(同名固定)对无伤敌人造成的近距离伤害 +2.0%</t>
  </si>
  <si>
    <t>[头部/手臂/足部]</t>
  </si>
  <si>
    <t>1B 69 00 00 28 00 00 00 00 43 00 00</t>
  </si>
  <si>
    <t>(同名固定)对无伤敌人造成的近距离伤害 +4.0%</t>
  </si>
  <si>
    <t>[身体]</t>
  </si>
  <si>
    <t>26 29 00 00 1E 00 00 00 00 43 00 00</t>
  </si>
  <si>
    <t>(同名固定)对无伤敌人造成的近距离伤害 +3.0%</t>
  </si>
  <si>
    <t>[腿部]</t>
  </si>
  <si>
    <t>4A 81 00 00 26 00 00 00 00 03 00 00</t>
  </si>
  <si>
    <t>对无伤敌人造成的近距离伤害 +3.8%</t>
  </si>
  <si>
    <t>7E 70 00 00 04 00 00 00 00 43 00 00</t>
  </si>
  <si>
    <t>(同名固定)伤害反映(阴阳术术力) C</t>
  </si>
  <si>
    <t>E6 67 00 00 19 00 00 00 00 03 00 00</t>
  </si>
  <si>
    <t>对精力耗尽敌人的近距离伤害 +2.5%</t>
  </si>
  <si>
    <t>5F FE 00 00 17 00 00 00 00 03 00 00</t>
  </si>
  <si>
    <t>对攻击中敌人的近距离伤害 +2.3%</t>
  </si>
  <si>
    <t>FA 8D 00 00 15 00 00 00 00 03 00 00</t>
  </si>
  <si>
    <t>刺击伤害 +2.1%</t>
  </si>
  <si>
    <t>39 68 00 00 13 00 00 00 00 03 00 00</t>
  </si>
  <si>
    <t>暗杀伤害 +1.9%</t>
  </si>
  <si>
    <t>EA C5 00 00 19 00 00 00 00 03 00 00</t>
  </si>
  <si>
    <t>打倒敌人时赋予造成伤害增加(2.5%)</t>
  </si>
  <si>
    <t>04 3B 00 00 14 00 00 00 00 43 00 00</t>
  </si>
  <si>
    <t>(同名固定)祓除常世赋予造成伤害增加(2%)</t>
  </si>
  <si>
    <t>70 1C 00 00 1B 00 00 00 00 03 00 00</t>
  </si>
  <si>
    <t>祓除常世赋予造成伤害增加(2.7%)</t>
  </si>
  <si>
    <t>30 6A 00 00 1D 00 00 00 00 03 00 00</t>
  </si>
  <si>
    <t>陷入异常状态时赋予造成伤害增加(2.9%)</t>
  </si>
  <si>
    <t>2F A6 00 00 17 00 00 00 00 03 00 00</t>
  </si>
  <si>
    <t>吸收精华后赋予造成伤害增加(2.3%)</t>
  </si>
  <si>
    <t>0B E7 00 00 16 00 00 00 00 03 00 00</t>
  </si>
  <si>
    <t>下段武技伤害 +2.2%</t>
  </si>
  <si>
    <t>BE 57 00 00 17 00 00 00 00 03 00 00</t>
  </si>
  <si>
    <t>格挡成功时赋予造成伤害增加(2.3%)</t>
  </si>
  <si>
    <t>3C 7D 00 00 17 00 00 00 00 03 00 00</t>
  </si>
  <si>
    <t>成功识破时造成伤害增加(2.3%)</t>
  </si>
  <si>
    <t>3E EA 00 00 15 00 00 00 00 03 00 00</t>
  </si>
  <si>
    <t>空中攻击伤害 +2.1%</t>
  </si>
  <si>
    <t>A8 7E 00 00 17 00 00 00 00 03 00 00</t>
  </si>
  <si>
    <t>追击和近身刺击伤害 +2.3%</t>
  </si>
  <si>
    <t>97 57 00 00 14 00 00 00 00 43 00 00</t>
  </si>
  <si>
    <t>(同名固定)背后攻击伤害 +2.0%</t>
  </si>
  <si>
    <t>79 7E 00 00 28 00 00 00 00 43 00 00</t>
  </si>
  <si>
    <t>(同名固定)背后攻击伤害 +4.0%</t>
  </si>
  <si>
    <t>25 A7 00 00 1E 00 00 00 00 43 00 00</t>
  </si>
  <si>
    <t>(同名固定)背后攻击伤害 +3.0%</t>
  </si>
  <si>
    <t>9E DF 00 00 50 00 00 00 00 05 00 00</t>
  </si>
  <si>
    <t>近距离攻击的精力消耗降低 -8.0%</t>
  </si>
  <si>
    <t>[头部/手臂]</t>
  </si>
  <si>
    <t>6C F2 00 00 50 00 00 00 00 05 00 00</t>
  </si>
  <si>
    <t>上段架式攻击的精力消耗降低 -8.0%</t>
  </si>
  <si>
    <t>22 5C 00 00 50 00 00 00 00 05 00 00</t>
  </si>
  <si>
    <t>中段架式攻击的精力消耗降低 -8.0%</t>
  </si>
  <si>
    <t>B9 BB 00 00 50 00 00 00 00 05 00 00</t>
  </si>
  <si>
    <t>下段架式攻击的精力消耗降低 -8.0%</t>
  </si>
  <si>
    <t>E8 4B 00 00 50 00 00 00 00 05 00 00</t>
  </si>
  <si>
    <t>速攻击精力消耗降低 -8.0%</t>
  </si>
  <si>
    <t>B4 6D 00 00 0A 00 00 00 00 45 00 00</t>
  </si>
  <si>
    <t>(同名固定)强攻击精力消耗降低 -1.0%</t>
  </si>
  <si>
    <t>13 40 00 00 14 00 00 00 00 45 00 00</t>
  </si>
  <si>
    <t>(同名固定)强攻击精力消耗降低 -2.0%</t>
  </si>
  <si>
    <t>11 A2 00 00 0F 00 00 00 00 45 00 00</t>
  </si>
  <si>
    <t>(同名固定)强攻击精力消耗降低 -1.5%</t>
  </si>
  <si>
    <t>3D 19 00 00 50 00 00 00 00 05 00 00</t>
  </si>
  <si>
    <t>强攻击精力消耗降低 -8.0%</t>
  </si>
  <si>
    <t>FE 34 00 00 50 00 00 00 00 05 00 00</t>
  </si>
  <si>
    <t>武技精力消耗降低 -8.0%</t>
  </si>
  <si>
    <t>60 3B 00 00 50 00 00 00 00 05 00 00</t>
  </si>
  <si>
    <t>近距离攻击精力消耗降低(绝境) -8.0%</t>
  </si>
  <si>
    <t>87 D2 00 00 0A 00 00 00 00 45 00 00</t>
  </si>
  <si>
    <t>(同名固定)防御精力消耗降低 -1.0%</t>
  </si>
  <si>
    <t>A8 CD 00 00 14 00 00 00 00 45 00 00</t>
  </si>
  <si>
    <t>(同名固定)防御精力消耗降低 -2.0%</t>
  </si>
  <si>
    <t>59 9B 00 00 0F 00 00 00 00 45 00 00</t>
  </si>
  <si>
    <t>(同名固定)防御精力消耗降低 -1.5%</t>
  </si>
  <si>
    <t>FB 22 00 00 50 00 00 00 00 05 00 00</t>
  </si>
  <si>
    <t>防御精力消耗降低 -8.0%</t>
  </si>
  <si>
    <t>52 3C 00 00 50 00 00 00 00 05 00 00</t>
  </si>
  <si>
    <t>上段架式防御精力消耗降低 -8.0%</t>
  </si>
  <si>
    <t>53 59 00 00 50 00 00 00 00 05 00 00</t>
  </si>
  <si>
    <t>中段架式防御精力消耗降低 -8.0%</t>
  </si>
  <si>
    <t>9C 3F 00 00 50 00 00 00 00 05 00 00</t>
  </si>
  <si>
    <t>下段架式防御精力消耗降低 -8.0%</t>
  </si>
  <si>
    <t>B9 D4 00 00 50 00 00 00 00 05 00 00</t>
  </si>
  <si>
    <t>行动精力消耗(负面效果时) -8.0%</t>
  </si>
  <si>
    <t>9F C1 00 00 0A 00 00 00 00 45 00 00</t>
  </si>
  <si>
    <t>(同名固定)精力 +10</t>
  </si>
  <si>
    <t>EF 1D 00 00 14 00 00 00 00 45 00 00</t>
  </si>
  <si>
    <t>(同名固定)精力 +20</t>
  </si>
  <si>
    <t>32 0A 00 00 0F 00 00 00 00 45 00 00</t>
  </si>
  <si>
    <t>(同名固定)精力 +15</t>
  </si>
  <si>
    <t>A8 85 00 00 50 00 00 00 00 05 00 00</t>
  </si>
  <si>
    <t>上段武技精力 -8.0%</t>
  </si>
  <si>
    <t>56 40 00 00 50 00 00 00 00 05 00 00</t>
  </si>
  <si>
    <t>中段武技精力 -8.0%</t>
  </si>
  <si>
    <t>98 F0 00 00 50 00 00 00 00 05 00 00</t>
  </si>
  <si>
    <t>下段武技精力 -8.0%</t>
  </si>
  <si>
    <t>29 50 00 00 50 00 00 00 00 05 00 00</t>
  </si>
  <si>
    <t>跳跃的精力 -8.0%</t>
  </si>
  <si>
    <t>0E 0C 00 00 50 00 00 00 00 05 00 00</t>
  </si>
  <si>
    <t>FB A7 00 00 05 00 00 00 00 06 00 00</t>
  </si>
  <si>
    <t>火抗性 +5</t>
  </si>
  <si>
    <t>91 AC 00 00 0A 00 00 00 00 06 00 00</t>
  </si>
  <si>
    <t>火抗性 +10</t>
  </si>
  <si>
    <t>02 0B 00 00 07 00 00 00 00 06 00 00</t>
  </si>
  <si>
    <t>火抗性 +7</t>
  </si>
  <si>
    <t>F7 AA 00 00 05 00 00 00 00 06 00 00</t>
  </si>
  <si>
    <t>水抗性 +5</t>
  </si>
  <si>
    <t>4A 13 00 00 0A 00 00 00 00 06 00 00</t>
  </si>
  <si>
    <t>水抗性 +10</t>
  </si>
  <si>
    <t>E9 0F 00 00 07 00 00 00 00 06 00 00</t>
  </si>
  <si>
    <t>水抗性 +7</t>
  </si>
  <si>
    <t>C9 14 00 00 05 00 00 00 00 06 00 00</t>
  </si>
  <si>
    <t>雷抗性 +5</t>
  </si>
  <si>
    <t>59 2F 00 00 0A 00 00 00 00 06 00 00</t>
  </si>
  <si>
    <t>雷抗性 +10</t>
  </si>
  <si>
    <t>8D E0 00 00 07 00 00 00 00 06 00 00</t>
  </si>
  <si>
    <t>雷抗性 +7</t>
  </si>
  <si>
    <t>87 CE 00 00 05 00 00 00 00 06 00 00</t>
  </si>
  <si>
    <t>风抗性 +5</t>
  </si>
  <si>
    <t>F2 56 00 00 0A 00 00 00 00 06 00 00</t>
  </si>
  <si>
    <t>风抗性 +10</t>
  </si>
  <si>
    <t>9A BE 00 00 07 00 00 00 00 06 00 00</t>
  </si>
  <si>
    <t>风抗性 +7</t>
  </si>
  <si>
    <t>48 34 00 00 08 00 00 00 00 46 00 00</t>
  </si>
  <si>
    <t>(同名固定)防御时的属性攻击伤害降低 +8</t>
  </si>
  <si>
    <t>47 80 00 00 08 00 00 00 00 06 00 00</t>
  </si>
  <si>
    <t>防御时的属性攻击伤害降低 +8</t>
  </si>
  <si>
    <t>FB 72 00 00 11 00 00 00 00 06 00 00</t>
  </si>
  <si>
    <t>防御时的属性攻击伤害降低 +17</t>
  </si>
  <si>
    <t>B0 C3 00 00 0D 00 00 00 00 06 00 00</t>
  </si>
  <si>
    <t>防御时的属性攻击伤害降低 +13</t>
  </si>
  <si>
    <t>BA A4 00 00 14 00 00 00 00 46 00 00</t>
  </si>
  <si>
    <t>(同名固定)持续性伤害不会导致死亡</t>
  </si>
  <si>
    <t>62 37 00 00 05 00 00 00 00 46 00 00</t>
  </si>
  <si>
    <t>(同名固定)属性攻击伤害降低 +5</t>
  </si>
  <si>
    <t>85 E7 00 00 0B 00 00 00 00 46 00 00</t>
  </si>
  <si>
    <t>(同名固定)属性攻击伤害降低 +11</t>
  </si>
  <si>
    <t>FF E6 00 00 08 00 00 00 00 46 00 00</t>
  </si>
  <si>
    <t>(同名固定)属性攻击伤害降低 +8</t>
  </si>
  <si>
    <t>B7 E5 00 00 02 00 00 00 00 06 00 00</t>
  </si>
  <si>
    <t>属性攻击伤害降低 +2</t>
  </si>
  <si>
    <t>D3 70 00 00 05 00 00 00 00 06 00 00</t>
  </si>
  <si>
    <t>属性攻击伤害降低 +5</t>
  </si>
  <si>
    <t>EE 1C 00 00 03 00 00 00 00 06 00 00</t>
  </si>
  <si>
    <t>属性攻击伤害降低 +3</t>
  </si>
  <si>
    <t>D0 3A 00 00 05 00 00 00 00 46 00 00</t>
  </si>
  <si>
    <t>(同名固定)火属性伤害降低 +5</t>
  </si>
  <si>
    <t>96 EC 00 00 05 00 00 00 00 06 00 00</t>
  </si>
  <si>
    <t>火属性伤害降低 +5</t>
  </si>
  <si>
    <t>E2 5F 00 00 0A 00 00 00 00 06 00 00</t>
  </si>
  <si>
    <t>火属性伤害降低 +10</t>
  </si>
  <si>
    <t>EC CF 00 00 07 00 00 00 00 06 00 00</t>
  </si>
  <si>
    <t>火属性伤害降低 +7</t>
  </si>
  <si>
    <t>2A 11 00 00 05 00 00 00 00 06 00 00</t>
  </si>
  <si>
    <t>水属性伤害降低 +5</t>
  </si>
  <si>
    <t>4E 70 00 00 0A 00 00 00 00 06 00 00</t>
  </si>
  <si>
    <t>水属性伤害降低 +10</t>
  </si>
  <si>
    <t>23 B3 00 00 07 00 00 00 00 06 00 00</t>
  </si>
  <si>
    <t>水属性伤害降低 +7</t>
  </si>
  <si>
    <t>2C 2F 00 00 05 00 00 00 00 06 00 00</t>
  </si>
  <si>
    <t>雷属性伤害降低 +5</t>
  </si>
  <si>
    <t>65 23 00 00 0A 00 00 00 00 06 00 00</t>
  </si>
  <si>
    <t>雷属性伤害降低 +10</t>
  </si>
  <si>
    <t>18 1C 00 00 07 00 00 00 00 06 00 00</t>
  </si>
  <si>
    <t>雷属性伤害降低 +7</t>
  </si>
  <si>
    <t>38 9D 00 00 05 00 00 00 00 06 00 00</t>
  </si>
  <si>
    <t>风属性伤害降低 +5</t>
  </si>
  <si>
    <t>49 B7 00 00 0A 00 00 00 00 06 00 00</t>
  </si>
  <si>
    <t>风属性伤害降低 +10</t>
  </si>
  <si>
    <t>11 22 00 00 07 00 00 00 00 06 00 00</t>
  </si>
  <si>
    <t>风属性伤害降低 +7</t>
  </si>
  <si>
    <t>0B C4 00 00 0F 00 00 00 00 06 84 00</t>
  </si>
  <si>
    <t>(星)风属性伤害降低 +15</t>
  </si>
  <si>
    <t>[头部/身体/手臂/腿部/足部]</t>
  </si>
  <si>
    <t>A0 3F 00 00 05 00 00 00 00 06 00 00</t>
  </si>
  <si>
    <t>毒抗性 +5</t>
  </si>
  <si>
    <t>84 25 00 00 0A 00 00 00 00 06 00 00</t>
  </si>
  <si>
    <t>毒抗性 +10</t>
  </si>
  <si>
    <t>A8 7B 00 00 07 00 00 00 00 06 00 00</t>
  </si>
  <si>
    <t>毒抗性 +7</t>
  </si>
  <si>
    <t>18 D5 00 00 05 00 00 00 00 06 00 00</t>
  </si>
  <si>
    <t>麻痹抗性 +5</t>
  </si>
  <si>
    <t>13 5C 00 00 0A 00 00 00 00 06 00 00</t>
  </si>
  <si>
    <t>麻痹抗性 +10</t>
  </si>
  <si>
    <t>FE DD 00 00 07 00 00 00 00 06 00 00</t>
  </si>
  <si>
    <t>麻痹毒抗性 +7</t>
  </si>
  <si>
    <t>B1 54 00 00 0F 00 00 00 00 06 00 00</t>
  </si>
  <si>
    <t>中毒时持续承受伤害降低 -1.5%</t>
  </si>
  <si>
    <t>2E D2 00 00 1F 00 00 00 00 06 00 00</t>
  </si>
  <si>
    <t>中毒时持续承受伤害降低 -3.1%</t>
  </si>
  <si>
    <t>AC 66 00 00 18 00 00 00 00 06 00 00</t>
  </si>
  <si>
    <t>中毒时持续承受伤害降低 -2.4%</t>
  </si>
  <si>
    <t>29 83 00 00 0F 00 00 00 00 06 00 00</t>
  </si>
  <si>
    <t>着火时持续承受伤害降低 -1.5%</t>
  </si>
  <si>
    <t>42 6C 00 00 1F 00 00 00 00 06 00 00</t>
  </si>
  <si>
    <t>着火时持续承受伤害降低 -3.1%</t>
  </si>
  <si>
    <t>1D 65 00 00 18 00 00 00 00 06 00 00</t>
  </si>
  <si>
    <t>着火时持续承受伤害降低 -2.4%</t>
  </si>
  <si>
    <t>D0 41 00 00 0C 00 00 00 00 49 00 00</t>
  </si>
  <si>
    <t>(同名固定)获得金钱 +1.2%</t>
  </si>
  <si>
    <t>12 D0 00 00 18 00 00 00 00 49 00 00</t>
  </si>
  <si>
    <t>(同名固定)获得金钱 +2.4%</t>
  </si>
  <si>
    <t>2D 31 00 00 12 00 00 00 00 49 00 00</t>
  </si>
  <si>
    <t>(同名固定)获得金钱 +1.8%</t>
  </si>
  <si>
    <t>A7 FF 00 00 0C 00 00 00 00 09 00 00</t>
  </si>
  <si>
    <t>3B 50 00 00 18 00 00 00 00 09 00 00</t>
  </si>
  <si>
    <t>获得金钱 +2.4%</t>
  </si>
  <si>
    <t>7D A2 00 00 12 00 00 00 00 09 00 00</t>
  </si>
  <si>
    <t>获得金钱 +1.8%</t>
  </si>
  <si>
    <t>FF EC 00 00 12 00 00 00 00 09 04 00</t>
  </si>
  <si>
    <t>34 C4 00 00 08 00 00 00 00 09 00 00</t>
  </si>
  <si>
    <t>4B 0F 00 00 10 00 00 00 00 09 00 00</t>
  </si>
  <si>
    <t>获得武功 +1.6%</t>
  </si>
  <si>
    <t>57 DE 00 00 0C 00 00 00 00 09 00 00</t>
  </si>
  <si>
    <t>获得武功 +1.2%</t>
  </si>
  <si>
    <t>0E 7F 00 00 0B 00 00 00 00 09 00 00</t>
  </si>
  <si>
    <t>4E 2C 00 00 15 00 00 00 00 09 00 00</t>
  </si>
  <si>
    <t>打倒敌人时赋予幸运增加(21)</t>
  </si>
  <si>
    <t>40 F9 00 00 10 00 00 00 00 09 00 00</t>
  </si>
  <si>
    <t>打倒敌人时赋予幸运增加(16)</t>
  </si>
  <si>
    <t>AC 89 00 00 04 00 00 00 00 09 00 00</t>
  </si>
  <si>
    <t>幸运(绝境) +4</t>
  </si>
  <si>
    <t>B4 DD 00 00 08 00 00 00 00 09 00 00</t>
  </si>
  <si>
    <t>幸运(绝境) +8</t>
  </si>
  <si>
    <t>83 AD 00 00 06 00 00 00 00 09 00 00</t>
  </si>
  <si>
    <t>幸运(绝境) +6</t>
  </si>
  <si>
    <t>82 9A 00 00 02 00 00 00 00 09 00 00</t>
  </si>
  <si>
    <t>C6 83 00 00 05 00 00 00 00 09 00 00</t>
  </si>
  <si>
    <t>幸运(地狱) +5</t>
  </si>
  <si>
    <t>C3 A5 00 00 04 00 00 00 00 09 00 00</t>
  </si>
  <si>
    <t>幸运(地狱) +4</t>
  </si>
  <si>
    <t>F3 1B 00 00 09 00 00 00 00 09 00 00</t>
  </si>
  <si>
    <t>71 14 00 00 12 00 00 00 00 09 00 00</t>
  </si>
  <si>
    <t>吸收精华后赋予幸运增加(18)</t>
  </si>
  <si>
    <t>20 D8 00 00 0D 00 00 00 00 09 00 00</t>
  </si>
  <si>
    <t>吸收精华后赋予幸运增加(13)</t>
  </si>
  <si>
    <t>4B D8 00 00 02 00 00 00 00 09 00 00</t>
  </si>
  <si>
    <t>BF 4F 00 00 02 00 00 00 00 09 00 00</t>
  </si>
  <si>
    <t>0B C6 00 00 02 00 00 00 00 09 00 00</t>
  </si>
  <si>
    <t>E7 41 00 00 09 00 00 00 00 09 00 00</t>
  </si>
  <si>
    <t>A1 BA 00 00 12 00 00 00 00 09 00 00</t>
  </si>
  <si>
    <t>强攻击获得精华 18</t>
  </si>
  <si>
    <t>C7 A9 00 00 0D 00 00 00 00 09 00 00</t>
  </si>
  <si>
    <t>强攻击获得精华 13</t>
  </si>
  <si>
    <t>A7 D9 00 00 08 00 00 00 00 49 00 00</t>
  </si>
  <si>
    <t>(同名固定)获得精华 +0.8%</t>
  </si>
  <si>
    <t>91 31 00 00 10 00 00 00 00 49 00 00</t>
  </si>
  <si>
    <t>(同名固定)获得精华 +1.6%</t>
  </si>
  <si>
    <t>20 A9 00 00 0C 00 00 00 00 49 00 00</t>
  </si>
  <si>
    <t>(同名固定)获得精华 +1.2%</t>
  </si>
  <si>
    <t>DE 95 00 00 08 00 00 00 00 09 00 00</t>
  </si>
  <si>
    <t>D1 56 00 00 10 00 00 00 00 09 00 00</t>
  </si>
  <si>
    <t>获得精华 +1.6%</t>
  </si>
  <si>
    <t>B5 22 00 00 0C 00 00 00 00 09 00 00</t>
  </si>
  <si>
    <t>获得精华 +1.2%</t>
  </si>
  <si>
    <t>45 7D 00 00 18 00 00 00 00 09 84 00</t>
  </si>
  <si>
    <t>(星)获得精华 +2.4%</t>
  </si>
  <si>
    <t>74 CC 00 00 0B 00 00 00 00 09 00 00</t>
  </si>
  <si>
    <t>BA FC 00 00 15 00 00 00 00 09 00 00</t>
  </si>
  <si>
    <t>获得精华(地狱) +2.1%</t>
  </si>
  <si>
    <t>59 D4 00 00 0F 00 00 00 00 09 00 00</t>
  </si>
  <si>
    <t>获得精华(地狱) +1.5%</t>
  </si>
  <si>
    <t>DD 17 00 00 28 00 00 00 00 09 00 00</t>
  </si>
  <si>
    <t>1F 21 00 00 50 00 00 00 00 09 00 00</t>
  </si>
  <si>
    <t>道具掉落率 +8.0%</t>
  </si>
  <si>
    <t>A7 91 00 00 3C 00 00 00 00 09 00 00</t>
  </si>
  <si>
    <t>道具掉落率 +6.0%</t>
  </si>
  <si>
    <t>16 78 00 00 3C 00 00 00 00 09 84 00</t>
  </si>
  <si>
    <t>97 4D 00 00 08 00 00 00 00 49 00 00</t>
  </si>
  <si>
    <t>(同名固定)装备品掉落率 +0.8%</t>
  </si>
  <si>
    <t>20 A8 00 00 10 00 00 00 00 49 00 00</t>
  </si>
  <si>
    <t>(同名固定)装备品掉落率 +1.6%</t>
  </si>
  <si>
    <t>76 59 00 00 0C 00 00 00 00 49 00 00</t>
  </si>
  <si>
    <t>(同名固定)装备品掉落率 +1.2%</t>
  </si>
  <si>
    <t>F5 8D 00 00 28 00 00 00 00 09 00 00</t>
  </si>
  <si>
    <t>78 E7 00 00 50 00 00 00 00 09 00 00</t>
  </si>
  <si>
    <t>装备品掉落率 +8.0%</t>
  </si>
  <si>
    <t>ED 32 00 00 3C 00 00 00 00 09 00 00</t>
  </si>
  <si>
    <t>装备品掉落率 +6.0%</t>
  </si>
  <si>
    <t>1F 00 00 00 3C 00 00 00 00 09 84 00</t>
  </si>
  <si>
    <t>25 C9 00 00 28 00 00 00 00 09 00 00</t>
  </si>
  <si>
    <t>FB FB 00 00 50 00 00 00 00 09 00 00</t>
  </si>
  <si>
    <t>魂核掉落率 +8.0%</t>
  </si>
  <si>
    <t>97 E9 00 00 3C 00 00 00 00 09 00 00</t>
  </si>
  <si>
    <t>魂核掉落率 +6.0%</t>
  </si>
  <si>
    <t>9F BD 00 00 02 00 00 00 00 09 00 00</t>
  </si>
  <si>
    <t>6B B5 00 00 04 00 00 00 00 09 00 00</t>
  </si>
  <si>
    <t>幸运 +4</t>
  </si>
  <si>
    <t>D0 54 00 00 03 00 00 00 00 09 00 00</t>
  </si>
  <si>
    <t>幸运 +3</t>
  </si>
  <si>
    <t>2D 60 00 00 08 00 00 00 00 49 00 00</t>
  </si>
  <si>
    <t>(同名固定)幸运 +8</t>
  </si>
  <si>
    <t>2F 2C 00 00 0C 00 00 00 00 09 84 00</t>
  </si>
  <si>
    <t>82 E9 00 00 12 00 00 00 00 09 84 00</t>
  </si>
  <si>
    <t>(星)幸运 +18</t>
  </si>
  <si>
    <t>0A 45 00 00 08 00 00 00 00 49 00 00</t>
  </si>
  <si>
    <t>(同名固定)感应敌人</t>
  </si>
  <si>
    <t>A4 A6 00 00 08 00 00 00 00 49 00 00</t>
  </si>
  <si>
    <t>(同名固定)感应宝物</t>
  </si>
  <si>
    <t>04 71 00 00 08 00 00 00 00 49 00 00</t>
  </si>
  <si>
    <t>(同名固定)感应木灵</t>
  </si>
  <si>
    <t>D3 50 00 00 11 00 00 00 00 0A 00 00</t>
  </si>
  <si>
    <t>背后攻击灵力增加量 +1.7%</t>
  </si>
  <si>
    <t>33 E7 00 00 02 00 00 00 00 0A 00 00</t>
  </si>
  <si>
    <t>造成火属性伤害时增加灵力 D+</t>
  </si>
  <si>
    <t>2E 16 00 00 02 00 00 00 00 0A 00 00</t>
  </si>
  <si>
    <t>造成水属性伤害时增加灵力 D+</t>
  </si>
  <si>
    <t>46 2A 00 00 02 00 00 00 00 0A 00 00</t>
  </si>
  <si>
    <t>造成雷属性伤害时增加灵力 D+</t>
  </si>
  <si>
    <t>A6 0A 00 00 02 00 00 00 00 0A 00 00</t>
  </si>
  <si>
    <t>造成风属性伤害时增加灵力 D+</t>
  </si>
  <si>
    <t>E1 E6 00 00 02 00 00 00 00 0A 00 00</t>
  </si>
  <si>
    <t>使敌人陷入火状态时增加灵力 D+</t>
  </si>
  <si>
    <t>B4 8A 00 00 02 00 00 00 00 0A 00 00</t>
  </si>
  <si>
    <t>使敌人陷入水状态时增加灵力 D+</t>
  </si>
  <si>
    <t>DB F3 00 00 02 00 00 00 00 0A 00 00</t>
  </si>
  <si>
    <t>使敌人陷入雷状态时增加灵力 D+</t>
  </si>
  <si>
    <t>48 3E 00 00 02 00 00 00 00 0A 00 00</t>
  </si>
  <si>
    <t>使敌人陷入风状态时增加灵力 D+</t>
  </si>
  <si>
    <t>D1 80 00 00 02 00 00 00 00 0A 00 00</t>
  </si>
  <si>
    <t>使敌人陷入毒状态时增加灵力 D+</t>
  </si>
  <si>
    <t>6F 3A 00 00 02 00 00 00 00 0A 00 00</t>
  </si>
  <si>
    <t>使敌人陷入麻痹状态时增加灵力 D+</t>
  </si>
  <si>
    <t>13 82 00 00 02 00 00 00 00 0A 00 00</t>
  </si>
  <si>
    <t>使敌人陷入异常状态时增加灵力 D+</t>
  </si>
  <si>
    <t>25 3E 00 00 0F 00 00 00 00 4A 00 00</t>
  </si>
  <si>
    <t>(同名固定)强攻击灵力增加量 +1.5%</t>
  </si>
  <si>
    <t>56 7E 00 00 02 00 00 00 00 0A 00 00</t>
  </si>
  <si>
    <t>灵力 +2.0</t>
  </si>
  <si>
    <t>B0 ED 00 00 02 00 00 00 00 0A 00 00</t>
  </si>
  <si>
    <t>5D CC 00 00 01 00 00 00 00 0A 00 00</t>
  </si>
  <si>
    <t>5A 37 00 00 06 00 00 00 00 0A 84 00</t>
  </si>
  <si>
    <t>(星)灵力 +6.0</t>
  </si>
  <si>
    <t>E8 33 00 00 05 00 00 00 00 0A 84 3C</t>
  </si>
  <si>
    <t>(星)灵力 +5.0</t>
  </si>
  <si>
    <t>10 66 00 00 04 00 00 00 00 0A 00 00</t>
  </si>
  <si>
    <t>88 BE 00 00 04 00 00 00 00 0A 00 00</t>
  </si>
  <si>
    <t>5E 8B 00 00 04 00 00 00 00 0A 00 00</t>
  </si>
  <si>
    <t>85 06 00 00 07 00 00 00 00 0A 04 00</t>
  </si>
  <si>
    <t>59 82 00 00 06 00 00 00 00 0A 00 00</t>
  </si>
  <si>
    <t>7F 48 00 00 06 00 00 00 00 0A 00 00</t>
  </si>
  <si>
    <t>04 3F 00 00 06 00 00 00 00 0A 00 00</t>
  </si>
  <si>
    <t>8B 4E 00 00 05 00 00 00 00 0A 00 00</t>
  </si>
  <si>
    <t>55 C5 00 00 05 00 00 00 00 0A 00 00</t>
  </si>
  <si>
    <t>C2 3E 00 00 05 00 00 00 00 0A 00 00</t>
  </si>
  <si>
    <t>0C 86 00 00 19 00 00 00 00 0A 00 00</t>
  </si>
  <si>
    <t>C0 77 00 00 05 00 00 00 00 0A 00 00</t>
  </si>
  <si>
    <t>FB 81 00 00 05 00 00 00 00 0A 00 00</t>
  </si>
  <si>
    <t>93 B5 00 00 05 00 00 00 00 0A 00 00</t>
  </si>
  <si>
    <t>D3 38 00 00 05 00 00 00 00 0A 00 00</t>
  </si>
  <si>
    <t>DB B4 00 00 05 00 00 00 00 0A 00 00</t>
  </si>
  <si>
    <t>F7 72 00 00 05 00 00 00 00 0A 00 00</t>
  </si>
  <si>
    <t>DE 26 00 00 0E 00 00 00 00 4A 00 00</t>
  </si>
  <si>
    <t>(同名固定)灵力增加量 +1.4%</t>
  </si>
  <si>
    <t>4D 32 00 00 0E 00 00 00 00 0A 00 00</t>
  </si>
  <si>
    <t>灵力增加量 +1.4%</t>
  </si>
  <si>
    <t>EE D4 00 00 0A 00 00 00 00 0A 00 00</t>
  </si>
  <si>
    <t>灵力增加量 +1.0%</t>
  </si>
  <si>
    <t>D4 2B 00 00 0A 00 00 00 00 0A 00 00</t>
  </si>
  <si>
    <t>F4 38 00 00 15 00 00 00 00 0A 84 00</t>
  </si>
  <si>
    <t>(星)灵力增加量 +2.1%</t>
  </si>
  <si>
    <t>98 60 00 00 29 00 00 00 00 0A 00 00</t>
  </si>
  <si>
    <t>灵力增加量(绝境) +4.1%</t>
  </si>
  <si>
    <t>0B D1 00 00 1E 00 00 00 00 0A 00 00</t>
  </si>
  <si>
    <t>灵力增加量(绝境) +3.0%</t>
  </si>
  <si>
    <t>4F C0 00 00 1E 00 00 00 00 0A 00 00</t>
  </si>
  <si>
    <t>9A 2B 00 00 11 00 00 00 00 0A 00 00</t>
  </si>
  <si>
    <t>灵力增加量(无伤) +1.7%</t>
  </si>
  <si>
    <t>C6 2D 00 00 0C 00 00 00 00 0A 00 00</t>
  </si>
  <si>
    <t>灵力增加量(无伤) +1.2%</t>
  </si>
  <si>
    <t>1A A4 00 00 0C 00 00 00 00 0A 00 00</t>
  </si>
  <si>
    <t>EE 05 00 00 12 00 00 00 00 0A 00 00</t>
  </si>
  <si>
    <t>灵力增加量(地狱) +1.8%</t>
  </si>
  <si>
    <t>D5 0D 00 00 0D 00 00 00 00 0A 00 00</t>
  </si>
  <si>
    <t>灵力增加量(地狱) +1.3%</t>
  </si>
  <si>
    <t>2D 92 00 00 0D 00 00 00 00 0A 00 00</t>
  </si>
  <si>
    <t>8D 6D 00 00 12 00 00 00 00 0A 00 00</t>
  </si>
  <si>
    <t>灵力增加量(负面效果时) +1.8%</t>
  </si>
  <si>
    <t>C8 04 00 00 0D 00 00 00 00 0A 00 00</t>
  </si>
  <si>
    <t>灵力增加量(负面效果时) +1.3%</t>
  </si>
  <si>
    <t>27 A2 00 00 0D 00 00 00 00 0A 00 00</t>
  </si>
  <si>
    <t>2C 18 00 00 0F 00 00 00 00 0A 00 00</t>
  </si>
  <si>
    <t>灵力增加量(正面效果时) +1.5%</t>
  </si>
  <si>
    <t>FD A8 00 00 0B 00 00 00 00 0A 00 00</t>
  </si>
  <si>
    <t>灵力增加量(正面效果时) +1.1%</t>
  </si>
  <si>
    <t>F4 9F 00 00 0B 00 00 00 00 0A 00 00</t>
  </si>
  <si>
    <t>F7 AD 00 00 04 00 00 00 00 0A 00 00</t>
  </si>
  <si>
    <t>祓除常世增加灵力 +4</t>
  </si>
  <si>
    <t>E6 EB 00 00 04 00 00 00 00 0A 00 00</t>
  </si>
  <si>
    <t>BC 79 00 00 04 00 00 00 00 0A 00 00</t>
  </si>
  <si>
    <t>7C 7D 00 00 03 00 00 00 00 4A 00 00</t>
  </si>
  <si>
    <t>(同名固定)承受伤害增加灵力 C-</t>
  </si>
  <si>
    <t>83 FB 00 00 04 00 00 00 00 0A 00 00</t>
  </si>
  <si>
    <t>22 CD 00 00 04 00 00 00 00 0A 00 00</t>
  </si>
  <si>
    <t>48 2F 00 00 04 00 00 00 00 0A 00 00</t>
  </si>
  <si>
    <t>5E 2C 00 00 04 00 00 00 00 0A 00 00</t>
  </si>
  <si>
    <t>格挡可增加灵力 +4</t>
  </si>
  <si>
    <t>19 C7 00 00 04 00 00 00 00 0A 00 00</t>
  </si>
  <si>
    <t>A7 99 00 00 04 00 00 00 00 0A 00 00</t>
  </si>
  <si>
    <t>6F 44 00 00 04 00 00 00 00 0A 00 00</t>
  </si>
  <si>
    <t>识破可增加灵力 +4</t>
  </si>
  <si>
    <t>BE 73 00 00 04 00 00 00 00 0A 00 00</t>
  </si>
  <si>
    <t>BD D4 00 00 04 00 00 00 00 0A 00 00</t>
  </si>
  <si>
    <t>86 D7 00 00 28 00 00 00 00 4A 00 00</t>
  </si>
  <si>
    <t>(同名固定)以守护灵技打倒敌人可回收灵力 +4.0%</t>
  </si>
  <si>
    <t>9A 15 00 00 07 00 00 00 00 0A 00 00</t>
  </si>
  <si>
    <t>FD 3E 00 00 0A 00 00 00 00 4C 00 00</t>
  </si>
  <si>
    <t>(同名固定)阴阳术 术力 +10</t>
  </si>
  <si>
    <t>7C 15 00 00 14 00 00 00 00 4C 00 00</t>
  </si>
  <si>
    <t>(同名固定)阴阳术 术力 +20</t>
  </si>
  <si>
    <t>F9 5F 00 00 0F 00 00 00 00 4C 00 00</t>
  </si>
  <si>
    <t>(同名固定)阴阳术 术力 +15</t>
  </si>
  <si>
    <t>37 28 00 00 14 00 00 00 00 4C 00 00</t>
  </si>
  <si>
    <t>(同名固定)负面效果持续时间缩短 -2.0%</t>
  </si>
  <si>
    <t>F5 17 00 00 28 00 00 00 00 4C 00 00</t>
  </si>
  <si>
    <t>(同名固定)负面效果持续时间缩短 -4.0%</t>
  </si>
  <si>
    <t>09 21 00 00 1E 00 00 00 00 4C 00 00</t>
  </si>
  <si>
    <t>(同名固定)负面效果持续时间缩短 -3.0%</t>
  </si>
  <si>
    <t>78 06 00 00 19 00 00 00 00 11 00 00</t>
  </si>
  <si>
    <t>绝境时赋予承受伤害减少(2.5%)</t>
  </si>
  <si>
    <t>38 3E 00 00 36 00 00 00 00 11 00 00</t>
  </si>
  <si>
    <t>绝境时赋予承受伤害减少(5.4%)</t>
  </si>
  <si>
    <t>50 9F 00 00 2A 00 00 00 00 11 00 00</t>
  </si>
  <si>
    <t>绝境时赋予承受伤害减少(4.2%)</t>
  </si>
  <si>
    <t>A7 6E 00 00 0A 00 00 00 00 11 00 00</t>
  </si>
  <si>
    <t>恢复体力赋予承受伤害减少(1.0%)</t>
  </si>
  <si>
    <t>3C 65 00 00 16 00 00 00 00 11 00 00</t>
  </si>
  <si>
    <t>恢复体力赋予承受伤害减少(2.2%)</t>
  </si>
  <si>
    <t>AC 99 00 00 11 00 00 00 00 11 00 00</t>
  </si>
  <si>
    <t>恢复体力赋予承受伤害减少(1.7%)</t>
  </si>
  <si>
    <t>0C AF 00 00 0A 00 00 00 00 51 00 00</t>
  </si>
  <si>
    <t>(同名固定)打倒敌人时赋予承受伤害减少(1.0%)</t>
  </si>
  <si>
    <t>2B A4 00 00 0A 00 00 00 00 11 00 00</t>
  </si>
  <si>
    <t>打倒敌人时赋予承受伤害减少(1.0%)</t>
  </si>
  <si>
    <t>79 75 00 00 16 00 00 00 00 11 00 00</t>
  </si>
  <si>
    <t>打倒敌人时赋予承受伤害减少(2.2%)</t>
  </si>
  <si>
    <t>1F AF 00 00 11 00 00 00 00 11 00 00</t>
  </si>
  <si>
    <t>打倒敌人时赋予承受伤害减少(1.7%)</t>
  </si>
  <si>
    <t>F0 CD 00 00 02 00 00 00 00 11 00 00</t>
  </si>
  <si>
    <t>防御反映(精华槽) D+</t>
  </si>
  <si>
    <t>92 3C 00 00 02 00 00 00 00 11 00 00</t>
  </si>
  <si>
    <t>53 1F 00 00 02 00 00 00 00 11 00 00</t>
  </si>
  <si>
    <t>07 33 00 00 0B 00 00 00 00 11 00 00</t>
  </si>
  <si>
    <t>陷入异常状态时赋予承受伤害减少(1.1%)</t>
  </si>
  <si>
    <t>99 CF 00 00 17 00 00 00 00 11 00 00</t>
  </si>
  <si>
    <t>陷入异常状态时赋予承受伤害减少(2.3%)</t>
  </si>
  <si>
    <t>43 93 00 00 12 00 00 00 00 11 00 00</t>
  </si>
  <si>
    <t>陷入异常状态时赋予承受伤害减少(1.8%)</t>
  </si>
  <si>
    <t>D6 42 00 00 0B 00 00 00 00 11 00 00</t>
  </si>
  <si>
    <t>祓除常世赋予承受伤害减少(1.1%)</t>
  </si>
  <si>
    <t>CC 66 00 00 18 00 00 00 00 11 00 00</t>
  </si>
  <si>
    <t>祓除常世赋予承受伤害减少(2.4%)</t>
  </si>
  <si>
    <t>0F 86 00 00 12 00 00 00 00 11 00 00</t>
  </si>
  <si>
    <t>祓除常世赋予承受伤害减少(1.8%)</t>
  </si>
  <si>
    <t>2D 69 00 00 0A 00 00 00 00 11 00 00</t>
  </si>
  <si>
    <t>吸收精华后赋予承受伤害减少(1.0%)</t>
  </si>
  <si>
    <t>15 52 00 00 14 00 00 00 00 11 00 00</t>
  </si>
  <si>
    <t>吸收精华后赋予承受伤害减少(2.0%)</t>
  </si>
  <si>
    <t>81 4E 00 00 10 00 00 00 00 11 00 00</t>
  </si>
  <si>
    <t>吸收精华后赋予承受伤害减少(1.6%)</t>
  </si>
  <si>
    <t>B9 75 00 00 14 00 00 00 00 51 00 00</t>
  </si>
  <si>
    <t>(同名固定)承受的伤害降低(攻击动作期间) -2.0%</t>
  </si>
  <si>
    <t>6A AC 00 00 28 00 00 00 00 51 00 00</t>
  </si>
  <si>
    <t>(同名固定)承受的伤害降低(攻击动作期间) -4.0%</t>
  </si>
  <si>
    <t>B3 83 00 00 1E 00 00 00 00 51 00 00</t>
  </si>
  <si>
    <t>(同名固定)承受的伤害降低(攻击动作期间) -3.0%</t>
  </si>
  <si>
    <t>BF 9C 00 00 14 00 00 00 00 51 00 00</t>
  </si>
  <si>
    <t>(同名固定)承受的伤害减半(无伤状态) 2.0%</t>
  </si>
  <si>
    <t>2B 44 00 00 04 00 00 00 00 11 00 00</t>
  </si>
  <si>
    <t>防御力 +4</t>
  </si>
  <si>
    <t>00 57 00 00 09 00 00 00 00 11 00 00</t>
  </si>
  <si>
    <t>防御力 +9</t>
  </si>
  <si>
    <t>03 C4 00 00 06 00 00 00 00 11 00 00</t>
  </si>
  <si>
    <t>防御力 +6</t>
  </si>
  <si>
    <t>C9 D7 00 00 07 00 00 00 00 11 84 00</t>
  </si>
  <si>
    <t>(星)防御力 +7</t>
  </si>
  <si>
    <t>2A 6D 00 00 0B 00 00 00 00 11 84 00</t>
  </si>
  <si>
    <t>(星)防御力 +11</t>
  </si>
  <si>
    <t>8B FA 00 00 09 00 00 00 00 11 84 00</t>
  </si>
  <si>
    <t>(星)防御力 +9</t>
  </si>
  <si>
    <t>D2 F2 00 00 04 00 00 00 00 11 00 00</t>
  </si>
  <si>
    <t>防御性能 +4</t>
  </si>
  <si>
    <t>BA 23 00 00 09 00 00 00 00 11 00 00</t>
  </si>
  <si>
    <t>防御性能 +9</t>
  </si>
  <si>
    <t>EE BD 00 00 06 00 00 00 00 11 00 00</t>
  </si>
  <si>
    <t>防御性能 +6</t>
  </si>
  <si>
    <t>36 55 00 00 08 00 00 00 00 11 00 00</t>
  </si>
  <si>
    <t>坚忍度 +8</t>
  </si>
  <si>
    <t>2C BA 00 00 08 00 00 00 00 11 00 00</t>
  </si>
  <si>
    <t>坚忍度 +12</t>
  </si>
  <si>
    <t>C2 CB 00 00 0B 00 00 00 00 11 00 00</t>
  </si>
  <si>
    <t>坚忍度 +11</t>
  </si>
  <si>
    <t>82 1B 00 00 0C 00 00 00 00 11 84 00</t>
  </si>
  <si>
    <t>(星)坚忍度 +12</t>
  </si>
  <si>
    <t>EE AC 00 00 09 00 00 00 00 51 00 00</t>
  </si>
  <si>
    <t>(同名固定)承受的远距离伤害降低 -0.9%</t>
  </si>
  <si>
    <t>A5 60 00 00 14 00 00 00 00 51 00 00</t>
  </si>
  <si>
    <t>(同名固定)承受的远距离伤害降低 -2.0%</t>
  </si>
  <si>
    <t>14 B5 00 00 0F 00 00 00 00 51 00 00</t>
  </si>
  <si>
    <t>(同名固定)承受的远距离伤害降低 -1.5%</t>
  </si>
  <si>
    <t>52 EE 00 00 09 00 00 00 00 11 00 00</t>
  </si>
  <si>
    <t>承受的远距离伤害降低 -0.9%</t>
  </si>
  <si>
    <t>71 7F 00 00 14 00 00 00 00 11 00 00</t>
  </si>
  <si>
    <t>承受的远距离伤害降低 -2.0%</t>
  </si>
  <si>
    <t>E6 2C 00 00 0F 00 00 00 00 11 00 00</t>
  </si>
  <si>
    <t>承受的远距离伤害降低 -1.5%</t>
  </si>
  <si>
    <t>69 90 00 00 22 00 00 00 00 51 00 00</t>
  </si>
  <si>
    <t>(同名固定)被攻击时承受的伤害降低(绝境) -3.4%</t>
  </si>
  <si>
    <t>9E A5 00 00 4A 00 00 00 00 51 00 00</t>
  </si>
  <si>
    <t>(同名固定)被攻击时承受的伤害降低(绝境) -7.4%</t>
  </si>
  <si>
    <t>15 54 00 00 39 00 00 00 00 51 00 00</t>
  </si>
  <si>
    <t>(同名固定)被攻击时承受的伤害降低(绝境) -5.7%</t>
  </si>
  <si>
    <t>99 BB 00 00 22 00 00 00 00 11 00 00</t>
  </si>
  <si>
    <t>被攻击时承受的伤害降低(绝境) -3.4%</t>
  </si>
  <si>
    <t>77 73 00 00 4A 00 00 00 00 11 00 00</t>
  </si>
  <si>
    <t>被攻击时承受的伤害降低(绝境) -7.4%</t>
  </si>
  <si>
    <t>98 B3 00 00 39 00 00 00 00 11 00 00</t>
  </si>
  <si>
    <t>被攻击时承受的伤害降低(绝境) -5.7%</t>
  </si>
  <si>
    <t>1D 87 00 00 02 00 00 00 00 11 00 00</t>
  </si>
  <si>
    <t>防御反映(体) D+</t>
  </si>
  <si>
    <t>D0 9E 00 00 02 00 00 00 00 11 00 00</t>
  </si>
  <si>
    <t>26 3A 00 00 02 00 00 00 00 11 00 00</t>
  </si>
  <si>
    <t>11 18 00 00 02 00 00 00 00 11 00 00</t>
  </si>
  <si>
    <t>防御反映(心) D+</t>
  </si>
  <si>
    <t>D8 38 00 00 02 00 00 00 00 11 00 00</t>
  </si>
  <si>
    <t>A0 14 00 00 02 00 00 00 00 11 00 00</t>
  </si>
  <si>
    <t>34 C2 00 00 02 00 00 00 00 11 00 00</t>
  </si>
  <si>
    <t>防御反映(刚) D+</t>
  </si>
  <si>
    <t>46 EE 00 00 02 00 00 00 00 11 00 00</t>
  </si>
  <si>
    <t>防御反映(武) D+</t>
  </si>
  <si>
    <t>A0 BE 00 00 02 00 00 00 00 11 00 00</t>
  </si>
  <si>
    <t>37 20 00 00 02 00 00 00 00 11 00 00</t>
  </si>
  <si>
    <t>防御反映(技) D+</t>
  </si>
  <si>
    <t>CF FA 00 00 02 00 00 00 00 11 00 00</t>
  </si>
  <si>
    <t>61 90 00 00 02 00 00 00 00 11 00 00</t>
  </si>
  <si>
    <t>45 BB 00 00 02 00 00 00 00 11 00 00</t>
  </si>
  <si>
    <t>防御反映(智) D+</t>
  </si>
  <si>
    <t>51 CD 00 00 02 00 00 00 00 11 00 00</t>
  </si>
  <si>
    <t>E1 07 00 00 02 00 00 00 00 11 00 00</t>
  </si>
  <si>
    <t>对防御力反映(咒) D+</t>
  </si>
  <si>
    <t>4D C2 00 00 02 00 00 00 00 11 00 00</t>
  </si>
  <si>
    <t>37 E7 00 00 02 00 00 00 00 91 00 00</t>
  </si>
  <si>
    <t>4C DB 00 00 0D 00 00 00 00 11 00 00</t>
  </si>
  <si>
    <t>空中承受的伤害 -1.3%</t>
  </si>
  <si>
    <t>D5 7B 00 00 1B 00 00 00 00 11 00 00</t>
  </si>
  <si>
    <t>空中承受的伤害 -2.7%</t>
  </si>
  <si>
    <t>81 41 00 00 15 00 00 00 00 11 00 00</t>
  </si>
  <si>
    <t>空中承受的伤害 -2.1%</t>
  </si>
  <si>
    <t>E0 55 00 00 0C 00 00 00 00 51 00 00</t>
  </si>
  <si>
    <t>(同名固定)被攻击时承受的伤害降低 -1.2%</t>
  </si>
  <si>
    <t>BE DB 00 00 0C 00 00 00 00 11 00 00</t>
  </si>
  <si>
    <t>被攻击时承受的伤害降低 -1.2%</t>
  </si>
  <si>
    <t>F5 4E 00 00 19 00 00 00 00 11 00 00</t>
  </si>
  <si>
    <t>被攻击时承受的伤害降低 -2.5%</t>
  </si>
  <si>
    <t>4C BB 00 00 13 00 00 00 00 11 00 00</t>
  </si>
  <si>
    <t>被攻击时承受的伤害降低 -1.9%</t>
  </si>
  <si>
    <t>D3 1C 00 00 14 00 00 00 00 51 00 00</t>
  </si>
  <si>
    <t>(同名固定)使用药品时赋予承受伤害减少(2.0%)</t>
  </si>
  <si>
    <t>66 A1 00 00 0F 00 00 00 00 52 00 00</t>
  </si>
  <si>
    <t>(同名固定)近距离攻击精力伤害(地狱) +1.5%</t>
  </si>
  <si>
    <t>D3 BF 00 00 11 00 00 00 00 54 00 00</t>
  </si>
  <si>
    <t>(同名固定)打倒敌人时赋予自动恢复体力(17)</t>
  </si>
  <si>
    <t>A7 23 00 00 21 00 00 00 00 54 00 00</t>
  </si>
  <si>
    <t>(同名固定)打倒敌人时赋予自动恢复体力(33)</t>
  </si>
  <si>
    <t>67 AA 00 00 1B 00 00 00 00 54 00 00</t>
  </si>
  <si>
    <t>(同名固定)打倒敌人时赋予自动恢复体力(27)</t>
  </si>
  <si>
    <t>B6 AD 00 00 10 00 00 00 00 14 00 00</t>
  </si>
  <si>
    <t>格挡成功时赋予自动恢复体力(16)</t>
  </si>
  <si>
    <t>8E E4 00 00 1F 00 00 00 00 14 00 00</t>
  </si>
  <si>
    <t>D6 9B 00 00 19 00 00 00 00 14 00 00</t>
  </si>
  <si>
    <t>格挡成功时赋予自动恢复体力(25)</t>
  </si>
  <si>
    <t>8F 4E 00 00 10 00 00 00 00 14 00 00</t>
  </si>
  <si>
    <t>成功识破时自动恢复体力(16)</t>
  </si>
  <si>
    <t>86 63 00 00 1F 00 00 00 00 14 00 00</t>
  </si>
  <si>
    <t>4E 6C 00 00 19 00 00 00 00 14 00 00</t>
  </si>
  <si>
    <t>成功识破时自动恢复体力(25)</t>
  </si>
  <si>
    <t>10 B7 00 00 07 00 00 00 00 54 00 00</t>
  </si>
  <si>
    <t>(同名固定)追击和近身刺击可恢复体力 7</t>
  </si>
  <si>
    <t>46 9F 00 00 11 00 00 00 00 14 00 00</t>
  </si>
  <si>
    <t>祓除常世可恢复体力 17</t>
  </si>
  <si>
    <t>57 A1 00 00 21 00 00 00 00 14 00 00</t>
  </si>
  <si>
    <t>祓除常世可恢复体力 33</t>
  </si>
  <si>
    <t>03 78 00 00 1A 00 00 00 00 14 00 00</t>
  </si>
  <si>
    <t>祓除常世可恢复体力 26</t>
  </si>
  <si>
    <t>D2 AF 00 00 03 00 00 00 00 14 00 00</t>
  </si>
  <si>
    <t>吸收精华可恢复体力 3</t>
  </si>
  <si>
    <t>23 35 00 00 06 00 00 00 00 14 00 00</t>
  </si>
  <si>
    <t>E0 D5 00 00 03 00 00 00 00 14 00 00</t>
  </si>
  <si>
    <t>5B 98 00 00 2A 00 00 00 00 54 00 00</t>
  </si>
  <si>
    <t>(同名固定)绝境时赋予自动恢复体力(42)</t>
  </si>
  <si>
    <t>E1 00 00 00 3C 00 00 00 00 54 00 00</t>
  </si>
  <si>
    <t>(同名固定)体力恢复量(地狱) +6.0%</t>
  </si>
  <si>
    <t>[足部]</t>
  </si>
  <si>
    <t>DA 24 00 00 12 00 00 00 00 54 00 00</t>
  </si>
  <si>
    <t>(同名固定)以近距离攻击打倒敌人时恢复自己和我方体力 18</t>
  </si>
  <si>
    <t>C3 09 00 00 0F 00 00 00 00 14 00 00</t>
  </si>
  <si>
    <t>箭弹命中可恢复体力 15</t>
  </si>
  <si>
    <t>21 EE 00 00 1E 00 00 00 00 14 00 00</t>
  </si>
  <si>
    <t>0A 0C 00 00 18 00 00 00 00 14 00 00</t>
  </si>
  <si>
    <t>箭弹命中可恢复体力 24</t>
  </si>
  <si>
    <t>4B F9 00 00 19 00 00 00 00 14 00 00</t>
  </si>
  <si>
    <t>体力 +25</t>
  </si>
  <si>
    <t>E7 08 00 00 32 00 00 00 00 14 00 00</t>
  </si>
  <si>
    <t>体力 +50</t>
  </si>
  <si>
    <t>B1 C9 00 00 26 00 00 00 00 14 00 00</t>
  </si>
  <si>
    <t>体力 +38</t>
  </si>
  <si>
    <t>97 B4 00 00 26 00 00 00 00 14 84 00</t>
  </si>
  <si>
    <t>(星)体力 +38</t>
  </si>
  <si>
    <t>91 2C 00 00 4B 00 00 00 00 14 84 00</t>
  </si>
  <si>
    <t>(星)体力 +75</t>
  </si>
  <si>
    <t>81 88 00 00 17 00 00 00 00 17 00 00</t>
  </si>
  <si>
    <t>防御时精力恢复速度 +2.3%</t>
  </si>
  <si>
    <t>FF CF 00 00 1E 00 00 00 00 17 00 00</t>
  </si>
  <si>
    <t>防御时精力恢复速度 +3.0%</t>
  </si>
  <si>
    <t>8D 6F 00 00 17 00 00 00 00 17 00 00</t>
  </si>
  <si>
    <t>1A F4 00 00 0A 00 00 00 00 17 00 00</t>
  </si>
  <si>
    <t>残心精力恢复量 +1.0%</t>
  </si>
  <si>
    <t>1D F3 00 00 0D 00 00 00 00 17 00 00</t>
  </si>
  <si>
    <t>残心精力恢复量 +1.3%</t>
  </si>
  <si>
    <t>63 78 00 00 0A 00 00 00 00 17 00 00</t>
  </si>
  <si>
    <t>A4 E3 00 00 0F 00 00 00 00 17 84 00</t>
  </si>
  <si>
    <t>(星)残心精力恢复量 +1.5%</t>
  </si>
  <si>
    <t>F5 03 00 00 17 00 00 00 00 17 00 00</t>
  </si>
  <si>
    <t>精力恢复速度 +2.3%</t>
  </si>
  <si>
    <t>21 16 00 00 1E 00 00 00 00 17 00 00</t>
  </si>
  <si>
    <t>精力恢复速度 +3.0%</t>
  </si>
  <si>
    <t>DD 8B 00 00 17 00 00 00 00 17 00 00</t>
  </si>
  <si>
    <t>51 B6 00 00 23 00 00 00 00 17 84 00</t>
  </si>
  <si>
    <t>(星)精力恢复速度 +3.5%</t>
  </si>
  <si>
    <t>F9 62 00 00 2D 00 00 00 00 17 84 00</t>
  </si>
  <si>
    <t>(星)精力恢复速度 +4.5%</t>
  </si>
  <si>
    <t>7C 61 00 00 4A 00 00 00 00 17 00 00</t>
  </si>
  <si>
    <t>绝境时赋予精力恢复速度增加(7.4%)</t>
  </si>
  <si>
    <t>0E 25 00 00 62 00 00 00 00 17 00 00</t>
  </si>
  <si>
    <t>绝境时赋予精力恢复速度增加(9.8%)</t>
  </si>
  <si>
    <t>08 5D 00 00 4A 00 00 00 00 17 00 00</t>
  </si>
  <si>
    <t>3D 53 00 00 1B 00 00 00 00 57 00 00</t>
  </si>
  <si>
    <t>(同名固定)精力恢复速度上升(无伤) +2.7%</t>
  </si>
  <si>
    <t>89 61 00 00 24 00 00 00 00 57 00 00</t>
  </si>
  <si>
    <t>(同名固定)精力恢复速度上升(无伤) +3.6%</t>
  </si>
  <si>
    <t>06 BB 00 00 1B 00 00 00 00 57 00 00</t>
  </si>
  <si>
    <t>6E D8 00 00 1B 00 00 00 00 17 00 00</t>
  </si>
  <si>
    <t>精力恢复速度上升(无伤) +2.7%</t>
  </si>
  <si>
    <t>92 06 00 00 24 00 00 00 00 17 00 00</t>
  </si>
  <si>
    <t>精力恢复速度上升(无伤) +3.6%</t>
  </si>
  <si>
    <t>69 A3 00 00 1B 00 00 00 00 17 00 00</t>
  </si>
  <si>
    <t>17 7A 00 00 43 00 00 00 00 17 00 00</t>
  </si>
  <si>
    <t>精力恢复速度(绝境) +6.7%</t>
  </si>
  <si>
    <t>41 0A 00 00 59 00 00 00 00 17 00 00</t>
  </si>
  <si>
    <t>精力恢复速度(绝境) +8.9%</t>
  </si>
  <si>
    <t>7F 31 00 00 43 00 00 00 00 17 00 00</t>
  </si>
  <si>
    <t>F8 49 00 00 09 00 00 00 00 17 00 00</t>
  </si>
  <si>
    <t>残心初始量 +9</t>
  </si>
  <si>
    <t>93 DC 00 00 0C 00 00 00 00 17 00 00</t>
  </si>
  <si>
    <t>残心初始量 +12</t>
  </si>
  <si>
    <t>CF C3 00 00 09 00 00 00 00 17 00 00</t>
  </si>
  <si>
    <t>DD 20 00 00 0E 00 00 00 00 17 84 00</t>
  </si>
  <si>
    <t>(星)残心初始量 +14</t>
  </si>
  <si>
    <t>6D FB 00 00 04 00 00 00 00 57 00 00</t>
  </si>
  <si>
    <t>(同名固定)抗常世 +0.4</t>
  </si>
  <si>
    <t>04 63 00 00 04 00 00 00 00 17 00 00</t>
  </si>
  <si>
    <t>抗常世 +0.4</t>
  </si>
  <si>
    <t>14 21 00 00 05 00 00 00 00 17 00 00</t>
  </si>
  <si>
    <t>抗常世 +0.5</t>
  </si>
  <si>
    <t>72 12 00 00 04 00 00 00 00 17 00 00</t>
  </si>
  <si>
    <t>F1 5D 00 00 03 00 00 00 00 19 00 00</t>
  </si>
  <si>
    <t>陷入异常状态时赋予昂灵(+0.3%)</t>
  </si>
  <si>
    <t>F5 9A 00 00 06 00 00 00 00 19 00 00</t>
  </si>
  <si>
    <t>陷入异常状态时赋予昂灵(+0.6%)</t>
  </si>
  <si>
    <t>2D 0A 00 00 04 00 00 00 00 19 00 00</t>
  </si>
  <si>
    <t>陷入异常状态时赋予昂灵(+0.4%)</t>
  </si>
  <si>
    <t>F1 47 00 00 03 00 00 00 00 19 00 00</t>
  </si>
  <si>
    <t>格挡成功时赋予昂灵(+0.3%)</t>
  </si>
  <si>
    <t>24 3C 00 00 06 00 00 00 00 19 00 00</t>
  </si>
  <si>
    <t>格挡成功时赋予昂灵(+0.6%)</t>
  </si>
  <si>
    <t>83 27 00 00 04 00 00 00 00 19 00 00</t>
  </si>
  <si>
    <t>格挡成功时赋予昂灵(+0.4%)</t>
  </si>
  <si>
    <t>6A B0 00 00 03 00 00 00 00 19 00 00</t>
  </si>
  <si>
    <t>成功识破时昂灵(+0.3%)</t>
  </si>
  <si>
    <t>F9 1B 00 00 06 00 00 00 00 19 00 00</t>
  </si>
  <si>
    <t>成功识破时昂灵(+0.6%)</t>
  </si>
  <si>
    <t>69 67 00 00 04 00 00 00 00 19 00 00</t>
  </si>
  <si>
    <t>成功识破时昂灵(+0.4%)</t>
  </si>
  <si>
    <t>CB 61 00 00 05 00 00 00 00 19 00 00</t>
  </si>
  <si>
    <t>绝境时赋予昂灵(+0.5%)</t>
  </si>
  <si>
    <t>68 55 00 00 0A 00 00 00 00 19 00 00</t>
  </si>
  <si>
    <t>绝境时赋予昂灵(+1.0%)</t>
  </si>
  <si>
    <t>4A B3 00 00 06 00 00 00 00 19 00 00</t>
  </si>
  <si>
    <t>绝境时赋予昂灵(+0.6%)</t>
  </si>
  <si>
    <t>F3 B6 00 00 05 00 00 00 00 19 00 00</t>
  </si>
  <si>
    <t>5C 9F 00 00 0A 00 00 00 00 19 00 00</t>
  </si>
  <si>
    <t>85 43 00 00 06 00 00 00 00 19 00 00</t>
  </si>
  <si>
    <t>祓除常世赋予昂灵(+0.6%)</t>
  </si>
  <si>
    <t>41 C3 00 00 09 00 00 00 00 19 00 00</t>
  </si>
  <si>
    <t>5F 08 00 00 11 00 00 00 00 19 00 00</t>
  </si>
  <si>
    <t>吸收精华后赋予昂灵(+1.7%)</t>
  </si>
  <si>
    <t>E4 87 00 00 0D 00 00 00 00 19 00 00</t>
  </si>
  <si>
    <t>吸收精华后赋予昂灵(+1.3%)</t>
  </si>
  <si>
    <t>40 F2 00 00 07 00 00 00 00 19 00 00</t>
  </si>
  <si>
    <t>95 0E 00 00 0E 00 00 00 00 19 00 00</t>
  </si>
  <si>
    <t>精华槽增加量 +1.4%</t>
  </si>
  <si>
    <t>14 45 00 00 0B 00 00 00 00 19 00 00</t>
  </si>
  <si>
    <t>精华槽增加量 +1.1%</t>
  </si>
  <si>
    <t>FB 35 00 00 0B 00 00 00 00 19 84 00</t>
  </si>
  <si>
    <t>46 85 00 00 11 00 00 00 00 19 84 00</t>
  </si>
  <si>
    <t>(星)精华槽增加量 +1.7%</t>
  </si>
  <si>
    <t>40 6A 00 00 26 00 00 00 00 19 84 00</t>
  </si>
  <si>
    <t>(星)九十九化身持续时间延长 +3.8%</t>
  </si>
  <si>
    <t>86 28 00 00 1E 00 00 00 00 19 00 00</t>
  </si>
  <si>
    <t>九十九化身持续时间延长 +3.0%</t>
  </si>
  <si>
    <t>99 A2 00 00 0F 00 00 00 00 5A 00 00</t>
  </si>
  <si>
    <t>(同名固定)忍术槽增加量 +1.5%</t>
  </si>
  <si>
    <t>B9 EA 00 00 1E 00 00 00 00 5A 00 00</t>
  </si>
  <si>
    <t>(同名固定)忍术槽增加量 +3.0%</t>
  </si>
  <si>
    <t>C1 8A 00 00 14 00 00 00 00 5A 00 00</t>
  </si>
  <si>
    <t>(同名固定)忍术槽增加量 +2.0%</t>
  </si>
  <si>
    <t>5A AC 00 00 14 00 00 00 00 5B 00 00</t>
  </si>
  <si>
    <t>D6 7E 00 00 28 00 00 00 00 5B 00 00</t>
  </si>
  <si>
    <t>(同名固定)弓伤害 +4.0%</t>
  </si>
  <si>
    <t>0C 40 00 00 1E 00 00 00 00 5B 00 00</t>
  </si>
  <si>
    <t>(同名固定)弓伤害 +3.0%</t>
  </si>
  <si>
    <t>D3 D8 00 00 02 00 00 00 00 5B 00 00</t>
  </si>
  <si>
    <t>(同名固定)不易被敌人发现 D+</t>
  </si>
  <si>
    <t>B4 25 00 00 02 00 00 00 00 5B 00 00</t>
  </si>
  <si>
    <t>9B 83 00 00 02 00 00 00 00 5B 00 00</t>
  </si>
  <si>
    <t>4C 01 00 00 00 00 00 00 00 5B 00 00</t>
  </si>
  <si>
    <t>(同名固定)箭弹命中时召唤千千古</t>
  </si>
  <si>
    <t>0A BF 00 00 0B 00 00 00 00 1C 00 00</t>
  </si>
  <si>
    <t>格挡成功时赋予移动速度上升(1.1%)</t>
  </si>
  <si>
    <t>1A B2 00 00 16 00 00 00 00 1C 00 00</t>
  </si>
  <si>
    <t>格挡成功时赋予移动速度上升(2.2%)</t>
  </si>
  <si>
    <t>E9 07 00 00 21 00 00 00 00 1C 00 00</t>
  </si>
  <si>
    <t>格挡成功时赋予移动速度上升(3.3%)</t>
  </si>
  <si>
    <t>CB 2E 00 00 0B 00 00 00 00 1C 00 00</t>
  </si>
  <si>
    <t>成功识破时移动速度上升(1.1%)</t>
  </si>
  <si>
    <t>01 10 00 00 16 00 00 00 00 1C 00 00</t>
  </si>
  <si>
    <t>成功识破时移动速度上升(2.2%)</t>
  </si>
  <si>
    <t>8A 0C 00 00 21 00 00 00 00 1C 00 00</t>
  </si>
  <si>
    <t>成功识破时移动速度上升(3.3%)</t>
  </si>
  <si>
    <t>FB 6F 00 00 0A 00 00 00 00 5C 00 00</t>
  </si>
  <si>
    <t>(同名固定)闪避动作精力消耗降低 -1.0%</t>
  </si>
  <si>
    <t>E9 FA 00 00 14 00 00 00 00 5C 00 00</t>
  </si>
  <si>
    <t>(同名固定)闪避动作精力消耗降低 -2.0%</t>
  </si>
  <si>
    <t>7F 18 00 00 1E 00 00 00 00 5C 00 00</t>
  </si>
  <si>
    <t>(同名固定)闪避动作精力消耗降低 -3.0%</t>
  </si>
  <si>
    <t>89 6E 00 00 0A 00 00 00 00 1C 00 00</t>
  </si>
  <si>
    <t>闪避动作精力消耗降低 -1.0%</t>
  </si>
  <si>
    <t>29 76 00 00 14 00 00 00 00 1C 00 00</t>
  </si>
  <si>
    <t>闪避动作精力消耗降低 -2.0%</t>
  </si>
  <si>
    <t>98 EF 00 00 1E 00 00 00 00 1C 00 00</t>
  </si>
  <si>
    <t>闪避动作精力消耗降低 -3.0%</t>
  </si>
  <si>
    <t>B4 E7 00 00 1E 00 00 00 00 1C 84 00</t>
  </si>
  <si>
    <t>(星)闪避动作精力消耗降低 -3.0%</t>
  </si>
  <si>
    <t>B5 E1 00 00 1E 00 00 00 00 1C 00 00</t>
  </si>
  <si>
    <t>闪避动作精力消耗降低(绝境) -3.0%</t>
  </si>
  <si>
    <t>49 6B 00 00 3C 00 00 00 00 1C 00 00</t>
  </si>
  <si>
    <t>闪避动作精力消耗降低(绝境) -6.0%</t>
  </si>
  <si>
    <t>63 CE 00 00 5A 00 00 00 00 1C 00 00</t>
  </si>
  <si>
    <t>闪避动作精力消耗降低(绝境) -9.0%</t>
  </si>
  <si>
    <t>B8 6E 00 00 21 00 00 00 00 1C 00 00</t>
  </si>
  <si>
    <t>绝境赋予移动速度上升(3.3%)</t>
  </si>
  <si>
    <t>FC 4C 00 00 42 00 00 00 00 1C 00 00</t>
  </si>
  <si>
    <t>绝境赋予移动速度上升(6.6%)</t>
  </si>
  <si>
    <t>36 95 00 00 63 00 00 00 00 1C 00 00</t>
  </si>
  <si>
    <t>绝境赋予移动速度上升(9.9%)</t>
  </si>
  <si>
    <t>DC E3 00 00 0E 00 00 00 00 1C 00 00</t>
  </si>
  <si>
    <t>打倒敌人时赋予移动速度上升(1.4%)</t>
  </si>
  <si>
    <t>3A FA 00 00 1B 00 00 00 00 1C 00 00</t>
  </si>
  <si>
    <t>打倒敌人时赋予移动速度上升(2.7%)</t>
  </si>
  <si>
    <t>5B 2B 00 00 28 00 00 00 00 1C 00 00</t>
  </si>
  <si>
    <t>打倒敌人时赋予移动速度上升(4.0%)</t>
  </si>
  <si>
    <t>C5 43 00 00 28 00 00 00 00 5C 00 00</t>
  </si>
  <si>
    <t>(同名固定)冲刺精力消耗降低 -4.0%</t>
  </si>
  <si>
    <t>6E F8 00 00 50 00 00 00 00 5C 00 00</t>
  </si>
  <si>
    <t>(同名固定)冲刺精力消耗降低 -8.0%</t>
  </si>
  <si>
    <t>13 19 00 00 32 00 00 00 00 5C 00 00</t>
  </si>
  <si>
    <t>(同名固定)冲刺精力消耗降低 -5.0%</t>
  </si>
  <si>
    <t>46 4E 00 00 0F 00 00 00 00 1C 00 00</t>
  </si>
  <si>
    <t>祓除常世赋予移动速度上升(1.5%)</t>
  </si>
  <si>
    <t>A3 C5 00 00 1D 00 00 00 00 1C 00 00</t>
  </si>
  <si>
    <t>祓除常世赋予移动速度上升(2.9%)</t>
  </si>
  <si>
    <t>DE 5F 00 00 2B 00 00 00 00 1C 00 00</t>
  </si>
  <si>
    <t>祓除常世赋予移动速度上升(4.3%)</t>
  </si>
  <si>
    <t>87 08 00 00 10 00 00 00 00 1C 00 00</t>
  </si>
  <si>
    <t>陷入异常状态时赋予移动速度上升(1.6%)</t>
  </si>
  <si>
    <t>46 52 00 00 1F 00 00 00 00 1C 00 00</t>
  </si>
  <si>
    <t>陷入异常状态时赋予移动速度上升(3.1%)</t>
  </si>
  <si>
    <t>EF 06 00 00 2F 00 00 00 00 1C 00 00</t>
  </si>
  <si>
    <t>陷入异常状态时赋予移动速度上升(4.7%)</t>
  </si>
  <si>
    <t>A4 87 00 00 0B 00 00 00 00 1C 00 00</t>
  </si>
  <si>
    <t>吸收精华后赋予移动速度上升(1.1%)</t>
  </si>
  <si>
    <t>CB CF 00 00 16 00 00 00 00 1C 00 00</t>
  </si>
  <si>
    <t>吸收精华后赋予移动速度上升(2.2%)</t>
  </si>
  <si>
    <t>CE 2D 00 00 21 00 00 00 00 1C 00 00</t>
  </si>
  <si>
    <t>吸收精华后赋予移动速度上升(3.3%)</t>
  </si>
  <si>
    <t>A7 F0 00 00 0E 00 00 00 00 1C 00 00</t>
  </si>
  <si>
    <t>精力受到攻击降至50%以下时赋予移动速度上升(1.4%)</t>
  </si>
  <si>
    <t>8F 0C 00 00 1C 00 00 00 00 1C 00 00</t>
  </si>
  <si>
    <t>精力受到攻击降至50%以下时赋予移动速度上升(2.8%)</t>
  </si>
  <si>
    <t>F9 CC 00 00 2A 00 00 00 00 1C 00 00</t>
  </si>
  <si>
    <t>精力受到攻击降至50%以下时赋予移动速度上升(4.2%)</t>
  </si>
  <si>
    <t>95 99 00 00 0E 00 00 00 00 1C 00 00</t>
  </si>
  <si>
    <t>阴阳术命中赋予移动速度上升（1.4%）</t>
  </si>
  <si>
    <t>60 80 00 00 1B 00 00 00 00 1C 00 00</t>
  </si>
  <si>
    <t>阴阳术命中赋予移动速度上升（2.7%）</t>
  </si>
  <si>
    <t>F9 DD 00 00 28 00 00 00 00 1C 00 00</t>
  </si>
  <si>
    <t>阴阳术命中赋予移动速度上升（4.0%）</t>
  </si>
  <si>
    <t>2D 43 00 00 0E 00 00 00 00 1C 00 00</t>
  </si>
  <si>
    <t>忍术命中赋予移动速度上升（1.4%）</t>
  </si>
  <si>
    <t>AF 88 00 00 1B 00 00 00 00 1C 00 00</t>
  </si>
  <si>
    <t>忍术命中赋予移动速度上升（2.7%）</t>
  </si>
  <si>
    <t>86 87 00 00 28 00 00 00 00 1C 00 00</t>
  </si>
  <si>
    <t>忍术命中赋予移动速度上升（4.0%）</t>
  </si>
  <si>
    <t>F7 DC 00 00 0E 00 00 00 00 1C 00 00</t>
  </si>
  <si>
    <t>恢复体力赋予移动速度上升（1.4%）</t>
  </si>
  <si>
    <t>94 52 00 00 1B 00 00 00 00 1C 00 00</t>
  </si>
  <si>
    <t>恢复体力赋予移动速度上升（2.7%）</t>
  </si>
  <si>
    <t>CD 75 00 00 28 00 00 00 00 1C 00 00</t>
  </si>
  <si>
    <t>恢复体力赋予移动速度上升（4.0%）</t>
  </si>
  <si>
    <t>BB 6C 00 00 2C 00 00 00 00 5F 00 00</t>
  </si>
  <si>
    <t>(同名固定)火属性伤害 +4.4%</t>
  </si>
  <si>
    <t>E8 91 00 00 23 00 00 00 00 5F 00 00</t>
  </si>
  <si>
    <t>(同名固定)敌人的水状态累计 +3.5%</t>
  </si>
  <si>
    <t>F1 55 00 00 14 00 00 00 00 5F 00 00</t>
  </si>
  <si>
    <t>(同名固定)对处于毒状态敌人的近距离伤害 +2.0%</t>
  </si>
  <si>
    <t>32 0B 00 00 C8 00 00 00 00 43 00 00</t>
  </si>
  <si>
    <t>(同名固定)守护灵技的伤害 +20.0%</t>
  </si>
  <si>
    <t>[饰品]</t>
  </si>
  <si>
    <t>E6 22 00 00 2D 00 00 00 00 45 00 00</t>
  </si>
  <si>
    <t>(同名固定)近距离攻击的精力消耗降低 -4.5%</t>
  </si>
  <si>
    <t>96 AA 00 00 14 00 00 00 00 45 00 00</t>
  </si>
  <si>
    <t>6B 64 00 00 0A 00 00 00 00 06 00 00</t>
  </si>
  <si>
    <t>61 F9 00 00 0C 00 00 00 00 06 84 00</t>
  </si>
  <si>
    <t>(星)火抗性 +12</t>
  </si>
  <si>
    <t>00 A5 00 00 0A 00 00 00 00 06 00 00</t>
  </si>
  <si>
    <t>AC A0 00 00 0C 00 00 00 00 06 84 00</t>
  </si>
  <si>
    <t>(星)水抗性 +12</t>
  </si>
  <si>
    <t>1E A3 00 00 0A 00 00 00 00 06 00 00</t>
  </si>
  <si>
    <t>DE 80 00 00 0C 00 00 00 00 06 84 00</t>
  </si>
  <si>
    <t>(星)雷抗性 +12</t>
  </si>
  <si>
    <t>CF 9C 00 00 0A 00 00 00 00 06 00 00</t>
  </si>
  <si>
    <t>E9 35 00 00 0F 00 00 00 00 06 00 00</t>
  </si>
  <si>
    <t>防御时的属性攻击伤害降低 +15</t>
  </si>
  <si>
    <t>ED 39 00 00 08 00 00 00 00 46 00 00</t>
  </si>
  <si>
    <t>37 BB 00 00 05 00 00 00 00 06 00 00</t>
  </si>
  <si>
    <t>59 D5 00 00 0F 00 00 00 00 46 00 00</t>
  </si>
  <si>
    <t>(同名固定)火属性伤害降低 +15</t>
  </si>
  <si>
    <t>64 5D 00 00 0A 00 00 00 00 06 00 00</t>
  </si>
  <si>
    <t>DA E6 00 00 0F 00 00 00 00 06 85 00</t>
  </si>
  <si>
    <t>(星)火属性伤害降低 +15</t>
  </si>
  <si>
    <t>74 FA 00 00 0F 00 00 00 00 46 00 00</t>
  </si>
  <si>
    <t>(同名固定)水属性伤害降低 +15</t>
  </si>
  <si>
    <t>86 B7 00 00 0A 00 00 00 00 06 00 00</t>
  </si>
  <si>
    <t>CE C1 00 00 0F 00 00 00 00 06 85 00</t>
  </si>
  <si>
    <t>(星)水属性伤害降低 +15</t>
  </si>
  <si>
    <t>36 AF 00 00 0F 00 00 00 00 46 00 00</t>
  </si>
  <si>
    <t>(同名固定)雷属性伤害降低 +15</t>
  </si>
  <si>
    <t>4E 56 00 00 0A 00 00 00 00 06 00 00</t>
  </si>
  <si>
    <t>3B A6 00 00 0F 00 00 00 00 46 00 00</t>
  </si>
  <si>
    <t>(同名固定)风属性伤害降低 +15</t>
  </si>
  <si>
    <t>37 F9 00 00 0A 00 00 00 00 06 00 00</t>
  </si>
  <si>
    <t>CE 85 00 00 0F 00 00 00 00 06 85 00</t>
  </si>
  <si>
    <t>32 3E 00 00 0F 00 00 00 00 46 00 00</t>
  </si>
  <si>
    <t>(同名固定)毒抗性 +15</t>
  </si>
  <si>
    <t>00 35 00 00 0A 00 00 00 00 06 00 00</t>
  </si>
  <si>
    <t>A2 03 00 00 0F 00 00 00 00 46 00 00</t>
  </si>
  <si>
    <t>(同名固定)麻痹抗性 +15</t>
  </si>
  <si>
    <t>24 3A 00 00 0A 00 00 00 00 06 00 00</t>
  </si>
  <si>
    <t>70 48 00 00 0F 00 00 00 00 06 85 00</t>
  </si>
  <si>
    <t>(星)麻痹抗性 +15</t>
  </si>
  <si>
    <t>E6 B4 00 00 64 00 00 00 00 06 00 00</t>
  </si>
  <si>
    <t>中毒时持续承受伤害降低 -10.0%</t>
  </si>
  <si>
    <t>5C BD 00 00 64 00 00 00 00 06 00 00</t>
  </si>
  <si>
    <t>着火时持续承受伤害降低 -10.0%</t>
  </si>
  <si>
    <t>EE 82 00 00 0A 00 00 00 00 46 00 00</t>
  </si>
  <si>
    <t>(同名固定)异常状态抗性 +10</t>
  </si>
  <si>
    <t>37 21 00 00 1F 00 00 00 00 49 00 00</t>
  </si>
  <si>
    <t>(同名固定)获得金钱 +3.1%</t>
  </si>
  <si>
    <t>F0 4C 00 00 1F 00 00 00 00 09 00 00</t>
  </si>
  <si>
    <t>获得金钱 +3.1%</t>
  </si>
  <si>
    <t>AA 64 00 00 1F 00 00 00 00 09 00 00</t>
  </si>
  <si>
    <t>获得武功 +3.1%</t>
  </si>
  <si>
    <t>B3 37 00 00 29 00 00 00 00 09 00 00</t>
  </si>
  <si>
    <t>打倒敌人时赋予幸运增加(41)</t>
  </si>
  <si>
    <t>A0 FA 00 00 0F 00 00 00 00 09 00 00</t>
  </si>
  <si>
    <t>幸运(绝境) +15</t>
  </si>
  <si>
    <t>96 78 00 00 0A 00 00 00 00 09 00 00</t>
  </si>
  <si>
    <t>幸运(地狱) +10</t>
  </si>
  <si>
    <t>0B A6 00 00 22 00 00 00 00 09 00 00</t>
  </si>
  <si>
    <t>吸收精华后赋予幸运增加(34)</t>
  </si>
  <si>
    <t>B2 C7 00 00 02 00 00 00 00 09 00 00</t>
  </si>
  <si>
    <t>FF 8E 00 00 22 00 00 00 00 09 00 00</t>
  </si>
  <si>
    <t>强攻击获得精华 34</t>
  </si>
  <si>
    <t>D7 6F 00 00 12 00 00 00 00 09 00 00</t>
  </si>
  <si>
    <t>(同名固定)获得精华 +1.8%</t>
  </si>
  <si>
    <t>3A 51 00 00 1F 00 00 00 00 09 00 00</t>
  </si>
  <si>
    <t>获得精华 +3.1%</t>
  </si>
  <si>
    <t>7E 03 00 00 28 00 00 00 00 09 00 00</t>
  </si>
  <si>
    <t>获得精华(地狱) +4.0%</t>
  </si>
  <si>
    <t>FA 70 00 00 1F 00 00 00 00 49 80 00</t>
  </si>
  <si>
    <t>(同名固定)道具掉落率 +3.1%</t>
  </si>
  <si>
    <t>A2 9F 00 00 64 00 00 00 00 09 00 00</t>
  </si>
  <si>
    <t>道具掉落率 +10.0%</t>
  </si>
  <si>
    <t>34 A9 00 00 1F 00 00 00 00 49 00 00</t>
  </si>
  <si>
    <t>(同名固定)装备品掉落率 +3.1%</t>
  </si>
  <si>
    <t>48 5C 00 00 64 00 00 00 00 09 00 00</t>
  </si>
  <si>
    <t>装备品掉落率 +10.0%</t>
  </si>
  <si>
    <t>A1 F7 00 00 2D 00 00 00 00 49 00 00</t>
  </si>
  <si>
    <t>(同名固定)魂核掉落率 +4.5%</t>
  </si>
  <si>
    <t>F4 94 00 00 64 00 00 00 00 09 00 00</t>
  </si>
  <si>
    <t>魂核掉落率 +10.0%</t>
  </si>
  <si>
    <t>5D EF 00 00 28 00 00 00 00 09 00 00</t>
  </si>
  <si>
    <t>EC BD 00 00 07 00 00 00 00 09 00 00</t>
  </si>
  <si>
    <t>幸运 +7</t>
  </si>
  <si>
    <t>20 D0 00 00 1F 00 00 00 00 49 00 00</t>
  </si>
  <si>
    <t>(同名固定)感应精华</t>
  </si>
  <si>
    <t>46 BA 00 00 50 00 00 00 00 09 00 00</t>
  </si>
  <si>
    <t>仙药掉落率 +8.0%</t>
  </si>
  <si>
    <t>7B 24 00 00 11 00 00 00 00 0A 00 00</t>
  </si>
  <si>
    <t>2B C6 00 00 07 00 00 00 00 4A 00 00</t>
  </si>
  <si>
    <t>(同名固定)造成火属性伤害时增加灵力 B</t>
  </si>
  <si>
    <t>造成火属性伤害时增加灵力 C-</t>
  </si>
  <si>
    <t>5F B2 00 00 03 00 00 00 00 0A 00 00</t>
  </si>
  <si>
    <t>造成水属性伤害时增加灵力 C-</t>
  </si>
  <si>
    <t>E9 C3 00 00 03 00 00 00 00 0A 00 00</t>
  </si>
  <si>
    <t>造成雷属性伤害时增加灵力 C-</t>
  </si>
  <si>
    <t>E6 04 00 00 03 00 00 00 00 0A 00 00</t>
  </si>
  <si>
    <t>造成风属性伤害时增加灵力 C-</t>
  </si>
  <si>
    <t>使敌人陷入火状态时增加灵力 C-</t>
  </si>
  <si>
    <t>AA B7 00 00 03 00 00 00 00 0A 00 00</t>
  </si>
  <si>
    <t>使敌人陷入水状态时增加灵力 C-</t>
  </si>
  <si>
    <t>使敌人陷入雷状态时增加灵力 C-</t>
  </si>
  <si>
    <t>94 E2 00 00 03 00 00 00 00 0A 00 00</t>
  </si>
  <si>
    <t>使敌人陷入风状态时增加灵力 C-</t>
  </si>
  <si>
    <t>C5 59 00 00 03 00 00 00 00 0A 00 00</t>
  </si>
  <si>
    <t>使敌人陷入毒状态时增加灵力 C-</t>
  </si>
  <si>
    <t>50 35 00 00 03 00 00 00 00 0A 00 00</t>
  </si>
  <si>
    <t>使敌人陷入麻痹状态时增加灵力 C-</t>
  </si>
  <si>
    <t>05 AC 00 00 03 00 00 00 00 0A 00 00</t>
  </si>
  <si>
    <t>使敌人陷入异常状态时增加灵力 C-</t>
  </si>
  <si>
    <t>9F 81 00 00 0E 00 00 00 00 0A 00 00</t>
  </si>
  <si>
    <t>近距离攻击的灵力增加量 +1.4%</t>
  </si>
  <si>
    <t>32 15 00 00 0F 00 00 00 00 0A 00 00</t>
  </si>
  <si>
    <t>强攻击灵力增加量 +1.5%</t>
  </si>
  <si>
    <t>CC 86 00 00 0F 00 00 00 00 0A 00 00</t>
  </si>
  <si>
    <t>武技灵力增加量 +1.5%</t>
  </si>
  <si>
    <t>2B 64 00 00 04 00 00 00 00 4A 00 00</t>
  </si>
  <si>
    <t>(同名固定)灵力 +4.0</t>
  </si>
  <si>
    <t>0F 71 00 00 02 00 00 00 00 0A 00 00</t>
  </si>
  <si>
    <t>2A 95 00 00 07 00 00 00 00 4A 00 00</t>
  </si>
  <si>
    <t>(同名固定)获得精华增加灵力 B</t>
  </si>
  <si>
    <t>CC 48 00 00 04 00 00 00 00 0A 00 00</t>
  </si>
  <si>
    <t>C7 71 00 00 06 00 00 00 00 0A 00 00</t>
  </si>
  <si>
    <t>1D 7C 00 00 05 00 00 00 00 0A 00 00</t>
  </si>
  <si>
    <t>19 BC 00 00 05 00 00 00 00 0A 00 00</t>
  </si>
  <si>
    <t>6A 13 00 00 05 00 00 00 00 0A 00 00</t>
  </si>
  <si>
    <t>F5 45 00 00 05 00 00 00 00 0A 00 00</t>
  </si>
  <si>
    <t>47 6E 00 00 05 00 00 00 00 0A 00 00</t>
  </si>
  <si>
    <t>B5 F1 00 00 05 00 00 00 00 0A 00 00</t>
  </si>
  <si>
    <t>11 99 00 00 0E 00 00 00 00 4A 00 00</t>
  </si>
  <si>
    <t>08 00 00 00 0E 00 00 00 00 0A 00 00</t>
  </si>
  <si>
    <t>87 EC 00 00 29 00 00 00 00 4A 00 00</t>
  </si>
  <si>
    <t>(同名固定)灵力增加量(绝境) +4.1%</t>
  </si>
  <si>
    <t>2A 94 00 00 29 00 00 00 00 0A 00 00</t>
  </si>
  <si>
    <t>2F 5B 00 00 11 00 00 00 00 4A 00 00</t>
  </si>
  <si>
    <t>(同名固定)灵力增加量(无伤) +1.7%</t>
  </si>
  <si>
    <t>89 64 00 00 11 00 00 00 00 0A 00 00</t>
  </si>
  <si>
    <t>17 BC 00 00 12 00 00 00 00 0A 00 00</t>
  </si>
  <si>
    <t>B1 4C 00 00 12 00 00 00 00 0A 00 00</t>
  </si>
  <si>
    <t>C6 98 00 00 0F 00 00 00 00 0A 00 00</t>
  </si>
  <si>
    <t>FD 8C 00 00 04 00 00 00 00 0A 00 00</t>
  </si>
  <si>
    <t>忍术命中增加灵力 C</t>
  </si>
  <si>
    <t>C7 67 00 00 04 00 00 00 00 0A 00 00</t>
  </si>
  <si>
    <t>阴阳术命中增加灵力 C</t>
  </si>
  <si>
    <t>75 9B 00 00 04 00 00 00 00 0A 00 00</t>
  </si>
  <si>
    <t>97 8B 00 00 0E 00 00 00 00 4A 00 00</t>
  </si>
  <si>
    <t>(同名固定)使用仙药时增加灵力 +14</t>
  </si>
  <si>
    <t>7B B7 00 00 0F 00 00 00 00 0A 00 00</t>
  </si>
  <si>
    <t>使用仙药时增加灵力 +15</t>
  </si>
  <si>
    <t>5B D4 00 00 0A 00 00 00 00 4A 00 00</t>
  </si>
  <si>
    <t>(同名固定)格挡可增加灵力 +10</t>
  </si>
  <si>
    <t>FD B3 00 00 0A 00 00 00 00 4A 00 00</t>
  </si>
  <si>
    <t>(同名固定)识破可增加灵力 +10</t>
  </si>
  <si>
    <t>E8 CB 00 00 0E 00 00 00 00 4A 00 00</t>
  </si>
  <si>
    <t>(同名固定)格挡可增加灵力 +14</t>
  </si>
  <si>
    <t>53 8B 00 00 0E 00 00 00 00 4A 00 00</t>
  </si>
  <si>
    <t>(同名固定)识破可增加灵力 +14</t>
  </si>
  <si>
    <t>43 CC 00 00 09 00 00 00 00 0A 00 00</t>
  </si>
  <si>
    <t>以守护灵技打倒敌人可回收灵力 +0.9%</t>
  </si>
  <si>
    <t>03 F2 00 00 0F 00 00 00 00 0A 00 00</t>
  </si>
  <si>
    <t>守护灵技灵力消耗减少 -1.5%</t>
  </si>
  <si>
    <t>EE 2E 00 00 21 00 00 00 00 0C 00 00</t>
  </si>
  <si>
    <t>身处常世时恢复体力(33)</t>
  </si>
  <si>
    <t>FB FC 00 00 64 00 00 00 00 0C 00 00</t>
  </si>
  <si>
    <t>不消耗御神水 10.0%</t>
  </si>
  <si>
    <t>5D C4 00 00 32 00 00 00 00 4C 00 00</t>
  </si>
  <si>
    <t>(同名固定)不消耗仙药 +5.0%</t>
  </si>
  <si>
    <t>5A AB 00 00 50 00 00 00 00 0C 00 00</t>
  </si>
  <si>
    <t>不消耗仙药 +8.0%</t>
  </si>
  <si>
    <t>6D 93 00 00 78 00 00 00 00 0C 84 00</t>
  </si>
  <si>
    <t>(星)不消耗仙药 +12.0%</t>
  </si>
  <si>
    <t>ED 23 00 00 50 00 00 00 00 0C 00 00</t>
  </si>
  <si>
    <t>爱用度增加量 +8.0%</t>
  </si>
  <si>
    <t>D8 DE 00 00 C8 00 00 00 00 4C 00 00</t>
  </si>
  <si>
    <t>(同名固定)死亡时自动回收刀冢 +20.0%</t>
  </si>
  <si>
    <t>42 41 00 00 50 00 00 00 00 0C 00 00</t>
  </si>
  <si>
    <t>死亡时自动回收刀冢 +8.0%</t>
  </si>
  <si>
    <t>62 2E 00 00 64 00 00 00 00 0C 00 00</t>
  </si>
  <si>
    <t>死亡时自动回收一部分精华 +10.0%</t>
  </si>
  <si>
    <t>13 6B 00 00 14 00 00 00 00 4C 00 00</t>
  </si>
  <si>
    <t>D4 53 00 00 01 00 00 00 00 4C 00 00</t>
  </si>
  <si>
    <t>(同名固定)组合效果的所需装备数 -1</t>
  </si>
  <si>
    <t>32 50 00 00 0A 00 00 00 00 51 00 00</t>
  </si>
  <si>
    <t>(同名固定)防御力 +10</t>
  </si>
  <si>
    <t>3D E1 00 00 0C 00 00 00 00 51 00 00</t>
  </si>
  <si>
    <t>(同名固定)承受的远距离伤害降低 -1.2%</t>
  </si>
  <si>
    <t>96 71 00 00 1E 00 00 00 00 14 00 00</t>
  </si>
  <si>
    <t>4A ED 00 00 21 00 00 00 00 14 00 00</t>
  </si>
  <si>
    <t>9A 5A 00 00 04 00 00 00 00 14 00 00</t>
  </si>
  <si>
    <t>22 05 00 00 04 00 00 00 00 14 00 00</t>
  </si>
  <si>
    <t>37 0A 00 00 04 00 00 00 00 14 00 00</t>
  </si>
  <si>
    <t>0E 64 00 00 04 00 00 00 00 14 00 00</t>
  </si>
  <si>
    <t>AB 97 00 00 1F 00 00 00 00 14 00 00</t>
  </si>
  <si>
    <t>44 0B 00 00 1F 00 00 00 00 14 00 00</t>
  </si>
  <si>
    <t>C4 8A 00 00 1E 00 00 00 00 14 00 00</t>
  </si>
  <si>
    <t>24 FB 00 00 32 00 00 00 00 14 00 00</t>
  </si>
  <si>
    <t>获得魂核时恢复体力 50</t>
  </si>
  <si>
    <t>71 03 00 00 21 00 00 00 00 14 00 00</t>
  </si>
  <si>
    <t>DA 9E 00 00 2A 00 00 00 00 14 00 00</t>
  </si>
  <si>
    <t>C2 9E 00 00 04 00 00 00 00 54 00 00</t>
  </si>
  <si>
    <t>(同名固定)吸收精华可恢复体力 4</t>
  </si>
  <si>
    <t>E9 03 00 00 06 00 00 00 00 14 00 00</t>
  </si>
  <si>
    <t>56 64 00 00 1C 00 00 00 00 54 00 00</t>
  </si>
  <si>
    <t>(同名固定)药物恢复体力效果 +2.8%</t>
  </si>
  <si>
    <t>C1 AA 00 00 19 00 00 00 00 54 00 00</t>
  </si>
  <si>
    <t>(同名固定)体力恢复量 +2.5%</t>
  </si>
  <si>
    <t>72 A0 00 00 1E 00 00 00 00 14 00 00</t>
  </si>
  <si>
    <t>忍术伤害吸取体力</t>
  </si>
  <si>
    <t>FE 85 00 00 06 00 00 00 00 14 00 00</t>
  </si>
  <si>
    <t>阴阳术伤害吸取体力 B-</t>
  </si>
  <si>
    <t>3E CB 00 00 19 00 00 00 00 54 00 00</t>
  </si>
  <si>
    <t>(同名固定)体力 +25</t>
  </si>
  <si>
    <t>19 6F 00 00 19 00 00 00 00 14 00 00</t>
  </si>
  <si>
    <t>F7 CF 00 00 26 00 00 00 00 14 84 00</t>
  </si>
  <si>
    <t>50 E4 00 00 1E 00 00 00 00 17 00 00</t>
  </si>
  <si>
    <t>BA 2A 00 00 1E 00 00 00 00 57 00 00</t>
  </si>
  <si>
    <t>(同名固定)精力恢复速度 +3.0%</t>
  </si>
  <si>
    <t>04 2C 00 00 1E 00 00 00 00 17 00 00</t>
  </si>
  <si>
    <t>32 7F 00 00 0D 00 00 00 00 17 00 00</t>
  </si>
  <si>
    <t>AB DD 00 00 2D 00 00 00 00 17 84 00</t>
  </si>
  <si>
    <t>B1 00 00 00 62 00 00 00 00 17 00 00</t>
  </si>
  <si>
    <t>B1 3C 00 00 24 00 00 00 00 57 00 00</t>
  </si>
  <si>
    <t>3F 3F 00 00 24 00 00 00 00 17 00 00</t>
  </si>
  <si>
    <t>5D 70 00 00 59 00 00 00 00 57 00 00</t>
  </si>
  <si>
    <t>(同名固定)精力恢复速度(绝境) +8.9%</t>
  </si>
  <si>
    <t>8A A4 00 00 59 00 00 00 00 17 00 00</t>
  </si>
  <si>
    <t>6E 02 00 00 0C 00 00 00 00 17 00 00</t>
  </si>
  <si>
    <t>5B FC 00 00 05 00 00 00 00 17 00 00</t>
  </si>
  <si>
    <t>F3 25 00 00 08 00 00 00 00 19 00 00</t>
  </si>
  <si>
    <t>打倒敌人时赋予昂灵(+0.8%)</t>
  </si>
  <si>
    <t>0D D3 00 00 06 00 00 00 00 19 00 00</t>
  </si>
  <si>
    <t>6A 8D 00 00 06 00 00 00 00 19 00 00</t>
  </si>
  <si>
    <t>9F 71 00 00 06 00 00 00 00 19 00 00</t>
  </si>
  <si>
    <t>97 A2 00 00 08 00 00 00 00 19 00 00</t>
  </si>
  <si>
    <t>绝境时赋予昂灵(+0.8%)</t>
  </si>
  <si>
    <t>D2 C4 00 00 08 00 00 00 00 19 00 00</t>
  </si>
  <si>
    <t>祓除常世赋予昂灵(+0.8%)</t>
  </si>
  <si>
    <t>BC 29 00 00 11 00 00 00 00 19 00 00</t>
  </si>
  <si>
    <t>23 C0 00 00 0E 00 00 00 00 19 00 00</t>
  </si>
  <si>
    <t>(同名固定)精华槽增加量 +1.4%</t>
  </si>
  <si>
    <t>B5 EE 00 00 0E 00 00 00 00 19 00 00</t>
  </si>
  <si>
    <t>BA 44 00 00 05 00 00 00 00 19 00 00</t>
  </si>
  <si>
    <t>阴阳术命中赋予昂灵(+0.5%)</t>
  </si>
  <si>
    <t>33 B2 00 00 05 00 00 00 00 19 00 00</t>
  </si>
  <si>
    <t>使用阴阳术时赋予昂灵(+0.5%)</t>
  </si>
  <si>
    <t>20 D7 00 00 02 00 00 00 00 19 00 00</t>
  </si>
  <si>
    <t>A8 37 00 00 02 00 00 00 00 19 00 00</t>
  </si>
  <si>
    <t>01 E4 00 00 02 00 00 00 00 19 00 00</t>
  </si>
  <si>
    <t>75 F5 00 00 02 00 00 00 00 19 00 00</t>
  </si>
  <si>
    <t>FB 12 00 00 1E 00 00 00 00 19 00 00</t>
  </si>
  <si>
    <t>E8 35 00 00 78 00 00 00 00 9A 00 00</t>
  </si>
  <si>
    <t>埋火计量槽增加量 +12.0%</t>
  </si>
  <si>
    <t>36 74 00 00 78 00 00 00 00 9A 00 00</t>
  </si>
  <si>
    <t>火药弹计量槽增加量 +12.0%</t>
  </si>
  <si>
    <t>A3 9F 00 00 78 00 00 00 00 9A 00 00</t>
  </si>
  <si>
    <t>焙烙弹计量槽增加量 +12.0%</t>
  </si>
  <si>
    <t>6C 55 00 00 78 00 00 00 00 9A 00 00</t>
  </si>
  <si>
    <t>大焙烙弹计量槽增加量 +12.0%</t>
  </si>
  <si>
    <t>A7 49 00 00 78 00 00 00 00 9A 00 00</t>
  </si>
  <si>
    <t>埋火·地胆计量槽增加量 +12.0%</t>
  </si>
  <si>
    <t>93 97 00 00 78 00 00 00 00 9A 00 00</t>
  </si>
  <si>
    <t>埋火·水母计量槽增加量 +12.0%</t>
  </si>
  <si>
    <t>E2 89 00 00 78 00 00 00 00 9A 00 00</t>
  </si>
  <si>
    <t>埋火· 秽土计量槽增加量 +12.0%</t>
  </si>
  <si>
    <t>66 F7 00 00 78 00 00 00 00 9A 00 00</t>
  </si>
  <si>
    <t>喷火计量槽增加量 +12.0%</t>
  </si>
  <si>
    <t>64 E3 00 00 78 00 00 00 00 9A 00 00</t>
  </si>
  <si>
    <t>怪火计量槽增加量 +12.0%</t>
  </si>
  <si>
    <t>C2 EA 00 00 78 00 00 00 00 9A 00 00</t>
  </si>
  <si>
    <t>怪水计量槽增加量 +12.0%</t>
  </si>
  <si>
    <t>65 08 00 00 78 00 00 00 00 9A 00 00</t>
  </si>
  <si>
    <t>怪雷计量槽增加量 +12.0%</t>
  </si>
  <si>
    <t>AF 23 00 00 78 00 00 00 00 9A 00 00</t>
  </si>
  <si>
    <t>怪风计量槽增加量 +12.0%</t>
  </si>
  <si>
    <t>51 66 00 00 78 00 00 00 00 9A 00 00</t>
  </si>
  <si>
    <t>猛炎祸计量槽增加量 +12.0%</t>
  </si>
  <si>
    <t>C4 D7 00 00 78 00 00 00 00 9A 00 00</t>
  </si>
  <si>
    <t>冰蚀祸计量槽增加量 +12.0%</t>
  </si>
  <si>
    <t>90 38 00 00 78 00 00 00 00 9A 00 00</t>
  </si>
  <si>
    <t>雷电祸计量槽增加量 +12.0%</t>
  </si>
  <si>
    <t>EA A6 00 00 78 00 00 00 00 9A 00 00</t>
  </si>
  <si>
    <t>暴风祸计量槽增加量 +12.0%</t>
  </si>
  <si>
    <t>72 6B 00 00 78 00 00 00 00 9A 00 00</t>
  </si>
  <si>
    <t>手里剑计量槽增加量 +12.0%</t>
  </si>
  <si>
    <t>C7 66 00 00 78 00 00 00 00 9A 00 00</t>
  </si>
  <si>
    <t>毒手里剑计量槽增加量 +12.0%</t>
  </si>
  <si>
    <t>6A 51 00 00 78 00 00 00 00 9A 00 00</t>
  </si>
  <si>
    <t>麻痹手里剑计量槽增加量 +12.0%</t>
  </si>
  <si>
    <t>14 20 00 00 78 00 00 00 00 9A 00 00</t>
  </si>
  <si>
    <t>火药镖计量槽增加量 +12.0%</t>
  </si>
  <si>
    <t>F8 BB 00 00 78 00 00 00 00 9A 00 00</t>
  </si>
  <si>
    <t>风车手里剑计量槽增加量 +12.0%</t>
  </si>
  <si>
    <t>64 82 00 00 78 00 00 00 00 9A 00 00</t>
  </si>
  <si>
    <t>苦无计量槽增加量 +12.0%</t>
  </si>
  <si>
    <t>35 79 00 00 78 00 00 00 00 9A 00 00</t>
  </si>
  <si>
    <t>散弹苦无计量槽增加量 +12.0%</t>
  </si>
  <si>
    <t>F4 47 00 00 78 00 00 00 00 9A 00 00</t>
  </si>
  <si>
    <t>撒菱计量槽增加量 +12.0%</t>
  </si>
  <si>
    <t>44 AA 00 00 78 00 00 00 00 9A 00 00</t>
  </si>
  <si>
    <t>菱钉弹计量槽增加量 +12.0%</t>
  </si>
  <si>
    <t>DE AC 00 00 78 00 00 00 00 9A 00 00</t>
  </si>
  <si>
    <t>盲目弹计量槽增加量 +12.0%</t>
  </si>
  <si>
    <t>4C 6D 00 00 78 00 00 00 00 9A 00 00</t>
  </si>
  <si>
    <t>闪电一足计量槽增加量 +12.0%</t>
  </si>
  <si>
    <t>0F 72 00 00 78 00 00 00 00 9A 00 00</t>
  </si>
  <si>
    <t>雉子跳跃计量槽增加量 +12.0%</t>
  </si>
  <si>
    <t>97 FD 00 00 78 00 00 00 00 9A 00 00</t>
  </si>
  <si>
    <t>棘猫变身计量槽增加量 +12.0%</t>
  </si>
  <si>
    <t>83 F2 00 00 78 00 00 00 00 9A 00 00</t>
  </si>
  <si>
    <t>巨猫变身计量槽增加量 +12.0%</t>
  </si>
  <si>
    <t>35 3D 00 00 78 00 00 00 00 9A 00 00</t>
  </si>
  <si>
    <t>缝影计量槽增加量 +12.0%</t>
  </si>
  <si>
    <t>03 45 00 00 78 00 00 00 00 9A 00 00</t>
  </si>
  <si>
    <t>土墙计量槽增加量 +12.0%</t>
  </si>
  <si>
    <t>1B B8 00 00 78 00 00 00 00 9A 00 00</t>
  </si>
  <si>
    <t>毒雾计量槽增加量 +12.0%</t>
  </si>
  <si>
    <t>B6 A4 00 00 78 00 00 00 00 9A 00 00</t>
  </si>
  <si>
    <t>震地术计量槽增加量 +12.0%</t>
  </si>
  <si>
    <t>8A 49 00 00 78 00 00 00 00 9A 00 00</t>
  </si>
  <si>
    <t>土遁计量槽增加量 +12.0%</t>
  </si>
  <si>
    <t>14 85 00 00 78 00 00 00 00 9A 00 00</t>
  </si>
  <si>
    <t>空蝉计量槽增加量 +12.0%</t>
  </si>
  <si>
    <t>44 69 00 00 78 00 00 00 00 9A 00 00</t>
  </si>
  <si>
    <t>影分身计量槽增加量 +12.0%</t>
  </si>
  <si>
    <t>44 74 00 00 64 00 00 00 00 9A 00 00</t>
  </si>
  <si>
    <t>埋火造成的伤害 +10.0%</t>
  </si>
  <si>
    <t>72 25 00 00 64 00 00 00 00 9A 00 00</t>
  </si>
  <si>
    <t>火药弹造成的伤害 +10.0%</t>
  </si>
  <si>
    <t>EB 1A 00 00 64 00 00 00 00 9A 00 00</t>
  </si>
  <si>
    <t>焙烙弹造成的伤害 +10.0%</t>
  </si>
  <si>
    <t>19 2F 00 00 64 00 00 00 00 9A 00 00</t>
  </si>
  <si>
    <t>大焙烙弹造成的伤害 +10.0%</t>
  </si>
  <si>
    <t>4C D9 00 00 64 00 00 00 00 9A 00 00</t>
  </si>
  <si>
    <t>喷火造成的伤害 +10.0%</t>
  </si>
  <si>
    <t>08 45 00 00 64 00 00 00 00 9A 00 00</t>
  </si>
  <si>
    <t>怪火造成的伤害 +10.0%</t>
  </si>
  <si>
    <t>29 4C 00 00 64 00 00 00 00 9A 00 00</t>
  </si>
  <si>
    <t>怪水造成的伤害 +10.0%</t>
  </si>
  <si>
    <t>B2 08 00 00 64 00 00 00 00 9A 00 00</t>
  </si>
  <si>
    <t>怪雷造成的伤害 +10.0%</t>
  </si>
  <si>
    <t>D3 F7 00 00 64 00 00 00 00 9A 00 00</t>
  </si>
  <si>
    <t>怪风造成的伤害 +10.0%</t>
  </si>
  <si>
    <t>A6 2F 00 00 64 00 00 00 00 9A 00 00</t>
  </si>
  <si>
    <t>猛炎祸造成的伤害 +10.0%</t>
  </si>
  <si>
    <t>F0 B5 00 00 64 00 00 00 00 9A 00 00</t>
  </si>
  <si>
    <t>冰蚀祸造成的伤害 +10.0%</t>
  </si>
  <si>
    <t>E1 1D 00 00 64 00 00 00 00 9A 00 00</t>
  </si>
  <si>
    <t>雷电祸造成的伤害 +10.0%</t>
  </si>
  <si>
    <t>FC 11 00 00 64 00 00 00 00 9A 00 00</t>
  </si>
  <si>
    <t>暴风祸造成的伤害 +10.0%</t>
  </si>
  <si>
    <t>F0 79 00 00 64 00 00 00 00 9A 00 00</t>
  </si>
  <si>
    <t>手里剑造成的伤害 +10.0%</t>
  </si>
  <si>
    <t>D1 F1 00 00 64 00 00 00 00 9A 00 00</t>
  </si>
  <si>
    <t>毒手里剑造成的伤害 +10.0%</t>
  </si>
  <si>
    <t>6D 26 00 00 64 00 00 00 00 9A 00 00</t>
  </si>
  <si>
    <t>麻痹手里剑造成的伤害 +10.0%</t>
  </si>
  <si>
    <t>78 0D 00 00 64 00 00 00 00 9A 00 00</t>
  </si>
  <si>
    <t>火药镖造成的伤害 +10.0%</t>
  </si>
  <si>
    <t>风车手里剑造成的伤害 +10.0%</t>
  </si>
  <si>
    <t>04 DD 00 00 64 00 00 00 00 9A 00 00</t>
  </si>
  <si>
    <t>苦无造成的伤害 +10.0%</t>
  </si>
  <si>
    <t>1A 8A 00 00 64 00 00 00 00 9A 00 00</t>
  </si>
  <si>
    <t>散弹苦无造成的伤害 +10.0%</t>
  </si>
  <si>
    <t>54 71 00 00 64 00 00 00 00 9A 00 00</t>
  </si>
  <si>
    <t>撒菱造成的伤害 +10.0%</t>
  </si>
  <si>
    <t>2B ED 00 00 64 00 00 00 00 9A 00 00</t>
  </si>
  <si>
    <t>菱钉弹造成的伤害 +10.0%</t>
  </si>
  <si>
    <t>E1 15 00 00 64 00 00 00 00 9A 00 00</t>
  </si>
  <si>
    <t>罗汉币造成的伤害 +10.0%</t>
  </si>
  <si>
    <t>7A E6 00 00 64 00 00 00 00 9A 00 00</t>
  </si>
  <si>
    <t>盲目弹造成的伤害 +10.0%</t>
  </si>
  <si>
    <t>4E 21 00 00 01 00 00 00 00 9A 00 00</t>
  </si>
  <si>
    <t>闪电一足的持有上限 +1</t>
  </si>
  <si>
    <t>3A 8E 00 00 01 00 00 00 00 9A 00 00</t>
  </si>
  <si>
    <t>雉子跳跃的持有上限 +1</t>
  </si>
  <si>
    <t>7B B3 00 00 01 00 00 00 00 9A 00 00</t>
  </si>
  <si>
    <t>棘猫变身的持有上限 +1</t>
  </si>
  <si>
    <t>A6 3D 00 00 01 00 00 00 00 9A 00 00</t>
  </si>
  <si>
    <t>巨猫变身的持有上限 +1</t>
  </si>
  <si>
    <t>2D F7 00 00 01 00 00 00 00 9A 00 00</t>
  </si>
  <si>
    <t>缝影的持有上限 +1</t>
  </si>
  <si>
    <t>54 41 00 00 01 00 00 00 00 9A 00 00</t>
  </si>
  <si>
    <t>土墙的持有上限 +1</t>
  </si>
  <si>
    <t>26 10 00 00 01 00 00 00 00 9A 00 00</t>
  </si>
  <si>
    <t>毒雾的持有上限 +1</t>
  </si>
  <si>
    <t>C5 87 00 00 01 00 00 00 00 9A 00 00</t>
  </si>
  <si>
    <t>震地术的持有上限 +1</t>
  </si>
  <si>
    <t>7F 36 00 00 01 00 00 00 00 9A 00 00</t>
  </si>
  <si>
    <t>土遁的持有上限 +1</t>
  </si>
  <si>
    <t>FB F0 00 00 01 00 00 00 00 9A 00 00</t>
  </si>
  <si>
    <t>空蝉的持有上限 +1</t>
  </si>
  <si>
    <t>62 56 00 00 01 00 00 00 00 9A 00 00</t>
  </si>
  <si>
    <t>影分身的持有上限 +1</t>
  </si>
  <si>
    <t>0E 19 00 00 11 00 00 00 00 1B 00 00</t>
  </si>
  <si>
    <t>弓伤害 +1.7%</t>
  </si>
  <si>
    <t>77 A6 00 00 11 00 00 00 00 1B 00 00</t>
  </si>
  <si>
    <t>火枪伤害 +1.7%</t>
  </si>
  <si>
    <t>C6 5E 00 00 11 00 00 00 00 1B 00 00</t>
  </si>
  <si>
    <t>大炮伤害 +1.7%</t>
  </si>
  <si>
    <t>92 08 00 00 11 00 00 00 00 1B 00 00</t>
  </si>
  <si>
    <t>远距离伤害 +1.7%</t>
  </si>
  <si>
    <t>0C 2D 00 00 11 00 00 00 00 1B 00 00</t>
  </si>
  <si>
    <t>对极近距离敌人的弓箭伤害 +1.7%</t>
  </si>
  <si>
    <t>82 5B 00 00 11 00 00 00 00 1B 00 00</t>
  </si>
  <si>
    <t>对极近距离敌人的火枪伤害 +1.7%</t>
  </si>
  <si>
    <t>B4 D4 00 00 11 00 00 00 00 1B 00 00</t>
  </si>
  <si>
    <t>对极近距离敌人的大炮伤害 +1.7%</t>
  </si>
  <si>
    <t>E9 B7 00 00 14 00 00 00 00 1B 00 00</t>
  </si>
  <si>
    <t>箭弹伤害(无伤) +2.0%</t>
  </si>
  <si>
    <t>48 ED 00 00 04 00 00 00 00 5B 00 00</t>
  </si>
  <si>
    <t>(同名固定)不易被敌人发现 C</t>
  </si>
  <si>
    <t>1B 75 00 00 04 00 00 00 00 1B 00 00</t>
  </si>
  <si>
    <t>不易被敌人发现 C</t>
  </si>
  <si>
    <t>DB 34 00 00 02 00 00 00 00 1B 00 00</t>
  </si>
  <si>
    <t>箭矢持有数量上限 +2</t>
  </si>
  <si>
    <t>67 16 00 00 02 00 00 00 00 1B 00 00</t>
  </si>
  <si>
    <t>枪弹持有数量上限 +2</t>
  </si>
  <si>
    <t>37 67 00 00 02 00 00 00 00 1B 00 00</t>
  </si>
  <si>
    <t>炮弹持有数量上限 +2</t>
  </si>
  <si>
    <t>D4 C3 00 00 32 00 00 00 00 1B 00 00</t>
  </si>
  <si>
    <t>不消耗箭弹 +5.0%</t>
  </si>
  <si>
    <t>6A 66 00 00 4B 00 00 00 00 1B 84 00</t>
  </si>
  <si>
    <t>(星)不消耗箭弹 +7.5%</t>
  </si>
  <si>
    <t>51 FE 00 00 37 00 00 00 00 1B 00 00</t>
  </si>
  <si>
    <t>不消耗枪弹与炮弹 +5.5%</t>
  </si>
  <si>
    <t>C8 EF 00 00 16 00 00 00 00 1C 00 00</t>
  </si>
  <si>
    <t>BE 00 00 00 16 00 00 00 00 1C 00 00</t>
  </si>
  <si>
    <t>3D 5A 00 00 14 00 00 00 00 1C 00 00</t>
  </si>
  <si>
    <t>E7 8D 00 00 1E 00 00 00 00 1C 84 00</t>
  </si>
  <si>
    <t>EF 3A 00 00 3C 00 00 00 00 1C 00 00</t>
  </si>
  <si>
    <t>91 2E 00 00 42 00 00 00 00 1C 00 00</t>
  </si>
  <si>
    <t>12 68 00 00 1B 00 00 00 00 1C 00 00</t>
  </si>
  <si>
    <t>7B F5 00 00 1D 00 00 00 00 1C 00 00</t>
  </si>
  <si>
    <t>21 99 00 00 1F 00 00 00 00 1C 00 00</t>
  </si>
  <si>
    <t>05 7E 00 00 00 00 00 00 00 1C 00 00</t>
  </si>
  <si>
    <t>(同名固定)吸收精华后赋予移动速度上升(0.0%?)</t>
  </si>
  <si>
    <t>A7 0D 00 00 16 00 00 00 00 1C 00 00</t>
  </si>
  <si>
    <t>0F 81 00 00 1C 00 00 00 00 1C 00 00</t>
  </si>
  <si>
    <t>E2 1C 00 00 1B 00 00 00 00 1C 00 00</t>
  </si>
  <si>
    <t>F7 0B 00 00 1B 00 00 00 00 1C 00 00</t>
  </si>
  <si>
    <t>02 9D 00 00 1B 00 00 00 00 1C 00 00</t>
  </si>
  <si>
    <t>AF AA 00 00 3C 00 00 00 00 1F 00 00</t>
  </si>
  <si>
    <t>火属性伤害 +6.0%</t>
  </si>
  <si>
    <t>B5 1C 00 00 21 00 00 00 00 5F 00 00</t>
  </si>
  <si>
    <t>(同名固定)水属性伤害 +3.3%</t>
  </si>
  <si>
    <t>FD E6 00 00 3C 00 00 00 00 1F 00 00</t>
  </si>
  <si>
    <t>水属性伤害 +6.0%</t>
  </si>
  <si>
    <t>EB EC 00 00 3C 00 00 00 00 1F 00 00</t>
  </si>
  <si>
    <t>雷属性伤害 +6.0%</t>
  </si>
  <si>
    <t>6D A1 00 00 3C 00 00 00 00 1F 00 00</t>
  </si>
  <si>
    <t>风属性伤害 +6.0%</t>
  </si>
  <si>
    <t>71 B9 00 00 C8 00 00 00 00 1F 00 00</t>
  </si>
  <si>
    <t>45 5E 00 00 50 00 00 00 00 1F 00 00</t>
  </si>
  <si>
    <t>F9 27 00 00 50 00 00 00 00 1F 00 00</t>
  </si>
  <si>
    <t>00 EE 00 00 50 00 00 00 00 1F 00 00</t>
  </si>
  <si>
    <t>96 96 00 00 50 00 00 00 00 1F 00 00</t>
  </si>
  <si>
    <t>9E 3D 00 00 50 00 00 00 00 1F 00 00</t>
  </si>
  <si>
    <t>CA 22 00 00 50 00 00 00 00 1F 00 00</t>
  </si>
  <si>
    <t>A0 7C 00 00 32 00 00 00 00 1F 00 00</t>
  </si>
  <si>
    <t>A9 AA 00 00 19 00 00 00 00 5F 00 00</t>
  </si>
  <si>
    <t>(同名固定)效果持续力 +2</t>
  </si>
  <si>
    <t>58 36 00 00 94 00 00 00 00 03 04 00</t>
  </si>
  <si>
    <t>(星)九十九化身时造成的伤害增加 +13.5% ~ +14.8%</t>
  </si>
  <si>
    <t>[近战/手臂]</t>
  </si>
  <si>
    <t>19 22 00 00 A2 00 00 00 00 03 04 00</t>
  </si>
  <si>
    <t>(星)九十九化身时造成的伤害增加 +14.9% ~ +16.2%</t>
  </si>
  <si>
    <t>9C 49 00 00 AF 00 00 00 00 03 04 00</t>
  </si>
  <si>
    <t>(星)九十九化身时造成的伤害增加 +16.2% ~ +17.5%</t>
  </si>
  <si>
    <t>5A 80 00 00 5B 00 00 00 00 03 04 00</t>
  </si>
  <si>
    <t>(星)近距离攻击伤害 +8.0% ~ +9.1%</t>
  </si>
  <si>
    <t>CD DB 00 00 66 00 00 00 00 03 04 00</t>
  </si>
  <si>
    <t>(星)近距离攻击伤害 +9.1% ~ +10.2%</t>
  </si>
  <si>
    <t>CC 1C 00 00 70 00 00 00 00 03 04 00</t>
  </si>
  <si>
    <t>(星)近距离攻击伤害 +10.1% ~ +11.2%</t>
  </si>
  <si>
    <t>4C BD 00 00 9D 00 00 00 00 03 04 00</t>
  </si>
  <si>
    <t>(星)近距离攻击伤害(绝境) +14.5% ~ +15.7%</t>
  </si>
  <si>
    <t>3B 01 00 00 A9 00 00 00 00 03 04 00</t>
  </si>
  <si>
    <t>(星)近距离攻击伤害(绝境) +15.7% ~ +16.9%</t>
  </si>
  <si>
    <t>94 0D 00 00 B4 00 00 00 00 03 04 00</t>
  </si>
  <si>
    <t>(星)近距离攻击伤害(绝境) +16.8% ~ +18.0%</t>
  </si>
  <si>
    <t>D2 18 00 00 71 00 00 00 00 03 04 00</t>
  </si>
  <si>
    <t>(星)近距离攻击伤害(无伤) +10.2% ~ +11.3%</t>
  </si>
  <si>
    <t>2D CC 00 00 7C 00 00 00 00 03 04 00</t>
  </si>
  <si>
    <t>(星)近距离攻击伤害(无伤) +11.3% ~ +12.4%</t>
  </si>
  <si>
    <t>61 92 00 00 86 00 00 00 00 03 04 00</t>
  </si>
  <si>
    <t>(星)近距离攻击伤害(无伤) +12.3% ~ +13.4%</t>
  </si>
  <si>
    <t>D2 E3 00 00 C0 00 00 00 00 03 04 00</t>
  </si>
  <si>
    <t>(星)对精力耗尽敌人的近距离伤害 +17.5% ~ +19.2%</t>
  </si>
  <si>
    <t>41 8C 00 00 D0 00 00 00 00 03 04 00</t>
  </si>
  <si>
    <t>(星)对精力耗尽敌人的近距离伤害 +19.1% ~ +20.8%</t>
  </si>
  <si>
    <t>BE BD 00 00 E1 00 00 00 00 03 04 00</t>
  </si>
  <si>
    <t>(星)对精力耗尽敌人的近距离伤害 +20.8% ~ +22.5%</t>
  </si>
  <si>
    <t>7D 0A 00 00 67 00 00 00 00 03 04 00</t>
  </si>
  <si>
    <t>(星)守护灵技的伤害 +9.2% ~ +10.3%</t>
  </si>
  <si>
    <t>34 45 00 00 71 00 00 00 00 03 04 00</t>
  </si>
  <si>
    <t>(星)守护灵技的伤害 +10.2% ~ +11.3%</t>
  </si>
  <si>
    <t>41 2E 00 00 7C 00 00 00 00 03 04 00</t>
  </si>
  <si>
    <t>(星)守护灵技的伤害 +11.3% ~ +12.4%</t>
  </si>
  <si>
    <t>2D A9 00 00 63 00 00 00 00 03 04 00</t>
  </si>
  <si>
    <t>(星)刺击伤害 +8.8% ~ +9.9%</t>
  </si>
  <si>
    <t>9B 7F 00 00 6E 00 00 00 00 03 04 00</t>
  </si>
  <si>
    <t>(星)刺击伤害 +9.9% ~ +11.0%</t>
  </si>
  <si>
    <t>2C 88 00 00 78 00 00 00 00 03 04 00</t>
  </si>
  <si>
    <t>(星)刺击伤害 +10.9% ~ +12.0%</t>
  </si>
  <si>
    <t>11 85 00 00 46 00 00 00 00 03 04 00</t>
  </si>
  <si>
    <t>(星)阴阳术伤害 +6.0% ~ +7.0%</t>
  </si>
  <si>
    <t>26 AE 00 00 50 00 00 00 00 03 04 00</t>
  </si>
  <si>
    <t>(星)阴阳术伤害 +7.0% ~ +8.0%</t>
  </si>
  <si>
    <t>D6 A7 00 00 5A 00 00 00 00 03 04 00</t>
  </si>
  <si>
    <t>(星)阴阳术伤害 +8.0% ~ +9.0%</t>
  </si>
  <si>
    <t>28 7B 00 00 67 00 00 00 00 03 04 00</t>
  </si>
  <si>
    <t>(星)武技伤害 +9.2% ~ +10.3%</t>
  </si>
  <si>
    <t>CD 60 00 00 72 00 00 00 00 03 04 00</t>
  </si>
  <si>
    <t>(星)武技伤害 +10.3% ~ +11.4%</t>
  </si>
  <si>
    <t>DD D3 00 00 7C 00 00 00 00 03 04 00</t>
  </si>
  <si>
    <t>(星)武技伤害 +11.3% ~ +12.4%</t>
  </si>
  <si>
    <t>9A 9A 00 00 7B 00 00 00 00 03 04 00</t>
  </si>
  <si>
    <t>(星)空中攻击伤害 +11.2% ~ +12.3%</t>
  </si>
  <si>
    <t>74 D0 00 00 86 00 00 00 00 03 04 00</t>
  </si>
  <si>
    <t>(星)空中攻击伤害 +12.3% ~ +13.4%</t>
  </si>
  <si>
    <t>E0 A3 00 00 90 00 00 00 00 03 04 00</t>
  </si>
  <si>
    <t>(星)空中攻击伤害 +13.3% ~ +14.4%</t>
  </si>
  <si>
    <t>A6 7D 00 00 B9 00 00 00 00 03 04 00</t>
  </si>
  <si>
    <t>(星)追击和近身刺击伤害 +15.8% ~ +18.5%</t>
  </si>
  <si>
    <t>D8 C4 00 00 D3 00 00 00 00 03 04 00</t>
  </si>
  <si>
    <t>(星)追击和近身刺击伤害 +18.4% ~ +21.1%</t>
  </si>
  <si>
    <t>08 97 00 00 EE 00 00 00 00 03 04 00</t>
  </si>
  <si>
    <t>(星)追击和近身刺击伤害 +21.1% ~ +23.8%</t>
  </si>
  <si>
    <t>31 AC 00 00 7B 00 00 00 00 03 04 00</t>
  </si>
  <si>
    <t>(星)背后攻击伤害 +11.2% ~ +12.3%</t>
  </si>
  <si>
    <t>25 A8 00 00 86 00 00 00 00 03 04 00</t>
  </si>
  <si>
    <t>(星)背后攻击伤害 +12.3% ~ +13.4%</t>
  </si>
  <si>
    <t>C2 E1 00 00 90 00 00 00 00 03 04 00</t>
  </si>
  <si>
    <t>(星)背后攻击伤害 +13.3% ~ +14.4%</t>
  </si>
  <si>
    <t>C1 0B 00 00 8A 00 00 00 00 05 04 00</t>
  </si>
  <si>
    <t>(星)近距离攻击的精力消耗降低 -13.0% ~ -13.8%</t>
  </si>
  <si>
    <t>[近战/头部/身体]</t>
  </si>
  <si>
    <t>43 FF 00 00 92 00 00 00 00 05 04 00</t>
  </si>
  <si>
    <t>(星)近距离攻击的精力消耗降低 -13.8% ~ -14.6%</t>
  </si>
  <si>
    <t>62 9D 00 00 9A 00 00 00 00 05 04 00</t>
  </si>
  <si>
    <t>(星)近距离攻击的精力消耗降低 -14.6% ~ -15.4%</t>
  </si>
  <si>
    <t>C9 0C 00 00 9A 00 00 00 00 05 04 00</t>
  </si>
  <si>
    <t>(星)速攻击精力消耗降低 -13.2% ~ -15.4%</t>
  </si>
  <si>
    <t>56 CF 00 00 B0 00 00 00 00 05 04 00</t>
  </si>
  <si>
    <t>(星)速攻击精力消耗降低 -15.4% ~ -17.6%</t>
  </si>
  <si>
    <t>0A 01 00 00 C6 00 00 00 00 05 04 00</t>
  </si>
  <si>
    <t>(星)速攻击精力消耗降低 -17.8% ~ -19.8%</t>
  </si>
  <si>
    <t>06 D7 00 00 9A 00 00 00 00 05 04 00</t>
  </si>
  <si>
    <t>(星)强攻击精力消耗降低 -13.2% ~ -15.4%</t>
  </si>
  <si>
    <t>91 C5 00 00 B0 00 00 00 00 05 04 00</t>
  </si>
  <si>
    <t>(星)强攻击精力消耗降低 -14.5% ~ -17.6%</t>
  </si>
  <si>
    <t>3A E4 00 00 C6 00 00 00 00 05 04 00</t>
  </si>
  <si>
    <t>(星)强攻击精力消耗降低 -17.6% ~ -19.8%</t>
  </si>
  <si>
    <t>26 47 00 00 8F 00 00 00 00 05 04 00</t>
  </si>
  <si>
    <t>(星)武技精力消耗降低 -13.2% ~ -14.3%</t>
  </si>
  <si>
    <t>48 04 00 00 9A 00 00 00 00 05 04 00</t>
  </si>
  <si>
    <t>(星)武技精力消耗降低 -14.3% ~ -15.4%</t>
  </si>
  <si>
    <t>66 13 00 00 A4 00 00 00 00 05 04 00</t>
  </si>
  <si>
    <t>(星)武技精力消耗降低 -15.3% ~ -16.4%</t>
  </si>
  <si>
    <t>CE A3 00 00 50 00 00 00 00 05 04 00</t>
  </si>
  <si>
    <t>(星)精力 +72 ~ +80</t>
  </si>
  <si>
    <t>B2 EA 00 00 58 00 00 00 00 05 04 00</t>
  </si>
  <si>
    <t>(星)精力 +80 ~ +88</t>
  </si>
  <si>
    <t>87 80 00 00 60 00 00 00 00 05 04 00</t>
  </si>
  <si>
    <t>(星)精力 +88 ~ +96</t>
  </si>
  <si>
    <t>99 63 00 00 BC 00 00 00 00 05 04 00</t>
  </si>
  <si>
    <t>(星)近距离攻击精力消耗降低(绝境) -16.4% ~ -18.8%</t>
  </si>
  <si>
    <t>88 5D 00 00 D4 00 00 00 00 05 04 00</t>
  </si>
  <si>
    <t>(星)近距离攻击精力消耗降低(绝境) -18.8% ~ -21.2%</t>
  </si>
  <si>
    <t>05 62 00 00 EC 00 00 00 00 05 04 00</t>
  </si>
  <si>
    <t>(星)近距离攻击精力消耗降低(绝境) -21.2% ~ -23.6%</t>
  </si>
  <si>
    <t>03 65 00 00 89 00 00 00 00 05 04 00</t>
  </si>
  <si>
    <t>(星)防御精力消耗降低 -12.2% ~ -13.7%</t>
  </si>
  <si>
    <t>[头部/身体]</t>
  </si>
  <si>
    <t>1B 1A 00 00 98 00 00 00 00 05 04 00</t>
  </si>
  <si>
    <t>(星)防御精力消耗降低 -13.7% ~ -15.2%</t>
  </si>
  <si>
    <t>03 AC 00 00 9C 00 00 00 00 05 04 00</t>
  </si>
  <si>
    <t>(星)防御精力消耗降低 -14.1% ~ -15.6%</t>
  </si>
  <si>
    <t>73 6C 00 00 15 00 00 00 00 06 04 00</t>
  </si>
  <si>
    <t>(星)属性攻击伤害降低 +18 ~ +21</t>
  </si>
  <si>
    <t>[腿部/足部]</t>
  </si>
  <si>
    <t>67 38 00 00 18 00 00 00 00 06 04 00</t>
  </si>
  <si>
    <t>(星)属性攻击伤害降低 +21 ~ +24</t>
  </si>
  <si>
    <t>0D 05 00 00 1B 00 00 00 00 06 04 00</t>
  </si>
  <si>
    <t>(星)属性攻击伤害降低 +24 ~ +27</t>
  </si>
  <si>
    <t>7A ED 00 00 42 00 00 00 00 06 04 00</t>
  </si>
  <si>
    <t>(星)防御时的属性攻击伤害降低 +60 ~ +66</t>
  </si>
  <si>
    <t>8A 95 00 00 49 00 00 00 00 06 04 00</t>
  </si>
  <si>
    <t>(星)防御时的属性攻击伤害降低 +67 ~ +73</t>
  </si>
  <si>
    <t>A4 A0 00 00 50 00 00 00 00 06 04 00</t>
  </si>
  <si>
    <t>(星)防御时的属性攻击伤害降低 +74 ~ +80</t>
  </si>
  <si>
    <t>CC CD 00 00 F0 00 00 00 00 09 04 00</t>
  </si>
  <si>
    <t>(星)获得金钱 +20.0% ~ +24.0%</t>
  </si>
  <si>
    <t>[头部/腿部]</t>
  </si>
  <si>
    <t>50 75 00 00 0E 01 00 00 00 09 04 00</t>
  </si>
  <si>
    <t>(星)获得金钱 +24.0% ~ +27.4%</t>
  </si>
  <si>
    <t>2A 8B 00 00 2C 01 00 00 00 09 04 00</t>
  </si>
  <si>
    <t>(星)获得金钱 +27.0% ~ +30.0%</t>
  </si>
  <si>
    <t>06 11 00 00 A2 00 00 00 00 09 04 00</t>
  </si>
  <si>
    <t>(星)装备品掉落率 +15.4% ~ +16.2%</t>
  </si>
  <si>
    <t>[远程/足部]</t>
  </si>
  <si>
    <t>A2 F4 00 00 AC 00 00 00 00 09 04 00</t>
  </si>
  <si>
    <t>(星)装备品掉落率 +16.2% ~ +17.2%</t>
  </si>
  <si>
    <t>D0 0B 00 00 B4 00 00 00 00 09 04 00</t>
  </si>
  <si>
    <t>(星)装备品掉落率 +17.2% ~ +18.0%</t>
  </si>
  <si>
    <t>5B 1C 00 00 A2 00 00 00 00 09 04 00</t>
  </si>
  <si>
    <t>(星)魂核掉落率 +15.4% ~ +16.2%</t>
  </si>
  <si>
    <t>63 BE 00 00 AC 00 00 00 00 09 04 00</t>
  </si>
  <si>
    <t>(星)魂核掉落率 +16.2% ~ +17.2%</t>
  </si>
  <si>
    <t>E2 86 00 00 B4 00 00 00 00 09 04 00</t>
  </si>
  <si>
    <t>(星)魂核掉落率 +17.2% ~ +18.0%</t>
  </si>
  <si>
    <t>44 29 00 00 28 00 00 00 00 09 04 00</t>
  </si>
  <si>
    <t>(星)幸运 +35 ~ +40</t>
  </si>
  <si>
    <t>1B E9 00 00 2D 00 00 00 00 09 04 00</t>
  </si>
  <si>
    <t>(星)幸运 +40 ~ +45</t>
  </si>
  <si>
    <t>37 A2 00 00 32 00 00 00 00 09 04 00</t>
  </si>
  <si>
    <t>(星)幸运 +45 ~ +50</t>
  </si>
  <si>
    <t>99 CE 00 00 55 00 00 00 00 0A 04 00</t>
  </si>
  <si>
    <t>(星)灵力增加量 +7.7% ~ +8.5%</t>
  </si>
  <si>
    <t>9F DA 00 00 5D 00 00 00 00 0A 04 00</t>
  </si>
  <si>
    <t>(星)灵力增加量 +8.5% ~ +9.3%</t>
  </si>
  <si>
    <t>24 19 00 00 86 00 00 00 00 0A 04 00</t>
  </si>
  <si>
    <t>(星)灵力增加量 +12.3% ~ +13.4%</t>
  </si>
  <si>
    <t>0E 77 00 00 72 00 00 00 00 0A 04 00</t>
  </si>
  <si>
    <t>(星)灵力增加量(无伤) +10.2% ~ +11.4%</t>
  </si>
  <si>
    <t>8E 6F 00 00 7E 00 00 00 00 0A 04 00</t>
  </si>
  <si>
    <t>(星)灵力增加量(无伤) +11.4% ~ +12.6%</t>
  </si>
  <si>
    <t>35 98 00 00 8A 00 00 00 00 0A 04 00</t>
  </si>
  <si>
    <t>(星)灵力增加量(无伤) +12.6% ~ +13.8%</t>
  </si>
  <si>
    <t>35 75 00 00 10 00 00 00 00 0A 04 00</t>
  </si>
  <si>
    <t>(星)识破可增加灵力 +15 ~ +16</t>
  </si>
  <si>
    <t>63 DB 00 00 12 00 00 00 00 0A 04 00</t>
  </si>
  <si>
    <t>(星)识破可增加灵力 +17 ~ +18</t>
  </si>
  <si>
    <t>90 DE 00 00 13 00 00 00 00 0A 04 00</t>
  </si>
  <si>
    <t>(星)识破可增加灵力 +18 ~ +19</t>
  </si>
  <si>
    <t>4E 04 00 00 10 00 00 00 00 0A 04 00</t>
  </si>
  <si>
    <t>(星)格挡可增加灵力 +15 ~ +16</t>
  </si>
  <si>
    <t>8B C4 00 00 12 00 00 00 00 0A 04 00</t>
  </si>
  <si>
    <t>(星)格挡可增加灵力 +17 ~ +18</t>
  </si>
  <si>
    <t>3F 83 00 00 13 00 00 00 00 0A 04 00</t>
  </si>
  <si>
    <t>(星)格挡可增加灵力 +18 ~ +19</t>
  </si>
  <si>
    <t>6E 4C 00 00 0A 00 00 00 00 0A 04 00</t>
  </si>
  <si>
    <t>(星)箭弹命中增加灵力 +8 ~ +10</t>
  </si>
  <si>
    <t>7F B3 00 00 0B 00 00 00 00 0A 04 00</t>
  </si>
  <si>
    <t>(星)箭弹命中增加灵力 +10 ~ +11</t>
  </si>
  <si>
    <t>B7 2F 00 00 0C 00 00 00 00 0A 04 00</t>
  </si>
  <si>
    <t>(星)箭弹命中增加灵力 +10 ~ +12</t>
  </si>
  <si>
    <t>6E 49 00 00 64 00 00 00 00 0C 04 00</t>
  </si>
  <si>
    <t>(星)阴阳术 术力 +80 ~ +100</t>
  </si>
  <si>
    <t>A1 AD 00 00 6E 00 00 00 00 0C 04 00</t>
  </si>
  <si>
    <t>(星)阴阳术 术力 +100 ~ +110</t>
  </si>
  <si>
    <t>6F C6 00 00 78 00 00 00 00 0C 04 00</t>
  </si>
  <si>
    <t>(星)阴阳术 术力 +110 ~ +120</t>
  </si>
  <si>
    <t>8D 82 00 00 34 00 00 00 00 0C 04 00</t>
  </si>
  <si>
    <t>(星)不消耗使役符以外的阴阳术 +4.5% ~ +5.2%</t>
  </si>
  <si>
    <t>52 75 00 00 3B 00 00 00 00 0C 04 00</t>
  </si>
  <si>
    <t>(星)不消耗使役符以外的阴阳术 +5.2% ~ +5.9%</t>
  </si>
  <si>
    <t>5A EB 00 00 42 00 00 00 00 0C 04 00</t>
  </si>
  <si>
    <t>(星)不消耗使役符以外的阴阳术 +5.9% ~ +6.6%</t>
  </si>
  <si>
    <t>84 9F 00 00 A7 00 00 00 00 0C 04 00</t>
  </si>
  <si>
    <t>(星)一难的解除时间延长 +15.0% ~ +16.7%</t>
  </si>
  <si>
    <t>14 26 00 00 B8 00 00 00 00 0C 04 00</t>
  </si>
  <si>
    <t>(星)一难的解除时间延长 +16.7% ~ +18.4%</t>
  </si>
  <si>
    <t>57 D3 00 00 C8 00 00 00 00 0C 04 00</t>
  </si>
  <si>
    <t>(星)一难的解除时间延长 +18.3% ~ +20.0%</t>
  </si>
  <si>
    <t>20 0D 00 00 18 00 00 00 00 11 04 00</t>
  </si>
  <si>
    <t>(星)防御性能 +20 ~ +24</t>
  </si>
  <si>
    <t>F7 F0 00 00 1D 00 00 00 00 11 04 00</t>
  </si>
  <si>
    <t>(星)防御性能 +25 ~ +29</t>
  </si>
  <si>
    <t>C6 2B 00 00 1E 00 00 00 00 11 04 00</t>
  </si>
  <si>
    <t>(星)防御性能 +26 ~ +30</t>
  </si>
  <si>
    <t>DF 21 00 00 61 00 00 00 00 11 04 00</t>
  </si>
  <si>
    <t>(星)九十九化身槽减少(攻击动作中) +8.0% ~ +9.7%</t>
  </si>
  <si>
    <t>EF 33 00 00 72 00 00 00 00 11 04 00</t>
  </si>
  <si>
    <t>(星)九十九化身槽减少(攻击动作中) +9.7% ~ +11.4%</t>
  </si>
  <si>
    <t>93 B9 00 00 82 00 00 00 00 11 04 00</t>
  </si>
  <si>
    <t>(星)九十九化身槽减少(攻击动作中) +11.3% ~ +13.0%</t>
  </si>
  <si>
    <t>F9 A3 00 00 3B 00 00 00 00 12 04 00</t>
  </si>
  <si>
    <t>(星)近距离攻击精力伤害 +5.0% ~ +5.9%</t>
  </si>
  <si>
    <t>53 B8 00 00 44 00 00 00 00 12 04 00</t>
  </si>
  <si>
    <t>(星)近距离攻击精力伤害 +5.9% ~ +6.8%</t>
  </si>
  <si>
    <t>13 23 00 00 4B 00 00 00 00 12 04 00</t>
  </si>
  <si>
    <t>(星)近距离攻击精力伤害 +6.6% ~ +7.5%</t>
  </si>
  <si>
    <t>EF 2D 00 00 2F 00 00 00 00 12 04 00</t>
  </si>
  <si>
    <t>(星)守护灵技的精力伤害 +4.0% ~ +4.7%</t>
  </si>
  <si>
    <t>45 01 00 00 36 00 00 00 00 12 04 00</t>
  </si>
  <si>
    <t>(星)守护灵技的精力伤害 +4.7% ~ +5.4%</t>
  </si>
  <si>
    <t>E7 6E 00 00 3C 00 00 00 00 12 04 00</t>
  </si>
  <si>
    <t>(星)守护灵技的精力伤害 +5.3% ~ +6.0%</t>
  </si>
  <si>
    <t>63 98 00 00 57 00 00 00 00 12 04 00</t>
  </si>
  <si>
    <t>(星)强攻击精力伤害 +7.8% ~ +8.7%</t>
  </si>
  <si>
    <t>4E E3 00 00 60 00 00 00 00 12 04 00</t>
  </si>
  <si>
    <t>(星)强攻击精力伤害 +8.7% ~ +9.6%</t>
  </si>
  <si>
    <t>42 C0 00 00 68 00 00 00 00 12 04 00</t>
  </si>
  <si>
    <t>(星)强攻击精力伤害 +7.8% ~ +10.4%</t>
  </si>
  <si>
    <t>D0 31 00 00 56 00 00 00 00 12 04 00</t>
  </si>
  <si>
    <t>(星)武技精力伤害 +7.8% ~ +8.6%</t>
  </si>
  <si>
    <t>5E 56 00 00 5F 00 00 00 00 12 04 00</t>
  </si>
  <si>
    <t>(星)武技精力伤害 +8.7% ~ +9.5%</t>
  </si>
  <si>
    <t>F1 94 00 00 67 00 00 00 00 12 04 00</t>
  </si>
  <si>
    <t>(星)武技精力伤害 +9.5% ~ +10.3%</t>
  </si>
  <si>
    <t>86 D5 00 00 71 00 00 00 00 12 04 00</t>
  </si>
  <si>
    <t>(星)对处于火状态敌人的精力伤害 +10.4% ~ +11.3%</t>
  </si>
  <si>
    <t>[近战/远程]</t>
  </si>
  <si>
    <t>99 07 00 00 7A 00 00 00 00 12 04 00</t>
  </si>
  <si>
    <t>(星)对处于火状态敌人的精力伤害 +11.3% ~ +12.2%</t>
  </si>
  <si>
    <t>1B 6E 00 00 83 00 00 00 00 12 04 00</t>
  </si>
  <si>
    <t>(星)对处于火状态敌人的精力伤害 +12.2% ~ +13.1%</t>
  </si>
  <si>
    <t>F0 F4 00 00 71 00 00 00 00 12 04 00</t>
  </si>
  <si>
    <t>(星)对处于水状态敌人的精力伤害 +10.4% ~ +11.3%</t>
  </si>
  <si>
    <t>2E AB 00 00 7A 00 00 00 00 12 04 00</t>
  </si>
  <si>
    <t>(星)对处于水状态敌人的精力伤害 +11.3% ~ +12.2%</t>
  </si>
  <si>
    <t>F3 A7 00 00 83 00 00 00 00 12 04 00</t>
  </si>
  <si>
    <t>(星)对处于水状态敌人的精力伤害 +12.2% ~ +13.1%</t>
  </si>
  <si>
    <t>61 7D 00 00 71 00 00 00 00 12 04 00</t>
  </si>
  <si>
    <t>(星)对处于雷状态敌人的精力伤害 +10.4% ~ +11.3%</t>
  </si>
  <si>
    <t>D7 D4 00 00 7A 00 00 00 00 12 04 00</t>
  </si>
  <si>
    <t>(星)对处于雷状态敌人的精力伤害 +11.3% ~ +12.2%</t>
  </si>
  <si>
    <t>C9 51 00 00 83 00 00 00 00 12 04 00</t>
  </si>
  <si>
    <t>(星)对处于雷状态敌人的精力伤害 +12.2% ~ +13.1%</t>
  </si>
  <si>
    <t>77 8A 00 00 71 00 00 00 00 12 04 00</t>
  </si>
  <si>
    <t>2B 14 00 00 7A 00 00 00 00 12 04 00</t>
  </si>
  <si>
    <t>37 BE 00 00 83 00 00 00 00 12 04 00</t>
  </si>
  <si>
    <t>F7 02 00 00 38 00 00 00 00 12 04 00</t>
  </si>
  <si>
    <t>(星)阴阳术精力伤害 +4.8% ~ +5.6%</t>
  </si>
  <si>
    <t>8A E3 00 00 40 00 00 00 00 12 04 00</t>
  </si>
  <si>
    <t>(星)阴阳术精力伤害 +5.6% ~ +6.4%</t>
  </si>
  <si>
    <t>9C 3C 00 00 48 00 00 00 00 12 04 00</t>
  </si>
  <si>
    <t>(星)阴阳术精力伤害 +6.4% ~ +7.2%</t>
  </si>
  <si>
    <t>FA C0 00 00 A9 00 00 00 00 12 04 00</t>
  </si>
  <si>
    <t>(星)弓精力伤害 +14.4% ~ +16.9%</t>
  </si>
  <si>
    <t>[弓]</t>
  </si>
  <si>
    <t>67 20 00 00 C2 00 00 00 00 12 04 00</t>
  </si>
  <si>
    <t>(星)弓精力伤害 +16.9% ~ +19.4%</t>
  </si>
  <si>
    <t>F1 4E 00 00 DB 00 00 00 00 12 04 00</t>
  </si>
  <si>
    <t>(星)弓精力伤害 +19.4% ~ +21.9%</t>
  </si>
  <si>
    <t>F2 49 00 00 A9 00 00 00 00 12 04 00</t>
  </si>
  <si>
    <t>(星)火枪精力伤害 +14.4% ~ +16.9%</t>
  </si>
  <si>
    <t>[火枪]</t>
  </si>
  <si>
    <t>64 3F 00 00 C2 00 00 00 00 12 04 00</t>
  </si>
  <si>
    <t>(星)火枪精力伤害 +16.9% ~ +19.4%</t>
  </si>
  <si>
    <t>2F 80 00 00 DB 00 00 00 00 12 04 00</t>
  </si>
  <si>
    <t>(星)火枪精力伤害 +19.4% ~ +21.9%</t>
  </si>
  <si>
    <t>3E 4D 00 00 A9 00 00 00 00 12 04 00</t>
  </si>
  <si>
    <t>(星)大炮精力伤害 +14.4% ~ +16.9%</t>
  </si>
  <si>
    <t>[大炮]</t>
  </si>
  <si>
    <t>CC 0C 00 00 C2 00 00 00 00 12 04 00</t>
  </si>
  <si>
    <t>(星)大炮精力伤害 +16.9% ~ +19.4%</t>
  </si>
  <si>
    <t>BD EF 00 00 DB 00 00 00 00 12 04 00</t>
  </si>
  <si>
    <t>(星)大炮精力伤害 +19.4% ~ +21.9%</t>
  </si>
  <si>
    <t>27 D1 00 00 E6 00 00 00 00 14 04 00</t>
  </si>
  <si>
    <t>(星)体力 +200 ~ +230</t>
  </si>
  <si>
    <t>50 78 00 00 04 01 00 00 00 14 04 00</t>
  </si>
  <si>
    <t>(星)体力 +230 ~ +260</t>
  </si>
  <si>
    <t>CE 08 00 00 22 01 00 00 00 14 04 00</t>
  </si>
  <si>
    <t>(星)体力 +261 ~ +290</t>
  </si>
  <si>
    <t>BA B5 00 00 2D 00 00 00 00 14 04 00</t>
  </si>
  <si>
    <t>(星)守护灵技命中可吸取体力 40 ~ 45</t>
  </si>
  <si>
    <t>[身体/腿部]</t>
  </si>
  <si>
    <t>1F 7C 00 00 32 00 00 00 00 14 04 00</t>
  </si>
  <si>
    <t>(星)守护灵技命中可吸取体力 45 ~ 50</t>
  </si>
  <si>
    <t>59 09 00 00 37 00 00 00 00 14 04 00</t>
  </si>
  <si>
    <t>(星)守护灵技命中可吸取体力 50 ~ 55</t>
  </si>
  <si>
    <t>38 75 00 00 08 00 00 00 00 14 04 00</t>
  </si>
  <si>
    <t>(星)造成属性伤害时吸取体力 B+ ~ B+</t>
  </si>
  <si>
    <t>[身体/饰品]</t>
  </si>
  <si>
    <t>DA E1 00 00 09 00 00 00 00 14 04 00</t>
  </si>
  <si>
    <t>(星)造成属性伤害时吸取体力 A- ~ A-</t>
  </si>
  <si>
    <t>32 37 00 00 0A 00 00 00 00 14 04 00</t>
  </si>
  <si>
    <t>(星)造成属性伤害时吸取体力 A ~ A</t>
  </si>
  <si>
    <t>D3 68 00 00 10 00 00 00 00 14 04 00</t>
  </si>
  <si>
    <t>(星)武技吸取体力 +14.0% ~ +16.0%</t>
  </si>
  <si>
    <t>[近战/身体]</t>
  </si>
  <si>
    <t>A1 82 00 00 12 00 00 00 00 14 04 00</t>
  </si>
  <si>
    <t>(星)武技吸取体力 +16.0% ~ +18.0%</t>
  </si>
  <si>
    <t>88 B8 00 00 14 00 00 00 00 14 04 00</t>
  </si>
  <si>
    <t>(星)武技吸取体力 +18.0% ~ +12.0%</t>
  </si>
  <si>
    <t>DC 0A 00 00 0B 00 00 00 00 14 04 00</t>
  </si>
  <si>
    <t>(星)阴阳术伤害吸取体力 A- ~ A+</t>
  </si>
  <si>
    <t>FE 8B 00 00 0D 00 00 00 00 14 04 00</t>
  </si>
  <si>
    <t>(星)阴阳术伤害吸取体力 A+ ~ AA</t>
  </si>
  <si>
    <t>C2 ED 00 00 0E 00 00 00 00 14 04 00</t>
  </si>
  <si>
    <t>(星)阴阳术伤害吸取体力 AA- ~ AA+</t>
  </si>
  <si>
    <t>D1 94 00 00 52 00 00 00 00 17 04 00</t>
  </si>
  <si>
    <t>(星)残心精力恢复量 +7.5% ~ +8.2%</t>
  </si>
  <si>
    <t>[腿部/饰品]</t>
  </si>
  <si>
    <t>8D 68 00 00 59 00 00 00 00 17 04 00</t>
  </si>
  <si>
    <t>(星)残心精力恢复量 +8.2% ~ +8.9%</t>
  </si>
  <si>
    <t>2D 7D 00 00 5F 00 00 00 00 17 04 00</t>
  </si>
  <si>
    <t>(星)残心精力恢复量 +8.8% ~ +9.5%</t>
  </si>
  <si>
    <t>8B 6A 00 00 55 00 00 00 00 17 04 00</t>
  </si>
  <si>
    <t>(星)精力恢复速度 +7.4% ~ +8.5%</t>
  </si>
  <si>
    <t>C9 E4 00 00 60 00 00 00 00 17 04 00</t>
  </si>
  <si>
    <t>(星)精力恢复速度 +8.5% ~ +9.6%</t>
  </si>
  <si>
    <t>CC 9F 00 00 6C 00 00 00 00 17 04 00</t>
  </si>
  <si>
    <t>(星)精力恢复速度 +9.7% ~ +10.8%</t>
  </si>
  <si>
    <t>00 B1 00 00 84 00 00 00 00 17 04 00</t>
  </si>
  <si>
    <t>(星)防御时精力恢复速度 +12.4% ~ +13.2%</t>
  </si>
  <si>
    <t>5B AA 00 00 8C 00 00 00 00 17 04 00</t>
  </si>
  <si>
    <t>(星)防御时精力恢复速度 +13.2% ~ +14.0%</t>
  </si>
  <si>
    <t>03 80 00 00 94 00 00 00 00 17 04 00</t>
  </si>
  <si>
    <t>(星)防御时精力恢复速度 +14.0% ~ +14.8%</t>
  </si>
  <si>
    <t>FC 84 00 00 92 00 00 00 00 17 04 00</t>
  </si>
  <si>
    <t>(星)精力恢复速度上升(无伤) +12.4% ~ +14.6%</t>
  </si>
  <si>
    <t>[头部/足部]</t>
  </si>
  <si>
    <t>D4 F5 00 00 A8 00 00 00 00 17 04 00</t>
  </si>
  <si>
    <t>(星)精力恢复速度上升(无伤) +14.6% ~ +16.8%</t>
  </si>
  <si>
    <t>B8 2A 00 00 BE 00 00 00 00 17 04 00</t>
  </si>
  <si>
    <t>(星)精力恢复速度上升(无伤) +16.8% ~ +19.0%</t>
  </si>
  <si>
    <t>47 7C 00 00 70 00 00 00 00 19 04 00</t>
  </si>
  <si>
    <t>(星)精华槽增加量 +10.1% ~ +11.2%</t>
  </si>
  <si>
    <t>66 4C 00 00 7B 00 00 00 00 19 04 00</t>
  </si>
  <si>
    <t>(星)精华槽增加量 +11.2% ~ +12.3%</t>
  </si>
  <si>
    <t>89 1D 00 00 86 00 00 00 00 19 04 00</t>
  </si>
  <si>
    <t>(星)精华槽增加量 +12.3% ~ +13.4%</t>
  </si>
  <si>
    <t>CB D6 00 00 73 00 00 00 00 19 04 00</t>
  </si>
  <si>
    <t>(星)九十九化身持续时间延长 +10.5% ~ +11.5%</t>
  </si>
  <si>
    <t>D2 4D 00 00 7F 00 00 00 00 19 04 00</t>
  </si>
  <si>
    <t>(星)九十九化身持续时间延长 +11.5% ~ +12.5%</t>
  </si>
  <si>
    <t>64 A1 00 00 87 00 00 00 00 19 04 00</t>
  </si>
  <si>
    <t>(星)九十九化身持续时间延长 +12.5% ~ +13.5%</t>
  </si>
  <si>
    <t>68 72 00 00 8C 00 00 00 00 1B 04 00</t>
  </si>
  <si>
    <t>(星)弓伤害 +12.0% ~ +14.0%</t>
  </si>
  <si>
    <t>94 8A 00 00 A0 00 00 00 00 1B 04 00</t>
  </si>
  <si>
    <t>(星)弓伤害 +14.0% ~ +16.0%</t>
  </si>
  <si>
    <t>DE 2E 00 00 B4 00 00 00 00 1B 04 00</t>
  </si>
  <si>
    <t>(星)弓伤害 +16.0% ~ +18.0%</t>
  </si>
  <si>
    <t>3E 1C 00 00 8C 00 00 00 00 1B 04 00</t>
  </si>
  <si>
    <t>(星)火枪伤害 +12.0% ~ +14.0%</t>
  </si>
  <si>
    <t>D4 9E 00 00 A0 00 00 00 00 1B 04 00</t>
  </si>
  <si>
    <t>(星)火枪伤害 +14.0% ~ +16.0%</t>
  </si>
  <si>
    <t>B3 B9 00 00 B4 00 00 00 00 1B 04 00</t>
  </si>
  <si>
    <t>(星)火枪伤害 +16.0% ~ +18.0%</t>
  </si>
  <si>
    <t>3B CD 00 00 8C 00 00 00 00 1B 04 00</t>
  </si>
  <si>
    <t>(星)大炮伤害 +12.0% ~ +14.0%</t>
  </si>
  <si>
    <t>F2 BB 00 00 A0 00 00 00 00 1B 04 00</t>
  </si>
  <si>
    <t>(星)大炮伤害 +14.0% ~ +16.0%</t>
  </si>
  <si>
    <t>7C E8 00 00 B4 00 00 00 00 1B 04 00</t>
  </si>
  <si>
    <t>(星)大炮伤害 +16.0% ~ +18.0%</t>
  </si>
  <si>
    <t>8B F0 00 00 71 00 00 00 00 1B 04 00</t>
  </si>
  <si>
    <t>(星)远距离伤害 +10.0% ~ +11.3%</t>
  </si>
  <si>
    <t>[远程/饰品]</t>
  </si>
  <si>
    <t>E0 38 00 00 7E 00 00 00 00 1B 04 00</t>
  </si>
  <si>
    <t>(星)远距离伤害 +11.3% ~ +12.6%</t>
  </si>
  <si>
    <t>AE DF 00 00 BC 00 00 00 00 1B 04 00</t>
  </si>
  <si>
    <t>(星)远距离伤害 +12.7% ~ +14.0%</t>
  </si>
  <si>
    <t>4A FF 00 00 AF 00 00 00 00 1B 04 00</t>
  </si>
  <si>
    <t>(星)不消耗箭弹 +16.9% ~ +17.5%</t>
  </si>
  <si>
    <t>B6 EA 00 00 6F 00 00 00 00 1C 04 00</t>
  </si>
  <si>
    <t>(星)闪避动作精力消耗降低 -10.1% ~ -11.1%</t>
  </si>
  <si>
    <t>04 C5 00 00 7C 00 00 00 00 1C 04 00</t>
  </si>
  <si>
    <t>(星)闪避动作精力消耗降低 -11.4% ~ -12.4%</t>
  </si>
  <si>
    <t>D1 E0 00 00 87 00 00 00 00 1C 04 00</t>
  </si>
  <si>
    <t>(星)闪避动作精力消耗降低 -12.5% ~ -13.5%</t>
  </si>
  <si>
    <t>8F 3B 00 00 8E 00 00 00 00 1C 04 00</t>
  </si>
  <si>
    <t>(星)闪避动作精力消耗降低(绝境) -13.1% ~ -14.2%</t>
  </si>
  <si>
    <t>F6 0F 00 00 99 00 00 00 00 1C 04 00</t>
  </si>
  <si>
    <t>(星)闪避动作精力消耗降低(绝境) -14.2% ~ -15.3%</t>
  </si>
  <si>
    <t>A0 2E 00 00 A5 00 00 00 00 1C 04 00</t>
  </si>
  <si>
    <t>(星)闪避动作精力消耗降低(绝境) -15.3% ~ -16.5%</t>
  </si>
  <si>
    <t>EA 12 00 00 73 00 00 00 00 1F 04 00</t>
  </si>
  <si>
    <t>(星)敌人的持续伤害 +10.0% ~ +11.5%</t>
  </si>
  <si>
    <t>78 13 00 00 82 00 00 00 00 1F 04 00</t>
  </si>
  <si>
    <t>(星)敌人的持续伤害 +11.5% ~ +13.0%</t>
  </si>
  <si>
    <t>DE E1 00 00 91 00 00 00 00 1F 04 00</t>
  </si>
  <si>
    <t>(星)敌人的持续伤害 +13.0% ~ +14.5%</t>
  </si>
  <si>
    <t>F0 D4 00 00 8C 00 00 00 00 1F 04 00</t>
  </si>
  <si>
    <t>(星)效果持续力 +12 ~ +14</t>
  </si>
  <si>
    <t>F3 40 00 00 A0 00 00 00 00 1F 04 00</t>
  </si>
  <si>
    <t>(星)效果持续力 +14 ~ +16</t>
  </si>
  <si>
    <t>95 5E 00 00 B4 00 00 00 00 1F 04 00</t>
  </si>
  <si>
    <t>(星)效果持续力 +16 ~ +18</t>
  </si>
  <si>
    <t>E6 18 00 00 AE 01 00 00 00 1F 04 00</t>
  </si>
  <si>
    <t>(星)赋予属性的持续时间延长 +38.0% ~ +43.0%</t>
  </si>
  <si>
    <t>6B DC 00 00 D6 01 00 00 00 1F 04 00</t>
  </si>
  <si>
    <t>(星)赋予属性的持续时间延长 +42.0% ~ +47.0%</t>
  </si>
  <si>
    <t>8C 24 00 00 FA 00 00 00 00 1F 04 00</t>
  </si>
  <si>
    <t>(星)赋予属性的持续时间延长 +47.0% ~ +52.0%</t>
  </si>
  <si>
    <t>7C 41 00 00 8C 00 00 00 00 1F 04 00</t>
  </si>
  <si>
    <t>(星)火属性伤害 +12.0% ~ +14.0%</t>
  </si>
  <si>
    <t>[魂核]</t>
  </si>
  <si>
    <t>FB 1B 00 00 A0 00 00 00 00 1F 04 00</t>
  </si>
  <si>
    <t>(星)火属性伤害 +14.0% ~ +16.0%</t>
  </si>
  <si>
    <t>68 94 00 00 B4 00 00 00 00 1F 04 00</t>
  </si>
  <si>
    <t>(星)火属性伤害 +16.0% ~ +18.0%</t>
  </si>
  <si>
    <t>CE 05 00 00 8C 00 00 00 00 1F 04 00</t>
  </si>
  <si>
    <t>(星)水属性伤害 +12.0% ~ +14.0%</t>
  </si>
  <si>
    <t>45 A3 00 00 A0 00 00 00 00 1F 04 00</t>
  </si>
  <si>
    <t>(星)水属性伤害 +14.0% ~ +16.0%</t>
  </si>
  <si>
    <t>E3 4A 00 00 B4 00 00 00 00 1F 04 00</t>
  </si>
  <si>
    <t>(星)水属性伤害 +16.0% ~ +18.0%</t>
  </si>
  <si>
    <t>47 78 00 00 8C 00 00 00 00 1F 04 00</t>
  </si>
  <si>
    <t>(星)雷属性伤害 +12.0% ~ +14.0%</t>
  </si>
  <si>
    <t>F0 3B 00 00 A0 00 00 00 00 1F 04 00</t>
  </si>
  <si>
    <t>(星)雷属性伤害 +14.0% ~ +16.0%</t>
  </si>
  <si>
    <t>3D 72 00 00 B4 00 00 00 00 1F 04 00</t>
  </si>
  <si>
    <t>(星)雷属性伤害 +16.0% ~ +18.0%</t>
  </si>
  <si>
    <t>EE B4 00 00 8C 00 00 00 00 1F 04 00</t>
  </si>
  <si>
    <t>(星)风属性伤害 +12.0% ~ +14.0%</t>
  </si>
  <si>
    <t>58 0D 00 00 A0 00 00 00 00 1F 04 00</t>
  </si>
  <si>
    <t>(星)风属性伤害 +14.0% ~ +16.0%</t>
  </si>
  <si>
    <t>EE 99 00 00 B4 00 00 00 00 1F 04 00</t>
  </si>
  <si>
    <t>(星)风属性伤害 +16.0% ~ +18.0%</t>
  </si>
  <si>
    <t>76 33 00 00 75 00 00 00 00 1F 04 00</t>
  </si>
  <si>
    <t>(星)异常状态累计 +10.0% ~ +11.7%</t>
  </si>
  <si>
    <t>A2 D0 00 00 7C 00 00 00 00 1F 04 00</t>
  </si>
  <si>
    <t>(星)异常状态累计 +11.7% ~ +13.4%</t>
  </si>
  <si>
    <t>67 7C 00 00 96 00 00 00 00 1F 04 00</t>
  </si>
  <si>
    <t>(星)异常状态累计 +13.3% ~ +15.0%</t>
  </si>
  <si>
    <t>56 DB 00 00 93 00 00 00 00 1F 04 00</t>
  </si>
  <si>
    <t>(星)敌人的麻痹状态累计 +14.0% ~ +14.7%</t>
  </si>
  <si>
    <t>64 3E 00 00 9A 00 00 00 00 1F 04 00</t>
  </si>
  <si>
    <t>(星)敌人的麻痹状态累计 +14.7% ~ +15.4%</t>
  </si>
  <si>
    <t>D6 E9 00 00 A0 00 00 00 00 1F 04 00</t>
  </si>
  <si>
    <t>(星)敌人的麻痹状态累计 +15.3% ~ +16.0%</t>
  </si>
  <si>
    <t>97 10 00 00 93 00 00 00 00 1F 04 00</t>
  </si>
  <si>
    <t>(星)敌人的毒状态累计 +14.0% ~ +14.7%</t>
  </si>
  <si>
    <t>67 E9 00 00 9A 00 00 00 00 1F 04 00</t>
  </si>
  <si>
    <t>(星)敌人的毒状态累计 +14.7% ~ +15.4%</t>
  </si>
  <si>
    <t>B6 E1 00 00 A0 00 00 00 00 1F 04 00</t>
  </si>
  <si>
    <t>(星)敌人的毒状态累计 +15.3% ~ +16.0%</t>
  </si>
  <si>
    <t>34 5F 00 00 23 00 00 00 00 1F 04 00</t>
  </si>
  <si>
    <t>(星)赋予火属性 +30 ~ +35</t>
  </si>
  <si>
    <t>49 0A 00 00 26 00 00 00 00 1F 04 00</t>
  </si>
  <si>
    <t>(星)赋予火属性 +33 ~ +38</t>
  </si>
  <si>
    <t>D2 9C 00 00 2D 00 00 00 00 1F 04 00</t>
  </si>
  <si>
    <t>(星)赋予火属性 +38 ~ +45</t>
  </si>
  <si>
    <t>ED 62 00 00 23 00 00 00 00 1F 04 00</t>
  </si>
  <si>
    <t>(星)赋予水属性 +30 ~ +35</t>
  </si>
  <si>
    <t>CE 5A 00 00 26 00 00 00 00 1F 04 00</t>
  </si>
  <si>
    <t>(星)赋予水属性 +33 ~ +38</t>
  </si>
  <si>
    <t>B8 B4 00 00 2D 00 00 00 00 1F 04 00</t>
  </si>
  <si>
    <t>(星)赋予水属性 +38 ~ +45</t>
  </si>
  <si>
    <t>14 7B 00 00 23 00 00 00 00 1F 04 00</t>
  </si>
  <si>
    <t>(星)赋予雷属性 +30 ~ +35</t>
  </si>
  <si>
    <t>CA 0C 00 00 26 00 00 00 00 1F 04 00</t>
  </si>
  <si>
    <t>(星)赋予雷属性 +33 ~ +38</t>
  </si>
  <si>
    <t>D0 F1 00 00 2D 00 00 00 00 1F 04 00</t>
  </si>
  <si>
    <t>(星)赋予雷属性 +38 ~ +45</t>
  </si>
  <si>
    <t>D3 36 00 00 23 00 00 00 00 1F 04 00</t>
  </si>
  <si>
    <t>(星)赋予风属性 +30 ~ +35</t>
  </si>
  <si>
    <t>48 AB 00 00 26 00 00 00 00 1F 04 00</t>
  </si>
  <si>
    <t>(星)赋予风属性 +33 ~ +38</t>
  </si>
  <si>
    <t>56 3E 00 00 2D 00 00 00 00 1F 04 00</t>
  </si>
  <si>
    <t>(星)赋予风属性 +38 ~ +45</t>
  </si>
  <si>
    <t>97 EF 00 00 5A 00 00 00 00 03 00 00</t>
  </si>
  <si>
    <t>速攻击伤害 +7.4% ~ +9.0%</t>
  </si>
  <si>
    <t>[绘卷]</t>
  </si>
  <si>
    <t>35 40 00 00 5A 00 00 00 00 03 00 00</t>
  </si>
  <si>
    <t>强攻击伤害 +7.4% ~ +9.0%</t>
  </si>
  <si>
    <t>20 DB 00 00 3C 00 00 00 00 03 00 00</t>
  </si>
  <si>
    <t>近距离攻击伤害 +4.4% ~ +6.0%</t>
  </si>
  <si>
    <t>95 D4 00 00 46 00 00 00 00 03 00 00</t>
  </si>
  <si>
    <t>属性攻击伤害 +5.4% ~ +7.0%</t>
  </si>
  <si>
    <t>0F 60 00 00 08 00 00 00 00 03 00 00</t>
  </si>
  <si>
    <t>伤害反映(阴阳术术力) B- ~ B+</t>
  </si>
  <si>
    <t>47 46 00 00 12 00 00 00 00 03 00 00</t>
  </si>
  <si>
    <t>伤害反映(忍术威力) A+ ~ AAA+</t>
  </si>
  <si>
    <t>0A 19 00 00 64 00 00 00 00 03 00 00</t>
  </si>
  <si>
    <t>阴阳术伤害 +8.0% ~ +10.0%</t>
  </si>
  <si>
    <t>1A CE 00 00 3C 00 00 00 00 03 00 00</t>
  </si>
  <si>
    <t>武技伤害 +5.4% ~ +7.0%</t>
  </si>
  <si>
    <t>2B B8 00 00 00 00 00 00 00 03 00 00</t>
  </si>
  <si>
    <t>敌人精力耗尽时赋予受到伤害增加</t>
  </si>
  <si>
    <t>51 A0 00 00 0A 00 00 00 00 03 00 00</t>
  </si>
  <si>
    <t>对妖战术 B- ~ A</t>
  </si>
  <si>
    <t>99 74 00 00 0A 00 00 00 00 03 00 00</t>
  </si>
  <si>
    <t>对人战术 B- ~ A</t>
  </si>
  <si>
    <t>0A D4 00 00 32 00 00 00 00 05 00 00</t>
  </si>
  <si>
    <t>近距离攻击的精力消耗降低 -3.8% ~ -5.0%</t>
  </si>
  <si>
    <t>83 B3 00 00 3C 00 00 00 00 05 00 00</t>
  </si>
  <si>
    <t>速攻击精力消耗降低 -4.4% ~ -6.0%</t>
  </si>
  <si>
    <t>3D 9A 00 00 3C 00 00 00 00 05 00 00</t>
  </si>
  <si>
    <t>强攻击精力消耗降低 -4.4% ~ -6.0%</t>
  </si>
  <si>
    <t>AE 4C 00 00 3C 00 00 00 00 05 00 00</t>
  </si>
  <si>
    <t>武技精力消耗降低 -4.4% ~ -6.0%</t>
  </si>
  <si>
    <t>EE FB 00 00 3C 00 00 00 00 05 00 00</t>
  </si>
  <si>
    <t>防御精力消耗降低 -4.8% ~ -6.0%</t>
  </si>
  <si>
    <t>F3 34 00 00 0F 00 00 00 00 06 00 00</t>
  </si>
  <si>
    <t>防御时的属性攻击伤害降低 +12 ~ +15</t>
  </si>
  <si>
    <t>41 3F 00 00 0C 00 00 00 00 06 00 00</t>
  </si>
  <si>
    <t>属性攻击伤害降低 +10 ~ +12</t>
  </si>
  <si>
    <t>E0 92 00 00 64 00 00 00 00 09 00 00</t>
  </si>
  <si>
    <t>获得精华 +8.0% ~ +10.0%</t>
  </si>
  <si>
    <t>93 B3 00 00 46 00 00 00 00 09 00 00</t>
  </si>
  <si>
    <t>道具掉落率 +5.4% ~ +7.0%</t>
  </si>
  <si>
    <t>84 81 00 00 46 00 00 00 00 09 00 00</t>
  </si>
  <si>
    <t>装备品掉落率 +5.4% ~ +7.0%</t>
  </si>
  <si>
    <t>D2 47 00 00 28 00 00 00 00 09 00 00</t>
  </si>
  <si>
    <t>幸运 +27 ~ +40</t>
  </si>
  <si>
    <t>55 13 00 00 3C 00 00 00 00 0A 00 00</t>
  </si>
  <si>
    <t>灵力增加量 +4.8% ~ +6.0%</t>
  </si>
  <si>
    <t>4F 77 00 00 8C 00 00 00 00 0C 00 00</t>
  </si>
  <si>
    <t>一难的解除时间延长 +11.6% ~ +14.0%</t>
  </si>
  <si>
    <t>C4 28 00 00 05 00 00 00 00 0C 00 00</t>
  </si>
  <si>
    <t>绝妙追杀 C+</t>
  </si>
  <si>
    <t>E3 6C 00 00 0F 00 00 00 00 0C 00 00</t>
  </si>
  <si>
    <t>不消耗使役符 +1.1% ~ +1.5%</t>
  </si>
  <si>
    <t>2B 6E 00 00 C8 00 00 00 00 0C 00 00</t>
  </si>
  <si>
    <t>不消耗仙药 +20.0%</t>
  </si>
  <si>
    <t>3B 58 00 00 FA 00 00 00 00 0C 00 00</t>
  </si>
  <si>
    <t>负面效果持续时间缩短 -21.0% ~ -25.0%</t>
  </si>
  <si>
    <t>BC 47 00 00 00 00 00 00 00 0C 00 00</t>
  </si>
  <si>
    <t>合轴可继承稀有度</t>
  </si>
  <si>
    <t>C2 DA 00 00 96 00 00 00 00 0D 04 00</t>
  </si>
  <si>
    <t>(星)体之深奥</t>
  </si>
  <si>
    <t>13 B6 00 00 96 00 00 00 00 0D 04 00</t>
  </si>
  <si>
    <t>(星)心之深奥</t>
  </si>
  <si>
    <t>E8 23 00 00 96 00 00 00 00 0D 04 00</t>
  </si>
  <si>
    <t>(星)刚之深奥</t>
  </si>
  <si>
    <t>F0 DF 00 00 96 00 00 00 00 0D 04 00</t>
  </si>
  <si>
    <t>(星)武之深奥</t>
  </si>
  <si>
    <t>5A AE 00 00 96 00 00 00 00 0D 04 00</t>
  </si>
  <si>
    <t>(星)技之深奥</t>
  </si>
  <si>
    <t>AF 6A 00 00 96 00 00 00 00 0D 04 00</t>
  </si>
  <si>
    <t>(星)智之深奥</t>
  </si>
  <si>
    <t>06 2B 00 00 96 00 00 00 00 0D 04 00</t>
  </si>
  <si>
    <t>(星)咒之深奥</t>
  </si>
  <si>
    <t>2D 51 00 00 00 00 00 00 00 0D 04 00</t>
  </si>
  <si>
    <t>(星)精髓并存(武士)</t>
  </si>
  <si>
    <t>74 EA 00 00 00 00 00 00 00 0D 04 00</t>
  </si>
  <si>
    <t>(星)精髓并存(忍者)</t>
  </si>
  <si>
    <t>BE F9 00 00 00 00 00 00 00 0D 04 00</t>
  </si>
  <si>
    <t>(星)精髓并存(共通)</t>
  </si>
  <si>
    <t>53 EA 00 00 0F 00 00 00 00 11 00 00</t>
  </si>
  <si>
    <t>坚忍度 +11 ~ +15</t>
  </si>
  <si>
    <t>8E 3A 00 00 3C 00 00 00 00 12 00 00</t>
  </si>
  <si>
    <t>武技精力伤害 +4.8% ~ +6.0%</t>
  </si>
  <si>
    <t>EB 6B 00 00 46 00 00 00 00 12 00 00</t>
  </si>
  <si>
    <t>近距离攻击精力伤害 +5.4% ~ +7.0%</t>
  </si>
  <si>
    <t>A7 A0 00 00 68 01 00 00 00 14 00 00</t>
  </si>
  <si>
    <t>近距离攻击打倒敌人时恢复体力 288 ~ 360</t>
  </si>
  <si>
    <t>3D A7 00 00 68 01 00 00 00 14 00 00</t>
  </si>
  <si>
    <t>体力 +280 ~ +360</t>
  </si>
  <si>
    <t>7A 3E 00 00 50 00 00 00 00 17 00 00</t>
  </si>
  <si>
    <t>精力恢复速度 +6.4% ~ +8.0%</t>
  </si>
  <si>
    <t>51 BC 00 00 64 00 00 00 00 19 00 00</t>
  </si>
  <si>
    <t>精华槽增加量 +8.0% ~ +10.0%</t>
  </si>
  <si>
    <t>D1 28 00 00 46 00 00 00 00 19 00 00</t>
  </si>
  <si>
    <t>九十九化身持续时间延长 +5.4% ~ +7.0%</t>
  </si>
  <si>
    <t>FC 2E 00 00 50 00 00 00 00 1B 00 00</t>
  </si>
  <si>
    <t>远距离伤害 +6.4% ~ +8.0%</t>
  </si>
  <si>
    <t>AC 5C 00 00 46 00 00 00 00 1C 00 00</t>
  </si>
  <si>
    <t>闪避动作精力消耗降低 +5.4% ~ +7.0%</t>
  </si>
  <si>
    <t>11 D4 00 00 46 00 00 00 00 1C 00 00</t>
  </si>
  <si>
    <t>冲刺精力消耗降低 +5.4% ~ +7.0%</t>
  </si>
  <si>
    <t>01 00 00 00 00 00 00 00 01 0C 84 00</t>
  </si>
  <si>
    <t>(星)未完成的杰作</t>
  </si>
  <si>
    <t>E7 8E 00 00 19 00 00 00 00 03 00 00</t>
  </si>
  <si>
    <t>九十九化身时造成的伤害增加 +2.5%</t>
  </si>
  <si>
    <t>7C DF 00 00 13 00 00 00 00 03 00 00</t>
  </si>
  <si>
    <t>九十九化身时的属性伤害 +1.9%</t>
  </si>
  <si>
    <t>2F C7 00 00 15 00 00 00 00 03 00 00</t>
  </si>
  <si>
    <t>97 A7 00 00 15 00 00 00 00 03 00 00</t>
  </si>
  <si>
    <t>A5 65 00 00 15 00 00 00 00 03 00 00</t>
  </si>
  <si>
    <t>23 9F 00 00 15 00 00 00 00 03 00 00</t>
  </si>
  <si>
    <t>BB E1 00 00 15 00 00 00 00 03 00 00</t>
  </si>
  <si>
    <t>12 3C 00 00 13 00 00 00 00 03 00 00</t>
  </si>
  <si>
    <t>62 7D 00 00 39 00 00 00 00 03 00 00</t>
  </si>
  <si>
    <t>近距离攻击伤害（绝境） +5.7%</t>
  </si>
  <si>
    <t>E6 46 00 00 13 00 00 00 00 03 00 00</t>
  </si>
  <si>
    <t>近距离攻击伤害（地狱） +1.9%</t>
  </si>
  <si>
    <t>36 51 00 00 19 00 00 00 00 03 00 00</t>
  </si>
  <si>
    <t>近距离攻击伤害（地狱） +2.5%</t>
  </si>
  <si>
    <t>49 6A 00 00 1C 00 00 00 00 03 00 00</t>
  </si>
  <si>
    <t>对处于火状态敌人的守护灵技伤害 +2.8%</t>
  </si>
  <si>
    <t>B4 64 00 00 1C 00 00 00 00 03 00 00</t>
  </si>
  <si>
    <t>对处于水状态敌人的守护灵技伤害 +2.8%</t>
  </si>
  <si>
    <t>58 5A 00 00 1C 00 00 00 00 03 00 00</t>
  </si>
  <si>
    <t>对处于雷状态敌人的守护灵技伤害 +2.8%</t>
  </si>
  <si>
    <t>6B E5 00 00 1C 00 00 00 00 03 00 00</t>
  </si>
  <si>
    <t>对处于风状态敌人的守护灵技伤害 +2.8%</t>
  </si>
  <si>
    <t>0A AA 00 00 1C 00 00 00 00 03 00 00</t>
  </si>
  <si>
    <t>对处于毒状态敌人的守护灵技伤害 +2.8%</t>
  </si>
  <si>
    <t>B6 90 00 00 8C 00 00 00 00 03 00 00</t>
  </si>
  <si>
    <t>对处于麻痹状态敌人的守护灵技伤害 +14%</t>
  </si>
  <si>
    <t>89 C7 00 00 96 00 00 00 00 03 00 00</t>
  </si>
  <si>
    <t>箭弹命中弱点时伤害 +15%</t>
  </si>
  <si>
    <t>69 D2 00 00 26 00 00 00 00 03 00 00</t>
  </si>
  <si>
    <t>49 90 00 00 19 00 00 00 00 03 00 00</t>
  </si>
  <si>
    <t>2B F2 00 00 17 00 00 00 00 03 00 00</t>
  </si>
  <si>
    <t>F7 1B 00 00 1C 00 00 00 00 03 00 00</t>
  </si>
  <si>
    <t>守护灵技的伤害 +2.8%</t>
  </si>
  <si>
    <t>A6 A2 00 00 15 00 00 00 00 03 00 00</t>
  </si>
  <si>
    <t>7A 13 00 00 2A 00 00 00 00 03 00 00</t>
  </si>
  <si>
    <t>阴阳术伤害 +4.2%</t>
  </si>
  <si>
    <t>71 34 00 00 11 00 00 00 00 03 00 00</t>
  </si>
  <si>
    <t>忍术伤害 +1.7%</t>
  </si>
  <si>
    <t>07 C7 00 00 14 00 00 00 00 03 00 00</t>
  </si>
  <si>
    <t>武技伤害 +2%</t>
  </si>
  <si>
    <t>13 4C 00 00 19 00 00 00 00 03 00 00</t>
  </si>
  <si>
    <t>打倒敌人时赋予造成伤害增加 (+2.5%)</t>
  </si>
  <si>
    <t>E1 68 00 00 1B 00 00 00 00 03 00 00</t>
  </si>
  <si>
    <t>祓除常世赋予造成伤害增加 (+2.7%)</t>
  </si>
  <si>
    <t>6B EF 00 00 1D 00 00 00 00 03 00 00</t>
  </si>
  <si>
    <t>陷入异常状态时赋予造成伤害增加 (+2.9%)</t>
  </si>
  <si>
    <t>EF 1E 00 00 17 00 00 00 00 03 00 00</t>
  </si>
  <si>
    <t>吸收精华后赋予造成伤害增加 (+2.3%)</t>
  </si>
  <si>
    <t>1D 4F 00 00 3E 00 00 00 00 03 00 00</t>
  </si>
  <si>
    <t>绝境时赋予造成伤害增加 (+6.2%)</t>
  </si>
  <si>
    <t>A3 EA 00 00 1E 00 00 00 00 03 00 00</t>
  </si>
  <si>
    <t>阴阳术命中赋予造成伤害增加 (+3%)</t>
  </si>
  <si>
    <t>19 87 00 00 15 00 00 00 00 03 00 00</t>
  </si>
  <si>
    <t>使用药品时赋予造成伤害增加 (+2.1%)</t>
  </si>
  <si>
    <t>BA CE 00 00 53 00 00 00 00 03 00 00</t>
  </si>
  <si>
    <t>守护灵技伤害（绝境） +8.3%</t>
  </si>
  <si>
    <t>C9 80 00 00 17 00 00 00 00 03 00 00</t>
  </si>
  <si>
    <t>80 E6 00 00 17 00 00 00 00 03 00 00</t>
  </si>
  <si>
    <t>背后攻击伤害 +2.3%</t>
  </si>
  <si>
    <t>9E 03 00 00 14 00 00 00 00 43 00 00</t>
  </si>
  <si>
    <t>87 01 00 00 1E 00 00 00 00 43 00 00</t>
  </si>
  <si>
    <t>(同名固定)速攻击伤害 +3.0%</t>
  </si>
  <si>
    <t>42 60 00 00 1C 00 00 00 00 43 00 00</t>
  </si>
  <si>
    <t>(同名固定)强攻击伤害 +2.8%</t>
  </si>
  <si>
    <t>44 46 00 00 14 00 00 00 00 43 00 00</t>
  </si>
  <si>
    <t>(同名固定)近距离攻击伤害 +2.0%</t>
  </si>
  <si>
    <t>C8 7B 00 00 39 00 00 00 00 43 00 00</t>
  </si>
  <si>
    <t>(同名固定)近距离攻击伤害（绝境） +5.7%</t>
  </si>
  <si>
    <t>B1 E4 00 00 26 00 00 00 00 43 00 00</t>
  </si>
  <si>
    <t>(同名固定)对无伤敌人造成的近距离伤害 +3.8%</t>
  </si>
  <si>
    <t>91 5A 00 00 15 00 00 00 00 43 00 00</t>
  </si>
  <si>
    <t>(同名固定)刺击伤害 +2.1%</t>
  </si>
  <si>
    <t>B4 1B 00 00 1B 00 00 00 00 43 00 00</t>
  </si>
  <si>
    <t>(同名固定)祓除常世赋予造成伤害增加 (+2.7%)</t>
  </si>
  <si>
    <t>AF 81 00 00 55 00 00 00 00 43 00 00</t>
  </si>
  <si>
    <t>(同名固定)追击和近身刺击伤害 +8.5%</t>
  </si>
  <si>
    <t>99 54 00 00 37 00 00 00 00 43 00 00</t>
  </si>
  <si>
    <t>(同名固定)属性攻击伤害 +5.5%</t>
  </si>
  <si>
    <t>0C 0D 00 00 4B 00 00 00 00 43 00 00</t>
  </si>
  <si>
    <t>(同名固定)对尸狂造成的伤害 +7.5%</t>
  </si>
  <si>
    <t>6F 97 00 00 28 00 00 00 00 43 00 00</t>
  </si>
  <si>
    <t>(同名固定)近距离攻击伤害（无伤） +4.0%</t>
  </si>
  <si>
    <t>2F 58 00 00 02 00 00 00 00 43 00 00</t>
  </si>
  <si>
    <t>(同名固定)伤害反映（装备重量） D+</t>
  </si>
  <si>
    <t>83 44 00 00 08 00 00 00 00 45 00 00</t>
  </si>
  <si>
    <t>(同名固定)接招 +8</t>
  </si>
  <si>
    <t>2A D1 00 00 28 00 00 00 00 45 00 00</t>
  </si>
  <si>
    <t>(同名固定)防御精力消耗降低 -4.0%</t>
  </si>
  <si>
    <t>55 42 00 00 28 00 00 00 00 45 00 00</t>
  </si>
  <si>
    <t>(同名固定)武技精力消耗降低 -4.0%</t>
  </si>
  <si>
    <t>AF 02 00 00 96 00 00 00 00 45 00 00</t>
  </si>
  <si>
    <t>(同名固定)跳跃的精力 -15.0%</t>
  </si>
  <si>
    <t>98 E4 00 00 08 00 00 00 00 46 00 00</t>
  </si>
  <si>
    <t>98 32 00 00 08 00 00 00 00 46 00 00</t>
  </si>
  <si>
    <t>2F A4 00 00 0F 00 00 00 00 46 00 00</t>
  </si>
  <si>
    <t>26 1A 00 00 46 00 00 00 00 46 00 00</t>
  </si>
  <si>
    <t>(同名固定)中毒时持续承受伤害降低 -7.0%</t>
  </si>
  <si>
    <t>15 BD 00 00 0F 00 00 00 00 46 00 00</t>
  </si>
  <si>
    <t>(同名固定)水抗性 +15</t>
  </si>
  <si>
    <t>3F A4 00 00 0F 00 00 00 00 46 00 00</t>
  </si>
  <si>
    <t>BC C4 00 00 0F 00 00 00 00 46 00 00</t>
  </si>
  <si>
    <t>A6 C9 00 00 0F 00 00 00 00 46 00 00</t>
  </si>
  <si>
    <t>(同名固定)强攻击解除异常状态 +1.5%</t>
  </si>
  <si>
    <t>D3 72 00 00 0C 00 00 00 00 09 00 00</t>
  </si>
  <si>
    <t>E7 FF 00 00 0B 00 00 00 00 09 00 00</t>
  </si>
  <si>
    <t>打倒敌人时赋予幸运增加 (+11)</t>
  </si>
  <si>
    <t>41 8E 00 00 0A 00 00 00 00 09 00 00</t>
  </si>
  <si>
    <t>幸运（绝境） +10</t>
  </si>
  <si>
    <t>54 6F 00 00 07 00 00 00 00 09 00 00</t>
  </si>
  <si>
    <t>幸运（地狱） +7</t>
  </si>
  <si>
    <t>45 60 00 00 09 00 00 00 00 09 00 00</t>
  </si>
  <si>
    <t>吸收精华后赋予幸运增加 (+9)</t>
  </si>
  <si>
    <t>F9 31 00 00 02 00 00 00 00 09 00 00</t>
  </si>
  <si>
    <t>幸运反映（精华槽） D+</t>
  </si>
  <si>
    <t>5F DA 00 00 09 00 00 00 00 09 00 00</t>
  </si>
  <si>
    <t>强攻击获得精华 +0.9%</t>
  </si>
  <si>
    <t>58 A2 00 00 08 00 00 00 00 09 00 00</t>
  </si>
  <si>
    <t>AD 22 00 00 0B 00 00 00 00 09 00 00</t>
  </si>
  <si>
    <t>获得精华（地狱） +1.1%</t>
  </si>
  <si>
    <t>C6 70 00 00 50 00 00 00 00 09 00 00</t>
  </si>
  <si>
    <t>8D 73 00 00 50 00 00 00 00 09 00 00</t>
  </si>
  <si>
    <t>84 AC 00 00 50 00 00 00 00 09 00 00</t>
  </si>
  <si>
    <t>7D 05 00 00 05 00 00 00 00 09 00 00</t>
  </si>
  <si>
    <t>幸运 +5</t>
  </si>
  <si>
    <t>D7 0B 00 00 28 00 00 00 00 09 00 00</t>
  </si>
  <si>
    <t>仙药掉落率 +4.0%</t>
  </si>
  <si>
    <t>09 2A 00 00 08 00 00 00 00 09 00 00</t>
  </si>
  <si>
    <t>98 69 00 00 28 00 00 00 00 09 00 00</t>
  </si>
  <si>
    <t>DF 74 00 00 23 00 00 00 00 49 00 00</t>
  </si>
  <si>
    <t>(同名固定)获得金钱 +3.5%</t>
  </si>
  <si>
    <t>D6 D4 00 00 55 00 00 00 00 49 00 00</t>
  </si>
  <si>
    <t>(同名固定)获得精华 +8.5%</t>
  </si>
  <si>
    <t>F2 E9 00 00 5A 00 00 00 00 49 00 00</t>
  </si>
  <si>
    <t>(同名固定)道具掉落率 +9.0%</t>
  </si>
  <si>
    <t>76 B5 00 00 3C 00 00 00 00 49 00 00</t>
  </si>
  <si>
    <t>(同名固定)装备品掉落率 +6.0%</t>
  </si>
  <si>
    <t>17 12 00 00 5A 00 00 00 00 49 00 00</t>
  </si>
  <si>
    <t>(同名固定)魂核掉落率 +9.0%</t>
  </si>
  <si>
    <t>70 D8 00 00 18 00 00 00 00 49 00 00</t>
  </si>
  <si>
    <t>(同名固定)幸运 +24</t>
  </si>
  <si>
    <t>5C 69 00 00 09 00 00 00 00 0A 00 00</t>
  </si>
  <si>
    <t>2E 99 00 00 03 00 00 00 00 0A 00 00</t>
  </si>
  <si>
    <t>DF EE 00 00 03 00 00 00 00 0A 00 00</t>
  </si>
  <si>
    <t>30 77 00 00 03 00 00 00 00 0A 00 00</t>
  </si>
  <si>
    <t>81 30 00 00 03 00 00 00 00 0A 00 00</t>
  </si>
  <si>
    <t>A4 80 00 00 03 00 00 00 00 0A 00 00</t>
  </si>
  <si>
    <t>8A 3B 00 00 03 00 00 00 00 0A 00 00</t>
  </si>
  <si>
    <t>6A 10 00 00 03 00 00 00 00 0A 00 00</t>
  </si>
  <si>
    <t>D5 22 00 00 03 00 00 00 00 0A 00 00</t>
  </si>
  <si>
    <t>D8 37 00 00 03 00 00 00 00 0A 00 00</t>
  </si>
  <si>
    <t>0A F3 00 00 03 00 00 00 00 0A 00 00</t>
  </si>
  <si>
    <t>10 3B 00 00 03 00 00 00 00 0A 00 00</t>
  </si>
  <si>
    <t>BE 37 00 00 07 00 00 00 00 0A 00 00</t>
  </si>
  <si>
    <t>35 37 00 00 08 00 00 00 00 0A 00 00</t>
  </si>
  <si>
    <t>FF 2E 00 00 08 00 00 00 00 0A 00 00</t>
  </si>
  <si>
    <t>12 3E 00 00 03 00 00 00 00 0A 00 00</t>
  </si>
  <si>
    <t>灵力 +3</t>
  </si>
  <si>
    <t>76 C9 00 00 04 00 00 00 00 0A 00 00</t>
  </si>
  <si>
    <t>1F 4D 00 00 06 00 00 00 00 0A 00 00</t>
  </si>
  <si>
    <t>获得精华增加灵力（绝境） B-</t>
  </si>
  <si>
    <t>3E 12 00 00 05 00 00 00 00 0A 00 00</t>
  </si>
  <si>
    <t>获得精华增加灵力（无伤） C+</t>
  </si>
  <si>
    <t>C9 18 00 00 19 00 00 00 00 0A 00 00</t>
  </si>
  <si>
    <t>D6 EB 00 00 05 00 00 00 00 0A 00 00</t>
  </si>
  <si>
    <t>00 44 00 00 05 00 00 00 00 0A 00 00</t>
  </si>
  <si>
    <t>88 7C 00 00 05 00 00 00 00 0A 00 00</t>
  </si>
  <si>
    <t>11 80 00 00 05 00 00 00 00 0A 00 00</t>
  </si>
  <si>
    <t>C7 47 00 00 05 00 00 00 00 0A 00 00</t>
  </si>
  <si>
    <t>F2 19 00 00 05 00 00 00 00 0A 00 00</t>
  </si>
  <si>
    <t>追击和近身刺击增加灵力 C+</t>
  </si>
  <si>
    <t>9F 15 00 00 07 00 00 00 00 0A 00 00</t>
  </si>
  <si>
    <t>CF D7 00 00 15 00 00 00 00 0A 00 00</t>
  </si>
  <si>
    <t>灵力增加量（绝境） +2.1%</t>
  </si>
  <si>
    <t>6E 1E 00 00 09 00 00 00 00 0A 00 00</t>
  </si>
  <si>
    <t>灵力增加量（无伤） +0.9%</t>
  </si>
  <si>
    <t>30 D1 00 00 09 00 00 00 00 0A 00 00</t>
  </si>
  <si>
    <t>灵力增加量（地狱） +0.9%</t>
  </si>
  <si>
    <t>EA 61 00 00 09 00 00 00 00 0A 00 00</t>
  </si>
  <si>
    <t>灵力增加量（负面效果时） +0.9%</t>
  </si>
  <si>
    <t>C9 D6 00 00 08 00 00 00 00 0A 00 00</t>
  </si>
  <si>
    <t>灵力增加量（正面效果时） +0.8%</t>
  </si>
  <si>
    <t>EC B8 00 00 04 00 00 00 00 0A 00 00</t>
  </si>
  <si>
    <t>DE A8 00 00 09 00 00 00 00 0A 00 00</t>
  </si>
  <si>
    <t>1D 8B 00 00 08 00 00 00 00 0A 00 00</t>
  </si>
  <si>
    <t>守护灵技灵力消耗减少 -0.8%</t>
  </si>
  <si>
    <t>D5 76 00 00 08 00 00 00 00 0A 00 00</t>
  </si>
  <si>
    <t>使用仙药时增加灵力 +8</t>
  </si>
  <si>
    <t>95 C4 00 00 07 00 00 00 00 0A 00 00</t>
  </si>
  <si>
    <t>追击与近身刺击赋予昂神(+0.7%)</t>
  </si>
  <si>
    <t>90 81 00 00 14 00 00 00 00 4A 00 00</t>
  </si>
  <si>
    <t>(同名固定)灵力增加量 +2.0%</t>
  </si>
  <si>
    <t>66 A5 00 00 26 00 00 00 00 4A 00 00</t>
  </si>
  <si>
    <t>(同名固定)灵力增加量（无伤） +3.8%</t>
  </si>
  <si>
    <t>F9 B2 00 00 1C 00 00 00 00 4A 00 00</t>
  </si>
  <si>
    <t>(同名固定)灵力增加量（正面效果时） +2.8%</t>
  </si>
  <si>
    <t>8B 48 00 00 14 00 00 00 00 4A 00 00</t>
  </si>
  <si>
    <t>(同名固定)造成火属性伤害时增加灵力 AAA+</t>
  </si>
  <si>
    <t>E4 8C 00 00 14 00 00 00 00 4A 00 00</t>
  </si>
  <si>
    <t>(同名固定)造成水属性伤害时增加灵力 AAA+</t>
  </si>
  <si>
    <t>39 84 00 00 14 00 00 00 00 4A 00 00</t>
  </si>
  <si>
    <t>(同名固定)造成雷属性伤害时增加灵力 AAA+</t>
  </si>
  <si>
    <t>45 5D 00 00 14 00 00 00 00 4A 00 00</t>
  </si>
  <si>
    <t>(同名固定)造成风属性伤害时增加灵力 AAA+</t>
  </si>
  <si>
    <t>35 D1 00 00 04 00 00 00 00 4A 00 00</t>
  </si>
  <si>
    <t>(同名固定)使敌人陷入火状态时增加灵力 C</t>
  </si>
  <si>
    <t>53 C4 00 00 04 00 00 00 00 4A 00 00</t>
  </si>
  <si>
    <t>(同名固定)使敌人陷入水状态时增加灵力 C</t>
  </si>
  <si>
    <t>AA 6E 00 00 04 00 00 00 00 4A 00 00</t>
  </si>
  <si>
    <t>(同名固定)使敌人陷入雷状态时增加灵力 C</t>
  </si>
  <si>
    <t>08 B0 00 00 04 00 00 00 00 4A 00 00</t>
  </si>
  <si>
    <t>(同名固定)使敌人陷入风状态时增加灵力 C</t>
  </si>
  <si>
    <t>CF 0C 00 00 04 00 00 00 00 4A 00 00</t>
  </si>
  <si>
    <t>(同名固定)使敌人陷入毒状态时增加灵力 C</t>
  </si>
  <si>
    <t>AA FB 00 00 04 00 00 00 00 4A 00 00</t>
  </si>
  <si>
    <t>(同名固定)使敌人陷入麻痹状态时增加灵力 C</t>
  </si>
  <si>
    <t>7E 75 00 00 03 00 00 00 00 4A 00 00</t>
  </si>
  <si>
    <t>(同名固定)使敌人陷入异常状态时增加灵力 D+</t>
  </si>
  <si>
    <t>9A B0 00 00 06 00 00 00 00 4A 00 00</t>
  </si>
  <si>
    <t>(同名固定)灵力 +6</t>
  </si>
  <si>
    <t>5C 6E 00 00 04 00 00 00 00 4A 00 00</t>
  </si>
  <si>
    <t>77 DF 00 00 14 00 00 00 00 4A 00 00</t>
  </si>
  <si>
    <t>(同名固定)攻击处于火状态的敌人增加灵力 AAA+</t>
  </si>
  <si>
    <t>CB 89 00 00 14 00 00 00 00 4A 00 00</t>
  </si>
  <si>
    <t>(同名固定)攻击处于水状态的敌人增加灵力 AAA+</t>
  </si>
  <si>
    <t>B2 C6 00 00 14 00 00 00 00 4A 00 00</t>
  </si>
  <si>
    <t>(同名固定)攻击处于雷状态的敌人增加灵力 AAA+</t>
  </si>
  <si>
    <t>1A 43 00 00 14 00 00 00 00 4A 00 00</t>
  </si>
  <si>
    <t>(同名固定)攻击处于风状态的敌人增加灵力 AAA+</t>
  </si>
  <si>
    <t>85 4F 00 00 04 00 00 00 00 4A 00 00</t>
  </si>
  <si>
    <t>(同名固定)阴阳术命中增加灵力 C</t>
  </si>
  <si>
    <t>70 62 00 00 14 00 00 00 00 4A 00 00</t>
  </si>
  <si>
    <t>(同名固定)祓除常世增加灵力 +20</t>
  </si>
  <si>
    <t>A6 AF 00 00 03 00 00 00 00 4A 00 00</t>
  </si>
  <si>
    <t>(同名固定)箭弹或道具命中增加灵力 C-</t>
  </si>
  <si>
    <t>7D C4 00 00 04 00 00 00 00 4A 00 00</t>
  </si>
  <si>
    <t>(同名固定)箭弹命中增加灵力 C</t>
  </si>
  <si>
    <t>F6 27 00 00 04 00 00 00 00 4A 00 00</t>
  </si>
  <si>
    <t>(同名固定)承受伤害增加灵力 C</t>
  </si>
  <si>
    <t>AE F7 00 00 07 00 00 00 00 4A 00 00</t>
  </si>
  <si>
    <t>(同名固定)灵力增加量反映（累积伤害） B</t>
  </si>
  <si>
    <t>4A E2 00 00 11 00 00 00 00 0C 00 00</t>
  </si>
  <si>
    <t>身处常世时恢复体力 (+17)</t>
  </si>
  <si>
    <t>62 6A 00 00 26 00 00 00 00 0C 00 00</t>
  </si>
  <si>
    <t>阴阳术 术力 +38</t>
  </si>
  <si>
    <t>ED D0 00 00 11 00 00 00 00 4C 00 00</t>
  </si>
  <si>
    <t>(同名固定)身处常世时恢复体力(+17)</t>
  </si>
  <si>
    <t>5D 49 00 00 F4 01 00 00 00 4C 00 00</t>
  </si>
  <si>
    <t>(同名固定)复制正面效果 +50.0%</t>
  </si>
  <si>
    <t>18 2E 00 00 AA 00 00 00 00 4C 00 00</t>
  </si>
  <si>
    <t>(同名固定)死亡时自动回收刀冢 +17.0%</t>
  </si>
  <si>
    <t>AA 11 00 00 64 00 00 00 00 4C 00 00</t>
  </si>
  <si>
    <t>(同名固定)负面效果持续时间缩短 -10.0%</t>
  </si>
  <si>
    <t>A8 E1 00 00 F4 01 00 00 00 4C 00 00</t>
  </si>
  <si>
    <t>(同名固定)移动速度降低状态无效 50.0%</t>
  </si>
  <si>
    <t>5B C4 00 00 00 00 00 00 00 51 00 00</t>
  </si>
  <si>
    <t>(同名固定)恢复体力赋予承受伤害减少</t>
  </si>
  <si>
    <t>7D 71 00 00 00 00 00 00 00 51 00 00</t>
  </si>
  <si>
    <t>(同名固定)祓除常世赋予赋予承受伤害减少</t>
  </si>
  <si>
    <t>D2 B6 00 00 00 00 00 00 00 51 00 00</t>
  </si>
  <si>
    <t>(同名固定)吸收精华后赋予赋予承受伤害减少</t>
  </si>
  <si>
    <t>64 75 00 00 0A 00 00 00 00 51 00 00</t>
  </si>
  <si>
    <t>79 DE 00 00 23 00 00 00 00 51 00 00</t>
  </si>
  <si>
    <t>(同名固定)被攻击时承受的伤害降低（绝境） -3.5%</t>
  </si>
  <si>
    <t>47 9C 00 00 1E 00 00 00 00 51 00 00</t>
  </si>
  <si>
    <t>(同名固定)空中承受的伤害 -3.0%</t>
  </si>
  <si>
    <t>39 07 00 00 14 00 00 00 00 51 00 00</t>
  </si>
  <si>
    <t>(同名固定)被攻击时承受的伤害降低 -2.0%</t>
  </si>
  <si>
    <t>F0 0F 00 00 0F 00 00 00 00 51 00 00</t>
  </si>
  <si>
    <t>(同名固定)坚忍度 +15</t>
  </si>
  <si>
    <t>5B 3B 00 00 37 00 00 00 00 51 00 00</t>
  </si>
  <si>
    <t>(同名固定)承受的伤害降低（攻击动作期间） -5.5%</t>
  </si>
  <si>
    <t>B1 57 00 00 09 00 00 00 00 12 00 00</t>
  </si>
  <si>
    <t>阴阳术精力伤害 +0.9%</t>
  </si>
  <si>
    <t>16 FE 00 00 08 00 00 00 00 12 00 00</t>
  </si>
  <si>
    <t>忍术造成的精力伤害 +0.8%</t>
  </si>
  <si>
    <t>1E C5 00 00 08 00 00 00 00 12 00 00</t>
  </si>
  <si>
    <t>武技精力伤害 +0.8%</t>
  </si>
  <si>
    <t>42 7C 00 00 08 00 00 00 00 12 00 00</t>
  </si>
  <si>
    <t>近距离攻击精力伤害 +0.8%</t>
  </si>
  <si>
    <t>DD 86 00 00 08 00 00 00 00 12 00 00</t>
  </si>
  <si>
    <t>强攻击精力伤害 +0.8%</t>
  </si>
  <si>
    <t>78 D3 00 00 09 00 00 00 00 12 00 00</t>
  </si>
  <si>
    <t>空中攻击精力伤害 +0.9%</t>
  </si>
  <si>
    <t>AD 97 00 00 0B 00 00 00 00 12 00 00</t>
  </si>
  <si>
    <t>对处于火状态敌人的精力伤害 +1.1%</t>
  </si>
  <si>
    <t>D5 97 00 00 0B 00 00 00 00 12 00 00</t>
  </si>
  <si>
    <t>对处于水状态敌人的精力伤害 +1.1%</t>
  </si>
  <si>
    <t>27 4F 00 00 0B 00 00 00 00 12 00 00</t>
  </si>
  <si>
    <t>对处于雷状态敌人的精力伤害 +1.1%</t>
  </si>
  <si>
    <t>97 78 00 00 0B 00 00 00 00 12 00 00</t>
  </si>
  <si>
    <t>对处于风状态敌人的精力伤害 +1.1%</t>
  </si>
  <si>
    <t>F1 E3 00 00 16 00 00 00 00 12 00 00</t>
  </si>
  <si>
    <t>守护灵技的精力伤害 +2.2%</t>
  </si>
  <si>
    <t>8E AE 00 00 2D 00 00 00 00 52 00 00</t>
  </si>
  <si>
    <t>(同名固定)武技精力伤害 +4.5%</t>
  </si>
  <si>
    <t>B6 CE 00 00 19 00 00 00 00 52 00 00</t>
  </si>
  <si>
    <t>(同名固定)近距离攻击精力伤害 +2.5%</t>
  </si>
  <si>
    <t>22 12 00 00 23 00 00 00 00 52 00 00</t>
  </si>
  <si>
    <t>(同名固定)强攻击精力伤害 +3.5%</t>
  </si>
  <si>
    <t>B6 1B 00 00 32 00 00 00 00 52 00 00</t>
  </si>
  <si>
    <t>(同名固定)空中攻击精力伤害 +5.0%</t>
  </si>
  <si>
    <t>3D 4F 00 00 0A 00 00 00 00 52 00 00</t>
  </si>
  <si>
    <t>(同名固定)崩解 +10</t>
  </si>
  <si>
    <t>79 66 00 00 0F 00 00 00 00 52 00 00</t>
  </si>
  <si>
    <t>(同名固定)武技崩解力 +1.5%</t>
  </si>
  <si>
    <t>0A 5F 00 00 0F 00 00 00 00 14 00 00</t>
  </si>
  <si>
    <t>近距离攻击打倒敌人时恢复体力 15</t>
  </si>
  <si>
    <t>E9 84 00 00 11 00 00 00 00 14 00 00</t>
  </si>
  <si>
    <t>打倒敌人时赋予自动恢复体力(17)</t>
  </si>
  <si>
    <t>F9 03 00 00 04 00 00 00 00 14 00 00</t>
  </si>
  <si>
    <t>30 92 00 00 04 00 00 00 00 14 00 00</t>
  </si>
  <si>
    <t>D5 1E 00 00 04 00 00 00 00 14 00 00</t>
  </si>
  <si>
    <t>60 0E 00 00 04 00 00 00 00 14 00 00</t>
  </si>
  <si>
    <t>74 D3 00 00 02 00 00 00 00 14 00 00</t>
  </si>
  <si>
    <t>25 7B 00 00 10 00 00 00 00 14 00 00</t>
  </si>
  <si>
    <t>05 17 00 00 10 00 00 00 00 14 00 00</t>
  </si>
  <si>
    <t>89 25 00 00 0F 00 00 00 00 14 00 00</t>
  </si>
  <si>
    <t>追击和近身刺击可恢复体力 15</t>
  </si>
  <si>
    <t>24 FB 00 00 E6 00 00 00 00 14 00 00</t>
  </si>
  <si>
    <t>获得魂核时恢复体力 230</t>
  </si>
  <si>
    <t>5C 9A 00 00 E6 00 00 00 00 14 00 00</t>
  </si>
  <si>
    <t>获得魂核时恢复体力 230(变化获得)</t>
  </si>
  <si>
    <t>D6 83 00 00 11 00 00 00 00 14 00 00</t>
  </si>
  <si>
    <t>50 EC 00 00 15 00 00 00 00 14 00 00</t>
  </si>
  <si>
    <t>箭弹命中弱点可恢复体力 21</t>
  </si>
  <si>
    <t>0F D9 00 00 03 00 00 00 00 14 00 00</t>
  </si>
  <si>
    <t>吸收精华可恢复体力 +3</t>
  </si>
  <si>
    <t>05 94 00 00 0F 00 00 00 00 14 00 00</t>
  </si>
  <si>
    <t>箭弹命中可恢复体力 +15</t>
  </si>
  <si>
    <t>2B 7B 00 00 06 00 00 00 00 14 00 00</t>
  </si>
  <si>
    <t>忍术伤害吸取体力 B-</t>
  </si>
  <si>
    <t>72 7F 00 00 06 00 00 00 00 14 00 00</t>
  </si>
  <si>
    <t>7E B2 00 00 19 00 00 00 00 14 00 00</t>
  </si>
  <si>
    <t>B7 F4 00 00 08 00 00 00 00 54 00 00</t>
  </si>
  <si>
    <t>(同名固定)造成火属性伤害时吸取体力 B+</t>
  </si>
  <si>
    <t>98 64 00 00 08 00 00 00 00 54 00 00</t>
  </si>
  <si>
    <t>(同名固定)造成水属性伤害时吸取体力 B+</t>
  </si>
  <si>
    <t>C5 D0 00 00 08 00 00 00 00 54 00 00</t>
  </si>
  <si>
    <t>(同名固定)造成雷属性伤害时吸取体力 B+</t>
  </si>
  <si>
    <t>2E CB 00 00 08 00 00 00 00 54 00 00</t>
  </si>
  <si>
    <t>(同名固定)造成风属性伤害时吸取体力 B+</t>
  </si>
  <si>
    <t>54 76 00 00 0A 00 00 00 00 54 00 00</t>
  </si>
  <si>
    <t>(同名固定)忍术伤害吸取体力 A</t>
  </si>
  <si>
    <t>A8 54 00 00 0C 00 00 00 00 54 00 00</t>
  </si>
  <si>
    <t>(同名固定)吸收精华可恢复体力 12</t>
  </si>
  <si>
    <t>A4 2A 00 00 50 00 00 00 00 54 00 00</t>
  </si>
  <si>
    <t>(同名固定)药物恢复体力效果 +8.0%</t>
  </si>
  <si>
    <t>9D 49 00 00 64 00 00 00 00 54 00 00</t>
  </si>
  <si>
    <t>(同名固定)体力 +100</t>
  </si>
  <si>
    <t>BB 8A 00 00 0F 00 00 00 00 17 00 00</t>
  </si>
  <si>
    <t>防御时精力恢复速度 +1.5%</t>
  </si>
  <si>
    <t>D7 D1 00 00 07 00 00 00 00 17 00 00</t>
  </si>
  <si>
    <t>残心精力恢复量 +0.7%</t>
  </si>
  <si>
    <t>A7 AD 00 00 0F 00 00 00 00 17 00 00</t>
  </si>
  <si>
    <t>精力恢复速度 +1.5%</t>
  </si>
  <si>
    <t>E4 50 00 00 31 00 00 00 00 17 00 00</t>
  </si>
  <si>
    <t>绝境时赋予精力恢复速度增加(+4.9%)</t>
  </si>
  <si>
    <t>31 DF 00 00 12 00 00 00 00 17 00 00</t>
  </si>
  <si>
    <t>精力恢复速度上升（无伤） +1.8%</t>
  </si>
  <si>
    <t>D2 2C 00 00 2D 00 00 00 00 17 00 00</t>
  </si>
  <si>
    <t>精力恢复速度（绝境） +4.5%</t>
  </si>
  <si>
    <t>B8 FC 00 00 06 00 00 00 00 17 00 00</t>
  </si>
  <si>
    <t>残心初始量 +6</t>
  </si>
  <si>
    <t>94 84 00 00 03 00 00 00 00 17 00 00</t>
  </si>
  <si>
    <t>抗常世 +0.3</t>
  </si>
  <si>
    <t>C6 93 00 00 19 00 00 00 00 57 00 00</t>
  </si>
  <si>
    <t>(同名固定)精力恢复速度 +2.5%</t>
  </si>
  <si>
    <t>1F DB 00 00 23 00 00 00 00 57 00 00</t>
  </si>
  <si>
    <t>(同名固定)精力恢复速度上升（无伤）+3.5%</t>
  </si>
  <si>
    <t>6C 08 00 00 32 00 00 00 00 57 00 00</t>
  </si>
  <si>
    <t>(同名固定)残心初始量 +50</t>
  </si>
  <si>
    <t>9C 2D 00 00 0f 00 00 00 00 57 00 00</t>
  </si>
  <si>
    <t>(同名固定)抗常世 +1.5</t>
  </si>
  <si>
    <t>96 F4 00 00 03 00 00 00 00 19 00 00</t>
  </si>
  <si>
    <t>98 DD 00 00 04 00 00 00 00 19 00 00</t>
  </si>
  <si>
    <t>73 27 00 00 04 00 00 00 00 19 00 00</t>
  </si>
  <si>
    <t>C6 43 00 00 04 00 00 00 00 19 00 00</t>
  </si>
  <si>
    <t>B5 9E 00 00 06 00 00 00 00 19 00 00</t>
  </si>
  <si>
    <t>绝境时赋予昂灵(+0.4%)</t>
  </si>
  <si>
    <t>7B 52 00 00 06 00 00 00 00 19 00 00</t>
  </si>
  <si>
    <t>6E 54 00 00 09 00 00 00 00 19 00 00</t>
  </si>
  <si>
    <t>3B BD 00 00 07 00 00 00 00 19 00 00</t>
  </si>
  <si>
    <t>29 C7 00 00 03 00 00 00 00 19 00 00</t>
  </si>
  <si>
    <t>阴阳术命中赋予昂灵(+0.3%)</t>
  </si>
  <si>
    <t>F2 CF 00 00 03 00 00 00 00 19 00 00</t>
  </si>
  <si>
    <t>使用阴阳术时赋予昂灵(+0.3%)</t>
  </si>
  <si>
    <t>36 CB 00 00 02 00 00 00 00 19 00 00</t>
  </si>
  <si>
    <t>3E 87 00 00 02 00 00 00 00 19 00 00</t>
  </si>
  <si>
    <t>D1 6A 00 00 02 00 00 00 00 19 00 00</t>
  </si>
  <si>
    <t>87 85 00 00 02 00 00 00 00 19 00 00</t>
  </si>
  <si>
    <t>87 B9 00 00 4B 00 00 00 00 59 00 00</t>
  </si>
  <si>
    <t>(同名固定)精华槽增加量 +7.5%</t>
  </si>
  <si>
    <t>30 57 00 00 4B 00 00 00 00 5B 00 00</t>
  </si>
  <si>
    <t>(同名固定)大炮伤害 +7.5%</t>
  </si>
  <si>
    <t>21 A6 00 00 4B 00 00 00 00 5B 00 00</t>
  </si>
  <si>
    <t>(同名固定)弓伤害 +8.5%</t>
  </si>
  <si>
    <t>47 1C 00 00 4B 00 00 00 00 5B 00 00</t>
  </si>
  <si>
    <t>(同名固定)箭弹命中时施加承受伤害增加 +30.0%</t>
  </si>
  <si>
    <t>1F C8 00 00 4B 00 00 00 00 5B 00 00</t>
  </si>
  <si>
    <t>F2 F4 00 00 0B 00 00 00 00 1C 00 00</t>
  </si>
  <si>
    <t>格挡成功时赋予移动速度上升(+1.1%)</t>
  </si>
  <si>
    <t>C1 EA 00 00 0B 00 00 00 00 1C 00 00</t>
  </si>
  <si>
    <t>成功识破时移动速度上升(+1.1%)</t>
  </si>
  <si>
    <t>D6 3C 00 00 0A 00 00 00 00 1C 00 00</t>
  </si>
  <si>
    <t>C6 F5 00 00 1E 00 00 00 00 1C 00 00</t>
  </si>
  <si>
    <t>闪避动作精力消耗降低（绝境） -3.0%</t>
  </si>
  <si>
    <t>A2 2F 00 00 21 00 00 00 00 1C 00 00</t>
  </si>
  <si>
    <t>绝境时赋予移动速度上升(+3.3%)</t>
  </si>
  <si>
    <t>2B 7E 00 00 0E 00 00 00 00 1C 00 00</t>
  </si>
  <si>
    <t>打倒敌人时赋予移动速度上升(+1.4%)</t>
  </si>
  <si>
    <t>BC AD 00 00 0F 00 00 00 00 1C 00 00</t>
  </si>
  <si>
    <t>祓除常世赋予移动速度上升(+1.5%)</t>
  </si>
  <si>
    <t>BE EE 00 00 10 00 00 00 00 1C 00 00</t>
  </si>
  <si>
    <t>陷入异常状态时赋予移动速度上升(+1.6%)</t>
  </si>
  <si>
    <t>4F FE 00 00 0B 00 00 00 00 1C 00 00</t>
  </si>
  <si>
    <t>吸收精华后赋予移动速度上升(+1.1%)</t>
  </si>
  <si>
    <t>F5 A7 00 00 0E 00 00 00 00 1C 00 00</t>
  </si>
  <si>
    <t>精力受到攻击降至50%以下时赋予移动速度上升(+1.4%)</t>
  </si>
  <si>
    <t>87 F0 00 00 0E 00 00 00 00 1C 00 00</t>
  </si>
  <si>
    <t>阴阳术命中赋予移动速度上升(+1.4%)</t>
  </si>
  <si>
    <t>10 A6 00 00 0E 00 00 00 00 1C 00 00</t>
  </si>
  <si>
    <t>忍术命中赋予移动速度上升(+1.4%)</t>
  </si>
  <si>
    <t>A9 E8 00 00 0E 00 00 00 00 1C 00 00</t>
  </si>
  <si>
    <t>恢复体力赋予移动速度上升(+1.4%)</t>
  </si>
  <si>
    <t>DC 1F 00 00 50 00 00 00 00 5C 00 00</t>
  </si>
  <si>
    <t>(同名固定)闪避动作精力消耗降低 -8.0%</t>
  </si>
  <si>
    <t>B9 BD 00 00 21 00 00 00 00 5C 00 00</t>
  </si>
  <si>
    <t>(同名固定)绝境时赋予移动速度上升(+3.3%)</t>
  </si>
  <si>
    <t>59 CF 00 00 64 00 00 00 00 5C 00 00</t>
  </si>
  <si>
    <t>(同名固定)冲刺精力消耗降低 -10.0%</t>
  </si>
  <si>
    <t>34 30 00 00 10 00 00 00 00 5C 00 00</t>
  </si>
  <si>
    <t>(同名固定)陷入异常状态时赋予移动速度上升(+1.6%)</t>
  </si>
  <si>
    <t>26 78 00 00 0B 00 00 00 00 5C 00 00</t>
  </si>
  <si>
    <t>(同名固定)吸收精华后赋予移动速度上升(+1.1%)</t>
  </si>
  <si>
    <t>67 6A 00 00 18 00 00 00 00 1F 00 00</t>
  </si>
  <si>
    <t>风属性伤害 +2.4%</t>
  </si>
  <si>
    <t>E4 18 00 00 18 00 00 00 00 1F 00 00</t>
  </si>
  <si>
    <t>火属性伤害 +2.4%</t>
  </si>
  <si>
    <t>92 18 00 00 18 00 00 00 00 1F 00 00</t>
  </si>
  <si>
    <t>水属性伤害 +2.4%</t>
  </si>
  <si>
    <t>39 AF 00 00 18 00 00 00 00 1F 00 00</t>
  </si>
  <si>
    <t>雷属性伤害 +2.4%</t>
  </si>
  <si>
    <t>EE AE 00 00 64 00 00 00 00 1F 00 00</t>
  </si>
  <si>
    <t>赋予属性的持续时间延长 +10.0%</t>
  </si>
  <si>
    <t>06 A7 00 00 13 00 00 00 00 1F 00 00</t>
  </si>
  <si>
    <t>敌人的持续伤害 +1.9%</t>
  </si>
  <si>
    <t>B7 05 00 00 28 00 00 00 00 1F 00 00</t>
  </si>
  <si>
    <t>敌人的火状态累积 +4.0%</t>
  </si>
  <si>
    <t>C4 61 00 00 28 00 00 00 00 1F 00 00</t>
  </si>
  <si>
    <t>敌人的水状态累积 +4.0%</t>
  </si>
  <si>
    <t>A0 F7 00 00 28 00 00 00 00 1F 00 00</t>
  </si>
  <si>
    <t>敌人的雷状态累积 +4.0%</t>
  </si>
  <si>
    <t>04 EB 00 00 28 00 00 00 00 1F 00 00</t>
  </si>
  <si>
    <t>敌人的风状态累积 +4.0%</t>
  </si>
  <si>
    <t>60 9C 00 00 28 00 00 00 00 1F 00 00</t>
  </si>
  <si>
    <t>敌人的麻痹状态累积 +4.0%</t>
  </si>
  <si>
    <t>35 D5 00 00 28 00 00 00 00 1F 00 00</t>
  </si>
  <si>
    <t>敌人的毒状态累积 +4.0%</t>
  </si>
  <si>
    <t>C1 FB 00 00 19 00 00 00 00 1F 00 00</t>
  </si>
  <si>
    <t>异常状态累积 +2.5%</t>
  </si>
  <si>
    <t>2A 8C 00 00 5A 00 00 00 00 1F 00 00</t>
  </si>
  <si>
    <t>幻术异常状态累积 +9.0%</t>
  </si>
  <si>
    <t>26 4D 00 00 2C 00 00 00 00 5F 00 00</t>
  </si>
  <si>
    <t>(同名固定)风属性伤害 +4.4%</t>
  </si>
  <si>
    <t>BD 68 00 00 2C 00 00 00 00 5F 00 00</t>
  </si>
  <si>
    <t>(同名固定)水属性伤害 +4.4%</t>
  </si>
  <si>
    <t>D0 7B 00 00 2C 00 00 00 00 5F 00 00</t>
  </si>
  <si>
    <t>(同名固定)雷属性伤害 +4.4%</t>
  </si>
  <si>
    <t>19 7B 00 00 23 00 00 00 00 5F 00 00</t>
  </si>
  <si>
    <t>(同名固定)敌人的火状态累积 +3.5%</t>
  </si>
  <si>
    <t>(同名固定)敌人的水状态累积 +3.5%</t>
  </si>
  <si>
    <t>FD BA 00 00 23 00 00 00 00 5F 00 00</t>
  </si>
  <si>
    <t>(同名固定)敌人的雷状态累积 +3.5%</t>
  </si>
  <si>
    <t>94 BF 00 00 23 00 00 00 00 5F 00 00</t>
  </si>
  <si>
    <t>(同名固定)敌人的风状态累积 +3.5%</t>
  </si>
  <si>
    <t>DF E2 00 00 23 00 00 00 00 5F 00 00</t>
  </si>
  <si>
    <t>(同名固定)敌人的麻痹状态累积 +3.5%</t>
  </si>
  <si>
    <t>FB A5 00 00 23 00 00 00 00 5F 00 00</t>
  </si>
  <si>
    <t>(同名固定)敌人的毒状态累积 +3.5%</t>
  </si>
  <si>
    <t>43 C3 00 00 0F 00 00 00 00 5F 00 00</t>
  </si>
  <si>
    <t>(同名固定)箭弹命中时施加移动速度降低 +1.5%</t>
  </si>
  <si>
    <t>DE 65 00 00 0C 00 00 00 00 5F 00 00</t>
  </si>
  <si>
    <t>(同名固定)阴阳术命中时施加移动速度降低(-1.2%)</t>
  </si>
  <si>
    <t>7A 0A 00 00 3C 00 00 00 00 5F 00 00</t>
  </si>
  <si>
    <t>(同名固定)对处于毒状态敌人的近距离伤害 +6.0%</t>
  </si>
  <si>
    <t>AA 2B 00 00 3C 00 00 00 00 5F 00 00</t>
  </si>
  <si>
    <t>(同名固定)对处于火状态敌人的近距离伤害 +6.0%</t>
  </si>
  <si>
    <t>65 4B 00 00 3C 00 00 00 00 5F 00 00</t>
  </si>
  <si>
    <t>(同名固定)对处于水状态敌人的近距离伤害 +6.0%</t>
  </si>
  <si>
    <t>55 95 00 00 3C 00 00 00 00 5F 00 00</t>
  </si>
  <si>
    <t>(同名固定)对处于雷状态敌人的近距离伤害 +6.0%</t>
  </si>
  <si>
    <t>6A C0 00 00 3C 00 00 00 00 5F 00 00</t>
  </si>
  <si>
    <t>(同名固定)对处于风状态敌人的近距离伤害 +6.0%</t>
  </si>
  <si>
    <t>B0 43 00 00 00 00 00 00 00 5F 00 00</t>
  </si>
  <si>
    <t>(同名固定)阴阳术命中时施加盲目</t>
  </si>
  <si>
    <t>82 69 00 00 00 00 00 00 00 4C 01 00</t>
  </si>
  <si>
    <t>横行天下的倾奇者</t>
  </si>
  <si>
    <t>[武士套装]</t>
  </si>
  <si>
    <t>85 86 00 00 00 00 00 00 00 4C 01 00</t>
  </si>
  <si>
    <t>东国无双的荣耀</t>
  </si>
  <si>
    <t>60 E4 00 00 00 00 00 00 00 4C 01 00</t>
  </si>
  <si>
    <t>怪童丸</t>
  </si>
  <si>
    <t>69 85 00 00 00 00 00 00 00 4C 01 00</t>
  </si>
  <si>
    <t>军神的明鉴</t>
  </si>
  <si>
    <t>8A AE 00 00 00 00 00 00 00 4C 01 00</t>
  </si>
  <si>
    <t>风流才智之士</t>
  </si>
  <si>
    <t>E3 5A 00 00 00 00 00 00 00 4C 01 00</t>
  </si>
  <si>
    <t>七难八苦</t>
  </si>
  <si>
    <t>1B CD 00 00 00 00 00 00 00 4C 01 00</t>
  </si>
  <si>
    <t>三恶妄为</t>
  </si>
  <si>
    <t>AA 42 00 00 00 00 00 00 00 4C 01 00</t>
  </si>
  <si>
    <t>刚勇流离</t>
  </si>
  <si>
    <t>0B 38 00 00 00 00 00 00 00 4C 01 00</t>
  </si>
  <si>
    <t>赖光四天王之首</t>
  </si>
  <si>
    <t>97 E4 00 00 00 00 00 00 00 4C 01 00</t>
  </si>
  <si>
    <t>十一面观音的庇佑</t>
  </si>
  <si>
    <t>38 1D 00 00 00 00 00 00 00 4C 01 00</t>
  </si>
  <si>
    <t>坂上党的骄傲</t>
  </si>
  <si>
    <t>86 41 00 00 00 00 00 00 00 4C 01 00</t>
  </si>
  <si>
    <t>赤备的骄傲</t>
  </si>
  <si>
    <t>A5 32 00 00 00 00 00 00 00 4C 01 00</t>
  </si>
  <si>
    <t>梦想一刀</t>
  </si>
  <si>
    <t>A3 94 00 00 00 00 00 00 00 4C 01 00</t>
  </si>
  <si>
    <t>剑禅一致</t>
  </si>
  <si>
    <t>67 23 00 00 00 00 00 00 00 4C 01 00</t>
  </si>
  <si>
    <t>自得院流枪术</t>
  </si>
  <si>
    <t>AD C7 00 00 00 00 00 00 00 4C 01 00</t>
  </si>
  <si>
    <t>高岛流炮术</t>
  </si>
  <si>
    <t>01 7D 00 00 00 00 00 00 00 4C 01 00</t>
  </si>
  <si>
    <t>今川执权</t>
  </si>
  <si>
    <t>5A 72 00 00 00 00 00 00 00 4C 01 00</t>
  </si>
  <si>
    <t>太平先驱</t>
  </si>
  <si>
    <t>AB D8 00 00 00 00 00 00 00 4C 01 00</t>
  </si>
  <si>
    <t>聪慧心鬼</t>
  </si>
  <si>
    <t>4B EE 00 00 00 00 00 00 00 4C 01 00</t>
  </si>
  <si>
    <t>凋零勇将</t>
  </si>
  <si>
    <t>D3 A9 00 00 00 00 00 00 00 4C 01 00</t>
  </si>
  <si>
    <t>神君再临</t>
  </si>
  <si>
    <t>1D F4 00 00 00 00 00 00 00 4C 01 00</t>
  </si>
  <si>
    <t>二心将领</t>
  </si>
  <si>
    <t>08 E3 00 00 00 00 00 00 00 4C 01 00</t>
  </si>
  <si>
    <t>殿军名将</t>
  </si>
  <si>
    <t>24 D5 00 00 00 00 00 00 00 4C 01 00</t>
  </si>
  <si>
    <t>风林火山</t>
  </si>
  <si>
    <t>1A 68 00 00 00 00 00 00 00 4C 01 00</t>
  </si>
  <si>
    <t>一人当千之精锐</t>
  </si>
  <si>
    <t>BC 73 00 00 00 00 00 00 00 4C 01 00</t>
  </si>
  <si>
    <t>武家政权之基石</t>
  </si>
  <si>
    <t>74 FD 00 00 00 00 00 00 00 4C 01 00</t>
  </si>
  <si>
    <t>薄命之剑</t>
  </si>
  <si>
    <t>41 99 00 00 00 00 00 00 00 4C 01 00</t>
  </si>
  <si>
    <t>甲斐的副将</t>
  </si>
  <si>
    <t>CA 75 00 00 00 00 00 00 00 4C 01 00</t>
  </si>
  <si>
    <t>柳生表里剑</t>
  </si>
  <si>
    <t>06 2D 00 00 00 00 00 00 00 4C 01 00</t>
  </si>
  <si>
    <t>才智卓越</t>
  </si>
  <si>
    <t>63 D3 00 00 00 00 00 00 00 4C 01 00</t>
  </si>
  <si>
    <t>加贺百万石的荣华</t>
  </si>
  <si>
    <t>AD 70 00 00 00 00 00 00 00 4C 01 00</t>
  </si>
  <si>
    <t>天下副将军</t>
  </si>
  <si>
    <t>EF 95 00 00 00 00 00 00 00 4C 01 00</t>
  </si>
  <si>
    <t>烈火般的反骨</t>
  </si>
  <si>
    <t>C1 D8 00 00 00 00 00 00 00 4C 01 00</t>
  </si>
  <si>
    <t>伊贺越复仇的主导者</t>
  </si>
  <si>
    <t>CF B0 00 00 00 00 00 00 00 4C 01 00</t>
  </si>
  <si>
    <t>屠妖者</t>
  </si>
  <si>
    <t>[忍者套装]</t>
  </si>
  <si>
    <t>F7 91 00 00 00 00 00 00 00 4C 01 00</t>
  </si>
  <si>
    <t>神之祝子</t>
  </si>
  <si>
    <t>F1 63 00 00 00 00 00 00 00 4C 01 00</t>
  </si>
  <si>
    <t>实行祓除者</t>
  </si>
  <si>
    <t>08 50 00 00 00 00 00 00 00 4C 01 00</t>
  </si>
  <si>
    <t>伊贺忍者首领</t>
  </si>
  <si>
    <t>26 B7 00 00 00 00 00 00 00 4C 01 00</t>
  </si>
  <si>
    <t>幻惑吞牛</t>
  </si>
  <si>
    <t>04 8E 00 00 00 00 00 00 00 4C 01 00</t>
  </si>
  <si>
    <t>百鬼化身</t>
  </si>
  <si>
    <t>1B B9 00 00 00 00 00 00 00 4C 01 00</t>
  </si>
  <si>
    <t>一射专心</t>
  </si>
  <si>
    <t>43 7A 00 00 00 00 00 00 00 4C 01 00</t>
  </si>
  <si>
    <t>悲剧英雄</t>
  </si>
  <si>
    <t>28 9D 00 00 00 00 00 00 00 4C 01 00</t>
  </si>
  <si>
    <t>显净土真实</t>
  </si>
  <si>
    <t>A1 A7 00 00 00 00 00 00 00 4C 01 00</t>
  </si>
  <si>
    <t>怨恨盖世</t>
  </si>
  <si>
    <t>BF EE 00 00 00 00 00 00 00 4C 01 00</t>
  </si>
  <si>
    <t>机智勇士</t>
  </si>
  <si>
    <t>CC 5E 00 00 00 00 00 00 00 4C 01 00</t>
  </si>
  <si>
    <t>命运一射</t>
  </si>
  <si>
    <t>86 4A 00 00 00 00 00 00 00 4C 01 00</t>
  </si>
  <si>
    <t>狡狯忠臣</t>
  </si>
  <si>
    <t>9A 61 00 00 00 00 00 00 00 4C 01 00</t>
  </si>
  <si>
    <t>绝景哉</t>
  </si>
  <si>
    <t>88 B7 00 00 00 00 00 00 00 4C 01 00</t>
  </si>
  <si>
    <t>伊贺后裔</t>
  </si>
  <si>
    <t>C3 4C 00 00 00 00 00 00 00 4C 01 00</t>
  </si>
  <si>
    <t>奇策百出</t>
  </si>
  <si>
    <t>48 12 00 00 00 00 00 00 00 4C 01 00</t>
  </si>
  <si>
    <t>肉户八重垣流</t>
  </si>
  <si>
    <t>44 F8 00 00 00 00 00 00 00 4C 01 00</t>
  </si>
  <si>
    <t>弘法利生</t>
  </si>
  <si>
    <t>6D 94 00 00 00 00 00 00 00 4C 01 00</t>
  </si>
  <si>
    <t>风魔的威名</t>
  </si>
  <si>
    <t>50 C6 00 00 00 00 00 00 00 4C 01 00</t>
  </si>
  <si>
    <t>幕府密探总管</t>
  </si>
  <si>
    <t>94 0B 00 00 00 00 00 00 00 4C 01 00</t>
  </si>
  <si>
    <t>柳生的暗行者</t>
  </si>
  <si>
    <t>C4 E7 00 00 00 00 00 00 00 4C 01 00</t>
  </si>
  <si>
    <t>里体舍流总帅</t>
  </si>
  <si>
    <t>E5 23 00 00 00 00 00 00 00 0C 02 00</t>
  </si>
  <si>
    <t>毘沙门天的恩宠</t>
  </si>
  <si>
    <t>[恩宠]</t>
  </si>
  <si>
    <t>E6 2A 00 00 00 00 00 00 00 0C 02 00</t>
  </si>
  <si>
    <t>弁才天的恩宠</t>
  </si>
  <si>
    <t>CC 8C 00 00 00 00 00 00 00 0C 02 00</t>
  </si>
  <si>
    <t>惠比寿的恩宠</t>
  </si>
  <si>
    <t>4F B2 00 00 00 00 00 00 00 0C 02 00</t>
  </si>
  <si>
    <t>寿老人的恩宠</t>
  </si>
  <si>
    <t>12 50 00 00 00 00 00 00 00 0C 02 00</t>
  </si>
  <si>
    <t>大黑天的恩宠</t>
  </si>
  <si>
    <t>EA 7B 00 00 00 00 00 00 00 0C 02 00</t>
  </si>
  <si>
    <t>福禄寿的恩宠</t>
  </si>
  <si>
    <t>0C 59 00 00 00 00 00 00 00 0C 02 00</t>
  </si>
  <si>
    <t>布袋尊的恩宠</t>
  </si>
  <si>
    <t>A3 4F 00 00 00 00 00 00 00 0C 02 00</t>
  </si>
  <si>
    <t>稻荷神的恩宠</t>
  </si>
  <si>
    <t>E9 B1 00 00 00 00 00 00 00 0C 02 00</t>
  </si>
  <si>
    <t>八幡神的恩宠</t>
  </si>
  <si>
    <t>EB E8 00 00 00 00 00 00 00 0C 02 00</t>
  </si>
  <si>
    <t>九头龙的恩宠</t>
  </si>
  <si>
    <t>53 65 00 00 00 00 00 00 00 0C 02 00</t>
  </si>
  <si>
    <t>天照大神的恩宠</t>
  </si>
  <si>
    <t>[上位恩宠]</t>
  </si>
  <si>
    <t>68 CE 00 00 00 00 00 00 00 0C 02 00</t>
  </si>
  <si>
    <t>素盏鸣尊的恩宠</t>
  </si>
  <si>
    <t>BD BA 00 00 00 00 00 00 00 0C 02 00</t>
  </si>
  <si>
    <t>月读的恩宠</t>
  </si>
  <si>
    <t>E2 16 00 00 00 00 00 00 00 0C 02 00</t>
  </si>
  <si>
    <t>迦具土的恩宠</t>
  </si>
  <si>
    <t>EC 47 00 00 00 00 00 00 00 0C 02 00</t>
  </si>
  <si>
    <t>大绵津见的恩宠</t>
  </si>
  <si>
    <t>EA EE 00 00 00 00 00 00 00 0C 02 00</t>
  </si>
  <si>
    <t>建御雷的恩宠</t>
  </si>
  <si>
    <t>92 41 00 00 00 00 00 00 00 0C 02 00</t>
  </si>
  <si>
    <t>志那都彦的恩宠</t>
  </si>
  <si>
    <t>E4 4F 00 00 00 00 00 00 00 0C 02 00</t>
  </si>
  <si>
    <t>天钿女的恩宠</t>
  </si>
  <si>
    <t>61 EB 00 00 00 00 00 00 00 0C 02 00</t>
  </si>
  <si>
    <t>祸津日的恩宠</t>
  </si>
  <si>
    <t>CE 7E 00 00 00 00 00 00 00 0C 02 00</t>
  </si>
  <si>
    <t>摩利支天的恩宠</t>
  </si>
  <si>
    <t>F6 71 00 00 00 00 00 00 00 0C 02 00</t>
  </si>
  <si>
    <t>不动明王的恩宠</t>
  </si>
  <si>
    <t>大类</t>
  </si>
  <si>
    <t>中类</t>
  </si>
  <si>
    <t>小类</t>
  </si>
  <si>
    <t>代码</t>
  </si>
  <si>
    <t>名称</t>
  </si>
  <si>
    <t>备注</t>
  </si>
  <si>
    <t>将D列与E列中间用:同行合并到G列</t>
  </si>
  <si>
    <t>武器</t>
  </si>
  <si>
    <t>武士武器</t>
  </si>
  <si>
    <t>刀</t>
  </si>
  <si>
    <t>BF 27</t>
  </si>
  <si>
    <t>木刀</t>
  </si>
  <si>
    <t>F7 4B</t>
  </si>
  <si>
    <t>备前传太刀</t>
  </si>
  <si>
    <t>A8 01</t>
  </si>
  <si>
    <t>千手院太刀</t>
  </si>
  <si>
    <t>A0 93</t>
  </si>
  <si>
    <t>备前长船</t>
  </si>
  <si>
    <t>B3 21</t>
  </si>
  <si>
    <t>当麻国行</t>
  </si>
  <si>
    <t>AB E7</t>
  </si>
  <si>
    <t>长船兼光</t>
  </si>
  <si>
    <t>A3 05</t>
  </si>
  <si>
    <t>九字兼定</t>
  </si>
  <si>
    <t>5B 8D</t>
  </si>
  <si>
    <t>甲斐国江</t>
  </si>
  <si>
    <t>6B A3</t>
  </si>
  <si>
    <t>楚叶矢之剑</t>
  </si>
  <si>
    <t>25 DC</t>
  </si>
  <si>
    <t>大天狗正家</t>
  </si>
  <si>
    <t>4D D1</t>
  </si>
  <si>
    <t>薄绿</t>
  </si>
  <si>
    <t>D9 BD</t>
  </si>
  <si>
    <t>鬼切</t>
  </si>
  <si>
    <t>BA 8F</t>
  </si>
  <si>
    <t>童子切安纲</t>
  </si>
  <si>
    <t>1B F1</t>
  </si>
  <si>
    <t>髭切</t>
  </si>
  <si>
    <t>80 ED</t>
  </si>
  <si>
    <t>邪马台国之剑</t>
  </si>
  <si>
    <t>C3 7F</t>
  </si>
  <si>
    <t>笑面青江</t>
  </si>
  <si>
    <t>7F 54</t>
  </si>
  <si>
    <t>大典太光世</t>
  </si>
  <si>
    <t>48 24</t>
  </si>
  <si>
    <t>加州清光</t>
  </si>
  <si>
    <t>23 F5</t>
  </si>
  <si>
    <t>蜥蜴丸</t>
  </si>
  <si>
    <t>3C 9C</t>
  </si>
  <si>
    <t>长曾祢虎彻</t>
  </si>
  <si>
    <t>1E E6</t>
  </si>
  <si>
    <t>鬼丸国纲</t>
  </si>
  <si>
    <t>0F 1B</t>
  </si>
  <si>
    <t>家光的装饰刀</t>
  </si>
  <si>
    <t>D9 11</t>
  </si>
  <si>
    <t>处斩丽刀</t>
  </si>
  <si>
    <t>D4 C0</t>
  </si>
  <si>
    <t>狱妖刀</t>
  </si>
  <si>
    <t>28 C9</t>
  </si>
  <si>
    <t>长船近景</t>
  </si>
  <si>
    <t>双刀</t>
  </si>
  <si>
    <t>2F 66</t>
  </si>
  <si>
    <t>双木刀</t>
  </si>
  <si>
    <t>67 41</t>
  </si>
  <si>
    <t>美浓传太刀双刀</t>
  </si>
  <si>
    <t>46 B4</t>
  </si>
  <si>
    <t>相州传太刀双刀</t>
  </si>
  <si>
    <t>C0 86</t>
  </si>
  <si>
    <t>关物太刀双刀</t>
  </si>
  <si>
    <t>CE 3A</t>
  </si>
  <si>
    <t>地狱锯</t>
  </si>
  <si>
    <t>22 6C</t>
  </si>
  <si>
    <t>关兼则双刀</t>
  </si>
  <si>
    <t>E7 CD</t>
  </si>
  <si>
    <t>御一门众双刀</t>
  </si>
  <si>
    <t>1D 7B</t>
  </si>
  <si>
    <t>染血双锲</t>
  </si>
  <si>
    <t>29 E1</t>
  </si>
  <si>
    <t>山姥菜刀</t>
  </si>
  <si>
    <t>F4 C6</t>
  </si>
  <si>
    <t>不动国行·药研藤四郎</t>
  </si>
  <si>
    <t>12 0A</t>
  </si>
  <si>
    <t>狮子王·骨食</t>
  </si>
  <si>
    <t>D6 3A</t>
  </si>
  <si>
    <t>弟君双刀</t>
  </si>
  <si>
    <t>96 24</t>
  </si>
  <si>
    <t>大般若长光·刨切</t>
  </si>
  <si>
    <t>25 C5</t>
  </si>
  <si>
    <t>来国次双刀</t>
  </si>
  <si>
    <t>D3 95</t>
  </si>
  <si>
    <t>和泉守兼定·葵纹越前康继</t>
  </si>
  <si>
    <t>DA A7</t>
  </si>
  <si>
    <t>本庄正宗·军刀</t>
  </si>
  <si>
    <t>96 E8</t>
  </si>
  <si>
    <t>一期一振·亲子藤四郎</t>
  </si>
  <si>
    <t>C1 27</t>
  </si>
  <si>
    <t>狱妖双刀</t>
  </si>
  <si>
    <t>86 9B</t>
  </si>
  <si>
    <t>法桥来金道·宇多国光</t>
  </si>
  <si>
    <t>枪</t>
  </si>
  <si>
    <t>7D 80</t>
  </si>
  <si>
    <t>木枪</t>
  </si>
  <si>
    <t>93 FB</t>
  </si>
  <si>
    <t>长枪</t>
  </si>
  <si>
    <t>44 E0</t>
  </si>
  <si>
    <t>数枪</t>
  </si>
  <si>
    <t>DA 04</t>
  </si>
  <si>
    <t>单镰枪</t>
  </si>
  <si>
    <t>BC 6C</t>
  </si>
  <si>
    <t>万骨</t>
  </si>
  <si>
    <t>07 39</t>
  </si>
  <si>
    <t>十字枪</t>
  </si>
  <si>
    <t>CE 07</t>
  </si>
  <si>
    <t>组长之枪</t>
  </si>
  <si>
    <t>E4 30</t>
  </si>
  <si>
    <t>侍童十字枪</t>
  </si>
  <si>
    <t>76 65</t>
  </si>
  <si>
    <t>小松明</t>
  </si>
  <si>
    <t>E5 67</t>
  </si>
  <si>
    <t>武者十字枪</t>
  </si>
  <si>
    <t>0B 5A</t>
  </si>
  <si>
    <t>古笼火之枪</t>
  </si>
  <si>
    <t>95 76</t>
  </si>
  <si>
    <t>步兵大将之枪</t>
  </si>
  <si>
    <t>65 5B</t>
  </si>
  <si>
    <t>牛角十字枪</t>
  </si>
  <si>
    <t>D6 E8</t>
  </si>
  <si>
    <t>蜻玲切</t>
  </si>
  <si>
    <t>4D F7</t>
  </si>
  <si>
    <t>穿岩十字枪</t>
  </si>
  <si>
    <t>19 FD</t>
  </si>
  <si>
    <t>瓮通枪</t>
  </si>
  <si>
    <t>E8 F6</t>
  </si>
  <si>
    <t>千鸟十字枪</t>
  </si>
  <si>
    <t>50 72</t>
  </si>
  <si>
    <t>人间无骨</t>
  </si>
  <si>
    <t>9D A3</t>
  </si>
  <si>
    <t>鬼半藏之枪</t>
  </si>
  <si>
    <t>94 E5</t>
  </si>
  <si>
    <t>御手杵</t>
  </si>
  <si>
    <t>AB 8D</t>
  </si>
  <si>
    <t>皆朱枪</t>
  </si>
  <si>
    <t>CE 05</t>
  </si>
  <si>
    <t>日本号</t>
  </si>
  <si>
    <t>4A 19</t>
  </si>
  <si>
    <t>邪马台国之矛</t>
  </si>
  <si>
    <t>35 8A</t>
  </si>
  <si>
    <t>地狱刺叉</t>
  </si>
  <si>
    <t>37 1A</t>
  </si>
  <si>
    <t>地狱冰枪</t>
  </si>
  <si>
    <t>7B 5B</t>
  </si>
  <si>
    <t>狱妖之枪</t>
  </si>
  <si>
    <t>4C A3</t>
  </si>
  <si>
    <t>百万石长枪</t>
  </si>
  <si>
    <t>4F E9</t>
  </si>
  <si>
    <t>一玄居士之枪</t>
  </si>
  <si>
    <t>83 47</t>
  </si>
  <si>
    <t>白鸟枪</t>
  </si>
  <si>
    <t>58 9B</t>
  </si>
  <si>
    <t>昆沙门戟</t>
  </si>
  <si>
    <t>B2 98</t>
  </si>
  <si>
    <t>隼风矛</t>
  </si>
  <si>
    <t>斧</t>
  </si>
  <si>
    <t>E4 26</t>
  </si>
  <si>
    <t>木制大槌</t>
  </si>
  <si>
    <t>07 40</t>
  </si>
  <si>
    <t>黑铁斧</t>
  </si>
  <si>
    <t>06 1C</t>
  </si>
  <si>
    <t>破栅之斧</t>
  </si>
  <si>
    <t>BA 36</t>
  </si>
  <si>
    <t>独脚踏鞴之锤</t>
  </si>
  <si>
    <t>80 16</t>
  </si>
  <si>
    <t>赤栋大槌</t>
  </si>
  <si>
    <t>8A 8E</t>
  </si>
  <si>
    <t>山贼斧</t>
  </si>
  <si>
    <t>5E CD</t>
  </si>
  <si>
    <t>青铜大锤</t>
  </si>
  <si>
    <t>BE EC</t>
  </si>
  <si>
    <t>十字镐</t>
  </si>
  <si>
    <t>9E EA</t>
  </si>
  <si>
    <t>破盔斧</t>
  </si>
  <si>
    <t>A1 BB</t>
  </si>
  <si>
    <t>刚力板斧</t>
  </si>
  <si>
    <t>FA 0C</t>
  </si>
  <si>
    <t>刀匠之锤</t>
  </si>
  <si>
    <t>96 C2</t>
  </si>
  <si>
    <t>断枪大槌</t>
  </si>
  <si>
    <t>43 2F</t>
  </si>
  <si>
    <t>勇僧大槌</t>
  </si>
  <si>
    <t>E6 26</t>
  </si>
  <si>
    <t>勇武者板斧</t>
  </si>
  <si>
    <t>0E FE</t>
  </si>
  <si>
    <t>碎岩大槌</t>
  </si>
  <si>
    <t>BB ED</t>
  </si>
  <si>
    <t>碎铠战斧</t>
  </si>
  <si>
    <t>4F AE</t>
  </si>
  <si>
    <t>两面宿摊之斧</t>
  </si>
  <si>
    <t>01 EE</t>
  </si>
  <si>
    <t>破邪大槌</t>
  </si>
  <si>
    <t>D3 80</t>
  </si>
  <si>
    <t>物部氏斧</t>
  </si>
  <si>
    <t>8A 3C</t>
  </si>
  <si>
    <t>怪童板斧</t>
  </si>
  <si>
    <t>31 80</t>
  </si>
  <si>
    <t>破军板斧</t>
  </si>
  <si>
    <t>9A 85</t>
  </si>
  <si>
    <t>鬼神大槌</t>
  </si>
  <si>
    <t>67 48</t>
  </si>
  <si>
    <t>天目一个神之斧</t>
  </si>
  <si>
    <t>6F EB</t>
  </si>
  <si>
    <t>玄翁大槌</t>
  </si>
  <si>
    <t>8F 47</t>
  </si>
  <si>
    <t>百鬼斧</t>
  </si>
  <si>
    <t>27 FC</t>
  </si>
  <si>
    <t>蜃影战斧</t>
  </si>
  <si>
    <t>77 48</t>
  </si>
  <si>
    <t>锈蚀锄</t>
  </si>
  <si>
    <t>81 B8</t>
  </si>
  <si>
    <t>地狱棍棒</t>
  </si>
  <si>
    <t>C8 4A</t>
  </si>
  <si>
    <t>护国禅师之锤</t>
  </si>
  <si>
    <t>8F D9</t>
  </si>
  <si>
    <t>西洋炮术家铁锤</t>
  </si>
  <si>
    <t>CB 72</t>
  </si>
  <si>
    <t>狱妖之斧</t>
  </si>
  <si>
    <t>8E 69</t>
  </si>
  <si>
    <t>武藏坊之斧</t>
  </si>
  <si>
    <t>C6 8D</t>
  </si>
  <si>
    <t>破魔金刚锤</t>
  </si>
  <si>
    <t>91 3E</t>
  </si>
  <si>
    <t>退魔之斧</t>
  </si>
  <si>
    <t>大太刀</t>
  </si>
  <si>
    <t>41 D6</t>
  </si>
  <si>
    <t>大木太刀</t>
  </si>
  <si>
    <t>BB CC</t>
  </si>
  <si>
    <t>大和传大太刀</t>
  </si>
  <si>
    <t>AA 83</t>
  </si>
  <si>
    <t>备前传大太刀</t>
  </si>
  <si>
    <t>92 35</t>
  </si>
  <si>
    <t>山城传大太刀</t>
  </si>
  <si>
    <t>1E 4D</t>
  </si>
  <si>
    <t>独脚踏鞴大太刀</t>
  </si>
  <si>
    <t>CD A7</t>
  </si>
  <si>
    <t>茨木童子大太刀</t>
  </si>
  <si>
    <t>72 31</t>
  </si>
  <si>
    <t>来派大太刀</t>
  </si>
  <si>
    <t>06 76</t>
  </si>
  <si>
    <t>红蜘蛛</t>
  </si>
  <si>
    <t>67 EF</t>
  </si>
  <si>
    <t>古备前大太刀</t>
  </si>
  <si>
    <t>2F DD</t>
  </si>
  <si>
    <t>佑定大太刀</t>
  </si>
  <si>
    <t>9A 75</t>
  </si>
  <si>
    <t>高平大太刀</t>
  </si>
  <si>
    <t>88 37</t>
  </si>
  <si>
    <t>来国行大太刀</t>
  </si>
  <si>
    <t>E4 40</t>
  </si>
  <si>
    <t>蛇切丸</t>
  </si>
  <si>
    <t>A2 67</t>
  </si>
  <si>
    <t>染血大菜刀</t>
  </si>
  <si>
    <t>0C 1C</t>
  </si>
  <si>
    <t>君万岁友成</t>
  </si>
  <si>
    <t>0F BB</t>
  </si>
  <si>
    <t>太郎太刀</t>
  </si>
  <si>
    <t>16 DF</t>
  </si>
  <si>
    <t>次郎太刀</t>
  </si>
  <si>
    <t>E5 7E</t>
  </si>
  <si>
    <t>神威</t>
  </si>
  <si>
    <t>74 EF</t>
  </si>
  <si>
    <t>两面宿摊之剑</t>
  </si>
  <si>
    <t>74 D2</t>
  </si>
  <si>
    <t>面影</t>
  </si>
  <si>
    <t>B7 BD</t>
  </si>
  <si>
    <t>微尘丸</t>
  </si>
  <si>
    <t>35 A7</t>
  </si>
  <si>
    <t>石州和贞</t>
  </si>
  <si>
    <t>07 D9</t>
  </si>
  <si>
    <t>萤丸</t>
  </si>
  <si>
    <t>76 DE</t>
  </si>
  <si>
    <t>祢祢切丸</t>
  </si>
  <si>
    <t>00 EE</t>
  </si>
  <si>
    <t>石切丸</t>
  </si>
  <si>
    <t>B1 2B</t>
  </si>
  <si>
    <t>赤备大将长卷</t>
  </si>
  <si>
    <t>26 21</t>
  </si>
  <si>
    <t>鬼武者大太刀</t>
  </si>
  <si>
    <t>D9 EB</t>
  </si>
  <si>
    <t>凶王妖剑</t>
  </si>
  <si>
    <t>9A 1D</t>
  </si>
  <si>
    <t>破瓶</t>
  </si>
  <si>
    <t>C1 6A</t>
  </si>
  <si>
    <t>第二队队长大太刀</t>
  </si>
  <si>
    <t>67 B3</t>
  </si>
  <si>
    <t>鬼神丸国重</t>
  </si>
  <si>
    <t>D6 60</t>
  </si>
  <si>
    <t>盗贼首领大太力</t>
  </si>
  <si>
    <t>D3 9C</t>
  </si>
  <si>
    <t>狱妖大太刀</t>
  </si>
  <si>
    <t>89 0B</t>
  </si>
  <si>
    <t>三郎兵卫大太刀</t>
  </si>
  <si>
    <t>A9 4C</t>
  </si>
  <si>
    <t>蛇腹大太刀</t>
  </si>
  <si>
    <t>59 FE</t>
  </si>
  <si>
    <t>薙刀镰</t>
  </si>
  <si>
    <t>92 8A</t>
  </si>
  <si>
    <t>黑铁薙刀镰</t>
  </si>
  <si>
    <t>93 79</t>
  </si>
  <si>
    <t>猎人薙刀镰</t>
  </si>
  <si>
    <t>E7 40</t>
  </si>
  <si>
    <t>朱漆薙刀镰</t>
  </si>
  <si>
    <t>E7 14</t>
  </si>
  <si>
    <t>忌龙</t>
  </si>
  <si>
    <t>54 8B</t>
  </si>
  <si>
    <t>武艺者薙刀镰</t>
  </si>
  <si>
    <t>AB 00</t>
  </si>
  <si>
    <t>七杀薙刀镰</t>
  </si>
  <si>
    <t>22 F3</t>
  </si>
  <si>
    <t>终止薙刀镰</t>
  </si>
  <si>
    <t>92 A1</t>
  </si>
  <si>
    <t>竹叶雪</t>
  </si>
  <si>
    <t>D5 E9</t>
  </si>
  <si>
    <t>灭却薙刀镰</t>
  </si>
  <si>
    <t>9B 06</t>
  </si>
  <si>
    <t>破邪薙刀镰</t>
  </si>
  <si>
    <t>5F B1</t>
  </si>
  <si>
    <t>朱雀嘴</t>
  </si>
  <si>
    <t>31 22</t>
  </si>
  <si>
    <t>外法薙刀镰</t>
  </si>
  <si>
    <t>B5 FE</t>
  </si>
  <si>
    <t>夜鸦薙刀镰</t>
  </si>
  <si>
    <t>BC 34</t>
  </si>
  <si>
    <t>黑莲</t>
  </si>
  <si>
    <t>0F 6F</t>
  </si>
  <si>
    <t>雷神爪</t>
  </si>
  <si>
    <t>A2 9B</t>
  </si>
  <si>
    <t>绵津见</t>
  </si>
  <si>
    <t>E1 32</t>
  </si>
  <si>
    <t>凤凰翼</t>
  </si>
  <si>
    <t>E9 D5</t>
  </si>
  <si>
    <t>岩融</t>
  </si>
  <si>
    <t>60 85</t>
  </si>
  <si>
    <t>破戒薙刀镰</t>
  </si>
  <si>
    <t>3C EA</t>
  </si>
  <si>
    <t>明神镰</t>
  </si>
  <si>
    <t>6C C4</t>
  </si>
  <si>
    <t>慈悲薙刀镰</t>
  </si>
  <si>
    <t>C9 C1</t>
  </si>
  <si>
    <t>兼光薙刀镰</t>
  </si>
  <si>
    <t>58 C3</t>
  </si>
  <si>
    <t>木曾紫薙刀镰</t>
  </si>
  <si>
    <t>90 66</t>
  </si>
  <si>
    <t>狱妖薙刀镰</t>
  </si>
  <si>
    <t>FE D1</t>
  </si>
  <si>
    <t>穴泽流薙刀镰</t>
  </si>
  <si>
    <t>手甲</t>
  </si>
  <si>
    <t>BB CE</t>
  </si>
  <si>
    <t>皮手甲</t>
  </si>
  <si>
    <t>5C 19</t>
  </si>
  <si>
    <t>足轻手甲</t>
  </si>
  <si>
    <t>96 A6</t>
  </si>
  <si>
    <t>足轻大将手甲</t>
  </si>
  <si>
    <t>CA 00</t>
  </si>
  <si>
    <t>武艺者手甲</t>
  </si>
  <si>
    <t>63 D0</t>
  </si>
  <si>
    <t>侍大将手甲</t>
  </si>
  <si>
    <t>13 82</t>
  </si>
  <si>
    <t>钵屋众手甲</t>
  </si>
  <si>
    <t>3F DF</t>
  </si>
  <si>
    <t>山伏手甲</t>
  </si>
  <si>
    <t>55 12</t>
  </si>
  <si>
    <t>白莲手甲</t>
  </si>
  <si>
    <t>77 3B</t>
  </si>
  <si>
    <t>朱漆手甲</t>
  </si>
  <si>
    <t>06 99</t>
  </si>
  <si>
    <t>鬼腕甲</t>
  </si>
  <si>
    <t>8C D2</t>
  </si>
  <si>
    <t>辟邪手甲</t>
  </si>
  <si>
    <t>AE 9C</t>
  </si>
  <si>
    <t>风魔手甲</t>
  </si>
  <si>
    <t>76 D1</t>
  </si>
  <si>
    <t>恶鬼手甲</t>
  </si>
  <si>
    <t>47 47</t>
  </si>
  <si>
    <t>大名手甲</t>
  </si>
  <si>
    <t>73 31</t>
  </si>
  <si>
    <t>高手手甲</t>
  </si>
  <si>
    <t>77 B1</t>
  </si>
  <si>
    <t>大风手甲</t>
  </si>
  <si>
    <t>F1 01</t>
  </si>
  <si>
    <t>冰华手甲</t>
  </si>
  <si>
    <t>85 D3</t>
  </si>
  <si>
    <t>百雷手甲</t>
  </si>
  <si>
    <t>AD CA</t>
  </si>
  <si>
    <t>焰怒手甲</t>
  </si>
  <si>
    <t>13 99</t>
  </si>
  <si>
    <t>万两义贼手甲</t>
  </si>
  <si>
    <t>79 D1</t>
  </si>
  <si>
    <t>副将军手甲</t>
  </si>
  <si>
    <t>27 59</t>
  </si>
  <si>
    <t>狱妖手甲</t>
  </si>
  <si>
    <t>盾矛</t>
  </si>
  <si>
    <t>33 1D</t>
  </si>
  <si>
    <t>步兵盾矛</t>
  </si>
  <si>
    <t>8C EE</t>
  </si>
  <si>
    <t>御家人刀盾</t>
  </si>
  <si>
    <t>A0 85</t>
  </si>
  <si>
    <t>宗近盾矛</t>
  </si>
  <si>
    <t>0B FC</t>
  </si>
  <si>
    <t>本庄正宗·纯铁盾</t>
  </si>
  <si>
    <t>41 CE</t>
  </si>
  <si>
    <t>不动明王剑盾</t>
  </si>
  <si>
    <t>CA EF</t>
  </si>
  <si>
    <t>君真物盾矛</t>
  </si>
  <si>
    <t>46 81</t>
  </si>
  <si>
    <t>雷公盾矛</t>
  </si>
  <si>
    <t>EB D7</t>
  </si>
  <si>
    <t>诹访盾矛</t>
  </si>
  <si>
    <t>D8 98</t>
  </si>
  <si>
    <t>怨嗟剑盾</t>
  </si>
  <si>
    <t>8A CE</t>
  </si>
  <si>
    <t>先锋盾矛</t>
  </si>
  <si>
    <t>BB E1</t>
  </si>
  <si>
    <t>武田兵刀盾</t>
  </si>
  <si>
    <t>10 06</t>
  </si>
  <si>
    <t>古代将领盾矛</t>
  </si>
  <si>
    <t>E0 27</t>
  </si>
  <si>
    <t>泷口武者盾矛</t>
  </si>
  <si>
    <t>22 A7</t>
  </si>
  <si>
    <t>豪杰刀盾</t>
  </si>
  <si>
    <t>0D 50</t>
  </si>
  <si>
    <t>三池典太・编笠</t>
  </si>
  <si>
    <t>03 CF</t>
  </si>
  <si>
    <t>炼金术师剑盾</t>
  </si>
  <si>
    <t>忍者武器</t>
  </si>
  <si>
    <t>忍刀</t>
  </si>
  <si>
    <t>17 50</t>
  </si>
  <si>
    <t>C8 B9</t>
  </si>
  <si>
    <t>备前传打刀</t>
  </si>
  <si>
    <t>C4 D2</t>
  </si>
  <si>
    <t>美浓传打刀</t>
  </si>
  <si>
    <t>50 34</t>
  </si>
  <si>
    <t>大和传打刀</t>
  </si>
  <si>
    <t>A5 F7</t>
  </si>
  <si>
    <t>千手院打刀</t>
  </si>
  <si>
    <t>F9 74</t>
  </si>
  <si>
    <t>备前一文字</t>
  </si>
  <si>
    <t>8C D9</t>
  </si>
  <si>
    <t>菊一文字</t>
  </si>
  <si>
    <t>1B 61</t>
  </si>
  <si>
    <t>压切长谷部</t>
  </si>
  <si>
    <t>30 34</t>
  </si>
  <si>
    <t>古备前友成</t>
  </si>
  <si>
    <t>26 CD</t>
  </si>
  <si>
    <t>鬼泪村正</t>
  </si>
  <si>
    <t>3F 60</t>
  </si>
  <si>
    <t>0F 2A</t>
  </si>
  <si>
    <t>三日月宗近</t>
  </si>
  <si>
    <t>2E EF</t>
  </si>
  <si>
    <t>早鹰</t>
  </si>
  <si>
    <t>1F 5A</t>
  </si>
  <si>
    <t>安宅贞宗</t>
  </si>
  <si>
    <t>43 75</t>
  </si>
  <si>
    <t>实休光忠</t>
  </si>
  <si>
    <t>D2 75</t>
  </si>
  <si>
    <t>雷切</t>
  </si>
  <si>
    <t>E2 7F</t>
  </si>
  <si>
    <t>FD 1A</t>
  </si>
  <si>
    <t>念珠丸恒次</t>
  </si>
  <si>
    <t>56 90</t>
  </si>
  <si>
    <t>藤原贞安</t>
  </si>
  <si>
    <t>94 1A</t>
  </si>
  <si>
    <t>凶王之剑</t>
  </si>
  <si>
    <t>3E AD</t>
  </si>
  <si>
    <t>18 0D</t>
  </si>
  <si>
    <t>狱妖忍刀</t>
  </si>
  <si>
    <t>B4 43</t>
  </si>
  <si>
    <t>大目付忍刀</t>
  </si>
  <si>
    <t>忍双刀</t>
  </si>
  <si>
    <t>A1 A3</t>
  </si>
  <si>
    <t>1B E3</t>
  </si>
  <si>
    <t>美浓传打刀双刀</t>
  </si>
  <si>
    <t>BC 44</t>
  </si>
  <si>
    <t>相州传打刀双刀</t>
  </si>
  <si>
    <t>3A 0D</t>
  </si>
  <si>
    <t>关物打刀双刀</t>
  </si>
  <si>
    <t>03 42</t>
  </si>
  <si>
    <t>8F 2C</t>
  </si>
  <si>
    <t>关兼吉双刀</t>
  </si>
  <si>
    <t>35 2F</t>
  </si>
  <si>
    <t>笼钓瓶村正·猪切</t>
  </si>
  <si>
    <t>E8 BE</t>
  </si>
  <si>
    <t>09 C0</t>
  </si>
  <si>
    <t>8C 30</t>
  </si>
  <si>
    <t>七星剑·丙子椒林剑</t>
  </si>
  <si>
    <t>49 C9</t>
  </si>
  <si>
    <t>小乌丸·拔丸</t>
  </si>
  <si>
    <t>24 A2</t>
  </si>
  <si>
    <t>孙六兼元双刀</t>
  </si>
  <si>
    <t>ED A3</t>
  </si>
  <si>
    <t>曝野·白枝</t>
  </si>
  <si>
    <t>A2 D5</t>
  </si>
  <si>
    <t>相州正宗双刀</t>
  </si>
  <si>
    <t>0C C2</t>
  </si>
  <si>
    <t>乡义弘双刀</t>
  </si>
  <si>
    <t>28 22</t>
  </si>
  <si>
    <t>之定双刀</t>
  </si>
  <si>
    <t>F7 BE</t>
  </si>
  <si>
    <t>大包平·莺丸</t>
  </si>
  <si>
    <t>6C 77</t>
  </si>
  <si>
    <t>狱妖忍双刀</t>
  </si>
  <si>
    <t>C1 5C</t>
  </si>
  <si>
    <t>柳生众忍双刀</t>
  </si>
  <si>
    <t>锁镰</t>
  </si>
  <si>
    <t>5F E7</t>
  </si>
  <si>
    <t>间谍锁镰</t>
  </si>
  <si>
    <t>E2 EA</t>
  </si>
  <si>
    <t>黑竹锁镰</t>
  </si>
  <si>
    <t>9E 14</t>
  </si>
  <si>
    <t>薙锁镰</t>
  </si>
  <si>
    <t>10 8F</t>
  </si>
  <si>
    <t>斩朽绳</t>
  </si>
  <si>
    <t>C8 97</t>
  </si>
  <si>
    <t>下忍锁镰</t>
  </si>
  <si>
    <t>08 49</t>
  </si>
  <si>
    <t>三日月锁镰</t>
  </si>
  <si>
    <t>1C D1</t>
  </si>
  <si>
    <t>枪尖锁镰</t>
  </si>
  <si>
    <t>5D 63</t>
  </si>
  <si>
    <t>钩刃锁镰</t>
  </si>
  <si>
    <t>09 E1</t>
  </si>
  <si>
    <t>中忍锁镰</t>
  </si>
  <si>
    <t>4F A1</t>
  </si>
  <si>
    <t>户隐流锁镰</t>
  </si>
  <si>
    <t>F0 B1</t>
  </si>
  <si>
    <t>风魔锁镰</t>
  </si>
  <si>
    <t>F6 68</t>
  </si>
  <si>
    <t>上忍锁镰</t>
  </si>
  <si>
    <t>D7 38</t>
  </si>
  <si>
    <t>肉户锁镰</t>
  </si>
  <si>
    <t>E8 1A</t>
  </si>
  <si>
    <t>罗刹锁镰</t>
  </si>
  <si>
    <t>CE EF</t>
  </si>
  <si>
    <t>夜叉锁镰</t>
  </si>
  <si>
    <t>84 A5</t>
  </si>
  <si>
    <t>不知火</t>
  </si>
  <si>
    <t>3A 55</t>
  </si>
  <si>
    <t>小夜岚</t>
  </si>
  <si>
    <t>59 8A</t>
  </si>
  <si>
    <t>鬼牙锁镰</t>
  </si>
  <si>
    <t>91 86</t>
  </si>
  <si>
    <t>鸣神</t>
  </si>
  <si>
    <t>95 50</t>
  </si>
  <si>
    <t>雪代</t>
  </si>
  <si>
    <t>C9 01</t>
  </si>
  <si>
    <t>百鬼锁镰</t>
  </si>
  <si>
    <t>51 8B</t>
  </si>
  <si>
    <t>光世锁镰</t>
  </si>
  <si>
    <t>4E B4</t>
  </si>
  <si>
    <t>诹访明神薙镰</t>
  </si>
  <si>
    <t>C5 9F</t>
  </si>
  <si>
    <t>焦热锁镰</t>
  </si>
  <si>
    <t>39 60</t>
  </si>
  <si>
    <t>狱妖锁镰</t>
  </si>
  <si>
    <t>7A 98</t>
  </si>
  <si>
    <t>山田流锁镰</t>
  </si>
  <si>
    <t>旋棍</t>
  </si>
  <si>
    <t>5D 27</t>
  </si>
  <si>
    <t>紫檀旋棍</t>
  </si>
  <si>
    <t>42 27</t>
  </si>
  <si>
    <t>总铁旋棍</t>
  </si>
  <si>
    <t>57 E6</t>
  </si>
  <si>
    <t>黑檀旋棍</t>
  </si>
  <si>
    <t>E5 D8</t>
  </si>
  <si>
    <t>白骨精旋棍</t>
  </si>
  <si>
    <t>D4 D9</t>
  </si>
  <si>
    <t>亲云上旋棍</t>
  </si>
  <si>
    <t>2D AC</t>
  </si>
  <si>
    <t>忍者旋棍</t>
  </si>
  <si>
    <t>22 2E</t>
  </si>
  <si>
    <t>亲方旋棍</t>
  </si>
  <si>
    <t>53 4E</t>
  </si>
  <si>
    <t>武术家旋棍</t>
  </si>
  <si>
    <t>C1 7D</t>
  </si>
  <si>
    <t>按司旋棍</t>
  </si>
  <si>
    <t>00 6D</t>
  </si>
  <si>
    <t>击碎旋棍</t>
  </si>
  <si>
    <t>7D E4</t>
  </si>
  <si>
    <t>双龙旋棍</t>
  </si>
  <si>
    <t>D0 8A</t>
  </si>
  <si>
    <t>两仪旋棍</t>
  </si>
  <si>
    <t>6A 16</t>
  </si>
  <si>
    <t>却邪旋棍</t>
  </si>
  <si>
    <t>B0 68</t>
  </si>
  <si>
    <t>金刚旋杵</t>
  </si>
  <si>
    <t>FC 42</t>
  </si>
  <si>
    <t>猿飞秘枪棍</t>
  </si>
  <si>
    <t>2F 23</t>
  </si>
  <si>
    <t>王祖旋棍</t>
  </si>
  <si>
    <t>A4 89</t>
  </si>
  <si>
    <t>宝塔旋棍</t>
  </si>
  <si>
    <t>40 81</t>
  </si>
  <si>
    <t>雷火旋棍</t>
  </si>
  <si>
    <t>74 41</t>
  </si>
  <si>
    <t>最后的忍者旋棍</t>
  </si>
  <si>
    <t>37 6A</t>
  </si>
  <si>
    <t>狱妖旋棍</t>
  </si>
  <si>
    <t>9E A1</t>
  </si>
  <si>
    <t>大目付旋棍</t>
  </si>
  <si>
    <t>手斧</t>
  </si>
  <si>
    <t>55 43</t>
  </si>
  <si>
    <t>山贼手斧(黑)</t>
  </si>
  <si>
    <t>BA 18</t>
  </si>
  <si>
    <t>山贼手斧(红)</t>
  </si>
  <si>
    <t>27 70</t>
  </si>
  <si>
    <t>户隐流手斧</t>
  </si>
  <si>
    <t>3F B1</t>
  </si>
  <si>
    <t>凶贼手斧</t>
  </si>
  <si>
    <t>C6 6C</t>
  </si>
  <si>
    <t>行者手斧</t>
  </si>
  <si>
    <t>32 E9</t>
  </si>
  <si>
    <t>忍者手斧</t>
  </si>
  <si>
    <t>54 88</t>
  </si>
  <si>
    <t>豪杰手斧</t>
  </si>
  <si>
    <t>38 7C</t>
  </si>
  <si>
    <t>山伏手斧</t>
  </si>
  <si>
    <t>A4 95</t>
  </si>
  <si>
    <t>风魔手斧</t>
  </si>
  <si>
    <t>46 E0</t>
  </si>
  <si>
    <t>羽黑流手斧</t>
  </si>
  <si>
    <t>67 2B</t>
  </si>
  <si>
    <t>武艺者手斧</t>
  </si>
  <si>
    <t>0D F9</t>
  </si>
  <si>
    <t>灼炎</t>
  </si>
  <si>
    <t>33 F3</t>
  </si>
  <si>
    <t>冰岳</t>
  </si>
  <si>
    <t>80 23</t>
  </si>
  <si>
    <t>震雷</t>
  </si>
  <si>
    <t>6A 6C</t>
  </si>
  <si>
    <t>前鬼·后鬼</t>
  </si>
  <si>
    <t>38 C8</t>
  </si>
  <si>
    <t>日轮·月轮</t>
  </si>
  <si>
    <t>2E 82</t>
  </si>
  <si>
    <t>波切二丁斧</t>
  </si>
  <si>
    <t>CE 48</t>
  </si>
  <si>
    <t>黑雨·霹雳</t>
  </si>
  <si>
    <t>83 C7</t>
  </si>
  <si>
    <t>平三手斧</t>
  </si>
  <si>
    <t>08 A5</t>
  </si>
  <si>
    <t>污迹手斧·锈蚀镰</t>
  </si>
  <si>
    <t>32 3C</t>
  </si>
  <si>
    <t>狱妖手斧</t>
  </si>
  <si>
    <t>E9 4F</t>
  </si>
  <si>
    <t>投掷名手的手斧</t>
  </si>
  <si>
    <t>机关棍</t>
  </si>
  <si>
    <t>FD D2</t>
  </si>
  <si>
    <t>下忍机关棍</t>
  </si>
  <si>
    <t>2A DB</t>
  </si>
  <si>
    <t>行脚僧机关棍</t>
  </si>
  <si>
    <t>76 7D</t>
  </si>
  <si>
    <t>猎人机关棍</t>
  </si>
  <si>
    <t>5E 14</t>
  </si>
  <si>
    <t>魔缘锡杖</t>
  </si>
  <si>
    <t>E3 F7</t>
  </si>
  <si>
    <t>僧兵机关棍</t>
  </si>
  <si>
    <t>DF 21</t>
  </si>
  <si>
    <t>云水机关棍</t>
  </si>
  <si>
    <t>5A F9</t>
  </si>
  <si>
    <t>中忍机关棍</t>
  </si>
  <si>
    <t>3A 63</t>
  </si>
  <si>
    <t>勇僧机关棍</t>
  </si>
  <si>
    <t>5B 82</t>
  </si>
  <si>
    <t>七杀机关棍</t>
  </si>
  <si>
    <t>17 F5</t>
  </si>
  <si>
    <t>高手机关棍</t>
  </si>
  <si>
    <t>1D 1C</t>
  </si>
  <si>
    <t>上忍机关棍</t>
  </si>
  <si>
    <t>78 59</t>
  </si>
  <si>
    <t>首领机关棍</t>
  </si>
  <si>
    <t>E4 FA</t>
  </si>
  <si>
    <t>破邪机关棍</t>
  </si>
  <si>
    <t>60 B9</t>
  </si>
  <si>
    <t>怒涛机关棍</t>
  </si>
  <si>
    <t>1B 85</t>
  </si>
  <si>
    <t>金刚杵机关棍</t>
  </si>
  <si>
    <t>E7 3C</t>
  </si>
  <si>
    <t>火焰光机关棍</t>
  </si>
  <si>
    <t>45 9E</t>
  </si>
  <si>
    <t>武藏坊机关棍</t>
  </si>
  <si>
    <t>4C 5D</t>
  </si>
  <si>
    <t>龙王机关棍</t>
  </si>
  <si>
    <t>E8 60</t>
  </si>
  <si>
    <t>弘法大师的锡杖</t>
  </si>
  <si>
    <t>B5 86</t>
  </si>
  <si>
    <t>日巫女之杖</t>
  </si>
  <si>
    <t>2C 43</t>
  </si>
  <si>
    <t>见越锡杖</t>
  </si>
  <si>
    <t>7D 7F</t>
  </si>
  <si>
    <t>圣人锡杖</t>
  </si>
  <si>
    <t>12 2E</t>
  </si>
  <si>
    <t>狱妖机关棍</t>
  </si>
  <si>
    <t>4C FD</t>
  </si>
  <si>
    <t>牟庆梦想锡杖</t>
  </si>
  <si>
    <t>手甲钩</t>
  </si>
  <si>
    <t>65 8C</t>
  </si>
  <si>
    <t>皮手甲钩</t>
  </si>
  <si>
    <t>00 2F</t>
  </si>
  <si>
    <t>下忍手甲钩</t>
  </si>
  <si>
    <t>5C 43</t>
  </si>
  <si>
    <t>户隐流手甲钩</t>
  </si>
  <si>
    <t>A7 A3</t>
  </si>
  <si>
    <t>轩猿手甲钩</t>
  </si>
  <si>
    <t>6F F4</t>
  </si>
  <si>
    <t>中忍手甲钩</t>
  </si>
  <si>
    <t>D1 C5</t>
  </si>
  <si>
    <t>武艺者手甲钩</t>
  </si>
  <si>
    <t>A3 AF</t>
  </si>
  <si>
    <t>风魔首领手甲钩</t>
  </si>
  <si>
    <t>57 BC</t>
  </si>
  <si>
    <t>上忍手甲钩</t>
  </si>
  <si>
    <t>16 F7</t>
  </si>
  <si>
    <t>钵屋众手甲钩</t>
  </si>
  <si>
    <t>8E 08</t>
  </si>
  <si>
    <t>土蜘蛛众手甲钩</t>
  </si>
  <si>
    <t>10 33</t>
  </si>
  <si>
    <t>山伏手甲钩</t>
  </si>
  <si>
    <t>2D 65</t>
  </si>
  <si>
    <t>白莲手甲钩</t>
  </si>
  <si>
    <t>FE 29</t>
  </si>
  <si>
    <t>朱漆手甲钩</t>
  </si>
  <si>
    <t>6F 27</t>
  </si>
  <si>
    <t>风魔手甲钩</t>
  </si>
  <si>
    <t>FD 92</t>
  </si>
  <si>
    <t>首领手甲钩</t>
  </si>
  <si>
    <t>68 58</t>
  </si>
  <si>
    <t>高手手甲钩</t>
  </si>
  <si>
    <t>1D 88</t>
  </si>
  <si>
    <t>大风手甲钩</t>
  </si>
  <si>
    <t>59 A1</t>
  </si>
  <si>
    <t>冰华手甲钩</t>
  </si>
  <si>
    <t>2C 67</t>
  </si>
  <si>
    <t>百雷手甲钩</t>
  </si>
  <si>
    <t>94 D6</t>
  </si>
  <si>
    <t>万两义贼手甲钩</t>
  </si>
  <si>
    <t>80 8E</t>
  </si>
  <si>
    <t>焰怒手甲钩</t>
  </si>
  <si>
    <t>D8 A0</t>
  </si>
  <si>
    <t>狱妖手甲钩</t>
  </si>
  <si>
    <t>D4 9A</t>
  </si>
  <si>
    <t>牟庆梦想手甲钩</t>
  </si>
  <si>
    <t>忍盾矛</t>
  </si>
  <si>
    <t>5A 39</t>
  </si>
  <si>
    <t>打刀·阵笠</t>
  </si>
  <si>
    <t>07 3D</t>
  </si>
  <si>
    <t>琉球盾矛</t>
  </si>
  <si>
    <t>6C 95</t>
  </si>
  <si>
    <t>古代兵盾矛</t>
  </si>
  <si>
    <t>04 B8</t>
  </si>
  <si>
    <t>眉尖刀·团牌</t>
  </si>
  <si>
    <t>DA E0</t>
  </si>
  <si>
    <t>亲方盾矛</t>
  </si>
  <si>
    <t>24 AC</t>
  </si>
  <si>
    <t>8F 68</t>
  </si>
  <si>
    <t>仁屋盾矛</t>
  </si>
  <si>
    <t>3F 21</t>
  </si>
  <si>
    <t>郎党刀盾</t>
  </si>
  <si>
    <t>8D 68</t>
  </si>
  <si>
    <t>亲云上盾矛</t>
  </si>
  <si>
    <t>86 DC</t>
  </si>
  <si>
    <t>按司盾矛</t>
  </si>
  <si>
    <t>CD FE</t>
  </si>
  <si>
    <t>灵炎剑盾</t>
  </si>
  <si>
    <t>45 46</t>
  </si>
  <si>
    <t>激浪盾矛</t>
  </si>
  <si>
    <t>00 4C</t>
  </si>
  <si>
    <t>妖雷盾矛</t>
  </si>
  <si>
    <t>B2 BB</t>
  </si>
  <si>
    <t>神风盾矛</t>
  </si>
  <si>
    <t>远程武器</t>
  </si>
  <si>
    <t>弓</t>
  </si>
  <si>
    <t>31 CC</t>
  </si>
  <si>
    <t>长弓</t>
  </si>
  <si>
    <t>75 E5</t>
  </si>
  <si>
    <t>重藤弓</t>
  </si>
  <si>
    <t>1A 8E</t>
  </si>
  <si>
    <t>穿盾强弓</t>
  </si>
  <si>
    <t>DE 72</t>
  </si>
  <si>
    <t>五人弓</t>
  </si>
  <si>
    <t>4D 36</t>
  </si>
  <si>
    <t>两面宿傩之引</t>
  </si>
  <si>
    <t>7A 44</t>
  </si>
  <si>
    <t>雷上动</t>
  </si>
  <si>
    <t>C1 63</t>
  </si>
  <si>
    <t>射扇之弓</t>
  </si>
  <si>
    <t>B6 B9</t>
  </si>
  <si>
    <t>御持弓</t>
  </si>
  <si>
    <t>14 84</t>
  </si>
  <si>
    <t>镇西八郎之弓</t>
  </si>
  <si>
    <t>09 30</t>
  </si>
  <si>
    <t>神通弓</t>
  </si>
  <si>
    <t>BC D9</t>
  </si>
  <si>
    <t>镰仓大人之弓</t>
  </si>
  <si>
    <t>46 62</t>
  </si>
  <si>
    <t>赤备大将之弓</t>
  </si>
  <si>
    <t>05 38</t>
  </si>
  <si>
    <t>日置当流之弓</t>
  </si>
  <si>
    <t>火枪</t>
  </si>
  <si>
    <t>CF B1</t>
  </si>
  <si>
    <t>种子岛枪</t>
  </si>
  <si>
    <t>F8 E4</t>
  </si>
  <si>
    <t>国友铁炮</t>
  </si>
  <si>
    <t>7A 7C</t>
  </si>
  <si>
    <t>堺铁炮</t>
  </si>
  <si>
    <t>13 C8</t>
  </si>
  <si>
    <t>日野铁炮</t>
  </si>
  <si>
    <t>C4 1B</t>
  </si>
  <si>
    <t>根来铁炮</t>
  </si>
  <si>
    <t>C9 10</t>
  </si>
  <si>
    <t>稻富流火绳枪</t>
  </si>
  <si>
    <t>A7 73</t>
  </si>
  <si>
    <t>田付流火绳枪</t>
  </si>
  <si>
    <t>大炮</t>
  </si>
  <si>
    <t>18 57</t>
  </si>
  <si>
    <t>手持大炮</t>
  </si>
  <si>
    <t>5B BE</t>
  </si>
  <si>
    <t>崩国大炮</t>
  </si>
  <si>
    <t>C8 1D</t>
  </si>
  <si>
    <t>银朱大炮</t>
  </si>
  <si>
    <t>6F 1C</t>
  </si>
  <si>
    <t>阳流秘传大炮</t>
  </si>
  <si>
    <t>69 1A</t>
  </si>
  <si>
    <t>天龙大咆哮</t>
  </si>
  <si>
    <t>9B E2</t>
  </si>
  <si>
    <t>雷火炮</t>
  </si>
  <si>
    <t>AA E3</t>
  </si>
  <si>
    <t>田付流秘传大炮</t>
  </si>
  <si>
    <t>防具</t>
  </si>
  <si>
    <t>武士防具</t>
  </si>
  <si>
    <t>身体</t>
  </si>
  <si>
    <t>EB 9E</t>
  </si>
  <si>
    <t>世嗣中铠 胸甲</t>
  </si>
  <si>
    <t>手臂</t>
  </si>
  <si>
    <t>34 1D</t>
  </si>
  <si>
    <t>世嗣中铠 臂甲</t>
  </si>
  <si>
    <t>腿部</t>
  </si>
  <si>
    <t>F6 3E</t>
  </si>
  <si>
    <t>世嗣中铠 膝甲</t>
  </si>
  <si>
    <t>足部</t>
  </si>
  <si>
    <t>26 C3</t>
  </si>
  <si>
    <t>世嗣中铠 腿甲</t>
  </si>
  <si>
    <t>A3 D9</t>
  </si>
  <si>
    <t>弟君锦衣 上衣</t>
  </si>
  <si>
    <t>1B 0F</t>
  </si>
  <si>
    <t>弟君锦衣 裤裙</t>
  </si>
  <si>
    <t>71 32</t>
  </si>
  <si>
    <t>弟君锦衣 足履</t>
  </si>
  <si>
    <t>头部</t>
  </si>
  <si>
    <t>A9 F5</t>
  </si>
  <si>
    <t>甲斐之虎铠甲 头盔</t>
  </si>
  <si>
    <t>A1 DB</t>
  </si>
  <si>
    <t>甲斐之虎铠甲 胸甲</t>
  </si>
  <si>
    <t>AC CC</t>
  </si>
  <si>
    <t>甲斐之虎铠甲 臂甲</t>
  </si>
  <si>
    <t>20 68</t>
  </si>
  <si>
    <t>甲斐之虎铠甲 膝甲</t>
  </si>
  <si>
    <t>B2 64</t>
  </si>
  <si>
    <t>甲斐之虎铠甲 腿甲</t>
  </si>
  <si>
    <t>64 A5</t>
  </si>
  <si>
    <t>大义之铠 头盔</t>
  </si>
  <si>
    <t>85 1D</t>
  </si>
  <si>
    <t>大义之铠 胸甲</t>
  </si>
  <si>
    <t>37 49</t>
  </si>
  <si>
    <t>大义之铠 臂甲</t>
  </si>
  <si>
    <t>FC CE</t>
  </si>
  <si>
    <t>大义之铠 膝甲</t>
  </si>
  <si>
    <t>BF F0</t>
  </si>
  <si>
    <t>大义之铠 腿甲</t>
  </si>
  <si>
    <t>8F 67</t>
  </si>
  <si>
    <t>第一队队长队服 护额</t>
  </si>
  <si>
    <t>5D 14</t>
  </si>
  <si>
    <t>第一队队长队服 羽织</t>
  </si>
  <si>
    <t>A5 83</t>
  </si>
  <si>
    <t>第一队队长队服 袖套</t>
  </si>
  <si>
    <t>49 F5</t>
  </si>
  <si>
    <t>第一队队长队服 裤裙</t>
  </si>
  <si>
    <t>D6 39</t>
  </si>
  <si>
    <t>第一队队长队服 足履</t>
  </si>
  <si>
    <t>7A 94</t>
  </si>
  <si>
    <t>九郎判官之铠 头盔</t>
  </si>
  <si>
    <t>BF 24</t>
  </si>
  <si>
    <t>九郎判官之铠 胸甲</t>
  </si>
  <si>
    <t>F0 56</t>
  </si>
  <si>
    <t>九郎判官之铠 臂甲</t>
  </si>
  <si>
    <t>9C A5</t>
  </si>
  <si>
    <t>九郎判官之铠 膝甲</t>
  </si>
  <si>
    <t>CC 58</t>
  </si>
  <si>
    <t>九郎判官之铠 腿甲</t>
  </si>
  <si>
    <t>23 FD</t>
  </si>
  <si>
    <t>镰仓大人之铠 乌帽</t>
  </si>
  <si>
    <t>B1 C7</t>
  </si>
  <si>
    <t>镰仓大人之铠 胸甲</t>
  </si>
  <si>
    <t>74 F8</t>
  </si>
  <si>
    <t>镰仓大人之铠 弓挂</t>
  </si>
  <si>
    <t>DB F7</t>
  </si>
  <si>
    <t>镰仓大人之铠 膝甲</t>
  </si>
  <si>
    <t>BE 34</t>
  </si>
  <si>
    <t>镰仓大人之铠 腿甲</t>
  </si>
  <si>
    <t>64 55</t>
  </si>
  <si>
    <t>剑术无双之衣 肩衣</t>
  </si>
  <si>
    <t>B4 EA</t>
  </si>
  <si>
    <t>剑术无双之衣 臂甲</t>
  </si>
  <si>
    <t>B5 D1</t>
  </si>
  <si>
    <t>剑术无双之衣 裤裙</t>
  </si>
  <si>
    <t>11 B7</t>
  </si>
  <si>
    <t>剑术无双之衣 足履</t>
  </si>
  <si>
    <t>99 40</t>
  </si>
  <si>
    <t>葵纹之铠 胸甲</t>
  </si>
  <si>
    <t>DE 0C</t>
  </si>
  <si>
    <t>葵纹之铠 臂甲</t>
  </si>
  <si>
    <t>F9 92</t>
  </si>
  <si>
    <t>葵纹之铠 裙裤</t>
  </si>
  <si>
    <t>D1 55</t>
  </si>
  <si>
    <t>葵纹之铠 靴子</t>
  </si>
  <si>
    <t>86 46</t>
  </si>
  <si>
    <t>赤备大将大铠 头盔</t>
  </si>
  <si>
    <t>08 BE</t>
  </si>
  <si>
    <t>赤备大将大铠 胸甲</t>
  </si>
  <si>
    <t>F3 39</t>
  </si>
  <si>
    <t>赤备大将大铠 臂甲</t>
  </si>
  <si>
    <t>77 26</t>
  </si>
  <si>
    <t>赤备大将大铠 膝甲</t>
  </si>
  <si>
    <t>5C F8</t>
  </si>
  <si>
    <t>赤备大将大铠 腿甲</t>
  </si>
  <si>
    <t>D2 19</t>
  </si>
  <si>
    <t>新选组队服 护额</t>
  </si>
  <si>
    <t>55 80</t>
  </si>
  <si>
    <t>新选组队服 羽织</t>
  </si>
  <si>
    <t>9B F8</t>
  </si>
  <si>
    <t>新选组队服 袖套</t>
  </si>
  <si>
    <t>0A 63</t>
  </si>
  <si>
    <t>新选组队服 裤裙</t>
  </si>
  <si>
    <t>CC AE</t>
  </si>
  <si>
    <t>新选组队服 足履</t>
  </si>
  <si>
    <t>00 13</t>
  </si>
  <si>
    <t>旗本之衣 阵笠</t>
  </si>
  <si>
    <t>86 02</t>
  </si>
  <si>
    <t>旗本之衣 肩衣</t>
  </si>
  <si>
    <t>F9 2D</t>
  </si>
  <si>
    <t>旗本之衣 裤裙</t>
  </si>
  <si>
    <t>88 CF</t>
  </si>
  <si>
    <t>旗本之衣 足履</t>
  </si>
  <si>
    <t>56 01</t>
  </si>
  <si>
    <t>邪马台国之铠 头盔</t>
  </si>
  <si>
    <t>E5 0F</t>
  </si>
  <si>
    <t>邪马台国之铠 胸甲</t>
  </si>
  <si>
    <t>17 36</t>
  </si>
  <si>
    <t>邪马台国之铠 臂甲</t>
  </si>
  <si>
    <t>33 F2</t>
  </si>
  <si>
    <t>邪马台国之铠 下衣</t>
  </si>
  <si>
    <t>EB 40</t>
  </si>
  <si>
    <t>邪马台国之铠 腿甲</t>
  </si>
  <si>
    <t>99 79</t>
  </si>
  <si>
    <t>护国禅师的袈裟 斗笠</t>
  </si>
  <si>
    <t>94 CC</t>
  </si>
  <si>
    <t>护国禅师的袈裟 上衣</t>
  </si>
  <si>
    <t>0B 06</t>
  </si>
  <si>
    <t>护国禅师的袈裟 袖套</t>
  </si>
  <si>
    <t>3C F9</t>
  </si>
  <si>
    <t>护国禅师的袈裟 裤裙</t>
  </si>
  <si>
    <t>D9 95</t>
  </si>
  <si>
    <t>护国禅师的袈裟 绑腿</t>
  </si>
  <si>
    <t>F7 C3</t>
  </si>
  <si>
    <t>御一门众之铠 头盔</t>
  </si>
  <si>
    <t>87 5A</t>
  </si>
  <si>
    <t>御一门众之铠 胸甲</t>
  </si>
  <si>
    <t>78 9F</t>
  </si>
  <si>
    <t>御一门众之铠 臂甲</t>
  </si>
  <si>
    <t>C4 9A</t>
  </si>
  <si>
    <t>御一门众之铠 膝甲</t>
  </si>
  <si>
    <t>38 DE</t>
  </si>
  <si>
    <t>御一门众之铠 腿甲</t>
  </si>
  <si>
    <t>FD D1</t>
  </si>
  <si>
    <t>修理亮之铠 头盔</t>
  </si>
  <si>
    <t>05 F8</t>
  </si>
  <si>
    <t>修理亮之铠 胸甲</t>
  </si>
  <si>
    <t>3F AD</t>
  </si>
  <si>
    <t>修理亮之铠 臂甲</t>
  </si>
  <si>
    <t>BC 19</t>
  </si>
  <si>
    <t>修理亮之铠 膝甲</t>
  </si>
  <si>
    <t>00 CC</t>
  </si>
  <si>
    <t>修理亮之铠 腿甲</t>
  </si>
  <si>
    <t>A8 29</t>
  </si>
  <si>
    <t>逃弹正之铠 头盔</t>
  </si>
  <si>
    <t>7A 30</t>
  </si>
  <si>
    <t>逃弹正之铠 胸甲</t>
  </si>
  <si>
    <t>26 4B</t>
  </si>
  <si>
    <t>逃弹正之铠 臂甲</t>
  </si>
  <si>
    <t>0C FF</t>
  </si>
  <si>
    <t>逃弹正之铠 膝甲</t>
  </si>
  <si>
    <t>4F BF</t>
  </si>
  <si>
    <t>逃弹正之铠 腿甲</t>
  </si>
  <si>
    <t>15 EC</t>
  </si>
  <si>
    <t>海内无双之衣 肩衣</t>
  </si>
  <si>
    <t>10 71</t>
  </si>
  <si>
    <t>海内无双之衣 臂甲</t>
  </si>
  <si>
    <t>E7 9D</t>
  </si>
  <si>
    <t>海内无双之衣 裤裙</t>
  </si>
  <si>
    <t>54 CD</t>
  </si>
  <si>
    <t>海内无双之衣 足履</t>
  </si>
  <si>
    <t>A9 AB</t>
  </si>
  <si>
    <t>威光中铠 胸甲</t>
  </si>
  <si>
    <t>2C BA</t>
  </si>
  <si>
    <t>威光中铠 臂甲</t>
  </si>
  <si>
    <t>4D 2C</t>
  </si>
  <si>
    <t>威光中铠 膝甲</t>
  </si>
  <si>
    <t>37 C2</t>
  </si>
  <si>
    <t>威光中铠 腿甲</t>
  </si>
  <si>
    <t>DD FA</t>
  </si>
  <si>
    <t>游历剑士装束 头巾</t>
  </si>
  <si>
    <t>0B 73</t>
  </si>
  <si>
    <t>游历剑士装束 上衣</t>
  </si>
  <si>
    <t>75 AB</t>
  </si>
  <si>
    <t>游历剑士装束 袖套</t>
  </si>
  <si>
    <t>67 B9</t>
  </si>
  <si>
    <t>游历剑士装束 裤裙</t>
  </si>
  <si>
    <t>D4 C6</t>
  </si>
  <si>
    <t>游历剑士装束 足履</t>
  </si>
  <si>
    <t>71 C1</t>
  </si>
  <si>
    <t>木曾紫之铠 乌帽子</t>
  </si>
  <si>
    <t>A5 1B</t>
  </si>
  <si>
    <t>木曾紫之铠 胸甲</t>
  </si>
  <si>
    <t>99 47</t>
  </si>
  <si>
    <t>木曾紫之铠 臂甲</t>
  </si>
  <si>
    <t>45 1E</t>
  </si>
  <si>
    <t>木曾紫之铠 膝甲</t>
  </si>
  <si>
    <t>C7 A3</t>
  </si>
  <si>
    <t>木曾紫之铠 腿甲</t>
  </si>
  <si>
    <t>41 EF</t>
  </si>
  <si>
    <t>西洋炮术家装束 阵笠</t>
  </si>
  <si>
    <t>0C 88</t>
  </si>
  <si>
    <t>西洋炮术家装束 上衣</t>
  </si>
  <si>
    <t>47 28</t>
  </si>
  <si>
    <t>西洋炮术家装束 裤裙</t>
  </si>
  <si>
    <t>99 34</t>
  </si>
  <si>
    <t>西洋炮术家装束 绑腿</t>
  </si>
  <si>
    <t>DB 43</t>
  </si>
  <si>
    <t>御家人之铠 头盔</t>
  </si>
  <si>
    <t>C0 65</t>
  </si>
  <si>
    <t>御家人之铠 胸甲</t>
  </si>
  <si>
    <t>D1 84</t>
  </si>
  <si>
    <t>御家人之铠 臂甲</t>
  </si>
  <si>
    <t>82 D7</t>
  </si>
  <si>
    <t>御家人之铠 膝甲</t>
  </si>
  <si>
    <t>88 30</t>
  </si>
  <si>
    <t>御家人之铠 腿甲</t>
  </si>
  <si>
    <t>28 DE</t>
  </si>
  <si>
    <t>炎狱武者之铠 头盔</t>
  </si>
  <si>
    <t>50 9B</t>
  </si>
  <si>
    <t>炎狱武者之铠 胸甲</t>
  </si>
  <si>
    <t>EF AD</t>
  </si>
  <si>
    <t>炎狱武者之铠 臂甲</t>
  </si>
  <si>
    <t>F9 B9</t>
  </si>
  <si>
    <t>炎狱武者之铠 膝甲</t>
  </si>
  <si>
    <t>F3 5C</t>
  </si>
  <si>
    <t>炎狱武者之铠 腿甲</t>
  </si>
  <si>
    <t>0A CA</t>
  </si>
  <si>
    <t>冰狱武者之铠 头盔</t>
  </si>
  <si>
    <t>36 04</t>
  </si>
  <si>
    <t>冰狱武者之铠 胸甲</t>
  </si>
  <si>
    <t>C9 38</t>
  </si>
  <si>
    <t>冰狱武者之铠 臂甲</t>
  </si>
  <si>
    <t>27 CA</t>
  </si>
  <si>
    <t>冰狱武者之铠 膝甲</t>
  </si>
  <si>
    <t>03 B0</t>
  </si>
  <si>
    <t>冰狱武者之铠 腿甲</t>
  </si>
  <si>
    <t>41 8D</t>
  </si>
  <si>
    <t>万雷武士之铠 头盔</t>
  </si>
  <si>
    <t>6D 16</t>
  </si>
  <si>
    <t>万雷武士之铠 胸甲</t>
  </si>
  <si>
    <t>81 39</t>
  </si>
  <si>
    <t>万雷武士之铠 臂甲</t>
  </si>
  <si>
    <t>43 BD</t>
  </si>
  <si>
    <t>万雷武士之铠 膝甲</t>
  </si>
  <si>
    <t>58 1B</t>
  </si>
  <si>
    <t>万雷武士之铠 腿甲</t>
  </si>
  <si>
    <t>4B 59</t>
  </si>
  <si>
    <t>道服上衣</t>
  </si>
  <si>
    <t>4F A8</t>
  </si>
  <si>
    <t>道服裤裙</t>
  </si>
  <si>
    <t>AE AC</t>
  </si>
  <si>
    <t>不请自来者之铠 阵笠</t>
  </si>
  <si>
    <t>06 59</t>
  </si>
  <si>
    <t>不请自来者之铠 胸甲</t>
  </si>
  <si>
    <t>CB D7</t>
  </si>
  <si>
    <t>不请自来者之铠 臂甲</t>
  </si>
  <si>
    <t>15 C0</t>
  </si>
  <si>
    <t>不请自来者之铠 膝甲</t>
  </si>
  <si>
    <t>F8 08</t>
  </si>
  <si>
    <t>不请自来者之铠 腿甲</t>
  </si>
  <si>
    <t>CF 38</t>
  </si>
  <si>
    <t>弓手斗笠</t>
  </si>
  <si>
    <t>B3 6A</t>
  </si>
  <si>
    <t>弓手上衣</t>
  </si>
  <si>
    <t>B2 79</t>
  </si>
  <si>
    <t>弓手臂甲</t>
  </si>
  <si>
    <t>CA F5</t>
  </si>
  <si>
    <t>弓手裤裙</t>
  </si>
  <si>
    <t>E4 35</t>
  </si>
  <si>
    <t>弓手草鞋</t>
  </si>
  <si>
    <t>E6 24</t>
  </si>
  <si>
    <t>少武者中铠 胸甲</t>
  </si>
  <si>
    <t>6D 8A</t>
  </si>
  <si>
    <t>少武者中铠 臂甲</t>
  </si>
  <si>
    <t>31 29</t>
  </si>
  <si>
    <t>少武者中铠 膝甲</t>
  </si>
  <si>
    <t>C1 40</t>
  </si>
  <si>
    <t>少武者中铠 腿甲</t>
  </si>
  <si>
    <t>D7 BF</t>
  </si>
  <si>
    <t>足轻中铠 阵笠</t>
  </si>
  <si>
    <t>BC 35</t>
  </si>
  <si>
    <t>足轻中铠 胸甲</t>
  </si>
  <si>
    <t>1C CF</t>
  </si>
  <si>
    <t>足轻中铠 臂甲</t>
  </si>
  <si>
    <t>FA C1</t>
  </si>
  <si>
    <t>足轻中铠 膝甲</t>
  </si>
  <si>
    <t>B6 9B</t>
  </si>
  <si>
    <t>足轻中铠 腿甲</t>
  </si>
  <si>
    <t>7A FA</t>
  </si>
  <si>
    <t>浪人中铠 面具</t>
  </si>
  <si>
    <t>17 A3</t>
  </si>
  <si>
    <t>浪人中铠 胸甲</t>
  </si>
  <si>
    <t>44 50</t>
  </si>
  <si>
    <t>浪人中铠 臂甲</t>
  </si>
  <si>
    <t>CE 32</t>
  </si>
  <si>
    <t>浪人中铠 膝甲</t>
  </si>
  <si>
    <t>6E 7D</t>
  </si>
  <si>
    <t>浪人中铠 腿甲</t>
  </si>
  <si>
    <t>82 AB</t>
  </si>
  <si>
    <t>燕尾中铠 头盔</t>
  </si>
  <si>
    <t>BD 63</t>
  </si>
  <si>
    <t>燕尾中铠 胸甲</t>
  </si>
  <si>
    <t>13 72</t>
  </si>
  <si>
    <t>燕尾中铠 臂甲</t>
  </si>
  <si>
    <t>4B 52</t>
  </si>
  <si>
    <t>燕尾中铠 膝甲</t>
  </si>
  <si>
    <t>F6 7F</t>
  </si>
  <si>
    <t>燕尾中铠 腿甲</t>
  </si>
  <si>
    <t>F0 DE</t>
  </si>
  <si>
    <t>祈月斗将之铠 头盔</t>
  </si>
  <si>
    <t>4D 61</t>
  </si>
  <si>
    <t>祈月斗将之铠 胸甲</t>
  </si>
  <si>
    <t>76 AF</t>
  </si>
  <si>
    <t>祈月斗将之铠 臂甲</t>
  </si>
  <si>
    <t>8D CC</t>
  </si>
  <si>
    <t>祈月斗将之铠 膝甲</t>
  </si>
  <si>
    <t>37 C9</t>
  </si>
  <si>
    <t>祈月斗将之铠 腿甲</t>
  </si>
  <si>
    <t>45 C7</t>
  </si>
  <si>
    <t>侍大将中铠 头盔</t>
  </si>
  <si>
    <t>10 21</t>
  </si>
  <si>
    <t>侍大将中铠 胸甲</t>
  </si>
  <si>
    <t>55 88</t>
  </si>
  <si>
    <t>侍大将中铠 臂甲</t>
  </si>
  <si>
    <t>11 A5</t>
  </si>
  <si>
    <t>侍大将中铠 膝甲</t>
  </si>
  <si>
    <t>AA 46</t>
  </si>
  <si>
    <t>侍大将中铠 腿甲</t>
  </si>
  <si>
    <t>94 AA</t>
  </si>
  <si>
    <t>百战武者中铠 头盔</t>
  </si>
  <si>
    <t>ED 14</t>
  </si>
  <si>
    <t>百战武者中铠 胸甲</t>
  </si>
  <si>
    <t>85 C3</t>
  </si>
  <si>
    <t>百战武者中铠 臂甲</t>
  </si>
  <si>
    <t>FB DE</t>
  </si>
  <si>
    <t>百战武者中铠 膝甲</t>
  </si>
  <si>
    <t>01 46</t>
  </si>
  <si>
    <t>百战武者中铠 腿甲</t>
  </si>
  <si>
    <t>ED EF</t>
  </si>
  <si>
    <t>绝群倾奇之铠 头盔</t>
  </si>
  <si>
    <t>F2 DE</t>
  </si>
  <si>
    <t>绝群倾奇之铠 胸甲</t>
  </si>
  <si>
    <t>15 96</t>
  </si>
  <si>
    <t>绝群倾奇之铠 臂甲</t>
  </si>
  <si>
    <t>54 84</t>
  </si>
  <si>
    <t>绝群倾奇之铠 膝甲</t>
  </si>
  <si>
    <t>56 9F</t>
  </si>
  <si>
    <t>绝群倾奇之铠 腿甲</t>
  </si>
  <si>
    <t>77 B8</t>
  </si>
  <si>
    <t>大型八龙 头盔</t>
  </si>
  <si>
    <t>FF E8</t>
  </si>
  <si>
    <t>大型八龙 胸甲</t>
  </si>
  <si>
    <t>B8 3D</t>
  </si>
  <si>
    <t>大型八龙 臂甲</t>
  </si>
  <si>
    <t>9F 4C</t>
  </si>
  <si>
    <t>大型八龙 膝甲</t>
  </si>
  <si>
    <t>87 29</t>
  </si>
  <si>
    <t>大型八龙 腿甲</t>
  </si>
  <si>
    <t>9D 89</t>
  </si>
  <si>
    <t>讨鬼勇猛之铠 头盔</t>
  </si>
  <si>
    <t>77 19</t>
  </si>
  <si>
    <t>讨鬼勇猛之铠 胸甲</t>
  </si>
  <si>
    <t>33 31</t>
  </si>
  <si>
    <t>讨鬼勇猛之铠 臂甲</t>
  </si>
  <si>
    <t>A7 04</t>
  </si>
  <si>
    <t>讨鬼勇猛之铠 膝甲</t>
  </si>
  <si>
    <t>38 EA</t>
  </si>
  <si>
    <t>讨鬼勇猛之铠 腿甲</t>
  </si>
  <si>
    <t>D9 42</t>
  </si>
  <si>
    <t>传家大铠 头盔</t>
  </si>
  <si>
    <t>07 4A</t>
  </si>
  <si>
    <t>传家大铠 胸甲</t>
  </si>
  <si>
    <t>E8 3A</t>
  </si>
  <si>
    <t>传家大铠 臂甲</t>
  </si>
  <si>
    <t>10 05</t>
  </si>
  <si>
    <t>传家大铠 膝甲</t>
  </si>
  <si>
    <t>60 C0</t>
  </si>
  <si>
    <t>传家大铠 腿甲</t>
  </si>
  <si>
    <t>D8 B5</t>
  </si>
  <si>
    <t>美浓宿老之铠 头盔</t>
  </si>
  <si>
    <t>2B D4</t>
  </si>
  <si>
    <t>美浓宿老之铠 胸甲</t>
  </si>
  <si>
    <t>0D 82</t>
  </si>
  <si>
    <t>美浓宿老之铠 臂甲</t>
  </si>
  <si>
    <t>99 3C</t>
  </si>
  <si>
    <t>美浓宿老之铠 膝甲</t>
  </si>
  <si>
    <t>F7 99</t>
  </si>
  <si>
    <t>美浓宿老之铠 腿甲</t>
  </si>
  <si>
    <t>2F 1C</t>
  </si>
  <si>
    <t>盾无 头盔</t>
  </si>
  <si>
    <t>88 C2</t>
  </si>
  <si>
    <t>盾无 胸甲</t>
  </si>
  <si>
    <t>92 D3</t>
  </si>
  <si>
    <t>盾无 臂甲</t>
  </si>
  <si>
    <t>76 03</t>
  </si>
  <si>
    <t>盾无 膝甲</t>
  </si>
  <si>
    <t>3A FB</t>
  </si>
  <si>
    <t>盾无 腿甲</t>
  </si>
  <si>
    <t>E6 6D</t>
  </si>
  <si>
    <t>东国无双之铠 头盔</t>
  </si>
  <si>
    <t>41 37</t>
  </si>
  <si>
    <t>东国无双之铠 胸甲</t>
  </si>
  <si>
    <t>D9 E7</t>
  </si>
  <si>
    <t>东国无双之铠 臂甲</t>
  </si>
  <si>
    <t>D6 5F</t>
  </si>
  <si>
    <t>东国无双之铠 膝甲</t>
  </si>
  <si>
    <t>28 4A</t>
  </si>
  <si>
    <t>东国无双之铠 腿甲</t>
  </si>
  <si>
    <t>17 75</t>
  </si>
  <si>
    <t>枭雄之铠 头盔</t>
  </si>
  <si>
    <t>B9 CD</t>
  </si>
  <si>
    <t>枭雄之铠 胸甲</t>
  </si>
  <si>
    <t>CD AF</t>
  </si>
  <si>
    <t>枭雄之铠 臂甲</t>
  </si>
  <si>
    <t>4A B5</t>
  </si>
  <si>
    <t>枭雄之铠 膝甲</t>
  </si>
  <si>
    <t>DB 51</t>
  </si>
  <si>
    <t>枭雄之铠 腿甲</t>
  </si>
  <si>
    <t>E7 30</t>
  </si>
  <si>
    <t>怪童大铠 头巾</t>
  </si>
  <si>
    <t>76 C9</t>
  </si>
  <si>
    <t>怪童大铠 胸甲</t>
  </si>
  <si>
    <t>71 6F</t>
  </si>
  <si>
    <t>怪童大铠 臂甲</t>
  </si>
  <si>
    <t>0D 9E</t>
  </si>
  <si>
    <t>怪童大铠 膝甲</t>
  </si>
  <si>
    <t>06 65</t>
  </si>
  <si>
    <t>怪童大铠 腿甲</t>
  </si>
  <si>
    <t>EC 81</t>
  </si>
  <si>
    <t>崇佛诚心之铠 头盔</t>
  </si>
  <si>
    <t>2A 60</t>
  </si>
  <si>
    <t>崇佛诚心之铠 胸甲</t>
  </si>
  <si>
    <t>0A 5E</t>
  </si>
  <si>
    <t>崇佛诚心之铠 臂甲</t>
  </si>
  <si>
    <t>B6 CA</t>
  </si>
  <si>
    <t>崇佛诚心之铠 膝甲</t>
  </si>
  <si>
    <t>73 C1</t>
  </si>
  <si>
    <t>崇佛诚心之铠 腿甲</t>
  </si>
  <si>
    <t>79 D6</t>
  </si>
  <si>
    <t>田村后裔之铠 斗笠</t>
  </si>
  <si>
    <t>B2 9B</t>
  </si>
  <si>
    <t>田村后裔之铠 胸甲</t>
  </si>
  <si>
    <t>42 6F</t>
  </si>
  <si>
    <t>田村后裔之铠 臂甲</t>
  </si>
  <si>
    <t>3C FB</t>
  </si>
  <si>
    <t>田村后裔之铠 膝甲</t>
  </si>
  <si>
    <t>11 F3</t>
  </si>
  <si>
    <t>田村后裔之铠 腿甲</t>
  </si>
  <si>
    <t>D7 52</t>
  </si>
  <si>
    <t>叛军浪士之铠 斗笠</t>
  </si>
  <si>
    <t>C8 8E</t>
  </si>
  <si>
    <t>叛军浪士之铠 胸甲</t>
  </si>
  <si>
    <t>27 34</t>
  </si>
  <si>
    <t>叛军浪士之铠 臂甲</t>
  </si>
  <si>
    <t>B0 37</t>
  </si>
  <si>
    <t>叛军浪士之铠 膝甲</t>
  </si>
  <si>
    <t>D1 AE</t>
  </si>
  <si>
    <t>叛军浪士之铠 腿甲</t>
  </si>
  <si>
    <t>A5 6F</t>
  </si>
  <si>
    <t>百万石之铠 头盔</t>
  </si>
  <si>
    <t>C5 44</t>
  </si>
  <si>
    <t>百万石之铠 胸甲</t>
  </si>
  <si>
    <t>20 A7</t>
  </si>
  <si>
    <t>百万石之铠 臂甲</t>
  </si>
  <si>
    <t>41 16</t>
  </si>
  <si>
    <t>百万石之铠 膝甲</t>
  </si>
  <si>
    <t>3C 7A</t>
  </si>
  <si>
    <t>百万石之铠 腿甲</t>
  </si>
  <si>
    <t>F3 63</t>
  </si>
  <si>
    <t>一玄居士之衣 面具</t>
  </si>
  <si>
    <t>0C CE</t>
  </si>
  <si>
    <t>一玄居士之衣 上衣</t>
  </si>
  <si>
    <t>93 5E</t>
  </si>
  <si>
    <t>一玄居士之衣 袖套</t>
  </si>
  <si>
    <t>53 7B</t>
  </si>
  <si>
    <t>一玄居士之衣 裤裙</t>
  </si>
  <si>
    <t>6C 01</t>
  </si>
  <si>
    <t>一玄居士之衣 足履</t>
  </si>
  <si>
    <t>88 F7</t>
  </si>
  <si>
    <t>副将军之铠 头盔</t>
  </si>
  <si>
    <t>1F 90</t>
  </si>
  <si>
    <t>副将军之铠 胸甲</t>
  </si>
  <si>
    <t>89 B3</t>
  </si>
  <si>
    <t>副将军之铠 臂甲</t>
  </si>
  <si>
    <t>62 7C</t>
  </si>
  <si>
    <t>副将军之铠 膝甲</t>
  </si>
  <si>
    <t>FB 9A</t>
  </si>
  <si>
    <t>副将军之铠 腿甲</t>
  </si>
  <si>
    <t>8A BC</t>
  </si>
  <si>
    <t>智慧伊豆之衣 头巾</t>
  </si>
  <si>
    <t>0A 7D</t>
  </si>
  <si>
    <t>智慧伊豆之衣 肩衣</t>
  </si>
  <si>
    <t>5B 87</t>
  </si>
  <si>
    <t>智慧伊豆之衣 臂甲</t>
  </si>
  <si>
    <t>33 D6</t>
  </si>
  <si>
    <t>智慧伊豆之衣 裤裙</t>
  </si>
  <si>
    <t>4C 80</t>
  </si>
  <si>
    <t>智慧伊豆之衣 草鞋</t>
  </si>
  <si>
    <t>18 04</t>
  </si>
  <si>
    <t>又右卫门之衣 胸甲</t>
  </si>
  <si>
    <t>D3 E2</t>
  </si>
  <si>
    <t>又右卫门之衣 臂甲</t>
  </si>
  <si>
    <t>CD 33</t>
  </si>
  <si>
    <t>又右卫门之衣 膝甲</t>
  </si>
  <si>
    <t>6E 18</t>
  </si>
  <si>
    <t>又右卫门之衣 腿甲</t>
  </si>
  <si>
    <t>7F D7</t>
  </si>
  <si>
    <t>独眼剑豪之衣 斗笠</t>
  </si>
  <si>
    <t>6C 80</t>
  </si>
  <si>
    <t>独眼剑豪之衣 胸甲</t>
  </si>
  <si>
    <t>BB 32</t>
  </si>
  <si>
    <t>独眼剑豪之衣 臂甲</t>
  </si>
  <si>
    <t>7F 95</t>
  </si>
  <si>
    <t>独眼剑豪之衣 膝甲</t>
  </si>
  <si>
    <t>D3 9B</t>
  </si>
  <si>
    <t>独眼剑豪之衣 腿甲</t>
  </si>
  <si>
    <t>D2 E5</t>
  </si>
  <si>
    <t>黑漆涂雁金形盔</t>
  </si>
  <si>
    <t>24 E1</t>
  </si>
  <si>
    <t>猪前立头盔</t>
  </si>
  <si>
    <t>DD 1A</t>
  </si>
  <si>
    <t>扇前立头盔</t>
  </si>
  <si>
    <t>97 DD</t>
  </si>
  <si>
    <t>三钴剑前立头盔</t>
  </si>
  <si>
    <t>E3 A6</t>
  </si>
  <si>
    <t>蝾螺形盔</t>
  </si>
  <si>
    <t>33 89</t>
  </si>
  <si>
    <t>铁三枚张峰界形盔</t>
  </si>
  <si>
    <t>F5 10</t>
  </si>
  <si>
    <t>六字名号头盔</t>
  </si>
  <si>
    <t>B7 0F</t>
  </si>
  <si>
    <t>稿编笠形盔</t>
  </si>
  <si>
    <t>50 ED</t>
  </si>
  <si>
    <t>爱字前立头盔</t>
  </si>
  <si>
    <t>6A 65</t>
  </si>
  <si>
    <t>改良冠形盔</t>
  </si>
  <si>
    <t>1B C4</t>
  </si>
  <si>
    <t>龙头形盔</t>
  </si>
  <si>
    <t>1F 40</t>
  </si>
  <si>
    <t>蜷曲蛇形盔</t>
  </si>
  <si>
    <t>94 54</t>
  </si>
  <si>
    <t>毛虫前立鸟毛胁立头盔</t>
  </si>
  <si>
    <t>44 F0</t>
  </si>
  <si>
    <t>富士山形盔</t>
  </si>
  <si>
    <t>43 80</t>
  </si>
  <si>
    <t>螺形乌帽子</t>
  </si>
  <si>
    <t>A3 6B</t>
  </si>
  <si>
    <t>千千古头盔</t>
  </si>
  <si>
    <t>43 77</t>
  </si>
  <si>
    <t>草薙形盔</t>
  </si>
  <si>
    <t>62 DA</t>
  </si>
  <si>
    <t>丹青双蛇头盔</t>
  </si>
  <si>
    <t>41 4D</t>
  </si>
  <si>
    <t>雷神头盔</t>
  </si>
  <si>
    <t>DD B3</t>
  </si>
  <si>
    <t>总黑熊毛植盔</t>
  </si>
  <si>
    <t>E4 65</t>
  </si>
  <si>
    <t>一之谷形盔</t>
  </si>
  <si>
    <t>F7 09</t>
  </si>
  <si>
    <t>神符八日月前立头盔</t>
  </si>
  <si>
    <t>D4 DF</t>
  </si>
  <si>
    <t>日轮前立头盔</t>
  </si>
  <si>
    <t>01 54</t>
  </si>
  <si>
    <t>夜袭护颊</t>
  </si>
  <si>
    <t>忍者防具</t>
  </si>
  <si>
    <t>89 AA</t>
  </si>
  <si>
    <t>世嗣忍者装束 护额</t>
  </si>
  <si>
    <t>C6 DD</t>
  </si>
  <si>
    <t>世嗣忍者装束 上衣</t>
  </si>
  <si>
    <t>68 1A</t>
  </si>
  <si>
    <t>世嗣忍者装束 臂甲</t>
  </si>
  <si>
    <t>66 82</t>
  </si>
  <si>
    <t>世嗣忍者装束 膝甲</t>
  </si>
  <si>
    <t>58 3D</t>
  </si>
  <si>
    <t>世嗣忍者装束 腿甲</t>
  </si>
  <si>
    <t>47 43</t>
  </si>
  <si>
    <t>凶王之衣 头冠</t>
  </si>
  <si>
    <t>C8 87</t>
  </si>
  <si>
    <t>凶王之衣 项链</t>
  </si>
  <si>
    <t>45 D7</t>
  </si>
  <si>
    <t>凶王之衣 臂甲</t>
  </si>
  <si>
    <t>F9 FA</t>
  </si>
  <si>
    <t>凶王之衣 下衣</t>
  </si>
  <si>
    <t>9C B8</t>
  </si>
  <si>
    <t>凶王之衣 足履</t>
  </si>
  <si>
    <t>16 29</t>
  </si>
  <si>
    <t>奇兵队长装束 上衣</t>
  </si>
  <si>
    <t>EE EE</t>
  </si>
  <si>
    <t>奇兵队长装束 臂甲</t>
  </si>
  <si>
    <t>61 7F</t>
  </si>
  <si>
    <t>奇兵队长装束 下衣</t>
  </si>
  <si>
    <t>21 D9</t>
  </si>
  <si>
    <t>奇兵队长装束 腿甲</t>
  </si>
  <si>
    <t>B0 FB</t>
  </si>
  <si>
    <t>幕府军装束 阵笠</t>
  </si>
  <si>
    <t>02 1B</t>
  </si>
  <si>
    <t>幕府军装束 上衣</t>
  </si>
  <si>
    <t>46 C5</t>
  </si>
  <si>
    <t>幕府军装束 裤裙</t>
  </si>
  <si>
    <t>B5 AC</t>
  </si>
  <si>
    <t>幕府军装束 绑腿</t>
  </si>
  <si>
    <t>1E DE</t>
  </si>
  <si>
    <t>邪马台国轻铠 头盔</t>
  </si>
  <si>
    <t>16 55</t>
  </si>
  <si>
    <t>邪马台国轻铠 胸甲</t>
  </si>
  <si>
    <t>22 87</t>
  </si>
  <si>
    <t>邪马台国轻铠 臂甲</t>
  </si>
  <si>
    <t>D2 EB</t>
  </si>
  <si>
    <t>邪马台国轻铠 下衣</t>
  </si>
  <si>
    <t>D9 00</t>
  </si>
  <si>
    <t>邪马台国轻铠 腿甲</t>
  </si>
  <si>
    <t>31 79</t>
  </si>
  <si>
    <t>风魔头领忍者装束 覆面</t>
  </si>
  <si>
    <t>22 20</t>
  </si>
  <si>
    <t>风魔头领忍者装束 上衣</t>
  </si>
  <si>
    <t>D6 6C</t>
  </si>
  <si>
    <t>风魔头领忍者装束 臂甲</t>
  </si>
  <si>
    <t>24 9E</t>
  </si>
  <si>
    <t>风魔头领忍者装束 膝甲</t>
  </si>
  <si>
    <t>43 CC</t>
  </si>
  <si>
    <t>风魔头领忍者装束 腿甲</t>
  </si>
  <si>
    <t>B7 9A</t>
  </si>
  <si>
    <t>万两义贼之铠 面具</t>
  </si>
  <si>
    <t>83 A1</t>
  </si>
  <si>
    <t>万两义贼之铠 胸甲</t>
  </si>
  <si>
    <t>EC 77</t>
  </si>
  <si>
    <t>万两义贼之铠 臂甲</t>
  </si>
  <si>
    <t>DC D7</t>
  </si>
  <si>
    <t>万两义贼之铠 膝甲</t>
  </si>
  <si>
    <t>26 EA</t>
  </si>
  <si>
    <t>万两义贼之铠 腿甲</t>
  </si>
  <si>
    <t>59 F2</t>
  </si>
  <si>
    <t>最后的忍者装束 面具</t>
  </si>
  <si>
    <t>72 D8</t>
  </si>
  <si>
    <t>最后的忍者装束 胸甲</t>
  </si>
  <si>
    <t>E8 3B</t>
  </si>
  <si>
    <t>最后的忍者装束 臂甲</t>
  </si>
  <si>
    <t>59 0A</t>
  </si>
  <si>
    <t>最后的忍者装束 膝甲</t>
  </si>
  <si>
    <t>B5 BE</t>
  </si>
  <si>
    <t>最后的忍者装束 腿甲</t>
  </si>
  <si>
    <t>4C AC</t>
  </si>
  <si>
    <t>御庭番忍者装束 护额</t>
  </si>
  <si>
    <t>E0 D7</t>
  </si>
  <si>
    <t>御庭番忍者装束 胸甲</t>
  </si>
  <si>
    <t>C0 08</t>
  </si>
  <si>
    <t>御庭番忍者装束 臂甲</t>
  </si>
  <si>
    <t>14 C8</t>
  </si>
  <si>
    <t>御庭番忍者装束 膝甲</t>
  </si>
  <si>
    <t>96 42</t>
  </si>
  <si>
    <t>御庭番忍者装束 腿甲</t>
  </si>
  <si>
    <t>7B 7C</t>
  </si>
  <si>
    <t>屈之装束 头巾</t>
  </si>
  <si>
    <t>A9 60</t>
  </si>
  <si>
    <t>屈之装束 上衣</t>
  </si>
  <si>
    <t>8A 75</t>
  </si>
  <si>
    <t>屈之装束 臂甲</t>
  </si>
  <si>
    <t>E0 88</t>
  </si>
  <si>
    <t>屈之装束 裤裙</t>
  </si>
  <si>
    <t>4D D2</t>
  </si>
  <si>
    <t>屈之装束 绑腿</t>
  </si>
  <si>
    <t>34 95</t>
  </si>
  <si>
    <t>三者忍者装束 面具</t>
  </si>
  <si>
    <t>69 72</t>
  </si>
  <si>
    <t>三者忍者装束 上衣</t>
  </si>
  <si>
    <t>A3 FB</t>
  </si>
  <si>
    <t>三者忍者装束 臂甲</t>
  </si>
  <si>
    <t>BC AD</t>
  </si>
  <si>
    <t>三者忍者装束 裤裙</t>
  </si>
  <si>
    <t>6B 16</t>
  </si>
  <si>
    <t>三者忍者装束 腿甲</t>
  </si>
  <si>
    <t>90 30</t>
  </si>
  <si>
    <t>修验者装束 头襟</t>
  </si>
  <si>
    <t>82 CE</t>
  </si>
  <si>
    <t>修验者装束 上衣</t>
  </si>
  <si>
    <t>11 64</t>
  </si>
  <si>
    <t>修验者装束 臂甲</t>
  </si>
  <si>
    <t>E7 9B</t>
  </si>
  <si>
    <t>修验者装束 裤裙</t>
  </si>
  <si>
    <t>86 88</t>
  </si>
  <si>
    <t>修验者装束 草鞋</t>
  </si>
  <si>
    <t>E8 8E</t>
  </si>
  <si>
    <t>水军装束 头巾</t>
  </si>
  <si>
    <t>0A E6</t>
  </si>
  <si>
    <t>水军装束 上衣</t>
  </si>
  <si>
    <t>69 0A</t>
  </si>
  <si>
    <t>水军装束 臂甲</t>
  </si>
  <si>
    <t>4D F0</t>
  </si>
  <si>
    <t>水军装束 裤裙</t>
  </si>
  <si>
    <t>0A 73</t>
  </si>
  <si>
    <t>水军装束 腿甲</t>
  </si>
  <si>
    <t>29 DC</t>
  </si>
  <si>
    <t>射手装束 乌帽子</t>
  </si>
  <si>
    <t>67 71</t>
  </si>
  <si>
    <t>射手装束 胸甲</t>
  </si>
  <si>
    <t>7E ED</t>
  </si>
  <si>
    <t>射手装束 臂甲</t>
  </si>
  <si>
    <t>03 36</t>
  </si>
  <si>
    <t>射手装束 膝甲</t>
  </si>
  <si>
    <t>06 AA</t>
  </si>
  <si>
    <t>射手装束 腿甲</t>
  </si>
  <si>
    <t>D4 CC</t>
  </si>
  <si>
    <t>落难御曹司装束 胸甲</t>
  </si>
  <si>
    <t>D6 6F</t>
  </si>
  <si>
    <t>落难御曹司装束 臂甲</t>
  </si>
  <si>
    <t>1C 77</t>
  </si>
  <si>
    <t>落难御曹司装束 裤裙</t>
  </si>
  <si>
    <t>F2 4C</t>
  </si>
  <si>
    <t>落难御曹司装束 腿甲</t>
  </si>
  <si>
    <t>9C 60</t>
  </si>
  <si>
    <t>暗行忍者装束 护额</t>
  </si>
  <si>
    <t>A0 53</t>
  </si>
  <si>
    <t>暗行忍者装束 上衣</t>
  </si>
  <si>
    <t>A4 C2</t>
  </si>
  <si>
    <t>暗行忍者装束 臂甲</t>
  </si>
  <si>
    <t>4B 95</t>
  </si>
  <si>
    <t>暗行忍者装束 膝甲</t>
  </si>
  <si>
    <t>29 82</t>
  </si>
  <si>
    <t>暗行忍者装束 腿甲</t>
  </si>
  <si>
    <t>53 88</t>
  </si>
  <si>
    <t>霸王狙击装束 阵笠</t>
  </si>
  <si>
    <t>13 FF</t>
  </si>
  <si>
    <t>霸王狙击装束 胸甲</t>
  </si>
  <si>
    <t>1A 2C</t>
  </si>
  <si>
    <t>霸王狙击装束 臂甲</t>
  </si>
  <si>
    <t>DC 16</t>
  </si>
  <si>
    <t>霸王狙击装束 膝甲</t>
  </si>
  <si>
    <t>6E 4E</t>
  </si>
  <si>
    <t>霸王狙击装束 腿甲</t>
  </si>
  <si>
    <t>3C 55</t>
  </si>
  <si>
    <t>平三之铠 面具</t>
  </si>
  <si>
    <t>A8 16</t>
  </si>
  <si>
    <t>平三之铠 胸甲</t>
  </si>
  <si>
    <t>4F 28</t>
  </si>
  <si>
    <t>平三之铠 臂甲</t>
  </si>
  <si>
    <t>E0 A5</t>
  </si>
  <si>
    <t>平三之铠 膝甲</t>
  </si>
  <si>
    <t>2F CA</t>
  </si>
  <si>
    <t>平三之铠 腿甲</t>
  </si>
  <si>
    <t>41 C6</t>
  </si>
  <si>
    <t>圣人旅装 斗笠</t>
  </si>
  <si>
    <t>77 CD</t>
  </si>
  <si>
    <t>圣人旅装 上衣</t>
  </si>
  <si>
    <t>C7 D7</t>
  </si>
  <si>
    <t>圣人旅装 臂甲</t>
  </si>
  <si>
    <t>8B CF</t>
  </si>
  <si>
    <t>圣人旅装 裤裙</t>
  </si>
  <si>
    <t>51 A0</t>
  </si>
  <si>
    <t>圣人旅装 草鞋</t>
  </si>
  <si>
    <t>5E FF</t>
  </si>
  <si>
    <t>八重垣流装束 面具</t>
  </si>
  <si>
    <t>5A 7A</t>
  </si>
  <si>
    <t>八重垣流装束 胸甲</t>
  </si>
  <si>
    <t>C7 BD</t>
  </si>
  <si>
    <t>八重垣流装束 臂甲</t>
  </si>
  <si>
    <t>46 54</t>
  </si>
  <si>
    <t>八重垣流装束 膝甲</t>
  </si>
  <si>
    <t>5E BC</t>
  </si>
  <si>
    <t>八重垣流装束 腿甲</t>
  </si>
  <si>
    <t>C4 32</t>
  </si>
  <si>
    <t>凛然装束 上衣</t>
  </si>
  <si>
    <t>CB 2B</t>
  </si>
  <si>
    <t>凛然装束 手套</t>
  </si>
  <si>
    <t>1D F3</t>
  </si>
  <si>
    <t>凛然装束 下衣</t>
  </si>
  <si>
    <t>29 F6</t>
  </si>
  <si>
    <t>凛然装束 靴子</t>
  </si>
  <si>
    <t>BF 1A</t>
  </si>
  <si>
    <t>炎狱忍者装束 面具</t>
  </si>
  <si>
    <t>8D 1F</t>
  </si>
  <si>
    <t>炎狱忍者装束 上衣</t>
  </si>
  <si>
    <t>B2 D5</t>
  </si>
  <si>
    <t>炎狱忍者装束 臂甲</t>
  </si>
  <si>
    <t>20 67</t>
  </si>
  <si>
    <t>炎狱忍者装束 膝甲</t>
  </si>
  <si>
    <t>9C 3B</t>
  </si>
  <si>
    <t>炎狱忍者装束 腿甲</t>
  </si>
  <si>
    <t>52 7B</t>
  </si>
  <si>
    <t>冰狱忍者装束 面具</t>
  </si>
  <si>
    <t>47 F2</t>
  </si>
  <si>
    <t>冰狱忍者装束 上衣</t>
  </si>
  <si>
    <t>C9 A9</t>
  </si>
  <si>
    <t>冰狱忍者装束 臂甲</t>
  </si>
  <si>
    <t>73 04</t>
  </si>
  <si>
    <t>冰狱忍者装束 膝甲</t>
  </si>
  <si>
    <t>5D 18</t>
  </si>
  <si>
    <t>冰狱忍者装束 腿甲</t>
  </si>
  <si>
    <t>B4 C5</t>
  </si>
  <si>
    <t>万雷忍者装束 面具</t>
  </si>
  <si>
    <t>3F 96</t>
  </si>
  <si>
    <t>万雷忍者装束 上衣</t>
  </si>
  <si>
    <t>A1 5A</t>
  </si>
  <si>
    <t>万雷忍者装束 臂甲</t>
  </si>
  <si>
    <t>F7 B9</t>
  </si>
  <si>
    <t>万雷忍者装束 膝甲</t>
  </si>
  <si>
    <t>A4 A1</t>
  </si>
  <si>
    <t>万雷忍者装束 腿甲</t>
  </si>
  <si>
    <t>75 89</t>
  </si>
  <si>
    <t>0B 15</t>
  </si>
  <si>
    <t>C9 8C</t>
  </si>
  <si>
    <t>盗贼轻铠 面具</t>
  </si>
  <si>
    <t>8E C1</t>
  </si>
  <si>
    <t>盗贼轻铠 胸甲</t>
  </si>
  <si>
    <t>6F F3</t>
  </si>
  <si>
    <t>盗贼轻铠 臂甲</t>
  </si>
  <si>
    <t>F2 1C</t>
  </si>
  <si>
    <t>盗贼轻铠 膝甲</t>
  </si>
  <si>
    <t>55 D3</t>
  </si>
  <si>
    <t>盗贼轻铠 腿甲</t>
  </si>
  <si>
    <t>51 62</t>
  </si>
  <si>
    <t>忍者装束 头巾</t>
  </si>
  <si>
    <t>9C 72</t>
  </si>
  <si>
    <t>忍者装束 上衣</t>
  </si>
  <si>
    <t>E2 6B</t>
  </si>
  <si>
    <t>忍者装束 臂甲</t>
  </si>
  <si>
    <t>60 EA</t>
  </si>
  <si>
    <t>忍者装束 裤裙</t>
  </si>
  <si>
    <t>18 3C</t>
  </si>
  <si>
    <t>忍者装束 绑腿</t>
  </si>
  <si>
    <t>DC B9</t>
  </si>
  <si>
    <t>神官净衣 头冠／巫女净衣 头饰</t>
  </si>
  <si>
    <t>55 58</t>
  </si>
  <si>
    <t>神官净衣 狩衣／巫女净衣 白衣</t>
  </si>
  <si>
    <t>3B E5</t>
  </si>
  <si>
    <t>神官净衣 臂甲／巫女净衣 臂甲</t>
  </si>
  <si>
    <t>97 F5</t>
  </si>
  <si>
    <t>神官净衣 裤裙／巫女净衣 绯裤裙</t>
  </si>
  <si>
    <t>9E CE</t>
  </si>
  <si>
    <t>神官净衣 足履／巫女净衣 足履</t>
  </si>
  <si>
    <t>4F 95</t>
  </si>
  <si>
    <t>风魔忍者装束 面具</t>
  </si>
  <si>
    <t>41 FC</t>
  </si>
  <si>
    <t>风魔忍者装束 上衣</t>
  </si>
  <si>
    <t>5B 86</t>
  </si>
  <si>
    <t>风魔忍者装束 臂甲</t>
  </si>
  <si>
    <t>52 0C</t>
  </si>
  <si>
    <t>风魔忍者装束 裤裙</t>
  </si>
  <si>
    <t>4B 74</t>
  </si>
  <si>
    <t>风魔忍者装束 腿甲</t>
  </si>
  <si>
    <t>49 C0</t>
  </si>
  <si>
    <t>摆渡者装束 头巾</t>
  </si>
  <si>
    <t>A4 27</t>
  </si>
  <si>
    <t>摆渡者装束 上衣</t>
  </si>
  <si>
    <t>D2 0F</t>
  </si>
  <si>
    <t>摆渡者装束 臂甲</t>
  </si>
  <si>
    <t>3F ED</t>
  </si>
  <si>
    <t>摆渡者装束 裤裙</t>
  </si>
  <si>
    <t>7C C2</t>
  </si>
  <si>
    <t>摆渡者装束 腿甲</t>
  </si>
  <si>
    <t>4F 69</t>
  </si>
  <si>
    <t>山伏装束 头襟</t>
  </si>
  <si>
    <t>AE B1</t>
  </si>
  <si>
    <t>山伏装束 上衣</t>
  </si>
  <si>
    <t>56 12</t>
  </si>
  <si>
    <t>山伏装束 臂甲</t>
  </si>
  <si>
    <t>2D 73</t>
  </si>
  <si>
    <t>山伏装束 裤裙</t>
  </si>
  <si>
    <t>B4 38</t>
  </si>
  <si>
    <t>山伏装束 草鞋</t>
  </si>
  <si>
    <t>43 1F</t>
  </si>
  <si>
    <t>阴阳师狩衣 乌帽子</t>
  </si>
  <si>
    <t>37 70</t>
  </si>
  <si>
    <t>阴阳师狩衣 上衣</t>
  </si>
  <si>
    <t>20 26</t>
  </si>
  <si>
    <t>阴阳师狩衣 臂甲</t>
  </si>
  <si>
    <t>E3 79</t>
  </si>
  <si>
    <t>阴阳师狩衣 裤裙</t>
  </si>
  <si>
    <t>26 CE</t>
  </si>
  <si>
    <t>阴阳师狩衣 足沓</t>
  </si>
  <si>
    <t>07 D2</t>
  </si>
  <si>
    <t>忍铠 面具</t>
  </si>
  <si>
    <t>FA F3</t>
  </si>
  <si>
    <t>忍铠 胸甲</t>
  </si>
  <si>
    <t>4F 75</t>
  </si>
  <si>
    <t>忍铠 臂甲</t>
  </si>
  <si>
    <t>F1 EB</t>
  </si>
  <si>
    <t>忍铠 膝甲</t>
  </si>
  <si>
    <t>72 88</t>
  </si>
  <si>
    <t>忍铠 腿甲</t>
  </si>
  <si>
    <t>96 E6</t>
  </si>
  <si>
    <t>宫司净衣 头冠／云游巫女装束 头饰</t>
  </si>
  <si>
    <t>68 4A</t>
  </si>
  <si>
    <t>宫司净衣 狩衣／云游巫女装束 上衣</t>
  </si>
  <si>
    <t>1A E6</t>
  </si>
  <si>
    <t>宫司净衣 臂甲／云游巫女装束 臂甲</t>
  </si>
  <si>
    <t>D6 AD</t>
  </si>
  <si>
    <t>宫司净衣 裤裙／云游巫女装束 绯裤裙</t>
  </si>
  <si>
    <t>89 C7</t>
  </si>
  <si>
    <t>宫司净衣 足履／云游巫女装束 足履</t>
  </si>
  <si>
    <t>36 F7</t>
  </si>
  <si>
    <t>鸢加藤忍衣 覆面</t>
  </si>
  <si>
    <t>68 A5</t>
  </si>
  <si>
    <t>鸢加藤忍衣 上衣</t>
  </si>
  <si>
    <t>12 FE</t>
  </si>
  <si>
    <t>鸢加藤忍衣 臂甲</t>
  </si>
  <si>
    <t>B2 F8</t>
  </si>
  <si>
    <t>鸢加藤忍衣 膝甲</t>
  </si>
  <si>
    <t>FF 61</t>
  </si>
  <si>
    <t>鸢加藤忍衣 腿甲</t>
  </si>
  <si>
    <t>D5 C5</t>
  </si>
  <si>
    <t>伊贺上忍装束 护额</t>
  </si>
  <si>
    <t>17 BB</t>
  </si>
  <si>
    <t>伊贺上忍装束 胸甲</t>
  </si>
  <si>
    <t>A6 28</t>
  </si>
  <si>
    <t>伊贺上忍装束 臂甲</t>
  </si>
  <si>
    <t>43 AB</t>
  </si>
  <si>
    <t>伊贺上忍装束 膝甲</t>
  </si>
  <si>
    <t>F2 BF</t>
  </si>
  <si>
    <t>伊贺上忍装束 腿甲</t>
  </si>
  <si>
    <t>E9 3C</t>
  </si>
  <si>
    <t>袖神之铠 乌帽子</t>
  </si>
  <si>
    <t>B7 44</t>
  </si>
  <si>
    <t>袖神之铠 胸甲</t>
  </si>
  <si>
    <t>DD 28</t>
  </si>
  <si>
    <t>袖神之铠 臂甲</t>
  </si>
  <si>
    <t>A5 44</t>
  </si>
  <si>
    <t>袖神之铠 膝甲</t>
  </si>
  <si>
    <t>63 42</t>
  </si>
  <si>
    <t>袖神之铠 腿甲</t>
  </si>
  <si>
    <t>E1 96</t>
  </si>
  <si>
    <t>弘法大师僧衣 斗笠</t>
  </si>
  <si>
    <t>30 86</t>
  </si>
  <si>
    <t>弘法大师僧衣 袈裟</t>
  </si>
  <si>
    <t>05 8D</t>
  </si>
  <si>
    <t>弘法大师僧衣 袖套</t>
  </si>
  <si>
    <t>41 EA</t>
  </si>
  <si>
    <t>弘法大师僧衣 裤裙</t>
  </si>
  <si>
    <t>0C AD</t>
  </si>
  <si>
    <t>弘法大师僧衣 绑腿</t>
  </si>
  <si>
    <t>9F 17</t>
  </si>
  <si>
    <t>退魔师战甲 乌帽子</t>
  </si>
  <si>
    <t>38 80</t>
  </si>
  <si>
    <t>退魔师战甲 胸甲</t>
  </si>
  <si>
    <t>D1 5A</t>
  </si>
  <si>
    <t>退魔师战甲 臂甲</t>
  </si>
  <si>
    <t>65 BD</t>
  </si>
  <si>
    <t>退魔师战甲 膝甲</t>
  </si>
  <si>
    <t>80 2E</t>
  </si>
  <si>
    <t>退魔师战甲 腿甲</t>
  </si>
  <si>
    <t>93 C0</t>
  </si>
  <si>
    <t>楚叶矢众铠 面具</t>
  </si>
  <si>
    <t>77 4A</t>
  </si>
  <si>
    <t>楚叶矢众铠 胸甲</t>
  </si>
  <si>
    <t>1F 1C</t>
  </si>
  <si>
    <t>楚叶矢众铠 臂甲</t>
  </si>
  <si>
    <t>CF C9</t>
  </si>
  <si>
    <t>楚叶矢众铠 膝甲</t>
  </si>
  <si>
    <t>8D 08</t>
  </si>
  <si>
    <t>楚叶矢众铠 腿甲</t>
  </si>
  <si>
    <t>89 89</t>
  </si>
  <si>
    <t>无缘人之铠 头巾</t>
  </si>
  <si>
    <t>35 01</t>
  </si>
  <si>
    <t>无缘人之铠 胸甲</t>
  </si>
  <si>
    <t>D3 54</t>
  </si>
  <si>
    <t>无缘人之铠 臂甲</t>
  </si>
  <si>
    <t>91 FE</t>
  </si>
  <si>
    <t>无缘人之铠 膝甲</t>
  </si>
  <si>
    <t>16 8E</t>
  </si>
  <si>
    <t>无缘人之铠 腿甲</t>
  </si>
  <si>
    <t>FF 31</t>
  </si>
  <si>
    <t>盗贼之铠 头盔</t>
  </si>
  <si>
    <t>4B 6C</t>
  </si>
  <si>
    <t>盗贼之铠 胸甲</t>
  </si>
  <si>
    <t>DD D4</t>
  </si>
  <si>
    <t>盗贼之铠 臂甲</t>
  </si>
  <si>
    <t>29 C4</t>
  </si>
  <si>
    <t>盗贼之铠 膝甲</t>
  </si>
  <si>
    <t>DE 2A</t>
  </si>
  <si>
    <t>盗贼之铠 腿甲</t>
  </si>
  <si>
    <t>B3 EB</t>
  </si>
  <si>
    <t>百鬼之铠 头盔</t>
  </si>
  <si>
    <t>5E 24</t>
  </si>
  <si>
    <t>百鬼之铠 胸甲</t>
  </si>
  <si>
    <t>67 CC</t>
  </si>
  <si>
    <t>百鬼之铠 臂甲</t>
  </si>
  <si>
    <t>BC 0E</t>
  </si>
  <si>
    <t>百鬼之铠 膝甲</t>
  </si>
  <si>
    <t>39 08</t>
  </si>
  <si>
    <t>百鬼之铠 腿甲</t>
  </si>
  <si>
    <t>FF 12</t>
  </si>
  <si>
    <t>柳生众装束 斗笠</t>
  </si>
  <si>
    <t>2B A2</t>
  </si>
  <si>
    <t>柳生众装束 胸甲</t>
  </si>
  <si>
    <t>5C 0E</t>
  </si>
  <si>
    <t>柳生众装束 臂甲</t>
  </si>
  <si>
    <t>1D 8A</t>
  </si>
  <si>
    <t>柳生众装束 膝甲</t>
  </si>
  <si>
    <t>14 D4</t>
  </si>
  <si>
    <t>柳生众装束 腿甲</t>
  </si>
  <si>
    <t>2D F5</t>
  </si>
  <si>
    <t>大目付忍装束 头巾</t>
  </si>
  <si>
    <t>D1 53</t>
  </si>
  <si>
    <t>大目付忍装束 胸甲</t>
  </si>
  <si>
    <t>38 39</t>
  </si>
  <si>
    <t>大目付忍装束 臂甲</t>
  </si>
  <si>
    <t>8D 5D</t>
  </si>
  <si>
    <t>大目付忍装束 膝甲</t>
  </si>
  <si>
    <t>8D 15</t>
  </si>
  <si>
    <t>大目付忍装束 腿甲</t>
  </si>
  <si>
    <t>AD 5B</t>
  </si>
  <si>
    <t>弁庆梦想装束 头巾</t>
  </si>
  <si>
    <t>C6 85</t>
  </si>
  <si>
    <t>弁庆梦想装束 上衣</t>
  </si>
  <si>
    <t>E4 EE</t>
  </si>
  <si>
    <t>弁庆梦想装束 臂甲</t>
  </si>
  <si>
    <t>F6 72</t>
  </si>
  <si>
    <t>弁庆梦想装束 裤裙</t>
  </si>
  <si>
    <t>FD 30</t>
  </si>
  <si>
    <t>弁庆梦想装束 草鞋</t>
  </si>
  <si>
    <t>FC E5</t>
  </si>
  <si>
    <t>女面</t>
  </si>
  <si>
    <t>F2 D5</t>
  </si>
  <si>
    <t>木灵碗</t>
  </si>
  <si>
    <t>16 07</t>
  </si>
  <si>
    <t>翁面</t>
  </si>
  <si>
    <t>E9 09</t>
  </si>
  <si>
    <t>天狗面</t>
  </si>
  <si>
    <t>A1 10</t>
  </si>
  <si>
    <t>般若面</t>
  </si>
  <si>
    <t>CC CB</t>
  </si>
  <si>
    <t>黑狐面</t>
  </si>
  <si>
    <t>8E 5F</t>
  </si>
  <si>
    <t>白狐面</t>
  </si>
  <si>
    <t>BE A9</t>
  </si>
  <si>
    <t>怨灵面</t>
  </si>
  <si>
    <t>A7 D4</t>
  </si>
  <si>
    <t>鬼神面</t>
  </si>
  <si>
    <t>0F 41</t>
  </si>
  <si>
    <t>修罗护颊</t>
  </si>
  <si>
    <t>AA BB</t>
  </si>
  <si>
    <t>丛云形盔</t>
  </si>
  <si>
    <t>65 3D</t>
  </si>
  <si>
    <t>风神头盔</t>
  </si>
  <si>
    <t>6C 52</t>
  </si>
  <si>
    <t>善擦帽子(三花猫)</t>
  </si>
  <si>
    <t>5D 52</t>
  </si>
  <si>
    <t>善擦帽子(波斯猫)</t>
  </si>
  <si>
    <t>5C AC</t>
  </si>
  <si>
    <t>善擦帽子(紫猫)</t>
  </si>
  <si>
    <t>CA AB</t>
  </si>
  <si>
    <t>善擦帽子(狸花猫)</t>
  </si>
  <si>
    <t>9D 4B</t>
  </si>
  <si>
    <t>善擦帽子(金渐层)</t>
  </si>
  <si>
    <t>04 04</t>
  </si>
  <si>
    <t>善擦帽子(美短)</t>
  </si>
  <si>
    <t>4E 3E</t>
  </si>
  <si>
    <t>善擦帽子(奶牛猫)</t>
  </si>
  <si>
    <t>C5 05</t>
  </si>
  <si>
    <t>善擦帽子(蓝猫)</t>
  </si>
  <si>
    <t>41 DC</t>
  </si>
  <si>
    <t>善擦帽子(布偶)</t>
  </si>
  <si>
    <t>E9 1B</t>
  </si>
  <si>
    <t>善擦帽子(蓝白)</t>
  </si>
  <si>
    <t>饰品</t>
  </si>
  <si>
    <t>武士饰品</t>
  </si>
  <si>
    <t>98 2B</t>
  </si>
  <si>
    <t>护身符[武士]</t>
  </si>
  <si>
    <t>72 7B</t>
  </si>
  <si>
    <t>扇子(白)[武士]</t>
  </si>
  <si>
    <t>C2 7D</t>
  </si>
  <si>
    <t>扇子(红)[武士]</t>
  </si>
  <si>
    <t>A8 96</t>
  </si>
  <si>
    <t>扇子(黑)[武士]</t>
  </si>
  <si>
    <t>02 8E</t>
  </si>
  <si>
    <t>矢立[武士]</t>
  </si>
  <si>
    <t>33 3B</t>
  </si>
  <si>
    <t>纱剪[武士]</t>
  </si>
  <si>
    <t>AD EC</t>
  </si>
  <si>
    <t>葫芦[武士]</t>
  </si>
  <si>
    <t>E1 C0</t>
  </si>
  <si>
    <t>信玄的军扇[武士]</t>
  </si>
  <si>
    <t>9A 5D</t>
  </si>
  <si>
    <t>念珠(黑)[武士]</t>
  </si>
  <si>
    <t>BA 31</t>
  </si>
  <si>
    <t>念珠(棕)[武士]</t>
  </si>
  <si>
    <t>D2 CB</t>
  </si>
  <si>
    <t>念珠(白)[武士]</t>
  </si>
  <si>
    <t>3F 3E</t>
  </si>
  <si>
    <t>龙笛[武士]</t>
  </si>
  <si>
    <t>F8 67</t>
  </si>
  <si>
    <t>兄弟护身符[武士]</t>
  </si>
  <si>
    <t>66 AF</t>
  </si>
  <si>
    <t>白椿发簪[武士]</t>
  </si>
  <si>
    <t>F6 BD</t>
  </si>
  <si>
    <t>蝉折之笛[武士]</t>
  </si>
  <si>
    <t>96 34</t>
  </si>
  <si>
    <t>六壬式盘[武士]</t>
  </si>
  <si>
    <t>D6 47</t>
  </si>
  <si>
    <t>勾玉(绿)[武士]</t>
  </si>
  <si>
    <t>79 BF</t>
  </si>
  <si>
    <t>勾玉(红)[武士]</t>
  </si>
  <si>
    <t>F3 67</t>
  </si>
  <si>
    <t>勾玉(白)[武士]</t>
  </si>
  <si>
    <t>CA FD</t>
  </si>
  <si>
    <t>国松的砚盒[武士]</t>
  </si>
  <si>
    <t>40 3A</t>
  </si>
  <si>
    <t>印笼(黑)[武士]</t>
  </si>
  <si>
    <t>1B 7A</t>
  </si>
  <si>
    <t>印笼(棕)[武士]</t>
  </si>
  <si>
    <t>A5 97</t>
  </si>
  <si>
    <t>印笼(红)[武士]</t>
  </si>
  <si>
    <t>08 8A</t>
  </si>
  <si>
    <t>烟管[武士]</t>
  </si>
  <si>
    <t>CA 74</t>
  </si>
  <si>
    <t>发梳[武士]</t>
  </si>
  <si>
    <t>75 F8</t>
  </si>
  <si>
    <t>叶二[武士]</t>
  </si>
  <si>
    <t>30 3F</t>
  </si>
  <si>
    <t>算盘[武士]</t>
  </si>
  <si>
    <t>26 89</t>
  </si>
  <si>
    <t>手镜[武士]</t>
  </si>
  <si>
    <t>FA 96</t>
  </si>
  <si>
    <t>进口怀表[武士]</t>
  </si>
  <si>
    <t>30 D2</t>
  </si>
  <si>
    <t>胧月笛[武士]</t>
  </si>
  <si>
    <t>2E 2D</t>
  </si>
  <si>
    <t>柯亭[武士]</t>
  </si>
  <si>
    <t>A7 94</t>
  </si>
  <si>
    <t>水龙[武士]</t>
  </si>
  <si>
    <t>21 15</t>
  </si>
  <si>
    <t>八咫镜[武士]</t>
  </si>
  <si>
    <t>87 49</t>
  </si>
  <si>
    <t>八尺琼勾玉[武士]</t>
  </si>
  <si>
    <t>9A 10</t>
  </si>
  <si>
    <t>除火护身符[武士]</t>
  </si>
  <si>
    <t>2E 64</t>
  </si>
  <si>
    <t>除水护身符[武士]</t>
  </si>
  <si>
    <t>4E C2</t>
  </si>
  <si>
    <t>除风护身符[武士]</t>
  </si>
  <si>
    <t>9F CC</t>
  </si>
  <si>
    <t>除雷护身符[武士]</t>
  </si>
  <si>
    <t>72 B3</t>
  </si>
  <si>
    <t>除毒护身符[武士]</t>
  </si>
  <si>
    <t>37 93</t>
  </si>
  <si>
    <t>除麻痹护身符[武士]</t>
  </si>
  <si>
    <t>02 CC</t>
  </si>
  <si>
    <t>木灵吊饰[武士]</t>
  </si>
  <si>
    <t>F5 5A</t>
  </si>
  <si>
    <t>千千古吊饰[武士]</t>
  </si>
  <si>
    <t>EE 2D</t>
  </si>
  <si>
    <t>善擦毛球吊饰[武士]</t>
  </si>
  <si>
    <t>67 45</t>
  </si>
  <si>
    <t>松平信纲的军扇[武士]</t>
  </si>
  <si>
    <t>E6 E2</t>
  </si>
  <si>
    <t>副将军的印笼[武士]</t>
  </si>
  <si>
    <t>B3 F5</t>
  </si>
  <si>
    <t>一玄居士的烟管[武士]</t>
  </si>
  <si>
    <t>忍者饰品</t>
  </si>
  <si>
    <t>18 8D</t>
  </si>
  <si>
    <t>护身符[忍者]</t>
  </si>
  <si>
    <t>60 E1</t>
  </si>
  <si>
    <t>扇子(白)[忍者]</t>
  </si>
  <si>
    <t>49 FA</t>
  </si>
  <si>
    <t>扇子(红)[忍者]</t>
  </si>
  <si>
    <t>CE 6B</t>
  </si>
  <si>
    <t>扇子(黑)[忍者]</t>
  </si>
  <si>
    <t>C3 58</t>
  </si>
  <si>
    <t>矢立[忍者]</t>
  </si>
  <si>
    <t>D8 A9</t>
  </si>
  <si>
    <t>弘法大师的念珠[忍者]</t>
  </si>
  <si>
    <t>CD 2D</t>
  </si>
  <si>
    <t>纱剪[忍者]</t>
  </si>
  <si>
    <t>BE 6E</t>
  </si>
  <si>
    <t>葫芦[忍者]</t>
  </si>
  <si>
    <t>D0 22</t>
  </si>
  <si>
    <t>念珠(黑)[忍者]</t>
  </si>
  <si>
    <t>54 77</t>
  </si>
  <si>
    <t>念珠(棕)[忍者]</t>
  </si>
  <si>
    <t>14 C3</t>
  </si>
  <si>
    <t>念珠(白)[忍者]</t>
  </si>
  <si>
    <t>45 A1</t>
  </si>
  <si>
    <t>龙笛[忍者]</t>
  </si>
  <si>
    <t>B0 D3</t>
  </si>
  <si>
    <t>兄弟护身符[忍者]</t>
  </si>
  <si>
    <t>DB 37</t>
  </si>
  <si>
    <t>白椿发簪[忍者]</t>
  </si>
  <si>
    <t>BD F1</t>
  </si>
  <si>
    <t>蝉折之笛[忍者]</t>
  </si>
  <si>
    <t>97 F9</t>
  </si>
  <si>
    <t>六壬式盘[忍者]</t>
  </si>
  <si>
    <t>3F 68</t>
  </si>
  <si>
    <t>勾玉(绿)[忍者]</t>
  </si>
  <si>
    <t>F3 91</t>
  </si>
  <si>
    <t>勾玉(红)[忍者]</t>
  </si>
  <si>
    <t>10 E6</t>
  </si>
  <si>
    <t>勾玉(白)[忍者]</t>
  </si>
  <si>
    <t>22 8C</t>
  </si>
  <si>
    <t>日巫女首饰[忍者]</t>
  </si>
  <si>
    <t>BB F5</t>
  </si>
  <si>
    <t>凶王耳饰[忍者]</t>
  </si>
  <si>
    <t>2F C7</t>
  </si>
  <si>
    <t>印笼(黑)[忍者]</t>
  </si>
  <si>
    <t>36 CC</t>
  </si>
  <si>
    <t>印笼(棕)[忍者]</t>
  </si>
  <si>
    <t>C2 62</t>
  </si>
  <si>
    <t>印笼(红)[忍者]</t>
  </si>
  <si>
    <t>F0 AE</t>
  </si>
  <si>
    <t>烟管[忍者]</t>
  </si>
  <si>
    <t>47 85</t>
  </si>
  <si>
    <t>发梳[忍者]</t>
  </si>
  <si>
    <t>3F 70</t>
  </si>
  <si>
    <t>叶二[忍者]</t>
  </si>
  <si>
    <t>15 E8</t>
  </si>
  <si>
    <t>算盘[忍者]</t>
  </si>
  <si>
    <t>09 25</t>
  </si>
  <si>
    <t>手镜[忍者]</t>
  </si>
  <si>
    <t>AA 0A</t>
  </si>
  <si>
    <t>胧月笛[忍者]</t>
  </si>
  <si>
    <t>E8 FB</t>
  </si>
  <si>
    <t>柯亭[忍者]</t>
  </si>
  <si>
    <t>6D 1E</t>
  </si>
  <si>
    <t>水龙[忍者]</t>
  </si>
  <si>
    <t>八咫镜[忍者]</t>
  </si>
  <si>
    <t>5E A0</t>
  </si>
  <si>
    <t>八尺琼勾玉[忍者]</t>
  </si>
  <si>
    <t>CF 7A</t>
  </si>
  <si>
    <t>除火护身符[忍者]</t>
  </si>
  <si>
    <t>FA 1A</t>
  </si>
  <si>
    <t>除水护身符[忍者]</t>
  </si>
  <si>
    <t>44 D6</t>
  </si>
  <si>
    <t>除风护身符[忍者]</t>
  </si>
  <si>
    <t>6A 06</t>
  </si>
  <si>
    <t>除雷护身符[忍者]</t>
  </si>
  <si>
    <t>56 24</t>
  </si>
  <si>
    <t>除毒护身符[忍者]</t>
  </si>
  <si>
    <t>35 EE</t>
  </si>
  <si>
    <t>除麻痹护身符[忍者]</t>
  </si>
  <si>
    <t>79 08</t>
  </si>
  <si>
    <t>木灵吊饰[忍者]</t>
  </si>
  <si>
    <t>D7 5F</t>
  </si>
  <si>
    <t>千千古吊饰[忍者]</t>
  </si>
  <si>
    <t>69 E9</t>
  </si>
  <si>
    <t>善擦毛球吊饰[忍者]</t>
  </si>
  <si>
    <t>魂核</t>
  </si>
  <si>
    <t>A6 3D</t>
  </si>
  <si>
    <t>狱卒鬼（焦热）的魂核</t>
  </si>
  <si>
    <t>43 94</t>
  </si>
  <si>
    <t>狱卒鬼（八寒）的魂核</t>
  </si>
  <si>
    <t>B0 B3</t>
  </si>
  <si>
    <t>狱卒鬼（针山）的魂核</t>
  </si>
  <si>
    <t>36 33</t>
  </si>
  <si>
    <t>狱卒鬼（业风）的魂核</t>
  </si>
  <si>
    <t>50 23</t>
  </si>
  <si>
    <t>雷兽的魂核</t>
  </si>
  <si>
    <t>53 6E</t>
  </si>
  <si>
    <t>山狗的魂核</t>
  </si>
  <si>
    <t>DE 53</t>
  </si>
  <si>
    <t>野槌的魂核</t>
  </si>
  <si>
    <t>89 16</t>
  </si>
  <si>
    <t>夜行兵的魂核</t>
  </si>
  <si>
    <t>F8 F4</t>
  </si>
  <si>
    <t>山彦的魂核</t>
  </si>
  <si>
    <t>71 BB</t>
  </si>
  <si>
    <t>撒沙婆婆的魂核</t>
  </si>
  <si>
    <t>DC 5E</t>
  </si>
  <si>
    <t>地狱蜂的魂核</t>
  </si>
  <si>
    <t>05 3B</t>
  </si>
  <si>
    <t>人鱼的魂核</t>
  </si>
  <si>
    <t>FA D1</t>
  </si>
  <si>
    <t>见越入道的魂核</t>
  </si>
  <si>
    <t>26 91</t>
  </si>
  <si>
    <t>朱盆的魂核</t>
  </si>
  <si>
    <t>43 84</t>
  </si>
  <si>
    <t>饿鬼的魂核</t>
  </si>
  <si>
    <t>D4 2B</t>
  </si>
  <si>
    <t>棘饿鬼的魂核</t>
  </si>
  <si>
    <t>15 15</t>
  </si>
  <si>
    <t>饿鬼大将的魂核</t>
  </si>
  <si>
    <t>7D F5</t>
  </si>
  <si>
    <t>妖鬼的魂核</t>
  </si>
  <si>
    <t>87 6A</t>
  </si>
  <si>
    <t>忍者妖鬼的魂核</t>
  </si>
  <si>
    <t>4E 82</t>
  </si>
  <si>
    <t>亡骸武者的魂核</t>
  </si>
  <si>
    <t>9A 69</t>
  </si>
  <si>
    <t>狂骨的魂核</t>
  </si>
  <si>
    <t>5C B3</t>
  </si>
  <si>
    <t>敷次郎的魂核</t>
  </si>
  <si>
    <t>62 95</t>
  </si>
  <si>
    <t>鬼火（火）的魂核</t>
  </si>
  <si>
    <t>34 BD</t>
  </si>
  <si>
    <t>鬼火（水）的魂核</t>
  </si>
  <si>
    <t>31 90</t>
  </si>
  <si>
    <t>鬼火（雷）的魂核</t>
  </si>
  <si>
    <t>6C D6</t>
  </si>
  <si>
    <t>鬼火（风）的魂核</t>
  </si>
  <si>
    <t>88 A6</t>
  </si>
  <si>
    <t>小海坊主的魂核</t>
  </si>
  <si>
    <t>71 3B</t>
  </si>
  <si>
    <t>乌鸦天狗的魂核</t>
  </si>
  <si>
    <t>F9 C7</t>
  </si>
  <si>
    <t>轮入道的魂核</t>
  </si>
  <si>
    <t>53 91</t>
  </si>
  <si>
    <t>独脚踏鞴的魂核</t>
  </si>
  <si>
    <t>00 2E</t>
  </si>
  <si>
    <t>妖蟹的魂核</t>
  </si>
  <si>
    <t>5C A3</t>
  </si>
  <si>
    <t>濡女的魂核</t>
  </si>
  <si>
    <t>AF A8</t>
  </si>
  <si>
    <t>猿鬼的魂核</t>
  </si>
  <si>
    <t>31 E6</t>
  </si>
  <si>
    <t>独眼鬼的魂核</t>
  </si>
  <si>
    <t>38 88</t>
  </si>
  <si>
    <t>防人的魂核</t>
  </si>
  <si>
    <t>B1 59</t>
  </si>
  <si>
    <t>以津真天的魂核</t>
  </si>
  <si>
    <t>96 BF</t>
  </si>
  <si>
    <t>子泣爷爷的魂核</t>
  </si>
  <si>
    <t>05 97</t>
  </si>
  <si>
    <t>山姥的魂核</t>
  </si>
  <si>
    <t>87 A3</t>
  </si>
  <si>
    <t>猥裸的魂核</t>
  </si>
  <si>
    <t>0A 6F</t>
  </si>
  <si>
    <t>古笼火的魂核</t>
  </si>
  <si>
    <t>D9 7B</t>
  </si>
  <si>
    <t>姑获鸟的魂核</t>
  </si>
  <si>
    <t>45 BD</t>
  </si>
  <si>
    <t>冰柱女的魂核</t>
  </si>
  <si>
    <t>38 7B</t>
  </si>
  <si>
    <t>一反木棉的魂核</t>
  </si>
  <si>
    <t>44 A4</t>
  </si>
  <si>
    <t>油伞妖的魂核</t>
  </si>
  <si>
    <t>C4 62</t>
  </si>
  <si>
    <t>祸津武士的魂核</t>
  </si>
  <si>
    <t>F7 5F</t>
  </si>
  <si>
    <t>肉瘤怪的魂核</t>
  </si>
  <si>
    <t>FB DF</t>
  </si>
  <si>
    <t>夜叉的魂核</t>
  </si>
  <si>
    <t>1B CE</t>
  </si>
  <si>
    <t>外道兵的魂核</t>
  </si>
  <si>
    <t>0E C4</t>
  </si>
  <si>
    <t>蛇骨婆的魂核</t>
  </si>
  <si>
    <t>F3 EE</t>
  </si>
  <si>
    <t>大天狗的魂核</t>
  </si>
  <si>
    <t>F0 3C</t>
  </si>
  <si>
    <t>惧鬼的魂核</t>
  </si>
  <si>
    <t>60 EB</t>
  </si>
  <si>
    <t>茨木童子的魂核</t>
  </si>
  <si>
    <t>6D 0A</t>
  </si>
  <si>
    <t>涂佛的魂核</t>
  </si>
  <si>
    <t>A6 D7</t>
  </si>
  <si>
    <t>傲岸鬼的魂核</t>
  </si>
  <si>
    <t>E8 A3</t>
  </si>
  <si>
    <t>冒疾鬼的魂核</t>
  </si>
  <si>
    <t>FF 45</t>
  </si>
  <si>
    <t>执心鬼的魂核</t>
  </si>
  <si>
    <t>42 2B</t>
  </si>
  <si>
    <t>马头鬼的魂核</t>
  </si>
  <si>
    <t>7D 90</t>
  </si>
  <si>
    <t>牛头鬼的魂核</t>
  </si>
  <si>
    <t>68 77</t>
  </si>
  <si>
    <t>镰触的魂核</t>
  </si>
  <si>
    <t>1B 16</t>
  </si>
  <si>
    <t>飞缘魔的魂核</t>
  </si>
  <si>
    <t>A9 58</t>
  </si>
  <si>
    <t>烟烟罗的魂核</t>
  </si>
  <si>
    <t>51 D5</t>
  </si>
  <si>
    <t>两面宿傩的魂核</t>
  </si>
  <si>
    <t>1F 12</t>
  </si>
  <si>
    <t>女郎蜘蛛的魂核</t>
  </si>
  <si>
    <t>76 70</t>
  </si>
  <si>
    <t>火车的魂核</t>
  </si>
  <si>
    <t>86 C2</t>
  </si>
  <si>
    <t>阴摩罗鬼的魂核</t>
  </si>
  <si>
    <t>13 56</t>
  </si>
  <si>
    <t>怨灵鬼的魂核</t>
  </si>
  <si>
    <t>36 6D</t>
  </si>
  <si>
    <t>血刀修罗的魂核</t>
  </si>
  <si>
    <t>AE C4</t>
  </si>
  <si>
    <t>比留呼的魂核</t>
  </si>
  <si>
    <t>AB 98</t>
  </si>
  <si>
    <t>河童的魂核</t>
  </si>
  <si>
    <t>09 9F</t>
  </si>
  <si>
    <t>赤河童的魂核</t>
  </si>
  <si>
    <t>9D 46</t>
  </si>
  <si>
    <t>琵琶牧牧的魂核</t>
  </si>
  <si>
    <t>31 60</t>
  </si>
  <si>
    <t>泥墙的魂核</t>
  </si>
  <si>
    <t>F4 D0</t>
  </si>
  <si>
    <t>貉的魂核</t>
  </si>
  <si>
    <t>19 BE</t>
  </si>
  <si>
    <t>木灵的魂核</t>
  </si>
  <si>
    <t>6B BD</t>
  </si>
  <si>
    <t>魑魅的魂核</t>
  </si>
  <si>
    <t>3E D0</t>
  </si>
  <si>
    <t>善擦的魂核</t>
  </si>
  <si>
    <t>65 78</t>
  </si>
  <si>
    <t>千千古的魂核</t>
  </si>
  <si>
    <t>EE 7B</t>
  </si>
  <si>
    <t>大太法师的魂核</t>
  </si>
  <si>
    <t>BD 4F</t>
  </si>
  <si>
    <t>蛤蟆附身的魂核</t>
  </si>
  <si>
    <t>BE C0</t>
  </si>
  <si>
    <t>铁鼠的魂核</t>
  </si>
  <si>
    <t>DC DA</t>
  </si>
  <si>
    <t>垢尝的魂核</t>
  </si>
  <si>
    <t>34 8E</t>
  </si>
  <si>
    <t>一目连的魂核</t>
  </si>
  <si>
    <t>A4 2F</t>
  </si>
  <si>
    <t>大蛤蟆的魂核</t>
  </si>
  <si>
    <t>可用道具</t>
  </si>
  <si>
    <t>药品</t>
  </si>
  <si>
    <t>E7 05</t>
  </si>
  <si>
    <t>仙药</t>
  </si>
  <si>
    <t>B0 9C</t>
  </si>
  <si>
    <t>养身丹</t>
  </si>
  <si>
    <t>B4 65</t>
  </si>
  <si>
    <t>丰身丹</t>
  </si>
  <si>
    <t>81 F6</t>
  </si>
  <si>
    <t>神曲</t>
  </si>
  <si>
    <t>消耗品</t>
  </si>
  <si>
    <t>14 65</t>
  </si>
  <si>
    <t>解毒药</t>
  </si>
  <si>
    <t>6E FA</t>
  </si>
  <si>
    <t>解麻针</t>
  </si>
  <si>
    <t>09 95</t>
  </si>
  <si>
    <t>香木原木</t>
  </si>
  <si>
    <t>66 4D</t>
  </si>
  <si>
    <t>御火护符</t>
  </si>
  <si>
    <t>EC 65</t>
  </si>
  <si>
    <t>御水护符</t>
  </si>
  <si>
    <t>5C CC</t>
  </si>
  <si>
    <t>御雷护符</t>
  </si>
  <si>
    <t>5A 8B</t>
  </si>
  <si>
    <t>御风护符</t>
  </si>
  <si>
    <t>22 4E</t>
  </si>
  <si>
    <t>太阴神之酒</t>
  </si>
  <si>
    <t>7A FC</t>
  </si>
  <si>
    <t>护摩之灰</t>
  </si>
  <si>
    <t>99 D2</t>
  </si>
  <si>
    <t>毒刃涂剂</t>
  </si>
  <si>
    <t>22 69</t>
  </si>
  <si>
    <t>麻痹刃涂剂</t>
  </si>
  <si>
    <t>DE 69</t>
  </si>
  <si>
    <t>毒焑雾弾</t>
  </si>
  <si>
    <t>68 4D</t>
  </si>
  <si>
    <t>庥痹焑雾弹</t>
  </si>
  <si>
    <t>78 20</t>
  </si>
  <si>
    <t>箭矢毒药</t>
  </si>
  <si>
    <t>E0 7F</t>
  </si>
  <si>
    <t>箭矢麻痹药</t>
  </si>
  <si>
    <t>2F E9</t>
  </si>
  <si>
    <t>箭矢火药</t>
  </si>
  <si>
    <t>42 CC</t>
  </si>
  <si>
    <t>刚力丹</t>
  </si>
  <si>
    <t>51 5A</t>
  </si>
  <si>
    <t>焑雾弾</t>
  </si>
  <si>
    <t>DB 5E</t>
  </si>
  <si>
    <t>虎驱术护符</t>
  </si>
  <si>
    <t>99 32</t>
  </si>
  <si>
    <t>金刚丹</t>
  </si>
  <si>
    <t>AA E4</t>
  </si>
  <si>
    <t>开运护符</t>
  </si>
  <si>
    <t>9A 05</t>
  </si>
  <si>
    <t>鬼灯果</t>
  </si>
  <si>
    <t>80 91</t>
  </si>
  <si>
    <t>一朵彼岸花</t>
  </si>
  <si>
    <t>灵石</t>
  </si>
  <si>
    <t>56 65</t>
  </si>
  <si>
    <t>小灵石</t>
  </si>
  <si>
    <t>AF 72</t>
  </si>
  <si>
    <t>2A E0</t>
  </si>
  <si>
    <t>大灵石</t>
  </si>
  <si>
    <t>CD 46</t>
  </si>
  <si>
    <t>小辉灵石</t>
  </si>
  <si>
    <t>93 B5</t>
  </si>
  <si>
    <t>辉灵石</t>
  </si>
  <si>
    <t>A9 71</t>
  </si>
  <si>
    <t>大辉灵石</t>
  </si>
  <si>
    <t>E3 53</t>
  </si>
  <si>
    <t>小炽灵石</t>
  </si>
  <si>
    <t>18 DA</t>
  </si>
  <si>
    <t>炽灵石</t>
  </si>
  <si>
    <t>8C 70</t>
  </si>
  <si>
    <t>大炽灵石</t>
  </si>
  <si>
    <t>5F E1</t>
  </si>
  <si>
    <t>秘灵石</t>
  </si>
  <si>
    <t>DD 9E</t>
  </si>
  <si>
    <t>磨刀石</t>
  </si>
  <si>
    <t>58 8C</t>
  </si>
  <si>
    <t>黏胶</t>
  </si>
  <si>
    <t>28 A0</t>
  </si>
  <si>
    <t>百夜香</t>
  </si>
  <si>
    <t>A2 7E</t>
  </si>
  <si>
    <t>净化过的笔</t>
  </si>
  <si>
    <t>6D 58</t>
  </si>
  <si>
    <t>岁杀神之酒</t>
  </si>
  <si>
    <t>1B 3A</t>
  </si>
  <si>
    <t>打磨粉</t>
  </si>
  <si>
    <t>2A 38</t>
  </si>
  <si>
    <t>御神水</t>
  </si>
  <si>
    <t>D0 84</t>
  </si>
  <si>
    <t>稀人转移符</t>
  </si>
  <si>
    <t>C6 F7</t>
  </si>
  <si>
    <t>妖香</t>
  </si>
  <si>
    <t>D3 E7</t>
  </si>
  <si>
    <t>粪球</t>
  </si>
  <si>
    <t>4D 5E</t>
  </si>
  <si>
    <t>高贵粪球</t>
  </si>
  <si>
    <t>41 8A</t>
  </si>
  <si>
    <t>盐</t>
  </si>
  <si>
    <t>96 22</t>
  </si>
  <si>
    <t>黄泉水罐</t>
  </si>
  <si>
    <t>AF 24</t>
  </si>
  <si>
    <t>火男面具</t>
  </si>
  <si>
    <t>4F 26</t>
  </si>
  <si>
    <t>天狗团扇</t>
  </si>
  <si>
    <t>A7 96</t>
  </si>
  <si>
    <t>御箭护符</t>
  </si>
  <si>
    <t>E0 6F</t>
  </si>
  <si>
    <t>同伴护符</t>
  </si>
  <si>
    <t>C5 61</t>
  </si>
  <si>
    <t>回顾之沙</t>
  </si>
  <si>
    <t>75 84</t>
  </si>
  <si>
    <t>阴气赤沙</t>
  </si>
  <si>
    <t>5F 4C</t>
  </si>
  <si>
    <t>石块</t>
  </si>
  <si>
    <t>81 F4</t>
  </si>
  <si>
    <t>缠火护符</t>
  </si>
  <si>
    <t>4E 30</t>
  </si>
  <si>
    <t>缠水护符</t>
  </si>
  <si>
    <t>89 C3</t>
  </si>
  <si>
    <t>缠雷护符</t>
  </si>
  <si>
    <t>BC 72</t>
  </si>
  <si>
    <t>缠风护符</t>
  </si>
  <si>
    <t>特殊道具</t>
  </si>
  <si>
    <t>53 E5</t>
  </si>
  <si>
    <t>无瑕青瓷茶碗</t>
  </si>
  <si>
    <t>5A 3F</t>
  </si>
  <si>
    <t>招灵蜡烛</t>
  </si>
  <si>
    <t>0F 14</t>
  </si>
  <si>
    <t>义之碧玉</t>
  </si>
  <si>
    <t>43 59</t>
  </si>
  <si>
    <t>道祖神护符</t>
  </si>
  <si>
    <t>关键道具</t>
  </si>
  <si>
    <t>79 57</t>
  </si>
  <si>
    <t>武士的遗发</t>
  </si>
  <si>
    <t>5C 91</t>
  </si>
  <si>
    <t>忍者的遗发</t>
  </si>
  <si>
    <t>4D DF</t>
  </si>
  <si>
    <t>灵银地金</t>
  </si>
  <si>
    <t>阴阳术</t>
  </si>
  <si>
    <t>阳之座</t>
  </si>
  <si>
    <t>1D AE</t>
  </si>
  <si>
    <t>使役符·狱卒鬼（焦热） x4</t>
  </si>
  <si>
    <t>C9 18</t>
  </si>
  <si>
    <t>使役符·狱卒鬼（八寒） x4</t>
  </si>
  <si>
    <t>0C 3B</t>
  </si>
  <si>
    <t>使役符·狱卒鬼（针山） x4</t>
  </si>
  <si>
    <t>02 5D</t>
  </si>
  <si>
    <t>使役符·狱卒鬼（业风） x4</t>
  </si>
  <si>
    <t>AD B6</t>
  </si>
  <si>
    <t>使役符·雷兽 x2</t>
  </si>
  <si>
    <t>75 6B</t>
  </si>
  <si>
    <t>使役符·山狗 x3</t>
  </si>
  <si>
    <t>94 17</t>
  </si>
  <si>
    <t>使役符·野槌 x5</t>
  </si>
  <si>
    <t>8F A9</t>
  </si>
  <si>
    <t>使役符·夜行兵 x3</t>
  </si>
  <si>
    <t>74 C2</t>
  </si>
  <si>
    <t>使役符·山彦 x4</t>
  </si>
  <si>
    <t>B9 A1</t>
  </si>
  <si>
    <t>使役符·撒沙婆婆 x4</t>
  </si>
  <si>
    <t>70 FF</t>
  </si>
  <si>
    <t>使役符·地狱蜂 x6</t>
  </si>
  <si>
    <t>66 49</t>
  </si>
  <si>
    <t>使役符·人鱼 x5</t>
  </si>
  <si>
    <t>45 A8</t>
  </si>
  <si>
    <t>使役符·见越入道 x3</t>
  </si>
  <si>
    <t>06 B2</t>
  </si>
  <si>
    <t>使役符·朱盆 x6</t>
  </si>
  <si>
    <t>C2 1A</t>
  </si>
  <si>
    <t>使役符·饿鬼 x6</t>
  </si>
  <si>
    <t>使役符·棘饿鬼 x6</t>
  </si>
  <si>
    <t>43 98</t>
  </si>
  <si>
    <t>使役符·饿鬼大将 x2</t>
  </si>
  <si>
    <t>AD 34</t>
  </si>
  <si>
    <t>使役符·妖鬼 x4</t>
  </si>
  <si>
    <t>88 64</t>
  </si>
  <si>
    <t>使役符·忍者妖鬼 x4</t>
  </si>
  <si>
    <t>DF 9B</t>
  </si>
  <si>
    <t>使役符·亡骸武者 x4</t>
  </si>
  <si>
    <t>B7 F4</t>
  </si>
  <si>
    <t>使役符·狂骨 x3</t>
  </si>
  <si>
    <t>FE F3</t>
  </si>
  <si>
    <t>使役符·敷次郎 x4</t>
  </si>
  <si>
    <t>25 04</t>
  </si>
  <si>
    <t>使役符·鬼火（火） x3</t>
  </si>
  <si>
    <t>9F FC</t>
  </si>
  <si>
    <t>使役符·鬼火（水） x3</t>
  </si>
  <si>
    <t>F0 3A</t>
  </si>
  <si>
    <t>使役符·鬼火（雷） x3</t>
  </si>
  <si>
    <t>DC BA</t>
  </si>
  <si>
    <t>使役符·鬼火（风） x3</t>
  </si>
  <si>
    <t>C7 02</t>
  </si>
  <si>
    <t>使役符·小海坊主 x5</t>
  </si>
  <si>
    <t>F3 AA</t>
  </si>
  <si>
    <t>使役符·乌鸦天狗 x3</t>
  </si>
  <si>
    <t>26 F2</t>
  </si>
  <si>
    <t>使役符·轮入道 x4</t>
  </si>
  <si>
    <t>F6 C7</t>
  </si>
  <si>
    <t>使役符·独脚踏鞴 x3</t>
  </si>
  <si>
    <t>15 B9</t>
  </si>
  <si>
    <t>使役符·妖蟹 x4</t>
  </si>
  <si>
    <t>93 55</t>
  </si>
  <si>
    <t>使役符·濡女 x4</t>
  </si>
  <si>
    <t>BF 64</t>
  </si>
  <si>
    <t>使役符·猿鬼 x4</t>
  </si>
  <si>
    <t>72 F1</t>
  </si>
  <si>
    <t>使役符·独眼鬼 x3</t>
  </si>
  <si>
    <t>03 AC</t>
  </si>
  <si>
    <t>使役符·防人 x3</t>
  </si>
  <si>
    <t>3A 77</t>
  </si>
  <si>
    <t>使役符·以津真天 x2</t>
  </si>
  <si>
    <t>18 03</t>
  </si>
  <si>
    <t>使役符·子泣爷爷 x6</t>
  </si>
  <si>
    <t>F1 0F</t>
  </si>
  <si>
    <t>使役符·山姥 x3</t>
  </si>
  <si>
    <t>AE 32</t>
  </si>
  <si>
    <t>使役符·猥裸 x3</t>
  </si>
  <si>
    <t>FC 9F</t>
  </si>
  <si>
    <t>使役符·古笼火 x3</t>
  </si>
  <si>
    <t>84 C4</t>
  </si>
  <si>
    <t>使役符·姑获鸟 x4</t>
  </si>
  <si>
    <t>1D 26</t>
  </si>
  <si>
    <t>使役符·冰柱女 x4</t>
  </si>
  <si>
    <t>61 76</t>
  </si>
  <si>
    <t>使役符·一反木棉 x4</t>
  </si>
  <si>
    <t>7E 08</t>
  </si>
  <si>
    <t>使役符·油伞妖 x6</t>
  </si>
  <si>
    <t>4D 04</t>
  </si>
  <si>
    <t>使役符·祸津武士 x2</t>
  </si>
  <si>
    <t>70 DA</t>
  </si>
  <si>
    <t>使役符·肉瘤怪 x3</t>
  </si>
  <si>
    <t>9D C0</t>
  </si>
  <si>
    <t>使役符·夜叉 x2</t>
  </si>
  <si>
    <t>9D 2F</t>
  </si>
  <si>
    <t>使役符·外道兵 x5</t>
  </si>
  <si>
    <t>B4 7D</t>
  </si>
  <si>
    <t>使役符·蛇骨婆 x2</t>
  </si>
  <si>
    <t>52 35</t>
  </si>
  <si>
    <t>使役符·大天狗 x1</t>
  </si>
  <si>
    <t>6F 0F</t>
  </si>
  <si>
    <t>使役符·惧鬼 x2</t>
  </si>
  <si>
    <t>04 9C</t>
  </si>
  <si>
    <t>使役符·茨木童子 x1</t>
  </si>
  <si>
    <t>AB A7</t>
  </si>
  <si>
    <t>使役符·涂佛 x2</t>
  </si>
  <si>
    <t>EA C8</t>
  </si>
  <si>
    <t>使役符·傲岸鬼 x1</t>
  </si>
  <si>
    <t>F4 25</t>
  </si>
  <si>
    <t>使役符·冒疾鬼 x1</t>
  </si>
  <si>
    <t>71 C6</t>
  </si>
  <si>
    <t>使役符·执心鬼 x1</t>
  </si>
  <si>
    <t>A7 EA</t>
  </si>
  <si>
    <t>使役符·马头鬼 x2</t>
  </si>
  <si>
    <t>B8 4A</t>
  </si>
  <si>
    <t>使役符·牛头鬼 x2</t>
  </si>
  <si>
    <t>69 16</t>
  </si>
  <si>
    <t>使役符·镰鼬 x2</t>
  </si>
  <si>
    <t>3D E6</t>
  </si>
  <si>
    <t>使役符·飞缘魔 x2</t>
  </si>
  <si>
    <t>D6 97</t>
  </si>
  <si>
    <t>使役符·烟烟罗 x2</t>
  </si>
  <si>
    <t>E3 6E</t>
  </si>
  <si>
    <t>使役符·两面宿傩 x1</t>
  </si>
  <si>
    <t>98 41</t>
  </si>
  <si>
    <t>使役符·女郎蜘蛛 x3</t>
  </si>
  <si>
    <t>0E 84</t>
  </si>
  <si>
    <t>使役符·火车 x2</t>
  </si>
  <si>
    <t>DF 2D</t>
  </si>
  <si>
    <t>使役符·阴摩罗鬼 x2</t>
  </si>
  <si>
    <t>96 63</t>
  </si>
  <si>
    <t>使役符·怨灵鬼 x1</t>
  </si>
  <si>
    <t>DC BB</t>
  </si>
  <si>
    <t>使役符·血刀修罗 x1</t>
  </si>
  <si>
    <t>98 AF</t>
  </si>
  <si>
    <t>使役符·比留呼 x1</t>
  </si>
  <si>
    <t>C5 1E</t>
  </si>
  <si>
    <t>使役符·河童 x5</t>
  </si>
  <si>
    <t>9E A9</t>
  </si>
  <si>
    <t>使役符·赤河童 x4</t>
  </si>
  <si>
    <t>5E 4A</t>
  </si>
  <si>
    <t>使役符·琵琶牧牧 x4</t>
  </si>
  <si>
    <t>93 A7</t>
  </si>
  <si>
    <t>使役符·泥墙 x3</t>
  </si>
  <si>
    <t>A4 43</t>
  </si>
  <si>
    <t>使役符·貉 x3</t>
  </si>
  <si>
    <t>30 F9</t>
  </si>
  <si>
    <t>使役符·木灵 x2</t>
  </si>
  <si>
    <t>3A 3A</t>
  </si>
  <si>
    <t>使役符·魑魅 x6</t>
  </si>
  <si>
    <t>9C AA</t>
  </si>
  <si>
    <t>使役符·善擦 x4</t>
  </si>
  <si>
    <t>8C 33</t>
  </si>
  <si>
    <t>使役符·千千古 x6</t>
  </si>
  <si>
    <t>17 13</t>
  </si>
  <si>
    <t>使役符·大太法师 x2</t>
  </si>
  <si>
    <t>1E 87</t>
  </si>
  <si>
    <t>使役符・蛤蟆附身 x4</t>
  </si>
  <si>
    <t>A6 46</t>
  </si>
  <si>
    <t>使役符・铁鼠 x4</t>
  </si>
  <si>
    <t>DE 13</t>
  </si>
  <si>
    <t>使役符・垢尝 x3</t>
  </si>
  <si>
    <t>72 D5</t>
  </si>
  <si>
    <t>使役符・一目连 x3</t>
  </si>
  <si>
    <t>AF 89</t>
  </si>
  <si>
    <t>使役符・大蛤蟆 x2</t>
  </si>
  <si>
    <t>阴之座</t>
  </si>
  <si>
    <t>76 40</t>
  </si>
  <si>
    <t>禁火符 x7</t>
  </si>
  <si>
    <t>03 ED</t>
  </si>
  <si>
    <t>克金符 x5</t>
  </si>
  <si>
    <t>30 08</t>
  </si>
  <si>
    <t>禁雷符 x7</t>
  </si>
  <si>
    <t>A1 34</t>
  </si>
  <si>
    <t>造弹符 x5</t>
  </si>
  <si>
    <t>7F 7A</t>
  </si>
  <si>
    <t>从雷符 x4</t>
  </si>
  <si>
    <t>D7 07</t>
  </si>
  <si>
    <t>迅足符 x4</t>
  </si>
  <si>
    <t>19 F0</t>
  </si>
  <si>
    <t>吸神符 x5</t>
  </si>
  <si>
    <t>63 33</t>
  </si>
  <si>
    <t>迟钝符 x5</t>
  </si>
  <si>
    <t>FB A5</t>
  </si>
  <si>
    <t>封力符 x6</t>
  </si>
  <si>
    <t>03 6F</t>
  </si>
  <si>
    <t>扫毒符 x7</t>
  </si>
  <si>
    <t>0A 6E</t>
  </si>
  <si>
    <t>漏活符 x6</t>
  </si>
  <si>
    <t>E8 B3</t>
  </si>
  <si>
    <t>雷弹符 x12</t>
  </si>
  <si>
    <t>8A 2C</t>
  </si>
  <si>
    <t>舍身符 x2</t>
  </si>
  <si>
    <t>8E 5C</t>
  </si>
  <si>
    <t>斩冲符 x5</t>
  </si>
  <si>
    <t>AA 89</t>
  </si>
  <si>
    <t>夺灵符 x5</t>
  </si>
  <si>
    <t>2F 76</t>
  </si>
  <si>
    <t>隐密符 x8</t>
  </si>
  <si>
    <t>95 C3</t>
  </si>
  <si>
    <t>狙击符 x4</t>
  </si>
  <si>
    <t>92 8F</t>
  </si>
  <si>
    <t>禁水符 x7</t>
  </si>
  <si>
    <t>27 18</t>
  </si>
  <si>
    <t>聚财符 x4</t>
  </si>
  <si>
    <t>10 D8</t>
  </si>
  <si>
    <t>召火符 x5</t>
  </si>
  <si>
    <t>C3 CB</t>
  </si>
  <si>
    <t>召水符 x5</t>
  </si>
  <si>
    <t>50 F4</t>
  </si>
  <si>
    <t>召雷符 x5</t>
  </si>
  <si>
    <t>6A F3</t>
  </si>
  <si>
    <t>召风符 x5</t>
  </si>
  <si>
    <t>3F 4A</t>
  </si>
  <si>
    <t>风弹符 x12</t>
  </si>
  <si>
    <t>EA 3F</t>
  </si>
  <si>
    <t>火弹符 x12</t>
  </si>
  <si>
    <t>38 D1</t>
  </si>
  <si>
    <t>宿心升华符 x6</t>
  </si>
  <si>
    <t>9D 72</t>
  </si>
  <si>
    <t>刚力符 x5</t>
  </si>
  <si>
    <t>2E 30</t>
  </si>
  <si>
    <t>扫痹符 x7</t>
  </si>
  <si>
    <t>89 25</t>
  </si>
  <si>
    <t>拳力符 x5</t>
  </si>
  <si>
    <t>AE A5</t>
  </si>
  <si>
    <t>粹然符 x4</t>
  </si>
  <si>
    <t>3A 0A</t>
  </si>
  <si>
    <t>风箭符 x8</t>
  </si>
  <si>
    <t>61 29</t>
  </si>
  <si>
    <t>护身符 x4</t>
  </si>
  <si>
    <t>48 65</t>
  </si>
  <si>
    <t>宿心解放符 x6</t>
  </si>
  <si>
    <t>AA 9E</t>
  </si>
  <si>
    <t>昂灵符 x5</t>
  </si>
  <si>
    <t>79 EE</t>
  </si>
  <si>
    <t>火爆符 x8</t>
  </si>
  <si>
    <t>9F 0F</t>
  </si>
  <si>
    <t>水弹符 x12</t>
  </si>
  <si>
    <t>E0 31</t>
  </si>
  <si>
    <t>式神符·水卒 x8</t>
  </si>
  <si>
    <t>70 89</t>
  </si>
  <si>
    <t>禁风符 x7</t>
  </si>
  <si>
    <t>47 D2</t>
  </si>
  <si>
    <t>背水符 x4</t>
  </si>
  <si>
    <t>91 2D</t>
  </si>
  <si>
    <t>养身符 x5</t>
  </si>
  <si>
    <t>54 02</t>
  </si>
  <si>
    <t>水牙符 x8</t>
  </si>
  <si>
    <t>09 72</t>
  </si>
  <si>
    <t>感爆符 x6</t>
  </si>
  <si>
    <t>BA BF</t>
  </si>
  <si>
    <t>从水符 x4</t>
  </si>
  <si>
    <t>A2 3C</t>
  </si>
  <si>
    <t>式神符·风卒 x8</t>
  </si>
  <si>
    <t>A6 69</t>
  </si>
  <si>
    <t>发气符 x10</t>
  </si>
  <si>
    <t>ED 75</t>
  </si>
  <si>
    <t>转移不净的纸人 x4</t>
  </si>
  <si>
    <t>E1 EA</t>
  </si>
  <si>
    <t>狱水符 x3</t>
  </si>
  <si>
    <t>32 61</t>
  </si>
  <si>
    <t>狱炎符 x3</t>
  </si>
  <si>
    <t>15 C9</t>
  </si>
  <si>
    <t>狱风符 x3</t>
  </si>
  <si>
    <t>CC 8C</t>
  </si>
  <si>
    <t>封气符 x3</t>
  </si>
  <si>
    <t>59 78</t>
  </si>
  <si>
    <t>波动符 x5</t>
  </si>
  <si>
    <t>CF 13</t>
  </si>
  <si>
    <t>从风符 x4</t>
  </si>
  <si>
    <t>7F 8E</t>
  </si>
  <si>
    <t>活源符 x5</t>
  </si>
  <si>
    <t>C6 75</t>
  </si>
  <si>
    <t>从火符 x4</t>
  </si>
  <si>
    <t>62 2B</t>
  </si>
  <si>
    <t>神箭符 x5</t>
  </si>
  <si>
    <t>BB 38</t>
  </si>
  <si>
    <t>式神符·火卒 x8</t>
  </si>
  <si>
    <t>D5 0A</t>
  </si>
  <si>
    <t>减气符 x5</t>
  </si>
  <si>
    <t>DE 10</t>
  </si>
  <si>
    <t>修罗符 x5</t>
  </si>
  <si>
    <t>A2 BF</t>
  </si>
  <si>
    <t>狱雷符 x2</t>
  </si>
  <si>
    <t>40 14</t>
  </si>
  <si>
    <t>开运符 x4</t>
  </si>
  <si>
    <t>08 07</t>
  </si>
  <si>
    <t>式神符·雷卒 x8</t>
  </si>
  <si>
    <t>EB BB</t>
  </si>
  <si>
    <t>结界符 x5</t>
  </si>
  <si>
    <t>98 1F</t>
  </si>
  <si>
    <t>回生符 x4</t>
  </si>
  <si>
    <t>33 CF</t>
  </si>
  <si>
    <t>木灵变化符（木灵） x5</t>
  </si>
  <si>
    <t>D0 8F</t>
  </si>
  <si>
    <t>雷霆符 x8</t>
  </si>
  <si>
    <t>BB E5</t>
  </si>
  <si>
    <t>轻身符 x6</t>
  </si>
  <si>
    <t>49 08</t>
  </si>
  <si>
    <t>斥风符 x5</t>
  </si>
  <si>
    <t>FD AF</t>
  </si>
  <si>
    <t>金刚符 x5</t>
  </si>
  <si>
    <t>60 4B</t>
  </si>
  <si>
    <t>除秽符 x5</t>
  </si>
  <si>
    <t>70 66</t>
  </si>
  <si>
    <t>禁全符 x5</t>
  </si>
  <si>
    <t>11 30</t>
  </si>
  <si>
    <t>削气符 x5</t>
  </si>
  <si>
    <t>4D 83</t>
  </si>
  <si>
    <t>武人传书</t>
  </si>
  <si>
    <t>D0 7B</t>
  </si>
  <si>
    <t>武士传书</t>
  </si>
  <si>
    <t>FD D8</t>
  </si>
  <si>
    <t>忍者传书</t>
  </si>
  <si>
    <t>68 6C</t>
  </si>
  <si>
    <t>武人手记</t>
  </si>
  <si>
    <t>3D 13</t>
  </si>
  <si>
    <t>武士手记</t>
  </si>
  <si>
    <t>CE 6C</t>
  </si>
  <si>
    <t>忍者手记</t>
  </si>
  <si>
    <t>DD F8</t>
  </si>
  <si>
    <t>酒盅</t>
  </si>
  <si>
    <t>C9 F1</t>
  </si>
  <si>
    <t>妖怪泪珠</t>
  </si>
  <si>
    <t>交付道具</t>
  </si>
  <si>
    <t>3B 68</t>
  </si>
  <si>
    <t>善擦的毛球</t>
  </si>
  <si>
    <t>F5 94</t>
  </si>
  <si>
    <t>导镜</t>
  </si>
  <si>
    <t>77 F8</t>
  </si>
  <si>
    <t>净化灵符</t>
  </si>
  <si>
    <t>7E 51</t>
  </si>
  <si>
    <t>灵石筒</t>
  </si>
  <si>
    <t>10 29</t>
  </si>
  <si>
    <t>壬生寺钥匙</t>
  </si>
  <si>
    <t>A4 A7</t>
  </si>
  <si>
    <t>焦黑的钥匙</t>
  </si>
  <si>
    <t>CF 2A</t>
  </si>
  <si>
    <t>染血的铁钥匙</t>
  </si>
  <si>
    <t>31 43</t>
  </si>
  <si>
    <t>废村钥匙</t>
  </si>
  <si>
    <t>44 C9</t>
  </si>
  <si>
    <t>三重塔钥匙</t>
  </si>
  <si>
    <t>2A 06</t>
  </si>
  <si>
    <t>废弃神社钥匙</t>
  </si>
  <si>
    <t>B0 30</t>
  </si>
  <si>
    <t>牢房钥匙</t>
  </si>
  <si>
    <t>70 D1</t>
  </si>
  <si>
    <t>山寺钥匙</t>
  </si>
  <si>
    <t>89 9F</t>
  </si>
  <si>
    <t>发黑的钥匙</t>
  </si>
  <si>
    <t>9B D7</t>
  </si>
  <si>
    <t>脏污的铁钥匙</t>
  </si>
  <si>
    <t>03 30</t>
  </si>
  <si>
    <t>鬼美浓不动守</t>
  </si>
  <si>
    <t>11 97</t>
  </si>
  <si>
    <t>信玄的军扇</t>
  </si>
  <si>
    <t>44 36</t>
  </si>
  <si>
    <t>武田纹酒瓶</t>
  </si>
  <si>
    <t>2B FD</t>
  </si>
  <si>
    <t>武田信玄像</t>
  </si>
  <si>
    <t>E2 0C</t>
  </si>
  <si>
    <t>东寺的妖怪绘卷</t>
  </si>
  <si>
    <t>60 A1</t>
  </si>
  <si>
    <t>容平丸</t>
  </si>
  <si>
    <t>EF 3B</t>
  </si>
  <si>
    <t>99 A5</t>
  </si>
  <si>
    <t>褪色的铁钥匙</t>
  </si>
  <si>
    <t>3C 3C</t>
  </si>
  <si>
    <t>澄净青瓷茶碗</t>
  </si>
  <si>
    <t>14 FD</t>
  </si>
  <si>
    <t>草薙之画</t>
  </si>
  <si>
    <t>1C 8A</t>
  </si>
  <si>
    <t>染血的书信</t>
  </si>
  <si>
    <t>9F C5</t>
  </si>
  <si>
    <t>滨松的鳗鱼</t>
  </si>
  <si>
    <t>BD 87</t>
  </si>
  <si>
    <t>熏香</t>
  </si>
  <si>
    <t>48 47</t>
  </si>
  <si>
    <t>异国的水果酒</t>
  </si>
  <si>
    <t>C3 12</t>
  </si>
  <si>
    <t>黄金钥匙</t>
  </si>
  <si>
    <t>B8 E6</t>
  </si>
  <si>
    <t>柳生众的钥匙</t>
  </si>
  <si>
    <t>AB DF</t>
  </si>
  <si>
    <t>异国纹样钥匙</t>
  </si>
  <si>
    <t>AA F0</t>
  </si>
  <si>
    <t>石田药散</t>
  </si>
  <si>
    <t>A3 F2</t>
  </si>
  <si>
    <t>弁庆隐藏的卷轴 上</t>
  </si>
  <si>
    <t>E2 D8</t>
  </si>
  <si>
    <t>弁庆隐藏的卷轴 中</t>
  </si>
  <si>
    <t>1B 66</t>
  </si>
  <si>
    <t>弁庆隐藏的卷轴 下</t>
  </si>
  <si>
    <t>51 2B</t>
  </si>
  <si>
    <t>隐世军忠状</t>
  </si>
  <si>
    <t>难行石</t>
  </si>
  <si>
    <t>67 8A</t>
  </si>
  <si>
    <t>难行石·将军</t>
  </si>
  <si>
    <t>19 9C</t>
  </si>
  <si>
    <t>难行石·顿悟</t>
  </si>
  <si>
    <t>0B 6B</t>
  </si>
  <si>
    <t>难行石·仁王</t>
  </si>
  <si>
    <t>0E 15</t>
  </si>
  <si>
    <t>禁火晴明符</t>
  </si>
  <si>
    <t>E9 18</t>
  </si>
  <si>
    <t>切腹短刀</t>
  </si>
  <si>
    <t>1A 1C</t>
  </si>
  <si>
    <t>1E 1C</t>
  </si>
  <si>
    <t>打火石</t>
  </si>
  <si>
    <t>61 20</t>
  </si>
  <si>
    <t>迦具土的勾玉</t>
  </si>
  <si>
    <t>82 22</t>
  </si>
  <si>
    <t>海螺</t>
  </si>
  <si>
    <t>60 26</t>
  </si>
  <si>
    <t>大型青瓷壶</t>
  </si>
  <si>
    <t>C7 2F</t>
  </si>
  <si>
    <t>美丽青瓷茶碗</t>
  </si>
  <si>
    <t>8B 31</t>
  </si>
  <si>
    <t>魂核箱</t>
  </si>
  <si>
    <t>4B 32</t>
  </si>
  <si>
    <t>肉妖的胆石</t>
  </si>
  <si>
    <t>EA 32</t>
  </si>
  <si>
    <t>除厄盐</t>
  </si>
  <si>
    <t>5A 35</t>
  </si>
  <si>
    <t>阴阳窟钥匙</t>
  </si>
  <si>
    <t>61 36</t>
  </si>
  <si>
    <t>白绿贵石</t>
  </si>
  <si>
    <t>94 3B</t>
  </si>
  <si>
    <t>神器·天丛云剑</t>
  </si>
  <si>
    <t>EB 3D</t>
  </si>
  <si>
    <t>遗迹钥匙</t>
  </si>
  <si>
    <t>1A 47</t>
  </si>
  <si>
    <t>祓除矢</t>
  </si>
  <si>
    <t>A0 48</t>
  </si>
  <si>
    <t>巨大婴儿石</t>
  </si>
  <si>
    <t>D5 4A</t>
  </si>
  <si>
    <t>冥府琉璃</t>
  </si>
  <si>
    <t>D3 4E</t>
  </si>
  <si>
    <t>禁雷晴明符</t>
  </si>
  <si>
    <t>1D 4F</t>
  </si>
  <si>
    <t>客厅钥匙</t>
  </si>
  <si>
    <t>13 52</t>
  </si>
  <si>
    <t>城门钥匙</t>
  </si>
  <si>
    <t>CB 56</t>
  </si>
  <si>
    <t>振分发广光</t>
  </si>
  <si>
    <t>D8 5D</t>
  </si>
  <si>
    <t>神篱的碎片</t>
  </si>
  <si>
    <t>0A 75</t>
  </si>
  <si>
    <t>31 78</t>
  </si>
  <si>
    <t>华香唐糕点</t>
  </si>
  <si>
    <t>B5 7D</t>
  </si>
  <si>
    <t>白色酒盅</t>
  </si>
  <si>
    <t>A3 82</t>
  </si>
  <si>
    <t>66 83</t>
  </si>
  <si>
    <t>禁水晴明符</t>
  </si>
  <si>
    <t>A2 84</t>
  </si>
  <si>
    <t>手折梅</t>
  </si>
  <si>
    <t>61 88</t>
  </si>
  <si>
    <t>番茄</t>
  </si>
  <si>
    <t>76 96</t>
  </si>
  <si>
    <t>公案集</t>
  </si>
  <si>
    <t>94 97</t>
  </si>
  <si>
    <t>大锻造铺的钥匙</t>
  </si>
  <si>
    <t>E4 A2</t>
  </si>
  <si>
    <t>妖涎香</t>
  </si>
  <si>
    <t>35 AB</t>
  </si>
  <si>
    <t>灯油皿</t>
  </si>
  <si>
    <t>29 AE</t>
  </si>
  <si>
    <t>龙马的密信</t>
  </si>
  <si>
    <t>F2 B7</t>
  </si>
  <si>
    <t>妖黄汤</t>
  </si>
  <si>
    <t>6C C3</t>
  </si>
  <si>
    <t>C9 C6</t>
  </si>
  <si>
    <t>3E CF</t>
  </si>
  <si>
    <t>茶器</t>
  </si>
  <si>
    <t>4E D0</t>
  </si>
  <si>
    <t>裂开的酒盅</t>
  </si>
  <si>
    <t>8B D1</t>
  </si>
  <si>
    <t>靛蓝梅花藻</t>
  </si>
  <si>
    <t>2F E0</t>
  </si>
  <si>
    <t>神馔米</t>
  </si>
  <si>
    <t>37 E9</t>
  </si>
  <si>
    <t>D5 EA</t>
  </si>
  <si>
    <t>73 F8</t>
  </si>
  <si>
    <t>青楼钥匙</t>
  </si>
  <si>
    <t>书籍与指南</t>
  </si>
  <si>
    <t>制作指南</t>
  </si>
  <si>
    <t>41 0E</t>
  </si>
  <si>
    <t>64 12</t>
  </si>
  <si>
    <t>F0 1E</t>
  </si>
  <si>
    <t>EB 29</t>
  </si>
  <si>
    <t>麻痹烟雾弹</t>
  </si>
  <si>
    <t>1C 2F</t>
  </si>
  <si>
    <t>火箭</t>
  </si>
  <si>
    <t>70 34</t>
  </si>
  <si>
    <t>28 57</t>
  </si>
  <si>
    <t>神篱之木</t>
  </si>
  <si>
    <t>02 58</t>
  </si>
  <si>
    <t>毒烟雾弹</t>
  </si>
  <si>
    <t>87 73</t>
  </si>
  <si>
    <t>94 73</t>
  </si>
  <si>
    <t>0B 74</t>
  </si>
  <si>
    <t>93 76</t>
  </si>
  <si>
    <t>A3 7B</t>
  </si>
  <si>
    <t>F5 83</t>
  </si>
  <si>
    <t>B5 8D</t>
  </si>
  <si>
    <t>ED 8F</t>
  </si>
  <si>
    <t>F1 93</t>
  </si>
  <si>
    <t>E8 9B</t>
  </si>
  <si>
    <t>26 9D</t>
  </si>
  <si>
    <t>79 A2</t>
  </si>
  <si>
    <t>81 A2</t>
  </si>
  <si>
    <t>D1 AD</t>
  </si>
  <si>
    <t>92 B4</t>
  </si>
  <si>
    <t>6B B6</t>
  </si>
  <si>
    <t>E2 B8</t>
  </si>
  <si>
    <t>5B BA</t>
  </si>
  <si>
    <t>C3 BA</t>
  </si>
  <si>
    <t>9A BB</t>
  </si>
  <si>
    <t>6A C2</t>
  </si>
  <si>
    <t>E9 C8</t>
  </si>
  <si>
    <t>F6 CE</t>
  </si>
  <si>
    <t>CB D2</t>
  </si>
  <si>
    <t>4F D7</t>
  </si>
  <si>
    <t>52 DB</t>
  </si>
  <si>
    <t>D5 E5</t>
  </si>
  <si>
    <t>烟雾弹</t>
  </si>
  <si>
    <t>4E E8</t>
  </si>
  <si>
    <t>箭</t>
  </si>
  <si>
    <t>8E EA</t>
  </si>
  <si>
    <t>53 F2</t>
  </si>
  <si>
    <t>3E F3</t>
  </si>
  <si>
    <t>66 FF</t>
  </si>
  <si>
    <t>秘传书</t>
  </si>
  <si>
    <t>BB 00</t>
  </si>
  <si>
    <t>克刚影身之法</t>
  </si>
  <si>
    <t>21 05</t>
  </si>
  <si>
    <t>闪躲之法</t>
  </si>
  <si>
    <t>75 05</t>
  </si>
  <si>
    <t>伏虎咆哮</t>
  </si>
  <si>
    <t>49 07</t>
  </si>
  <si>
    <t>旋风锐气</t>
  </si>
  <si>
    <t>69 08</t>
  </si>
  <si>
    <t>逆炎之法</t>
  </si>
  <si>
    <t>73 08</t>
  </si>
  <si>
    <t>吼龙格挡</t>
  </si>
  <si>
    <t>60 0C</t>
  </si>
  <si>
    <t>留灵之法</t>
  </si>
  <si>
    <t>BC 0C</t>
  </si>
  <si>
    <t>克刚之利　改</t>
  </si>
  <si>
    <t>90 0D</t>
  </si>
  <si>
    <t>反攻识破</t>
  </si>
  <si>
    <t>AD 0E</t>
  </si>
  <si>
    <t>瞬间格挡之法</t>
  </si>
  <si>
    <t>C3 0F</t>
  </si>
  <si>
    <t>灭气追击之法</t>
  </si>
  <si>
    <t>07 12</t>
  </si>
  <si>
    <t>燕返</t>
  </si>
  <si>
    <t>2D 14</t>
  </si>
  <si>
    <t>格挡好手</t>
  </si>
  <si>
    <t>B4 15</t>
  </si>
  <si>
    <t>妖魅引导</t>
  </si>
  <si>
    <t>7F 18</t>
  </si>
  <si>
    <t>背水之法</t>
  </si>
  <si>
    <t>66 1A</t>
  </si>
  <si>
    <t>琢技诸刃之法</t>
  </si>
  <si>
    <t>FF 1A</t>
  </si>
  <si>
    <t>使役强击之法</t>
  </si>
  <si>
    <t>28 1B</t>
  </si>
  <si>
    <t>攻击心得　壹</t>
  </si>
  <si>
    <t>A9 1C</t>
  </si>
  <si>
    <t>双头斩</t>
  </si>
  <si>
    <t>EF 1D</t>
  </si>
  <si>
    <t>琢技坚固之法</t>
  </si>
  <si>
    <t>B6 1F</t>
  </si>
  <si>
    <t>琢技持久法</t>
  </si>
  <si>
    <t>14 20</t>
  </si>
  <si>
    <t>不顺逆用格挡</t>
  </si>
  <si>
    <t>4B 20</t>
  </si>
  <si>
    <t>薮斩</t>
  </si>
  <si>
    <t>83 20</t>
  </si>
  <si>
    <t>残月</t>
  </si>
  <si>
    <t>86 20</t>
  </si>
  <si>
    <t>霞惑之法</t>
  </si>
  <si>
    <t>93 21</t>
  </si>
  <si>
    <t>折刃格挡</t>
  </si>
  <si>
    <t>AA 21</t>
  </si>
  <si>
    <t>刚健法　贰</t>
  </si>
  <si>
    <t>BC 21</t>
  </si>
  <si>
    <t>落饭纲</t>
  </si>
  <si>
    <t>C5 21</t>
  </si>
  <si>
    <t>忍技乱击之法</t>
  </si>
  <si>
    <t>5C 22</t>
  </si>
  <si>
    <t>转心流击之法</t>
  </si>
  <si>
    <t>66 23</t>
  </si>
  <si>
    <t>忍术连锁之法</t>
  </si>
  <si>
    <t>D0 23</t>
  </si>
  <si>
    <t>识破好手</t>
  </si>
  <si>
    <t>59 26</t>
  </si>
  <si>
    <t>飞击之法</t>
  </si>
  <si>
    <t>AB 2A</t>
  </si>
  <si>
    <t>转心昂扬之法</t>
  </si>
  <si>
    <t>0B 2C</t>
  </si>
  <si>
    <t>使役妙法</t>
  </si>
  <si>
    <t>74 2D</t>
  </si>
  <si>
    <t>灵技琢技之法</t>
  </si>
  <si>
    <t>A5 2F</t>
  </si>
  <si>
    <t>克刚昂神之法</t>
  </si>
  <si>
    <t>4B 31</t>
  </si>
  <si>
    <t>跃动之法</t>
  </si>
  <si>
    <t>3E 32</t>
  </si>
  <si>
    <t>残心之心得</t>
  </si>
  <si>
    <t>78 33</t>
  </si>
  <si>
    <t>通灵法</t>
  </si>
  <si>
    <t>DF 33</t>
  </si>
  <si>
    <t>幻术升腾之法</t>
  </si>
  <si>
    <t>75 34</t>
  </si>
  <si>
    <t>阳之刹那</t>
  </si>
  <si>
    <t>EF 34</t>
  </si>
  <si>
    <t>凤鸣斩</t>
  </si>
  <si>
    <t>E0 38</t>
  </si>
  <si>
    <t>吸灵之法</t>
  </si>
  <si>
    <t>15 3A</t>
  </si>
  <si>
    <t>狩天鼠</t>
  </si>
  <si>
    <t>7C 3C</t>
  </si>
  <si>
    <t>秘剑·泽雾</t>
  </si>
  <si>
    <t>86 3C</t>
  </si>
  <si>
    <t>幻龙之法</t>
  </si>
  <si>
    <t>11 3E</t>
  </si>
  <si>
    <t>拟武杀法</t>
  </si>
  <si>
    <t>AA 40</t>
  </si>
  <si>
    <t>贯彻之法</t>
  </si>
  <si>
    <t>D0 40</t>
  </si>
  <si>
    <t>月风扫斩</t>
  </si>
  <si>
    <t>29 43</t>
  </si>
  <si>
    <t>望月之型</t>
  </si>
  <si>
    <t>40 46</t>
  </si>
  <si>
    <t>阴阳妙法</t>
  </si>
  <si>
    <t>63 46</t>
  </si>
  <si>
    <t>毒牙之法</t>
  </si>
  <si>
    <t>AE 48</t>
  </si>
  <si>
    <t>祓除常世·天</t>
  </si>
  <si>
    <t>AB 4B</t>
  </si>
  <si>
    <t>转攻之法</t>
  </si>
  <si>
    <t>53 4C</t>
  </si>
  <si>
    <t>克刚遁机之法</t>
  </si>
  <si>
    <t>76 4D</t>
  </si>
  <si>
    <t>护身幔之法</t>
  </si>
  <si>
    <t>29 4E</t>
  </si>
  <si>
    <t>白虎连爪</t>
  </si>
  <si>
    <t>57 4E</t>
  </si>
  <si>
    <t>琢技夺灵之法</t>
  </si>
  <si>
    <t>60 4F</t>
  </si>
  <si>
    <t>克刚昂灵之法</t>
  </si>
  <si>
    <t>6F 4F</t>
  </si>
  <si>
    <t>琢技布局之法</t>
  </si>
  <si>
    <t>12 50</t>
  </si>
  <si>
    <t>风车手里剑</t>
  </si>
  <si>
    <t>55 51</t>
  </si>
  <si>
    <t>格挡脚法</t>
  </si>
  <si>
    <t>D6 54</t>
  </si>
  <si>
    <t>重来之法</t>
  </si>
  <si>
    <t>2F 55</t>
  </si>
  <si>
    <t>逆风火炎之法</t>
  </si>
  <si>
    <t>90 5A</t>
  </si>
  <si>
    <t>刚力之法</t>
  </si>
  <si>
    <t>EB 5B</t>
  </si>
  <si>
    <t>化身刚体之法</t>
  </si>
  <si>
    <t>19 5C</t>
  </si>
  <si>
    <t>克刚破铠之法</t>
  </si>
  <si>
    <t>C2 5C</t>
  </si>
  <si>
    <t>阴之永恒</t>
  </si>
  <si>
    <t>5E 5D</t>
  </si>
  <si>
    <t>青岚</t>
  </si>
  <si>
    <t>72 5D</t>
  </si>
  <si>
    <t>昂龙角</t>
  </si>
  <si>
    <t>15 5F</t>
  </si>
  <si>
    <t>琢技吸活之法</t>
  </si>
  <si>
    <t>39 5F</t>
  </si>
  <si>
    <t>净天地咒</t>
  </si>
  <si>
    <t>07 60</t>
  </si>
  <si>
    <t>琢技重刚之法</t>
  </si>
  <si>
    <t>44 60</t>
  </si>
  <si>
    <t>刚技之型</t>
  </si>
  <si>
    <t>77 60</t>
  </si>
  <si>
    <t>穿铠法</t>
  </si>
  <si>
    <t>85 62</t>
  </si>
  <si>
    <t>刚健法　叁</t>
  </si>
  <si>
    <t>A8 62</t>
  </si>
  <si>
    <t>四神心得　柔</t>
  </si>
  <si>
    <t>E0 62</t>
  </si>
  <si>
    <t>转心斥风之法</t>
  </si>
  <si>
    <t>74 66</t>
  </si>
  <si>
    <t>昂龙爪</t>
  </si>
  <si>
    <t>93 66</t>
  </si>
  <si>
    <t>克刚之利</t>
  </si>
  <si>
    <t>47 67</t>
  </si>
  <si>
    <t>涌活之法</t>
  </si>
  <si>
    <t>9E 67</t>
  </si>
  <si>
    <t>毒蛇之法</t>
  </si>
  <si>
    <t>33 6A</t>
  </si>
  <si>
    <t>冻霞之法</t>
  </si>
  <si>
    <t>E8 6C</t>
  </si>
  <si>
    <t>无铠决死之法</t>
  </si>
  <si>
    <t>AA 72</t>
  </si>
  <si>
    <t>乱伐轮</t>
  </si>
  <si>
    <t>E1 72</t>
  </si>
  <si>
    <t>残心·地</t>
  </si>
  <si>
    <t>22 73</t>
  </si>
  <si>
    <t>昂龙牙</t>
  </si>
  <si>
    <t>A5 73</t>
  </si>
  <si>
    <t>化身不坏之法</t>
  </si>
  <si>
    <t>A0 79</t>
  </si>
  <si>
    <t>刹那灵息</t>
  </si>
  <si>
    <t>CC 79</t>
  </si>
  <si>
    <t>逆风剑</t>
  </si>
  <si>
    <t>CD 79</t>
  </si>
  <si>
    <t>盗人法</t>
  </si>
  <si>
    <t>8F 7B</t>
  </si>
  <si>
    <t>加工药箱</t>
  </si>
  <si>
    <t>26 7C</t>
  </si>
  <si>
    <t>疾岚格挡</t>
  </si>
  <si>
    <t>6F 7E</t>
  </si>
  <si>
    <t>练技心得</t>
  </si>
  <si>
    <t>BE 7E</t>
  </si>
  <si>
    <t>掷钓瓶</t>
  </si>
  <si>
    <t>8D 7F</t>
  </si>
  <si>
    <t>死战之型</t>
  </si>
  <si>
    <t>94 80</t>
  </si>
  <si>
    <t>防守心得　参</t>
  </si>
  <si>
    <t>DA 80</t>
  </si>
  <si>
    <t>极限识破之法</t>
  </si>
  <si>
    <t>7C 82</t>
  </si>
  <si>
    <t>防守心得　贰</t>
  </si>
  <si>
    <t>5D 84</t>
  </si>
  <si>
    <t>攻击心得　贰</t>
  </si>
  <si>
    <t>EB 85</t>
  </si>
  <si>
    <t>背击吸活之法</t>
  </si>
  <si>
    <t>4A 87</t>
  </si>
  <si>
    <t>9A 89</t>
  </si>
  <si>
    <t>克刚气势之法</t>
  </si>
  <si>
    <t>93 8E</t>
  </si>
  <si>
    <t>刚忍之法</t>
  </si>
  <si>
    <t>D9 90</t>
  </si>
  <si>
    <t>鸢忍之法</t>
  </si>
  <si>
    <t>7F 92</t>
  </si>
  <si>
    <t>祓除常世·灵</t>
  </si>
  <si>
    <t>8D 92</t>
  </si>
  <si>
    <t>招灵自如之法</t>
  </si>
  <si>
    <t>24 93</t>
  </si>
  <si>
    <t>琢技毒龙之法</t>
  </si>
  <si>
    <t>77 93</t>
  </si>
  <si>
    <t>灵技布局之法</t>
  </si>
  <si>
    <t>E9 94</t>
  </si>
  <si>
    <t>落华严</t>
  </si>
  <si>
    <t>9D 95</t>
  </si>
  <si>
    <t>多才多艺</t>
  </si>
  <si>
    <t>0C 96</t>
  </si>
  <si>
    <t>祓除常世·灵　改</t>
  </si>
  <si>
    <t>B4 97</t>
  </si>
  <si>
    <t>磨练射法</t>
  </si>
  <si>
    <t>40 98</t>
  </si>
  <si>
    <t>龙怒之法</t>
  </si>
  <si>
    <t>45 9B</t>
  </si>
  <si>
    <t>溪水之法</t>
  </si>
  <si>
    <t>CE 9B</t>
  </si>
  <si>
    <t>常世驱散之识破</t>
  </si>
  <si>
    <t>E6 9B</t>
  </si>
  <si>
    <t>灵妙锐击之型</t>
  </si>
  <si>
    <t>5F 9D</t>
  </si>
  <si>
    <t>磨练拳法</t>
  </si>
  <si>
    <t>62 9E</t>
  </si>
  <si>
    <t>翔凰斩</t>
  </si>
  <si>
    <t>AF 9F</t>
  </si>
  <si>
    <t>圆猫之法</t>
  </si>
  <si>
    <t>D2 9F</t>
  </si>
  <si>
    <t>忍术磨练</t>
  </si>
  <si>
    <t>0F A0</t>
  </si>
  <si>
    <t>祓除常世·影</t>
  </si>
  <si>
    <t>47 A1</t>
  </si>
  <si>
    <t>总卷</t>
  </si>
  <si>
    <t>EA A1</t>
  </si>
  <si>
    <t>祓除常世·地</t>
  </si>
  <si>
    <t>28 A7</t>
  </si>
  <si>
    <t>飞击之心得</t>
  </si>
  <si>
    <t>AD A7</t>
  </si>
  <si>
    <t>祸实之法</t>
  </si>
  <si>
    <t>4E A8</t>
  </si>
  <si>
    <t>水神踢</t>
  </si>
  <si>
    <t>AD A8</t>
  </si>
  <si>
    <t>回天之法</t>
  </si>
  <si>
    <t>F9 A8</t>
  </si>
  <si>
    <t>压斩之法</t>
  </si>
  <si>
    <t>BC A9</t>
  </si>
  <si>
    <t>修罗连舞碎</t>
  </si>
  <si>
    <t>D5 A9</t>
  </si>
  <si>
    <t>火炎龙术</t>
  </si>
  <si>
    <t>25 AA</t>
  </si>
  <si>
    <t>夜叉一文字</t>
  </si>
  <si>
    <t>7C AA</t>
  </si>
  <si>
    <t>转心气势之法</t>
  </si>
  <si>
    <t>07 AC</t>
  </si>
  <si>
    <t>飞天剑</t>
  </si>
  <si>
    <t>8A AC</t>
  </si>
  <si>
    <t>顺风之法</t>
  </si>
  <si>
    <t>EA AD</t>
  </si>
  <si>
    <t>鞍马剑舞</t>
  </si>
  <si>
    <t>EC AF</t>
  </si>
  <si>
    <t>使役心得</t>
  </si>
  <si>
    <t>54 B1</t>
  </si>
  <si>
    <t>灵活之法</t>
  </si>
  <si>
    <t>AB B5</t>
  </si>
  <si>
    <t>巴吹雪</t>
  </si>
  <si>
    <t>23 B6</t>
  </si>
  <si>
    <t>小夜时雨</t>
  </si>
  <si>
    <t>6B BA</t>
  </si>
  <si>
    <t>遁转强袭之法</t>
  </si>
  <si>
    <t>85 BA</t>
  </si>
  <si>
    <t>阴阳自如之法</t>
  </si>
  <si>
    <t>58 BB</t>
  </si>
  <si>
    <t>残心·人</t>
  </si>
  <si>
    <t>89 BC</t>
  </si>
  <si>
    <t>瞬步之法</t>
  </si>
  <si>
    <t>5D C0</t>
  </si>
  <si>
    <t>灵技昂灵之法</t>
  </si>
  <si>
    <t>BC C1</t>
  </si>
  <si>
    <t>四神心得　刚</t>
  </si>
  <si>
    <t>E1 C1</t>
  </si>
  <si>
    <t>夜叉岚</t>
  </si>
  <si>
    <t>3A C2</t>
  </si>
  <si>
    <t>婆娑罗三段</t>
  </si>
  <si>
    <t>3E C3</t>
  </si>
  <si>
    <t>三战架式</t>
  </si>
  <si>
    <t>5F C4</t>
  </si>
  <si>
    <t>流舞锋</t>
  </si>
  <si>
    <t>90 C4</t>
  </si>
  <si>
    <t>暗极重波弹</t>
  </si>
  <si>
    <t>9F C4</t>
  </si>
  <si>
    <t>残心·天</t>
  </si>
  <si>
    <t>6C C6</t>
  </si>
  <si>
    <t>常世驱散</t>
  </si>
  <si>
    <t>88 C7</t>
  </si>
  <si>
    <t>初刀之理</t>
  </si>
  <si>
    <t>C6 C9</t>
  </si>
  <si>
    <t>踢击</t>
  </si>
  <si>
    <t>8B CA</t>
  </si>
  <si>
    <t>祓除常世·人</t>
  </si>
  <si>
    <t>39 CB</t>
  </si>
  <si>
    <t>幻惑斩轮</t>
  </si>
  <si>
    <t>56 CD</t>
  </si>
  <si>
    <t>不逊罚</t>
  </si>
  <si>
    <t>7A CD</t>
  </si>
  <si>
    <t>打剑反攻之法</t>
  </si>
  <si>
    <t>E9 CD</t>
  </si>
  <si>
    <t>刚健法　壹</t>
  </si>
  <si>
    <t>6F CE</t>
  </si>
  <si>
    <t>重·十字斩</t>
  </si>
  <si>
    <t>78 D0</t>
  </si>
  <si>
    <t>忍技锐击之法</t>
  </si>
  <si>
    <t>02 D2</t>
  </si>
  <si>
    <t>暴刃之型</t>
  </si>
  <si>
    <t>C5 D3</t>
  </si>
  <si>
    <t>破魔裂风刃</t>
  </si>
  <si>
    <t>99 D5</t>
  </si>
  <si>
    <t>拟忍杀法</t>
  </si>
  <si>
    <t>66 D7</t>
  </si>
  <si>
    <t>不屈不挠</t>
  </si>
  <si>
    <t>21 D8</t>
  </si>
  <si>
    <t>怒号烈破</t>
  </si>
  <si>
    <t>1E D9</t>
  </si>
  <si>
    <t>反弹好手</t>
  </si>
  <si>
    <t>BE DC</t>
  </si>
  <si>
    <t>灵妙之型</t>
  </si>
  <si>
    <t>28 DD</t>
  </si>
  <si>
    <t>流轮之法</t>
  </si>
  <si>
    <t>9F E1</t>
  </si>
  <si>
    <t>幻缠之法</t>
  </si>
  <si>
    <t>D6 E1</t>
  </si>
  <si>
    <t>AE E3</t>
  </si>
  <si>
    <t>千手千变</t>
  </si>
  <si>
    <t>88 E6</t>
  </si>
  <si>
    <t>轻业法</t>
  </si>
  <si>
    <t>C6 E6</t>
  </si>
  <si>
    <t>冬月明澄法</t>
  </si>
  <si>
    <t>8D E7</t>
  </si>
  <si>
    <t>反攻格挡</t>
  </si>
  <si>
    <t>B1 E7</t>
  </si>
  <si>
    <t>蝴蝶之法</t>
  </si>
  <si>
    <t>27 E9</t>
  </si>
  <si>
    <t>符术·光刃符</t>
  </si>
  <si>
    <t>35 E9</t>
  </si>
  <si>
    <t>流水</t>
  </si>
  <si>
    <t>EC E9</t>
  </si>
  <si>
    <t>残心之心得　改</t>
  </si>
  <si>
    <t>C6 EF</t>
  </si>
  <si>
    <t>虚身之法</t>
  </si>
  <si>
    <t>4F F0</t>
  </si>
  <si>
    <t>居合</t>
  </si>
  <si>
    <t>86 F3</t>
  </si>
  <si>
    <t>坚忍之法</t>
  </si>
  <si>
    <t>DB F4</t>
  </si>
  <si>
    <t>30 F6</t>
  </si>
  <si>
    <t>防守心得　壹</t>
  </si>
  <si>
    <t>FF F6</t>
  </si>
  <si>
    <t>攻击心得　参</t>
  </si>
  <si>
    <t>34 F8</t>
  </si>
  <si>
    <t>增益复制灵技</t>
  </si>
  <si>
    <t>62 F9</t>
  </si>
  <si>
    <t>克刚使役之法</t>
  </si>
  <si>
    <t>9A F9</t>
  </si>
  <si>
    <t>妙药心得</t>
  </si>
  <si>
    <t>81 FC</t>
  </si>
  <si>
    <t>克刚琢技之法</t>
  </si>
  <si>
    <t>A7 FC</t>
  </si>
  <si>
    <t>一击专心之型</t>
  </si>
  <si>
    <t>工法书</t>
  </si>
  <si>
    <t>C7 00</t>
  </si>
  <si>
    <t>C9 00</t>
  </si>
  <si>
    <t>剑术无双之衣</t>
  </si>
  <si>
    <t>D9 01</t>
  </si>
  <si>
    <t>53 02</t>
  </si>
  <si>
    <t>71 02</t>
  </si>
  <si>
    <t>同田贯正国</t>
  </si>
  <si>
    <t>3E 03</t>
  </si>
  <si>
    <t>行商人装束</t>
  </si>
  <si>
    <t>90 03</t>
  </si>
  <si>
    <t>1E 04</t>
  </si>
  <si>
    <t>楚叶矢众铠</t>
  </si>
  <si>
    <t>66 04</t>
  </si>
  <si>
    <t>DB 04</t>
  </si>
  <si>
    <t>螺旋角眼镜头盔</t>
  </si>
  <si>
    <t>47 05</t>
  </si>
  <si>
    <t>宇佐美长光</t>
  </si>
  <si>
    <t>D2 05</t>
  </si>
  <si>
    <t>少武者中铠</t>
  </si>
  <si>
    <t>45 06</t>
  </si>
  <si>
    <t>讨鬼勇猛之铠</t>
  </si>
  <si>
    <t>4E 06</t>
  </si>
  <si>
    <t>C7 08</t>
  </si>
  <si>
    <t>04 09</t>
  </si>
  <si>
    <t>6C 09</t>
  </si>
  <si>
    <t>神官净衣</t>
  </si>
  <si>
    <t>85 09</t>
  </si>
  <si>
    <t>92 09</t>
  </si>
  <si>
    <t>A9 09</t>
  </si>
  <si>
    <t>AF 09</t>
  </si>
  <si>
    <t>EA 09</t>
  </si>
  <si>
    <t>11 0A</t>
  </si>
  <si>
    <t>盾无</t>
  </si>
  <si>
    <t>0B 0B</t>
  </si>
  <si>
    <t>笠子形盔</t>
  </si>
  <si>
    <t>4B 0C</t>
  </si>
  <si>
    <t>F7 0C</t>
  </si>
  <si>
    <t>12 0D</t>
  </si>
  <si>
    <t>海道第一大名之弓</t>
  </si>
  <si>
    <t>2D 0D</t>
  </si>
  <si>
    <t>西国无双之铠</t>
  </si>
  <si>
    <t>A1 0D</t>
  </si>
  <si>
    <t>血吸·蜘蛛切</t>
  </si>
  <si>
    <t>B3 0D</t>
  </si>
  <si>
    <t>01 0E</t>
  </si>
  <si>
    <t>EA 0E</t>
  </si>
  <si>
    <t>45 0F</t>
  </si>
  <si>
    <t>飞仓锁镰</t>
  </si>
  <si>
    <t>86 0F</t>
  </si>
  <si>
    <t>08 10</t>
  </si>
  <si>
    <t>91 10</t>
  </si>
  <si>
    <t>角突弓</t>
  </si>
  <si>
    <t>50 12</t>
  </si>
  <si>
    <t>73 12</t>
  </si>
  <si>
    <t>EE 12</t>
  </si>
  <si>
    <t>避来矢</t>
  </si>
  <si>
    <t>02 13</t>
  </si>
  <si>
    <t>两面宿傩之斧</t>
  </si>
  <si>
    <t>43 13</t>
  </si>
  <si>
    <t>4B 13</t>
  </si>
  <si>
    <t>土佐守轻铠</t>
  </si>
  <si>
    <t>09 14</t>
  </si>
  <si>
    <t>62 14</t>
  </si>
  <si>
    <t>98 14</t>
  </si>
  <si>
    <t>宗三左文字·松仓江</t>
  </si>
  <si>
    <t>16 15</t>
  </si>
  <si>
    <t>大义之铠</t>
  </si>
  <si>
    <t>F2 16</t>
  </si>
  <si>
    <t>火焰光前立头盔</t>
  </si>
  <si>
    <t>03 17</t>
  </si>
  <si>
    <t>7F 17</t>
  </si>
  <si>
    <t>83 17</t>
  </si>
  <si>
    <t>怨灵鬼头盔</t>
  </si>
  <si>
    <t>24 18</t>
  </si>
  <si>
    <t>无明面具</t>
  </si>
  <si>
    <t>34 18</t>
  </si>
  <si>
    <t>石动</t>
  </si>
  <si>
    <t>E5 18</t>
  </si>
  <si>
    <t>41 19</t>
  </si>
  <si>
    <t>化狸头盔</t>
  </si>
  <si>
    <t>79 19</t>
  </si>
  <si>
    <t>7C 19</t>
  </si>
  <si>
    <t>山姥之枪</t>
  </si>
  <si>
    <t>26 1A</t>
  </si>
  <si>
    <t>绝群倾奇之铠</t>
  </si>
  <si>
    <t>4E 1A</t>
  </si>
  <si>
    <t>立乌帽子薙刀镰</t>
  </si>
  <si>
    <t>23 1B</t>
  </si>
  <si>
    <t>舞蹈刀</t>
  </si>
  <si>
    <t>66 1B</t>
  </si>
  <si>
    <t>赤备大将大铠</t>
  </si>
  <si>
    <t>08 1C</t>
  </si>
  <si>
    <t>96 1C</t>
  </si>
  <si>
    <t>惟任日向守之铠</t>
  </si>
  <si>
    <t>22 1F</t>
  </si>
  <si>
    <t>2E 1F</t>
  </si>
  <si>
    <t>百鬼手斧</t>
  </si>
  <si>
    <t>9E 1F</t>
  </si>
  <si>
    <t>合子形盔</t>
  </si>
  <si>
    <t>A2 1F</t>
  </si>
  <si>
    <t>A7 1F</t>
  </si>
  <si>
    <t>讨魔首领之铠</t>
  </si>
  <si>
    <t>33 20</t>
  </si>
  <si>
    <t>37 20</t>
  </si>
  <si>
    <t>川并众战甲</t>
  </si>
  <si>
    <t>AB 20</t>
  </si>
  <si>
    <t>D1 21</t>
  </si>
  <si>
    <t>24 22</t>
  </si>
  <si>
    <t>71 22</t>
  </si>
  <si>
    <t>宝藏院十字枪</t>
  </si>
  <si>
    <t>5D 23</t>
  </si>
  <si>
    <t>八咫乌轻铠</t>
  </si>
  <si>
    <t>62 23</t>
  </si>
  <si>
    <t>6B 23</t>
  </si>
  <si>
    <t>C6 23</t>
  </si>
  <si>
    <t>6A 24</t>
  </si>
  <si>
    <t>百鬼刀</t>
  </si>
  <si>
    <t>5F 25</t>
  </si>
  <si>
    <t>御神火之锤</t>
  </si>
  <si>
    <t>B1 25</t>
  </si>
  <si>
    <t>一国长吉之枪</t>
  </si>
  <si>
    <t>FC 25</t>
  </si>
  <si>
    <t>41 26</t>
  </si>
  <si>
    <t>25 27</t>
  </si>
  <si>
    <t>弟君锦衣</t>
  </si>
  <si>
    <t>C4 28</t>
  </si>
  <si>
    <t>玄龙大铠</t>
  </si>
  <si>
    <t>D9 29</t>
  </si>
  <si>
    <t>43 2B</t>
  </si>
  <si>
    <t>60 2B</t>
  </si>
  <si>
    <t>百万石之铠</t>
  </si>
  <si>
    <t>6E 2B</t>
  </si>
  <si>
    <t>AC 2B</t>
  </si>
  <si>
    <t>玄冥阴阳装束</t>
  </si>
  <si>
    <t>D1 2B</t>
  </si>
  <si>
    <t>30 2C</t>
  </si>
  <si>
    <t>ED 2C</t>
  </si>
  <si>
    <t>隼流战装束</t>
  </si>
  <si>
    <t>AA 2D</t>
  </si>
  <si>
    <t>D2 2D</t>
  </si>
  <si>
    <t>平三之铠</t>
  </si>
  <si>
    <t>D6 2D</t>
  </si>
  <si>
    <t>勇僧的袈裟头巾</t>
  </si>
  <si>
    <t>29 2E</t>
  </si>
  <si>
    <t>46 2E</t>
  </si>
  <si>
    <t>鸢加藤忍衣</t>
  </si>
  <si>
    <t>56 2E</t>
  </si>
  <si>
    <t>6D 2E</t>
  </si>
  <si>
    <t>忍者工具箱</t>
  </si>
  <si>
    <t>0F 30</t>
  </si>
  <si>
    <t>烛台切光忠·镐藤四郎</t>
  </si>
  <si>
    <t>FC 30</t>
  </si>
  <si>
    <t>田村后裔之铠</t>
  </si>
  <si>
    <t>20 31</t>
  </si>
  <si>
    <t>熊头形盔</t>
  </si>
  <si>
    <t>21 31</t>
  </si>
  <si>
    <t>镰仓大人之铠</t>
  </si>
  <si>
    <t>4D 31</t>
  </si>
  <si>
    <t>A3 31</t>
  </si>
  <si>
    <t>DA 31</t>
  </si>
  <si>
    <t>百鬼旋棍</t>
  </si>
  <si>
    <t>00 32</t>
  </si>
  <si>
    <t>百鬼双刀</t>
  </si>
  <si>
    <t>17 32</t>
  </si>
  <si>
    <t>大通连·小通连</t>
  </si>
  <si>
    <t>E5 32</t>
  </si>
  <si>
    <t>DE 33</t>
  </si>
  <si>
    <t>圣人旅装</t>
  </si>
  <si>
    <t>FB 33</t>
  </si>
  <si>
    <t>1A 34</t>
  </si>
  <si>
    <t>冰狱忍者装束</t>
  </si>
  <si>
    <t>95 35</t>
  </si>
  <si>
    <t>59 37</t>
  </si>
  <si>
    <t>万雷武士之铠</t>
  </si>
  <si>
    <t>B2 37</t>
  </si>
  <si>
    <t>BF 37</t>
  </si>
  <si>
    <t>90 38</t>
  </si>
  <si>
    <t>70 3A</t>
  </si>
  <si>
    <t>80 3A</t>
  </si>
  <si>
    <t>84 3A</t>
  </si>
  <si>
    <t>镰鼬头盔</t>
  </si>
  <si>
    <t>A5 3A</t>
  </si>
  <si>
    <t>84 3B</t>
  </si>
  <si>
    <t>草薙剑</t>
  </si>
  <si>
    <t>85 3B</t>
  </si>
  <si>
    <t>寄宿木灵之碗</t>
  </si>
  <si>
    <t>A7 3B</t>
  </si>
  <si>
    <t>1F 3C</t>
  </si>
  <si>
    <t>62 3D</t>
  </si>
  <si>
    <t>烟罗面</t>
  </si>
  <si>
    <t>DE 3D</t>
  </si>
  <si>
    <t>C5 3E</t>
  </si>
  <si>
    <t>5E 3F</t>
  </si>
  <si>
    <t>76 3F</t>
  </si>
  <si>
    <t>百鬼之铠</t>
  </si>
  <si>
    <t>BB 3F</t>
  </si>
  <si>
    <t>美浓宿老之铠</t>
  </si>
  <si>
    <t>88 41</t>
  </si>
  <si>
    <t>13 42</t>
  </si>
  <si>
    <t>木薙刀镰</t>
  </si>
  <si>
    <t>24 42</t>
  </si>
  <si>
    <t>新选组队服</t>
  </si>
  <si>
    <t>38 43</t>
  </si>
  <si>
    <t>B3 43</t>
  </si>
  <si>
    <t>11 44</t>
  </si>
  <si>
    <t>履行大义之铠</t>
  </si>
  <si>
    <t>F8 44</t>
  </si>
  <si>
    <t>76 45</t>
  </si>
  <si>
    <t>89 45</t>
  </si>
  <si>
    <t>木制手斧</t>
  </si>
  <si>
    <t>BF 46</t>
  </si>
  <si>
    <t>09 47</t>
  </si>
  <si>
    <t>痴·痣丸</t>
  </si>
  <si>
    <t>6A 47</t>
  </si>
  <si>
    <t>魑魅的骨帽子</t>
  </si>
  <si>
    <t>7F 47</t>
  </si>
  <si>
    <t>豪放猛牛之铠</t>
  </si>
  <si>
    <t>1A 48</t>
  </si>
  <si>
    <t>BF 48</t>
  </si>
  <si>
    <t>又右卫门之衣</t>
  </si>
  <si>
    <t>0E 49</t>
  </si>
  <si>
    <t>3D 49</t>
  </si>
  <si>
    <t>二铭则宗·骨食藤四郎</t>
  </si>
  <si>
    <t>41 49</t>
  </si>
  <si>
    <t>土蜘蛛众装束</t>
  </si>
  <si>
    <t>5A 49</t>
  </si>
  <si>
    <t>90 49</t>
  </si>
  <si>
    <t>伊贺上忍装束</t>
  </si>
  <si>
    <t>A8 49</t>
  </si>
  <si>
    <t>67 4A</t>
  </si>
  <si>
    <t>F5 4A</t>
  </si>
  <si>
    <t>5B 4B</t>
  </si>
  <si>
    <t>葵纹之铠</t>
  </si>
  <si>
    <t>CF 4B</t>
  </si>
  <si>
    <t>7E 4C</t>
  </si>
  <si>
    <t>霸王将军铠</t>
  </si>
  <si>
    <t>06 4D</t>
  </si>
  <si>
    <t>道鬼斋头盔</t>
  </si>
  <si>
    <t>32 4D</t>
  </si>
  <si>
    <t>百鬼枪</t>
  </si>
  <si>
    <t>9A 4E</t>
  </si>
  <si>
    <t>崇佛诚心之铠</t>
  </si>
  <si>
    <t>52 4F</t>
  </si>
  <si>
    <t>15 50</t>
  </si>
  <si>
    <t>双头蛇旋棍</t>
  </si>
  <si>
    <t>21 50</t>
  </si>
  <si>
    <t>6F 50</t>
  </si>
  <si>
    <t>CA 51</t>
  </si>
  <si>
    <t>楚叶矢众装束</t>
  </si>
  <si>
    <t>02 52</t>
  </si>
  <si>
    <t>御一门众之铠</t>
  </si>
  <si>
    <t>1E 52</t>
  </si>
  <si>
    <t>赤鬼轻铠</t>
  </si>
  <si>
    <t>5F 52</t>
  </si>
  <si>
    <t>8B 52</t>
  </si>
  <si>
    <t>酒吞童子的铁棒</t>
  </si>
  <si>
    <t>FD 52</t>
  </si>
  <si>
    <t>征夷大将军之铠</t>
  </si>
  <si>
    <t>32 53</t>
  </si>
  <si>
    <t>48 53</t>
  </si>
  <si>
    <t>9E 53</t>
  </si>
  <si>
    <t>BB 53</t>
  </si>
  <si>
    <t>31 54</t>
  </si>
  <si>
    <t>65 55</t>
  </si>
  <si>
    <t>一文钱通</t>
  </si>
  <si>
    <t>21 56</t>
  </si>
  <si>
    <t>上古之衣</t>
  </si>
  <si>
    <t>2B 56</t>
  </si>
  <si>
    <t>4A 56</t>
  </si>
  <si>
    <t>锡杖后立头盔</t>
  </si>
  <si>
    <t>4E 57</t>
  </si>
  <si>
    <t>宫司净衣</t>
  </si>
  <si>
    <t>8C 57</t>
  </si>
  <si>
    <t>奇兵队长装束</t>
  </si>
  <si>
    <t>FF 58</t>
  </si>
  <si>
    <t>1A 59</t>
  </si>
  <si>
    <t>2A 59</t>
  </si>
  <si>
    <t>川并众锁镰</t>
  </si>
  <si>
    <t>1A 5A</t>
  </si>
  <si>
    <t>恶七兵卫之铠</t>
  </si>
  <si>
    <t>97 5A</t>
  </si>
  <si>
    <t>弘法大师僧衣</t>
  </si>
  <si>
    <t>CF 5A</t>
  </si>
  <si>
    <t>10 5B</t>
  </si>
  <si>
    <t>A0 5C</t>
  </si>
  <si>
    <t>盗贼首领大太刀</t>
  </si>
  <si>
    <t>A6 5C</t>
  </si>
  <si>
    <t>2B 5D</t>
  </si>
  <si>
    <t>88 5D</t>
  </si>
  <si>
    <t>金吾中铠</t>
  </si>
  <si>
    <t>D9 5D</t>
  </si>
  <si>
    <t>77 5E</t>
  </si>
  <si>
    <t>A1 5E</t>
  </si>
  <si>
    <t>EF 60</t>
  </si>
  <si>
    <t>石田正宗</t>
  </si>
  <si>
    <t>93 61</t>
  </si>
  <si>
    <t>9F 61</t>
  </si>
  <si>
    <t>2C 62</t>
  </si>
  <si>
    <t>剑圣衣装</t>
  </si>
  <si>
    <t>99 62</t>
  </si>
  <si>
    <t>日本第一兵之铠</t>
  </si>
  <si>
    <t>59 63</t>
  </si>
  <si>
    <t>护国禅师的袈裟</t>
  </si>
  <si>
    <t>DE 63</t>
  </si>
  <si>
    <t>黄金饰铠</t>
  </si>
  <si>
    <t>7B 64</t>
  </si>
  <si>
    <t>无缘人之铠</t>
  </si>
  <si>
    <t>8D 64</t>
  </si>
  <si>
    <t>F8 64</t>
  </si>
  <si>
    <t>5C 65</t>
  </si>
  <si>
    <t>落难御曹司装束</t>
  </si>
  <si>
    <t>CE 65</t>
  </si>
  <si>
    <t>焚火油壶</t>
  </si>
  <si>
    <t>D9 65</t>
  </si>
  <si>
    <t>威光中铠</t>
  </si>
  <si>
    <t>1C 66</t>
  </si>
  <si>
    <t>30 67</t>
  </si>
  <si>
    <t>诹访法性头盔</t>
  </si>
  <si>
    <t>3A 67</t>
  </si>
  <si>
    <t>2A 68</t>
  </si>
  <si>
    <t>A9 68</t>
  </si>
  <si>
    <t>FF 68</t>
  </si>
  <si>
    <t>彦右卫门一文字</t>
  </si>
  <si>
    <t>34 69</t>
  </si>
  <si>
    <t>木机关棍</t>
  </si>
  <si>
    <t>3D 69</t>
  </si>
  <si>
    <t>显明连</t>
  </si>
  <si>
    <t>F2 69</t>
  </si>
  <si>
    <t>B9 6A</t>
  </si>
  <si>
    <t>太初武士之铠</t>
  </si>
  <si>
    <t>66 6B</t>
  </si>
  <si>
    <t>C4 6B</t>
  </si>
  <si>
    <t>36 6C</t>
  </si>
  <si>
    <t>3E 6C</t>
  </si>
  <si>
    <t>2C 6D</t>
  </si>
  <si>
    <t>35 6D</t>
  </si>
  <si>
    <t>BE 6D</t>
  </si>
  <si>
    <t>6F 6E</t>
  </si>
  <si>
    <t>日轮之子之铠</t>
  </si>
  <si>
    <t>84 6E</t>
  </si>
  <si>
    <t>风魔头领忍者装束</t>
  </si>
  <si>
    <t>A9 6E</t>
  </si>
  <si>
    <t>B0 6E</t>
  </si>
  <si>
    <t>2D 6F</t>
  </si>
  <si>
    <t>9F 6F</t>
  </si>
  <si>
    <t>51 70</t>
  </si>
  <si>
    <t>髭切·膝丸</t>
  </si>
  <si>
    <t>A3 70</t>
  </si>
  <si>
    <t>守护灵呼唤符</t>
  </si>
  <si>
    <t>0B 71</t>
  </si>
  <si>
    <t>冰狱武者之铠</t>
  </si>
  <si>
    <t>2D 71</t>
  </si>
  <si>
    <t>3D 71</t>
  </si>
  <si>
    <t>49 71</t>
  </si>
  <si>
    <t>C9 71</t>
  </si>
  <si>
    <t>剑豪将军大铠</t>
  </si>
  <si>
    <t>8F 72</t>
  </si>
  <si>
    <t>鬼颚</t>
  </si>
  <si>
    <t>32 73</t>
  </si>
  <si>
    <t>入峰之斧</t>
  </si>
  <si>
    <t>C2 73</t>
  </si>
  <si>
    <t>F4 73</t>
  </si>
  <si>
    <t>木锁镰</t>
  </si>
  <si>
    <t>B1 74</t>
  </si>
  <si>
    <t>仁王面·吽形</t>
  </si>
  <si>
    <t>5F 75</t>
  </si>
  <si>
    <t>大型八龙</t>
  </si>
  <si>
    <t>79 75</t>
  </si>
  <si>
    <t>B4 75</t>
  </si>
  <si>
    <t>D6 75</t>
  </si>
  <si>
    <t>39 76</t>
  </si>
  <si>
    <t>鸦羽火枪</t>
  </si>
  <si>
    <t>C5 76</t>
  </si>
  <si>
    <t>万雷忍者装束</t>
  </si>
  <si>
    <t>3E 77</t>
  </si>
  <si>
    <t>00 78</t>
  </si>
  <si>
    <t>7F 78</t>
  </si>
  <si>
    <t>风鬼锁镰</t>
  </si>
  <si>
    <t>8F 79</t>
  </si>
  <si>
    <t>最后的忍者装束</t>
  </si>
  <si>
    <t>A4 79</t>
  </si>
  <si>
    <t>毘沙门戟</t>
  </si>
  <si>
    <t>43 7B</t>
  </si>
  <si>
    <t>善擦手甲</t>
  </si>
  <si>
    <t>8B 7B</t>
  </si>
  <si>
    <t>B0 7C</t>
  </si>
  <si>
    <t>BB 7C</t>
  </si>
  <si>
    <t>8D 7E</t>
  </si>
  <si>
    <t>和冠形盔</t>
  </si>
  <si>
    <t>E8 7E</t>
  </si>
  <si>
    <t>牛若之铠</t>
  </si>
  <si>
    <t>E9 7E</t>
  </si>
  <si>
    <t>A2 80</t>
  </si>
  <si>
    <t>弁庆梦想锡杖</t>
  </si>
  <si>
    <t>D9 80</t>
  </si>
  <si>
    <t>八重垣流装束</t>
  </si>
  <si>
    <t>66 81</t>
  </si>
  <si>
    <t>雪斋薙刀镰</t>
  </si>
  <si>
    <t>96 81</t>
  </si>
  <si>
    <t>E0 81</t>
  </si>
  <si>
    <t>水牛角头盔</t>
  </si>
  <si>
    <t>EB 81</t>
  </si>
  <si>
    <t>大江·长铭正宗</t>
  </si>
  <si>
    <t>C1 82</t>
  </si>
  <si>
    <t>E5 82</t>
  </si>
  <si>
    <t>蝶形盔</t>
  </si>
  <si>
    <t>22 83</t>
  </si>
  <si>
    <t>09 84</t>
  </si>
  <si>
    <t>3F 85</t>
  </si>
  <si>
    <t>赤鬼三角枪</t>
  </si>
  <si>
    <t>9B 85</t>
  </si>
  <si>
    <t>23 86</t>
  </si>
  <si>
    <t>36 86</t>
  </si>
  <si>
    <t>E7 86</t>
  </si>
  <si>
    <t>43 87</t>
  </si>
  <si>
    <t>64 87</t>
  </si>
  <si>
    <t>木旋棍</t>
  </si>
  <si>
    <t>CD 88</t>
  </si>
  <si>
    <t>24 89</t>
  </si>
  <si>
    <t>木斧</t>
  </si>
  <si>
    <t>41 89</t>
  </si>
  <si>
    <t>有动刀</t>
  </si>
  <si>
    <t>5A 89</t>
  </si>
  <si>
    <t>2D 8A</t>
  </si>
  <si>
    <t>73 8A</t>
  </si>
  <si>
    <t>谋神头盔</t>
  </si>
  <si>
    <t>71 8B</t>
  </si>
  <si>
    <t>袖神之铠</t>
  </si>
  <si>
    <t>BE 8B</t>
  </si>
  <si>
    <t>46 8C</t>
  </si>
  <si>
    <t>48 8C</t>
  </si>
  <si>
    <t>AB 8C</t>
  </si>
  <si>
    <t>布都御魂</t>
  </si>
  <si>
    <t>E6 8C</t>
  </si>
  <si>
    <t>4E 8D</t>
  </si>
  <si>
    <t>83 8D</t>
  </si>
  <si>
    <t>猛禽爪</t>
  </si>
  <si>
    <t>10 8E</t>
  </si>
  <si>
    <t>23 8E</t>
  </si>
  <si>
    <t>凶王之衣</t>
  </si>
  <si>
    <t>77 8E</t>
  </si>
  <si>
    <t>B1 8E</t>
  </si>
  <si>
    <t>F3 8E</t>
  </si>
  <si>
    <t>木曾紫之铠</t>
  </si>
  <si>
    <t>11 8F</t>
  </si>
  <si>
    <t>鬼左近之枪</t>
  </si>
  <si>
    <t>B4 8F</t>
  </si>
  <si>
    <t>金虎鲸立头盔</t>
  </si>
  <si>
    <t>E1 8F</t>
  </si>
  <si>
    <t>金葫芦之铠</t>
  </si>
  <si>
    <t>F2 8F</t>
  </si>
  <si>
    <t>DE 90</t>
  </si>
  <si>
    <t>58 91</t>
  </si>
  <si>
    <t>阴阳武者战甲</t>
  </si>
  <si>
    <t>89 92</t>
  </si>
  <si>
    <t>23 93</t>
  </si>
  <si>
    <t>7C 93</t>
  </si>
  <si>
    <t>F0 93</t>
  </si>
  <si>
    <t>32 94</t>
  </si>
  <si>
    <t>45 94</t>
  </si>
  <si>
    <t>AD 94</t>
  </si>
  <si>
    <t>E5 94</t>
  </si>
  <si>
    <t>赤河童头盔</t>
  </si>
  <si>
    <t>F7 94</t>
  </si>
  <si>
    <t>4A 95</t>
  </si>
  <si>
    <t>B8 99</t>
  </si>
  <si>
    <t>鬼柴田之铠</t>
  </si>
  <si>
    <t>1A 9A</t>
  </si>
  <si>
    <t>肥后之虎的枪</t>
  </si>
  <si>
    <t>2D 9A</t>
  </si>
  <si>
    <t>江北雄豪之铠</t>
  </si>
  <si>
    <t>55 9A</t>
  </si>
  <si>
    <t>弁庆梦想手甲钩</t>
  </si>
  <si>
    <t>1C 9C</t>
  </si>
  <si>
    <t>23 9C</t>
  </si>
  <si>
    <t>明智近景</t>
  </si>
  <si>
    <t>66 9C</t>
  </si>
  <si>
    <t>梦鬼之铠</t>
  </si>
  <si>
    <t>6D 9C</t>
  </si>
  <si>
    <t>八丁念佛</t>
  </si>
  <si>
    <t>74 9D</t>
  </si>
  <si>
    <t>81 9E</t>
  </si>
  <si>
    <t>再世孔明之铠</t>
  </si>
  <si>
    <t>62 9F</t>
  </si>
  <si>
    <t>西洋炮术家装束</t>
  </si>
  <si>
    <t>80 A0</t>
  </si>
  <si>
    <t>F9 A0</t>
  </si>
  <si>
    <t>枪又左之铠</t>
  </si>
  <si>
    <t>EB A1</t>
  </si>
  <si>
    <t>25 A3</t>
  </si>
  <si>
    <t>浅井一文字</t>
  </si>
  <si>
    <t>CE A3</t>
  </si>
  <si>
    <t>黑漆大刀</t>
  </si>
  <si>
    <t>14 A4</t>
  </si>
  <si>
    <t>B0 A4</t>
  </si>
  <si>
    <t>17 A5</t>
  </si>
  <si>
    <t>破瓶二丁斧</t>
  </si>
  <si>
    <t>69 A5</t>
  </si>
  <si>
    <t>B6 A5</t>
  </si>
  <si>
    <t>兔耳形盔</t>
  </si>
  <si>
    <t>77 A6</t>
  </si>
  <si>
    <t>E1 A6</t>
  </si>
  <si>
    <t>塔婆后立头盔</t>
  </si>
  <si>
    <t>8C A7</t>
  </si>
  <si>
    <t>独眼龙中铠</t>
  </si>
  <si>
    <t>FD A7</t>
  </si>
  <si>
    <t>大兼光</t>
  </si>
  <si>
    <t>D4 A9</t>
  </si>
  <si>
    <t>修理亮之铠</t>
  </si>
  <si>
    <t>7F AA</t>
  </si>
  <si>
    <t>BD AA</t>
  </si>
  <si>
    <t>百鬼大太刀</t>
  </si>
  <si>
    <t>CD AB</t>
  </si>
  <si>
    <t>暗行忍者装束</t>
  </si>
  <si>
    <t>25 AC</t>
  </si>
  <si>
    <t>35 AC</t>
  </si>
  <si>
    <t>万两义贼之铠</t>
  </si>
  <si>
    <t>8D AC</t>
  </si>
  <si>
    <t>第一队队长队服</t>
  </si>
  <si>
    <t>69 AD</t>
  </si>
  <si>
    <t>03 AE</t>
  </si>
  <si>
    <t>波游兼光</t>
  </si>
  <si>
    <t>A1 AF</t>
  </si>
  <si>
    <t>又左长枪</t>
  </si>
  <si>
    <t>B3 AF</t>
  </si>
  <si>
    <t>坚守者中铠</t>
  </si>
  <si>
    <t>79 B1</t>
  </si>
  <si>
    <t>大千鸟十字枪</t>
  </si>
  <si>
    <t>EE B1</t>
  </si>
  <si>
    <t>21 B3</t>
  </si>
  <si>
    <t>美浓蝮衣</t>
  </si>
  <si>
    <t>BA B3</t>
  </si>
  <si>
    <t>AC B4</t>
  </si>
  <si>
    <t>E7 B4</t>
  </si>
  <si>
    <t>武家贵族装束</t>
  </si>
  <si>
    <t>84 B5</t>
  </si>
  <si>
    <t>凛然装束</t>
  </si>
  <si>
    <t>34 B6</t>
  </si>
  <si>
    <t>74 B6</t>
  </si>
  <si>
    <t>两面宿傩之剑</t>
  </si>
  <si>
    <t>7C B6</t>
  </si>
  <si>
    <t>炎狱武者之铠</t>
  </si>
  <si>
    <t>32 B7</t>
  </si>
  <si>
    <t>九郎判官之铠</t>
  </si>
  <si>
    <t>81 B7</t>
  </si>
  <si>
    <t>A1 B7</t>
  </si>
  <si>
    <t>FC B7</t>
  </si>
  <si>
    <t>唐冠形盔</t>
  </si>
  <si>
    <t>56 B8</t>
  </si>
  <si>
    <t>F0 B8</t>
  </si>
  <si>
    <t>武藏坊之铠</t>
  </si>
  <si>
    <t>5E BA</t>
  </si>
  <si>
    <t>9A BA</t>
  </si>
  <si>
    <t>59 BD</t>
  </si>
  <si>
    <t>鬼猎鬼机关棍</t>
  </si>
  <si>
    <t>F1 BD</t>
  </si>
  <si>
    <t>与一之弓</t>
  </si>
  <si>
    <t>11 BF</t>
  </si>
  <si>
    <t>游历剑士装束</t>
  </si>
  <si>
    <t>32 BF</t>
  </si>
  <si>
    <t>一玄居士之衣</t>
  </si>
  <si>
    <t>77 BF</t>
  </si>
  <si>
    <t>78 BF</t>
  </si>
  <si>
    <t>副将军之铠</t>
  </si>
  <si>
    <t>BD BF</t>
  </si>
  <si>
    <t>00 C0</t>
  </si>
  <si>
    <t>0A C0</t>
  </si>
  <si>
    <t>97 C0</t>
  </si>
  <si>
    <t>源太产衣</t>
  </si>
  <si>
    <t>D9 C0</t>
  </si>
  <si>
    <t>33 C1</t>
  </si>
  <si>
    <t>肥后之虎铠</t>
  </si>
  <si>
    <t>F3 C1</t>
  </si>
  <si>
    <t>逃弹正之铠</t>
  </si>
  <si>
    <t>7B C2</t>
  </si>
  <si>
    <t>FF C2</t>
  </si>
  <si>
    <t>01 C3</t>
  </si>
  <si>
    <t>海内无双之衣</t>
  </si>
  <si>
    <t>84 C3</t>
  </si>
  <si>
    <t>弁庆梦想装束</t>
  </si>
  <si>
    <t>EC C3</t>
  </si>
  <si>
    <t>无常刀</t>
  </si>
  <si>
    <t>91 C4</t>
  </si>
  <si>
    <t>12 C5</t>
  </si>
  <si>
    <t>百鬼薙刀镰</t>
  </si>
  <si>
    <t>18 C5</t>
  </si>
  <si>
    <t>污泥壶</t>
  </si>
  <si>
    <t>71 C5</t>
  </si>
  <si>
    <t>99 C5</t>
  </si>
  <si>
    <t>两面宿傩之弓</t>
  </si>
  <si>
    <t>2A C7</t>
  </si>
  <si>
    <t>B3 C9</t>
  </si>
  <si>
    <t>黏液罐</t>
  </si>
  <si>
    <t>0C CB</t>
  </si>
  <si>
    <t>15 CB</t>
  </si>
  <si>
    <t>仁王面·阿形</t>
  </si>
  <si>
    <t>BB CB</t>
  </si>
  <si>
    <t>海道第一大名之铠</t>
  </si>
  <si>
    <t>DA CB</t>
  </si>
  <si>
    <t>0E CC</t>
  </si>
  <si>
    <t>28 CC</t>
  </si>
  <si>
    <t>7C CC</t>
  </si>
  <si>
    <t>88 CC</t>
  </si>
  <si>
    <t>BE CC</t>
  </si>
  <si>
    <t>西国无双之弓</t>
  </si>
  <si>
    <t>19 CD</t>
  </si>
  <si>
    <t>兔耳头盔</t>
  </si>
  <si>
    <t>6F CD</t>
  </si>
  <si>
    <t>EE CD</t>
  </si>
  <si>
    <t>F7 CD</t>
  </si>
  <si>
    <t>9A CE</t>
  </si>
  <si>
    <t>AF CE</t>
  </si>
  <si>
    <t>铃鹿战装束</t>
  </si>
  <si>
    <t>AD CF</t>
  </si>
  <si>
    <t>清廉义铠</t>
  </si>
  <si>
    <t>35 D0</t>
  </si>
  <si>
    <t>41 D0</t>
  </si>
  <si>
    <t>炎狱忍者装束</t>
  </si>
  <si>
    <t>09 D1</t>
  </si>
  <si>
    <t>2A D1</t>
  </si>
  <si>
    <t>7F D1</t>
  </si>
  <si>
    <t>流浪楚叶矢装束</t>
  </si>
  <si>
    <t>8A D1</t>
  </si>
  <si>
    <t>敦贺正宗·包丁藤四郎</t>
  </si>
  <si>
    <t>91 D1</t>
  </si>
  <si>
    <t>54 D3</t>
  </si>
  <si>
    <t>木手甲</t>
  </si>
  <si>
    <t>69 D4</t>
  </si>
  <si>
    <t>24 D5</t>
  </si>
  <si>
    <t>燕尾中铠</t>
  </si>
  <si>
    <t>46 D6</t>
  </si>
  <si>
    <t>漆黑大铠</t>
  </si>
  <si>
    <t>4E D6</t>
  </si>
  <si>
    <t>比比罗木之八寻矛</t>
  </si>
  <si>
    <t>8D D6</t>
  </si>
  <si>
    <t>BF D7</t>
  </si>
  <si>
    <t>太郎坊兼光·刺剑</t>
  </si>
  <si>
    <t>CA D7</t>
  </si>
  <si>
    <t>C4 D8</t>
  </si>
  <si>
    <t>2D D9</t>
  </si>
  <si>
    <t>枭雄之铠</t>
  </si>
  <si>
    <t>05 DA</t>
  </si>
  <si>
    <t>备前景安</t>
  </si>
  <si>
    <t>11 DA</t>
  </si>
  <si>
    <t>蜻蛉切</t>
  </si>
  <si>
    <t>86 DB</t>
  </si>
  <si>
    <t>C1 DE</t>
  </si>
  <si>
    <t>ED DF</t>
  </si>
  <si>
    <t>调节阀后立头盔</t>
  </si>
  <si>
    <t>2D E0</t>
  </si>
  <si>
    <t>霸王狙击装束</t>
  </si>
  <si>
    <t>72 E0</t>
  </si>
  <si>
    <t>D2 E1</t>
  </si>
  <si>
    <t>怪童大铠</t>
  </si>
  <si>
    <t>FE E1</t>
  </si>
  <si>
    <t>52 E2</t>
  </si>
  <si>
    <t>DC E2</t>
  </si>
  <si>
    <t>E5 E2</t>
  </si>
  <si>
    <t>ED E2</t>
  </si>
  <si>
    <t>善擦帽子</t>
  </si>
  <si>
    <t>F7 E2</t>
  </si>
  <si>
    <t>31 E3</t>
  </si>
  <si>
    <t>D0 E3</t>
  </si>
  <si>
    <t>祈月斗将之铠</t>
  </si>
  <si>
    <t>F3 E3</t>
  </si>
  <si>
    <t>54 E4</t>
  </si>
  <si>
    <t>C2 E4</t>
  </si>
  <si>
    <t>03 E5</t>
  </si>
  <si>
    <t>91 E5</t>
  </si>
  <si>
    <t>B7 E5</t>
  </si>
  <si>
    <t>武藏的头巾</t>
  </si>
  <si>
    <t>3B E6</t>
  </si>
  <si>
    <t>B7 E6</t>
  </si>
  <si>
    <t>C0 E6</t>
  </si>
  <si>
    <t>牛头天王之斧</t>
  </si>
  <si>
    <t>48 E7</t>
  </si>
  <si>
    <t>上总介之铠</t>
  </si>
  <si>
    <t>50 E7</t>
  </si>
  <si>
    <t>D8 E9</t>
  </si>
  <si>
    <t>F2 E9</t>
  </si>
  <si>
    <t>A9 EA</t>
  </si>
  <si>
    <t>15 EB</t>
  </si>
  <si>
    <t>5B EB</t>
  </si>
  <si>
    <t>象鼻头盔</t>
  </si>
  <si>
    <t>6B EB</t>
  </si>
  <si>
    <t>1C EC</t>
  </si>
  <si>
    <t>甲斐之虎铠甲</t>
  </si>
  <si>
    <t>75 EC</t>
  </si>
  <si>
    <t>刑部轻铠</t>
  </si>
  <si>
    <t>9E EC</t>
  </si>
  <si>
    <t>A7 EC</t>
  </si>
  <si>
    <t>三池典太·编笠</t>
  </si>
  <si>
    <t>AE EC</t>
  </si>
  <si>
    <t>AF EC</t>
  </si>
  <si>
    <t>狱卒之斧</t>
  </si>
  <si>
    <t>B1 EC</t>
  </si>
  <si>
    <t>水军装束</t>
  </si>
  <si>
    <t>41 ED</t>
  </si>
  <si>
    <t>晒衣杆</t>
  </si>
  <si>
    <t>51 EF</t>
  </si>
  <si>
    <t>7F EF</t>
  </si>
  <si>
    <t>唐皮铠</t>
  </si>
  <si>
    <t>D9 EF</t>
  </si>
  <si>
    <t>40 F0</t>
  </si>
  <si>
    <t>智慧伊豆之衣</t>
  </si>
  <si>
    <t>84 F0</t>
  </si>
  <si>
    <t>傲世才子之铠</t>
  </si>
  <si>
    <t>BA F0</t>
  </si>
  <si>
    <t>独眼剑豪之衣</t>
  </si>
  <si>
    <t>84 F1</t>
  </si>
  <si>
    <t>过往名军师衣装</t>
  </si>
  <si>
    <t>10 F3</t>
  </si>
  <si>
    <t>乌帽子形盔</t>
  </si>
  <si>
    <t>82 F3</t>
  </si>
  <si>
    <t>A8 F3</t>
  </si>
  <si>
    <t>BD F3</t>
  </si>
  <si>
    <t>5D F4</t>
  </si>
  <si>
    <t>76 F4</t>
  </si>
  <si>
    <t>D8 F4</t>
  </si>
  <si>
    <t>东国无双之铠</t>
  </si>
  <si>
    <t>2F F6</t>
  </si>
  <si>
    <t>25 F7</t>
  </si>
  <si>
    <t>星切太刀</t>
  </si>
  <si>
    <t>EE F7</t>
  </si>
  <si>
    <t>错轮纹立缨后立盔</t>
  </si>
  <si>
    <t>B9 F8</t>
  </si>
  <si>
    <t>万鬼之铠</t>
  </si>
  <si>
    <t>BC F8</t>
  </si>
  <si>
    <t>26 F9</t>
  </si>
  <si>
    <t>42 F9</t>
  </si>
  <si>
    <t>85 F9</t>
  </si>
  <si>
    <t>B0 FA</t>
  </si>
  <si>
    <t>大目付忍装束</t>
  </si>
  <si>
    <t>5A FB</t>
  </si>
  <si>
    <t>酒吞童子的面具</t>
  </si>
  <si>
    <t>70 FB</t>
  </si>
  <si>
    <t>10 FD</t>
  </si>
  <si>
    <t>2A FD</t>
  </si>
  <si>
    <t>27 FE</t>
  </si>
  <si>
    <t>C0 FE</t>
  </si>
  <si>
    <t>2B FF</t>
  </si>
  <si>
    <t>活魂石</t>
  </si>
  <si>
    <t>35 FF</t>
  </si>
  <si>
    <t>水神切兼光</t>
  </si>
  <si>
    <t>8B FF</t>
  </si>
  <si>
    <t>绘卷</t>
  </si>
  <si>
    <t>82 1E</t>
  </si>
  <si>
    <t>百境百怪绘卷</t>
  </si>
  <si>
    <t>6D 51</t>
  </si>
  <si>
    <t>百境百怪绘卷·将军</t>
  </si>
  <si>
    <t>04 E6</t>
  </si>
  <si>
    <t>百境百怪绘卷·顿悟</t>
  </si>
  <si>
    <t>82 DD</t>
  </si>
  <si>
    <t>百境百怪绘卷·仁王</t>
  </si>
  <si>
    <t>箭弹</t>
  </si>
  <si>
    <t>EE F3</t>
  </si>
  <si>
    <t>0B A7</t>
  </si>
  <si>
    <t>枪弹</t>
  </si>
  <si>
    <t>CF 79</t>
  </si>
  <si>
    <t>B0 B1</t>
  </si>
  <si>
    <t>轰音枪弹</t>
  </si>
  <si>
    <t>炮弹</t>
  </si>
  <si>
    <t>A3 9D</t>
  </si>
  <si>
    <t>C9 CE</t>
  </si>
  <si>
    <t>炸裂炮弹</t>
  </si>
  <si>
    <t>锻造材料</t>
  </si>
  <si>
    <t>髓材</t>
  </si>
  <si>
    <t>00 F0</t>
  </si>
  <si>
    <t>髓材（造成伤害）</t>
  </si>
  <si>
    <t>01 05</t>
  </si>
  <si>
    <t>髓材（承受伤害）</t>
  </si>
  <si>
    <t>7B C5</t>
  </si>
  <si>
    <t>髓材（精华槽）</t>
  </si>
  <si>
    <t>8D 3A</t>
  </si>
  <si>
    <t>髓材（造成精力伤害）</t>
  </si>
  <si>
    <t>CD 2C</t>
  </si>
  <si>
    <t>髓材（承受精力伤害和精力消耗）</t>
  </si>
  <si>
    <t>0A AB</t>
  </si>
  <si>
    <t>髓材（移动、闪避）</t>
  </si>
  <si>
    <t>E4 55</t>
  </si>
  <si>
    <t>髓材(造成异常状态）</t>
  </si>
  <si>
    <t>61 CB</t>
  </si>
  <si>
    <t>髓材（承受异常状态）</t>
  </si>
  <si>
    <t>F8 BE</t>
  </si>
  <si>
    <t>髓材（掉落)</t>
  </si>
  <si>
    <t>FD E8</t>
  </si>
  <si>
    <t>髄材（恢复体力）</t>
  </si>
  <si>
    <t>2B D2</t>
  </si>
  <si>
    <t>髄材（恢复精力）</t>
  </si>
  <si>
    <t>46 8B</t>
  </si>
  <si>
    <t>髄材（灵力）</t>
  </si>
  <si>
    <t>63 7E</t>
  </si>
  <si>
    <t>髄材（远距离）</t>
  </si>
  <si>
    <t>07 6F</t>
  </si>
  <si>
    <t>髄材（特殊)</t>
  </si>
  <si>
    <t>41 FE</t>
  </si>
  <si>
    <t>灵石炭</t>
  </si>
  <si>
    <t>9D AE</t>
  </si>
  <si>
    <t>玉钢</t>
  </si>
  <si>
    <t>5E 17</t>
  </si>
  <si>
    <t>木材</t>
  </si>
  <si>
    <t>F1 3E</t>
  </si>
  <si>
    <t>铁铸块</t>
  </si>
  <si>
    <t>8B B3</t>
  </si>
  <si>
    <t>漆</t>
  </si>
  <si>
    <t>AB AE</t>
  </si>
  <si>
    <t>皮绳</t>
  </si>
  <si>
    <t>E7 98</t>
  </si>
  <si>
    <t>皮甲片</t>
  </si>
  <si>
    <t>16 CE</t>
  </si>
  <si>
    <t>铁甲片</t>
  </si>
  <si>
    <t>38 87</t>
  </si>
  <si>
    <t>黄魂矿</t>
  </si>
  <si>
    <t>B7 9F</t>
  </si>
  <si>
    <t>翠魂矿</t>
  </si>
  <si>
    <t>96 2B</t>
  </si>
  <si>
    <t>碧魂矿</t>
  </si>
  <si>
    <t>73 A1</t>
  </si>
  <si>
    <t>鬼角</t>
  </si>
  <si>
    <t>小妖材料</t>
  </si>
  <si>
    <t>36 6A</t>
  </si>
  <si>
    <t>河童的背甲</t>
  </si>
  <si>
    <t>D8 7D</t>
  </si>
  <si>
    <t>苦痛之舌</t>
  </si>
  <si>
    <t>50 A1</t>
  </si>
  <si>
    <t>纸伞骨干</t>
  </si>
  <si>
    <t>90 CB</t>
  </si>
  <si>
    <t>乌鸦天狗的羽毛</t>
  </si>
  <si>
    <t>68 1B</t>
  </si>
  <si>
    <t>女郎蜘蛛的脚壳</t>
  </si>
  <si>
    <t>B9 48</t>
  </si>
  <si>
    <t>赤河童的背甲</t>
  </si>
  <si>
    <t>46 17</t>
  </si>
  <si>
    <t>怪鸟嘴喙</t>
  </si>
  <si>
    <t>0A 31</t>
  </si>
  <si>
    <t>灵石之腕</t>
  </si>
  <si>
    <t>51 29</t>
  </si>
  <si>
    <t>熏灰块</t>
  </si>
  <si>
    <t>33 B7</t>
  </si>
  <si>
    <t>濡湿光亮的发束</t>
  </si>
  <si>
    <t>0D 8F</t>
  </si>
  <si>
    <t>独脚踏鞴之牙</t>
  </si>
  <si>
    <t>FA 80</t>
  </si>
  <si>
    <t>歪曲颚骨</t>
  </si>
  <si>
    <t>DF 06</t>
  </si>
  <si>
    <t>白色发束</t>
  </si>
  <si>
    <t>84 CE</t>
  </si>
  <si>
    <t>猥祼单爪</t>
  </si>
  <si>
    <t>9D 5B</t>
  </si>
  <si>
    <t>燃尽的灯芯</t>
  </si>
  <si>
    <t>3E 8A</t>
  </si>
  <si>
    <t>镰刃碎片</t>
  </si>
  <si>
    <t>49 8E</t>
  </si>
  <si>
    <t>婴儿石的碎片</t>
  </si>
  <si>
    <t>33 7E</t>
  </si>
  <si>
    <t>弯曲的大角</t>
  </si>
  <si>
    <t>5A 62</t>
  </si>
  <si>
    <t>血锈的锯齿</t>
  </si>
  <si>
    <t>19 75</t>
  </si>
  <si>
    <t>业火之钉</t>
  </si>
  <si>
    <t>A5 96</t>
  </si>
  <si>
    <t>猿鬼的毛皮</t>
  </si>
  <si>
    <t>B9 66</t>
  </si>
  <si>
    <t>束缚外道的灵石</t>
  </si>
  <si>
    <t>52 12</t>
  </si>
  <si>
    <t>冰炎金轮</t>
  </si>
  <si>
    <t>61 F2</t>
  </si>
  <si>
    <t>始源的泥土</t>
  </si>
  <si>
    <t>DB D1</t>
  </si>
  <si>
    <t>怨憎荆棘</t>
  </si>
  <si>
    <t>DB A0</t>
  </si>
  <si>
    <t>琵琶的拨片</t>
  </si>
  <si>
    <t>A9 D2</t>
  </si>
  <si>
    <t>貉的围巾</t>
  </si>
  <si>
    <t>39 92</t>
  </si>
  <si>
    <t>泥墙的碎片</t>
  </si>
  <si>
    <t>73 5D</t>
  </si>
  <si>
    <t>独眼鬼的腰布</t>
  </si>
  <si>
    <t>D9 99</t>
  </si>
  <si>
    <t>雪入道的腰布</t>
  </si>
  <si>
    <t>2C 3D</t>
  </si>
  <si>
    <t>白色卷布</t>
  </si>
  <si>
    <t>68 60</t>
  </si>
  <si>
    <t>小海坊主的眼石</t>
  </si>
  <si>
    <t>2A 64</t>
  </si>
  <si>
    <t>变异皮肤片</t>
  </si>
  <si>
    <t>DA 13</t>
  </si>
  <si>
    <t>亡骸武者的仙骨</t>
  </si>
  <si>
    <t>17 84</t>
  </si>
  <si>
    <t>车轮碎片</t>
  </si>
  <si>
    <t>76 1A</t>
  </si>
  <si>
    <t>鬼火核</t>
  </si>
  <si>
    <t>52 A0</t>
  </si>
  <si>
    <t>妖蟹的螯</t>
  </si>
  <si>
    <t>96 10</t>
  </si>
  <si>
    <t>肉瘤怪的肝</t>
  </si>
  <si>
    <t>A9 5B</t>
  </si>
  <si>
    <t>诅咒五寸钉</t>
  </si>
  <si>
    <t>72 01</t>
  </si>
  <si>
    <t>子泣爷爷的胡须</t>
  </si>
  <si>
    <t>7C D0</t>
  </si>
  <si>
    <t>怪鸟的尾羽毛</t>
  </si>
  <si>
    <t>25 F6</t>
  </si>
  <si>
    <t>狱来首饰</t>
  </si>
  <si>
    <t>B9 D3</t>
  </si>
  <si>
    <t>雷兽的毛皮</t>
  </si>
  <si>
    <t>29 0F</t>
  </si>
  <si>
    <t>饿狼之爪</t>
  </si>
  <si>
    <t>9C EF</t>
  </si>
  <si>
    <t>绿化的表皮</t>
  </si>
  <si>
    <t>F9 F0</t>
  </si>
  <si>
    <t>无头马的大尾</t>
  </si>
  <si>
    <t>8D 22</t>
  </si>
  <si>
    <t>野兽的大耳</t>
  </si>
  <si>
    <t>41 3A</t>
  </si>
  <si>
    <t>沾满沙子的布块</t>
  </si>
  <si>
    <t>AB A5</t>
  </si>
  <si>
    <t>锐利的毒针</t>
  </si>
  <si>
    <t>CD 00</t>
  </si>
  <si>
    <t>鲜艳的鳞片</t>
  </si>
  <si>
    <t>73 DF</t>
  </si>
  <si>
    <t>强韧的长颈椎</t>
  </si>
  <si>
    <t>B0 CE</t>
  </si>
  <si>
    <t>朱盆的独角</t>
  </si>
  <si>
    <t>9D 41</t>
  </si>
  <si>
    <t>EC E2</t>
  </si>
  <si>
    <t>发达的门齿</t>
  </si>
  <si>
    <t>65 0A</t>
  </si>
  <si>
    <t>带角的头骨片</t>
  </si>
  <si>
    <t>C0 44</t>
  </si>
  <si>
    <t>防人的石铠碎片</t>
  </si>
  <si>
    <t>35 64</t>
  </si>
  <si>
    <t>不会融化的冰柱</t>
  </si>
  <si>
    <t>大妖材料</t>
  </si>
  <si>
    <t>20 1B</t>
  </si>
  <si>
    <t>成对的大蛇骨</t>
  </si>
  <si>
    <t>84 7C</t>
  </si>
  <si>
    <t>大天狗的拨风羽</t>
  </si>
  <si>
    <t>05 DF</t>
  </si>
  <si>
    <t>乌黑发亮的垂发</t>
  </si>
  <si>
    <t>45 48</t>
  </si>
  <si>
    <t>茨木童子的雷刺</t>
  </si>
  <si>
    <t>84 DD</t>
  </si>
  <si>
    <t>涂佛的绯眼</t>
  </si>
  <si>
    <t>ED 98</t>
  </si>
  <si>
    <t>傲岸鬼角</t>
  </si>
  <si>
    <t>23 A6</t>
  </si>
  <si>
    <t>冒疾鬼角</t>
  </si>
  <si>
    <t>F6 5B</t>
  </si>
  <si>
    <t>执心鬼角</t>
  </si>
  <si>
    <t>21 02</t>
  </si>
  <si>
    <t>飞缘魔的黑布</t>
  </si>
  <si>
    <t>FC 54</t>
  </si>
  <si>
    <t>修罗的腥血</t>
  </si>
  <si>
    <t>48 08</t>
  </si>
  <si>
    <t>地狱的魂玉</t>
  </si>
  <si>
    <t>95 BC</t>
  </si>
  <si>
    <t>铁鼠的门牙</t>
  </si>
  <si>
    <t>EF EE</t>
  </si>
  <si>
    <t>垢尝的棘舌</t>
  </si>
  <si>
    <t>70 96</t>
  </si>
  <si>
    <t>狂暴旋角</t>
  </si>
  <si>
    <t>B2 04</t>
  </si>
  <si>
    <t>大蛤蟆油</t>
  </si>
  <si>
    <t>类别</t>
  </si>
  <si>
    <t>词条代码地址</t>
  </si>
  <si>
    <t>造成伤害</t>
  </si>
  <si>
    <t>邪马台国之剑/破邪大槌/鬼神丸国重</t>
  </si>
  <si>
    <t>武士装备专属</t>
  </si>
  <si>
    <t>忍者装备专属</t>
  </si>
  <si>
    <t>精力减少</t>
  </si>
  <si>
    <t>掉落</t>
  </si>
  <si>
    <t>灵力</t>
  </si>
  <si>
    <t>其他</t>
  </si>
  <si>
    <t>造成精力伤害</t>
  </si>
  <si>
    <t>恢复体力</t>
  </si>
  <si>
    <t>恢复精力</t>
  </si>
  <si>
    <t>精华槽</t>
  </si>
  <si>
    <t>旋棍武器专属</t>
  </si>
  <si>
    <t>远距离</t>
  </si>
  <si>
    <t>造成异常状态</t>
  </si>
  <si>
    <t>数值随等级提升</t>
  </si>
  <si>
    <t>道具赋予武器属性的时间</t>
  </si>
  <si>
    <t>远程专属</t>
  </si>
  <si>
    <t>所属部位</t>
  </si>
  <si>
    <t>侍大将中铠/御庭番忍者</t>
  </si>
  <si>
    <t>忍铠</t>
  </si>
  <si>
    <t>三者忍者装束</t>
  </si>
  <si>
    <t>足轻中铠/摆渡者装束</t>
  </si>
  <si>
    <t>防具专属</t>
  </si>
  <si>
    <t>承受异常状态</t>
  </si>
  <si>
    <t>美浓宿老之铠/邪马台国轻铠</t>
  </si>
  <si>
    <t>浪人中铠/盗贼之铠</t>
  </si>
  <si>
    <t>少武者中铠/山伏装束</t>
  </si>
  <si>
    <t>不请自来者之铠/盗贼轻铠</t>
  </si>
  <si>
    <t>阴阳师狩衣</t>
  </si>
  <si>
    <t>退魔师战甲</t>
  </si>
  <si>
    <t>承受伤害</t>
  </si>
  <si>
    <t>邪马台国之铠/传家大铠</t>
  </si>
  <si>
    <t>幕府军装束</t>
  </si>
  <si>
    <t>忍者装束</t>
  </si>
  <si>
    <t>忍术</t>
  </si>
  <si>
    <t>风魔忍者装束</t>
  </si>
  <si>
    <t>弓手/射手装束</t>
  </si>
  <si>
    <t>屈之装束</t>
  </si>
  <si>
    <t>移动、闪避</t>
  </si>
  <si>
    <t>叛军浪士之铠/修验者装束/世嗣忍者装束</t>
  </si>
  <si>
    <t>卷曲蛇形盔</t>
  </si>
  <si>
    <t>头部/身体/手臂/腿部/足部</t>
  </si>
  <si>
    <t>八咫镜</t>
  </si>
  <si>
    <t>水龙</t>
  </si>
  <si>
    <t>手镜(忍者)</t>
  </si>
  <si>
    <t>手镜(武士)</t>
  </si>
  <si>
    <t>忍者专属</t>
  </si>
  <si>
    <t>饰品专属</t>
  </si>
  <si>
    <t>武士饰品专属</t>
  </si>
  <si>
    <t>忍者饰品专属</t>
  </si>
  <si>
    <t>念珠(粉)[忍者]</t>
  </si>
  <si>
    <t>67 16 00 00 02 00 00 00 00 9B 00 00</t>
  </si>
  <si>
    <t>矢立</t>
  </si>
  <si>
    <t>装备种类</t>
  </si>
  <si>
    <t>数值区间</t>
  </si>
  <si>
    <t>数值集合</t>
  </si>
  <si>
    <t>135 | 136 | 137 | 138 | 139 | 140 | 141 | 142 | 143 | 144 | 145 | 146 | 147 | 148</t>
  </si>
  <si>
    <t>149 | 150 | 151 | 152 | 153 | 154 | 155 | 156 | 157 | 158 | 159 | 160 | 161 | 162</t>
  </si>
  <si>
    <t>162 | 163 | 164 | 165 | 166 | 167 | 168 | 169 | 170 | 171 | 172 | 173 | 174 | 175</t>
  </si>
  <si>
    <t>80 | 81 | 82 | 83 | 84 | 85 | 86 | 87 | 88 | 89 | 90 | 91</t>
  </si>
  <si>
    <t>91 | 92 | 93 | 94 | 95 | 96 | 97 | 98 | 99 | 100 | 101 | 102</t>
  </si>
  <si>
    <t>101 | 102 | 103 | 104 | 105 | 106 | 107 | 108 | 109 | 110 | 111 | 112</t>
  </si>
  <si>
    <t>145 | 146 | 147 | 148 | 149 | 150 | 151 | 152 | 153 | 154 | 155 | 156 | 157</t>
  </si>
  <si>
    <t>157 | 158 | 159 | 160 | 161 | 162 | 163 | 164 | 165 | 166 | 167 | 168 | 169</t>
  </si>
  <si>
    <t>168 | 169 | 170 | 171 | 172 | 173 | 174 | 175 | 176 | 177 | 178 | 179 | 180</t>
  </si>
  <si>
    <t>102 | 103 | 104 | 105 | 106 | 107 | 108 | 109 | 110 | 111 | 112 | 113</t>
  </si>
  <si>
    <t>绿色星号词条独有</t>
  </si>
  <si>
    <t>113 | 114 | 115 | 116 | 117 | 118 | 119 | 120 | 121 | 122 | 123 | 124</t>
  </si>
  <si>
    <t>123 | 124 | 125 | 126 | 127 | 128 | 129 | 130 | 131 | 132 | 133 | 134</t>
  </si>
  <si>
    <t>175 | 176 | 177 | 178 | 179 | 180 | 181 | 182 | 183 | 184 | 185 | 186 | 187 | 188 | 189 | 190 | 191 | 192</t>
  </si>
  <si>
    <t>191 | 192 | 193 | 194 | 195 | 196 | 197 | 198 | 199 | 200 | 201 | 202 | 203 | 204 | 205 | 206 | 207 | 208</t>
  </si>
  <si>
    <t>208 | 209 | 210 | 211 | 212 | 213 | 214 | 215 | 216 | 217 | 218 | 219 | 220 | 221 | 222 | 223 | 224 | 225</t>
  </si>
  <si>
    <t>A5 FF 00 00 04 00 00 00 00 03 04 00</t>
  </si>
  <si>
    <t>(星)对伤害的反映(体) C</t>
  </si>
  <si>
    <t>4</t>
  </si>
  <si>
    <t>64 B9 00 00 05 00 00 00 00 03 04 00</t>
  </si>
  <si>
    <t>(星)对伤害的反映(体) C+</t>
  </si>
  <si>
    <t>5</t>
  </si>
  <si>
    <t>3D 54 00 00 06 00 00 00 00 03 04 00</t>
  </si>
  <si>
    <t>(星)对伤害的反映(体) B-</t>
  </si>
  <si>
    <t>6</t>
  </si>
  <si>
    <t>4E 7F 00 00 04 00 00 00 00 03 04 00</t>
  </si>
  <si>
    <t>(星)对伤害的反映(心) C</t>
  </si>
  <si>
    <t>29 A1 00 00 05 00 00 00 00 03 04 00</t>
  </si>
  <si>
    <t>(星)对伤害的反映(心) C+</t>
  </si>
  <si>
    <t>21 E0 00 00 06 00 00 00 00 03 04 00</t>
  </si>
  <si>
    <t>(星)对伤害的反映(心) B-</t>
  </si>
  <si>
    <t>D2 D7 00 00 04 00 00 00 00 03 04 00</t>
  </si>
  <si>
    <t>(星)对伤害的反映(刚) C</t>
  </si>
  <si>
    <t>9B FB 00 00 05 00 00 00 00 03 04 00</t>
  </si>
  <si>
    <t>(星)对伤害的反映(刚) C+</t>
  </si>
  <si>
    <t>DA 93 00 00 06 00 00 00 00 03 04 00</t>
  </si>
  <si>
    <t>(星)对伤害的反映(刚) B-</t>
  </si>
  <si>
    <t>63 2C 00 00 04 00 00 00 00 03 04 00</t>
  </si>
  <si>
    <t>(星)对伤害的反映(武) C</t>
  </si>
  <si>
    <t>30 48 00 00 05 00 00 00 00 03 04 00</t>
  </si>
  <si>
    <t>(星)对伤害的反映(武) C+</t>
  </si>
  <si>
    <t>C5 4F 00 00 06 00 00 00 00 03 04 00</t>
  </si>
  <si>
    <t>(星)对伤害的反映(武) B-</t>
  </si>
  <si>
    <t>BC 11 00 00 04 00 00 00 00 03 04 00</t>
  </si>
  <si>
    <t>(星)对伤害的反映(技) C</t>
  </si>
  <si>
    <t>0A B7 00 00 05 00 00 00 00 03 04 00</t>
  </si>
  <si>
    <t>(星)对伤害的反映(技) C+</t>
  </si>
  <si>
    <t>B1 3D 00 00 06 00 00 00 00 03 04 00</t>
  </si>
  <si>
    <t>(星)对伤害的反映(技) B-</t>
  </si>
  <si>
    <t>8A 87 00 00 04 00 00 00 00 03 04 00</t>
  </si>
  <si>
    <t>(星)对伤害的反映(智) C</t>
  </si>
  <si>
    <t>0A 93 00 00 05 00 00 00 00 03 04 00</t>
  </si>
  <si>
    <t>(星)对伤害的反映(智) C+</t>
  </si>
  <si>
    <t>F6 03 00 00 06 00 00 00 00 03 04 00</t>
  </si>
  <si>
    <t>(星)对伤害的反映(智) B-</t>
  </si>
  <si>
    <t>B8 BE 00 00 04 00 00 00 00 03 04 00</t>
  </si>
  <si>
    <t>(星)对伤害的反映(咒) C</t>
  </si>
  <si>
    <t>7B 3B 00 00 05 00 00 00 00 03 04 00</t>
  </si>
  <si>
    <t>(星)对伤害的反映(咒) C+</t>
  </si>
  <si>
    <t>40 B4 00 00 06 00 00 00 00 03 04 00</t>
  </si>
  <si>
    <t>(星)对伤害的反映(咒) B-</t>
  </si>
  <si>
    <t>[近战/手臂/魂核]</t>
  </si>
  <si>
    <t>92 | 93 | 94 | 95 | 96 | 97 | 98 | 99 | 100 | 101 | 102 | 103</t>
  </si>
  <si>
    <t>绿色星号词条独有/可魂核锻造</t>
  </si>
  <si>
    <t>88 | 89 | 90 | 91 | 92 | 93 | 94 | 95 | 96 | 97 | 98 | 99</t>
  </si>
  <si>
    <t>99 | 100 | 101 | 102 | 103 | 104 | 105 | 106 | 107 | 108 | 109 | 110</t>
  </si>
  <si>
    <t>109 | 110 | 111 | 112 | 113 | 114 | 115 | 116 | 117 | 118 | 119 | 120</t>
  </si>
  <si>
    <t>60 | 61 | 62 | 63 | 64 | 65 | 66 | 67 | 68 | 69 | 70</t>
  </si>
  <si>
    <t>可魂核锻造</t>
  </si>
  <si>
    <t>70 | 71 | 72 | 73 | 74 | 75 | 76 | 77 | 78 | 79 | 80</t>
  </si>
  <si>
    <t>80 | 81 | 82 | 83 | 84 | 85 | 86 | 87 | 88 | 89 | 90</t>
  </si>
  <si>
    <t>103 | 104 | 105 | 106 | 107 | 108 | 109 | 110 | 111 | 112 | 113 | 114</t>
  </si>
  <si>
    <t>112 | 113 | 114 | 115 | 116 | 117 | 118 | 119 | 120 | 121 | 122 | 123</t>
  </si>
  <si>
    <t>133 | 134 | 135 | 136 | 137 | 138 | 139 | 140 | 141 | 142 | 143 | 144</t>
  </si>
  <si>
    <t>158 | 159 | 160 | 162 | 163 | 164 | 166 | 167 | 168 | 170 | 171 | 172 | 174 | 175 | 176 | 178 | 179 | 180 | 182 | 183 | 185</t>
  </si>
  <si>
    <t>184 | 185 | 186 | 188 | 189 | 190 | 192 | 193 | 194 | 196 | 197 | 198 | 200 | 201 | 202 | 204 | 205 | 206 | 208 | 209 | 211</t>
  </si>
  <si>
    <t>211 | 212 | 213 | 215 | 216 | 217 | 219 | 220 | 221 | 223 | 224 | 225 | 227 | 228 | 229 | 231 | 232 | 233 | 235 | 236 | 238</t>
  </si>
  <si>
    <t>130 | 131 | 132 | 133 | 134 | 135 | 136 | 137 | 138</t>
  </si>
  <si>
    <t>138 | 139 | 140 | 141 | 142 | 143 | 144 | 145 | 146</t>
  </si>
  <si>
    <t>146 | 147 | 148 | 149 | 150 | 151 | 152 | 153 | 154</t>
  </si>
  <si>
    <t>132 | 133 | 134 | 135 | 136 | 137 | 138 | 139 | 140 | 141 | 143 | 144 | 145 | 146 | 147 | 148 | 149 | 150 | 151 | 152 | 154</t>
  </si>
  <si>
    <t>154 | 155 | 156 | 157 | 158 | 159 | 160 | 161 | 162 | 163 | 165 | 166 | 167 | 168 | 169 | 170 | 171 | 172 | 173 | 174 | 176</t>
  </si>
  <si>
    <t>176 | 177 | 178 | 179 | 180 | 181 | 182 | 183 | 184 | 185 | 187 | 188 | 189 | 190 | 191 | 192 | 193 | 194 | 195 | 196 | 198</t>
  </si>
  <si>
    <t>132 | 133 | 134 | 135 | 136 | 137 | 138 | 139 | 140 | 141 | 142 | 143</t>
  </si>
  <si>
    <t>143 | 144 | 145 | 146 | 147 | 148 | 149 | 150 | 151 | 152 | 153 | 154</t>
  </si>
  <si>
    <t>153 | 154 | 155 | 156 | 157 | 158 | 159 | 160 | 161 | 162 | 163 | 164</t>
  </si>
  <si>
    <t>[近战/头部/身体/手臂]</t>
  </si>
  <si>
    <t>72 | 73 | 74 | 75 | 76 | 77 | 78 | 79 | 80</t>
  </si>
  <si>
    <t>80 | 81 | 82 | 83 | 84 | 85 | 86 | 87 | 88</t>
  </si>
  <si>
    <t>88 | 89 | 90 | 91 | 92 | 93 | 94 | 95 | 96</t>
  </si>
  <si>
    <t>164 | 165 | 166 | 167 | 168 | 170 | 171 | 172 | 173 | 174 | 176 | 177 | 178 | 179 | 180 | 182 | 183 | 184 | 185 | 186 | 188</t>
  </si>
  <si>
    <t>188 | 189 | 190 | 191 | 192 | 194 | 195 | 196 | 197 | 198 | 200 | 201 | 202 | 203 | 204 | 206 | 207 | 208 | 209 | 210 | 212</t>
  </si>
  <si>
    <t>212 | 213 | 214 | 215 | 216 | 218 | 219 | 220 | 221 | 222 | 224 | 225 | 226 | 227 | 228 | 230 | 231 | 232 | 233 | 234 | 236</t>
  </si>
  <si>
    <t>122 | 123 | 124 | 125 | 126 | 127 | 128 | 129 | 130 | 131 | 132 | 133 | 134 | 135 | 136 | 137</t>
  </si>
  <si>
    <t>137 | 138 | 139 | 140 | 141 | 142 | 143 | 144 | 145 | 146 | 147 | 148 | 149 | 150 | 151 | 152</t>
  </si>
  <si>
    <t>141 | 142 | 143 | 144 | 145 | 146 | 147 | 148 | 149 | 150 | 151 | 152 | 153 | 154 | 155 | 156</t>
  </si>
  <si>
    <t>18 | 19 | 20 | 21</t>
  </si>
  <si>
    <t>21 | 22 | 23 | 24</t>
  </si>
  <si>
    <t>24 | 25 | 26 | 27</t>
  </si>
  <si>
    <t>60 | 61 | 62 | 63 | 64 | 65 | 66</t>
  </si>
  <si>
    <t>67 | 68 | 69 | 70 | 71 | 72 | 73</t>
  </si>
  <si>
    <t>74 | 75 | 76 | 77 | 78 | 79 | 80</t>
  </si>
  <si>
    <t>200 | 202 | 204 | 206 | 208 | 210 | 212 | 214 | 216 | 218 | 220 | 222 | 224 | 226 | 228 | 230 | 232 | 234 | 236 | 238 | 240</t>
  </si>
  <si>
    <t>240 | 241 | 243 | 244 | 246 | 247 | 249 | 250 | 252 | 253 | 255 | 256 | 258 | 259 | 261 | 262 | 264 | 265 | 267 | 268 | 270</t>
  </si>
  <si>
    <t>270 | 271 | 273 | 274 | 276 | 277 | 279 | 280 | 282 | 283 | 285 | 286 | 288 | 289 | 291 | 292 | 294 | 295 | 297 | 298 | 300</t>
  </si>
  <si>
    <t>154 | 155 | 156 | 157 | 158 | 159 | 160 | 161 | 162</t>
  </si>
  <si>
    <t>162 | 163 | 164 | 165 | 166 | 167 | 168 | 169 | 170 | 171 | 172</t>
  </si>
  <si>
    <t>172 | 173 | 174 | 175 | 176 | 177 | 178 | 179 | 180</t>
  </si>
  <si>
    <t>35 | 36 | 37 | 38 | 39 | 40</t>
  </si>
  <si>
    <t>40 | 41 | 42 | 43 | 44 | 45</t>
  </si>
  <si>
    <t>45 | 46 | 47 | 48 | 49 | 50</t>
  </si>
  <si>
    <t>77 | 78 | 79 | 80 | 81 | 82 | 83 | 84 | 85</t>
  </si>
  <si>
    <t>85 | 86 | 87 | 88 | 89 | 90 | 91 | 92 | 93</t>
  </si>
  <si>
    <t>102 | 103 | 104 | 105 | 106 | 107 | 108 | 109 | 110 | 111 | 112 | 113 | 114</t>
  </si>
  <si>
    <t>114 | 115 | 116 | 117 | 118 | 119 | 120 | 121 | 122 | 123 | 124 | 125 | 126</t>
  </si>
  <si>
    <t>126 | 127 | 128 | 129 | 130 | 131 | 132 | 133 | 134 | 135 | 136 | 137 | 138</t>
  </si>
  <si>
    <t>15 | 16</t>
  </si>
  <si>
    <t>17 | 18</t>
  </si>
  <si>
    <t>18 | 19</t>
  </si>
  <si>
    <t>8 | 9 | 10</t>
  </si>
  <si>
    <t>10 | 11</t>
  </si>
  <si>
    <t>10 | 11 | 12</t>
  </si>
  <si>
    <t>80 | 81 | 82 | 83 | 84 | 85 | 86 | 87 | 88 | 89 | 90 | 91 | 92 | 93 | 94 | 95 | 96 | 97 | 98 | 99 | 100</t>
  </si>
  <si>
    <t>100 | 101 | 102 | 103 | 104 | 105 | 106 | 107 | 108 | 109 | 110</t>
  </si>
  <si>
    <t>110 | 111 | 112 | 113 | 114 | 115 | 116 | 117 | 118 | 119 | 120</t>
  </si>
  <si>
    <t>45 | 46 | 47 | 48 | 49 | 50 | 51 | 52</t>
  </si>
  <si>
    <t>52 | 53 | 54 | 55 | 56 | 57 | 58 | 59</t>
  </si>
  <si>
    <t>59 | 60 | 61 | 62 | 63 | 64 | 65 | 66</t>
  </si>
  <si>
    <t>150 | 151 | 152 | 153 | 154 | 155 | 156 | 157 | 158 | 159 | 160 | 161 | 162 | 163 | 164 | 165 | 166 | 167</t>
  </si>
  <si>
    <t>167 | 168 | 169 | 170 | 171 | 172 | 173 | 174 | 175 | 176 | 177 | 178 | 179 | 180 | 181 | 182 | 183 | 184</t>
  </si>
  <si>
    <t>183 | 184 | 185 | 186 | 187 | 188 | 189 | 190 | 191 | 192 | 193 | 194 | 195 | 196 | 197 | 198 | 199 | 200</t>
  </si>
  <si>
    <t>20 | 21 | 22 | 23 | 24</t>
  </si>
  <si>
    <t>25 | 26 | 27 | 28 | 29</t>
  </si>
  <si>
    <t>26 | 27 | 28 | 29 | 30</t>
  </si>
  <si>
    <t>80 | 81 | 82 | 83 | 84 | 85 | 86 | 87 | 88 | 89 | 90 | 91 | 92 | 93 | 94 | 95 | 96 | 97</t>
  </si>
  <si>
    <t>97 | 98 | 99 | 100 | 101 | 102 | 103 | 104 | 105 | 106 | 107 | 108 | 109 | 110 | 111 | 112 | 113 | 114</t>
  </si>
  <si>
    <t>113 | 114 | 115 | 116 | 117 | 118 | 119 | 120 | 121 | 122 | 123 | 124 | 125 | 126 | 127 | 128 | 129 | 130</t>
  </si>
  <si>
    <t>[近战/魂核]</t>
  </si>
  <si>
    <t>50 | 51 | 52 | 53 | 54 | 55 | 56 | 57 | 58 | 59</t>
  </si>
  <si>
    <t>59 | 60 | 61 | 62 | 63 | 64 | 65 | 66 | 67 | 68</t>
  </si>
  <si>
    <t>66 | 67 | 68 | 69 | 70 | 71 | 72 | 73 | 74 | 75</t>
  </si>
  <si>
    <t>40 | 41 | 42 | 43 | 44 | 45 | 46 | 47</t>
  </si>
  <si>
    <t>47 | 48 | 49 | 50 | 51 | 52 | 53 | 54</t>
  </si>
  <si>
    <t>53 | 54 | 55 | 56 | 57 | 58 | 59 | 60</t>
  </si>
  <si>
    <t>78 | 79 | 80 | 81 | 82 | 83 | 84 | 85 | 86 | 87</t>
  </si>
  <si>
    <t>87 | 88 | 89 | 90 | 91 | 92 | 93 | 94 | 95 | 96</t>
  </si>
  <si>
    <t>95 | 96 | 97 | 98 | 99 | 100 | 101 | 102 | 103 | 104</t>
  </si>
  <si>
    <t>78 | 79 | 80 | 81 | 82 | 83 | 84 | 85 | 86</t>
  </si>
  <si>
    <t>87 | 88 | 89 | 90 | 91 | 92 | 93 | 94 | 95</t>
  </si>
  <si>
    <t>95 | 96 | 97 | 98 | 99 | 100 | 101 | 102 | 103</t>
  </si>
  <si>
    <t>104 | 105 | 106 | 107 | 108 | 109 | 110 | 111 | 112 | 113</t>
  </si>
  <si>
    <t>113 | 114 | 115 | 116 | 117 | 118 | 119 | 120 | 121 | 122</t>
  </si>
  <si>
    <t>122 | 123 | 124 | 125 | 126 | 127 | 128 | 129 | 130 | 131</t>
  </si>
  <si>
    <t>48 | 49 | 50 | 51 | 52 | 53 | 54 | 55 | 56</t>
  </si>
  <si>
    <t>56 | 57 | 58 | 59 | 60 | 61 | 62 | 63 | 64</t>
  </si>
  <si>
    <t>64 | 65 | 66 | 67 | 68 | 69 | 70 | 71 | 72</t>
  </si>
  <si>
    <t>144 | 145 | 146 | 147 | 149 | 150 | 151 | 152 | 154 | 155 | 156 | 157 | 159 | 160 | 161 | 162 | 164 | 165 | 166 | 167 | 169</t>
  </si>
  <si>
    <t>169 | 170 | 171 | 172 | 174 | 175 | 176 | 177 | 179 | 180 | 181 | 182 | 184 | 185 | 186 | 187 | 189 | 190 | 191 | 192 | 194</t>
  </si>
  <si>
    <t>194 | 195 | 196 | 197 | 199 | 200 | 201 | 202 | 204 | 205 | 206 | 207 | 209 | 210 | 211 | 212 | 214 | 215 | 216 | 217 | 219</t>
  </si>
  <si>
    <t>200 | 201 | 203 | 204 | 206 | 207 | 209 | 210 | 212 | 213 | 215 | 216 | 218 | 219 | 221 | 222 | 224 | 225 | 227 | 228 | 230</t>
  </si>
  <si>
    <t>230 | 231 | 233 | 234 | 236 | 237 | 239 | 240 | 242 | 243 | 245 | 246 | 248 | 249 | 251 | 252 | 254 | 255 | 257 | 258 | 260</t>
  </si>
  <si>
    <t>260 | 261 | 263 | 264 | 266 | 267 | 269 | 270 | 272 | 273 | 275 | 276 | 278 | 279 | 281 | 282 | 284 | 285 | 287 | 288 | 290</t>
  </si>
  <si>
    <t>50 | 51 | 52 | 53 | 54 | 55</t>
  </si>
  <si>
    <t>[身体/饰品/魂核]</t>
  </si>
  <si>
    <t>(星)造成属性伤害时吸取体力 B+</t>
  </si>
  <si>
    <t>8</t>
  </si>
  <si>
    <t>(星)造成属性伤害时吸取体力 A-</t>
  </si>
  <si>
    <t>9</t>
  </si>
  <si>
    <t>(星)造成属性伤害时吸取体力 A</t>
  </si>
  <si>
    <t>10</t>
  </si>
  <si>
    <t>14 | 15 | 16</t>
  </si>
  <si>
    <t>16 | 17 | 18</t>
  </si>
  <si>
    <t>18 | 19 | 20</t>
  </si>
  <si>
    <t>9 | 10 | 11</t>
  </si>
  <si>
    <t>11 | 12 | 13</t>
  </si>
  <si>
    <t>12 | 13 | 14</t>
  </si>
  <si>
    <t>75 | 76 | 77 | 78 | 79 | 80 | 81 | 82</t>
  </si>
  <si>
    <t>82 | 83 | 84 | 85 | 86 | 87 | 88 | 89</t>
  </si>
  <si>
    <t>88 | 89 | 90 | 91 | 92 | 93 | 94 | 95</t>
  </si>
  <si>
    <t>74 | 75 | 76 | 77 | 78 | 79 | 80 | 81 | 82 | 83 | 84 | 85</t>
  </si>
  <si>
    <t>85 | 86 | 87 | 88 | 89 | 90 | 91 | 92 | 93 | 94 | 95 | 96</t>
  </si>
  <si>
    <t>97 | 98 | 99 | 100 | 101 | 102 | 103 | 104 | 105 | 106 | 107 | 108</t>
  </si>
  <si>
    <t>124 | 125 | 126 | 127 | 128 | 129 | 130 | 131 | 132</t>
  </si>
  <si>
    <t>132 | 133 | 134 | 135 | 136 | 137 | 138 | 139 | 140</t>
  </si>
  <si>
    <t>140 | 141 | 142 | 143 | 144 | 145 | 146 | 147 | 148</t>
  </si>
  <si>
    <t>124 | 125 | 126 | 127 | 128 | 129 | 130 | 131 | 132 | 133 | 135 | 136 | 137 | 138 | 139 | 140 | 141 | 142 | 143 | 144 | 146</t>
  </si>
  <si>
    <t>146 | 147 | 148 | 149 | 150 | 151 | 152 | 153 | 154 | 155 | 157 | 158 | 159 | 160 | 161 | 162 | 163 | 164 | 165 | 166 | 168</t>
  </si>
  <si>
    <t>168 | 169 | 170 | 171 | 172 | 173 | 174 | 175 | 176 | 177 | 179 | 180 | 181 | 182 | 183 | 184 | 185 | 186 | 187 | 188 | 190</t>
  </si>
  <si>
    <t>105 | 106 | 107 | 108 | 109 | 110 | 111 | 112 | 113 | 114 | 115</t>
  </si>
  <si>
    <t>115 | 116 | 117 | 118 | 119 | 120 | 121 | 122 | 123 | 124 | 125</t>
  </si>
  <si>
    <t>125 | 126 | 127 | 128 | 129 | 130 | 131 | 132 | 133 | 134 | 135</t>
  </si>
  <si>
    <t>120 | 121 | 122 | 123 | 124 | 125 | 126 | 127 | 128 | 129 | 130 | 131 | 132 | 133 | 134 | 135 | 136 | 137 | 138 | 139 | 140</t>
  </si>
  <si>
    <t>140 | 141 | 142 | 143 | 144 | 145 | 146 | 147 | 148 | 149 | 150 | 151 | 152 | 153 | 154 | 155 | 156 | 157 | 158 | 159 | 160</t>
  </si>
  <si>
    <t>160 | 161 | 162 | 163 | 164 | 165 | 166 | 167 | 168 | 169 | 170 | 171 | 172 | 173 | 174 | 175 | 176 | 177 | 178 | 179 | 180</t>
  </si>
  <si>
    <t>100 | 101 | 102 | 103 | 104 | 105 | 106 | 107 | 108 | 109 | 110 | 111 | 112 | 113</t>
  </si>
  <si>
    <t>113 | 114 | 115 | 116 | 117 | 118 | 119 | 120 | 121 | 122 | 123 | 124 | 125 | 126</t>
  </si>
  <si>
    <t>127 | 128 | 129 | 130 | 131 | 132 | 133 | 134 | 135 | 136 | 137 | 138 | 139 | 140</t>
  </si>
  <si>
    <t>F9 FE 00 00 08 00 00 00 00 1B 04 00</t>
  </si>
  <si>
    <t>(星)炮弹持有数量上限 +8</t>
  </si>
  <si>
    <t>169 | 170 | 171 | 172 | 173 | 174 | 175</t>
  </si>
  <si>
    <t>101 | 102 | 103 | 104 | 105 | 106 | 107 | 108 | 109 | 110 | 111</t>
  </si>
  <si>
    <t>114 | 115 | 116 | 117 | 118 | 119 | 120 | 121 | 122 | 123 | 124</t>
  </si>
  <si>
    <t>131 | 132 | 133 | 134 | 135 | 136 | 137 | 138 | 139 | 140 | 141 | 142</t>
  </si>
  <si>
    <t>142 | 143 | 144 | 145 | 146 | 147 | 148 | 149 | 150 | 151 | 152 | 153</t>
  </si>
  <si>
    <t>153 | 154 | 155 | 156 | 157 | 158 | 159 | 160 | 161 | 162 | 163 | 164 | 165</t>
  </si>
  <si>
    <t>100 | 101 | 102 | 103 | 104 | 105 | 106 | 107 | 108 | 109 | 110 | 111 | 112 | 113 | 114 | 115</t>
  </si>
  <si>
    <t>115 | 116 | 117 | 118 | 119 | 120 | 121 | 122 | 123 | 124 | 125 | 126 | 127 | 128 | 129 | 130</t>
  </si>
  <si>
    <t>130 | 131 | 132 | 133 | 134 | 135 | 136 | 137 | 138 | 139 | 140 | 141 | 142 | 143 | 144 | 145</t>
  </si>
  <si>
    <t>380 | 382 | 385 | 387 | 390 | 392 | 395 | 397 | 400 | 402 | 405 | 407 | 410 | 412 | 415 | 417 | 420 | 422 | 425 | 427 | 430</t>
  </si>
  <si>
    <t>420 | 422 | 425 | 427 | 430 | 432 | 435 | 437 | 440 | 442 | 445 | 447 | 450 | 452 | 455 | 457 | 460 | 462 | 465 | 467 | 470</t>
  </si>
  <si>
    <t>470 | 472 | 475 | 477 | 480 | 482 | 485 | 487 | 490 | 492 | 495 | 497 | 500 | 502 | 505 | 507 | 510 | 512 | 515 | 517 | 520</t>
  </si>
  <si>
    <t>100 | 101 | 102 | 103 | 104 | 105 | 106 | 107 | 108 | 109 | 110 | 111 | 112 | 113 | 114 | 115 | 116 | 117</t>
  </si>
  <si>
    <t>117 | 118 | 119 | 120 | 121 | 122 | 123 | 124 | 125 | 126 | 127 | 128 | 129 | 130 | 131 | 132 | 133 | 134</t>
  </si>
  <si>
    <t>133 | 134 | 135 | 136 | 137 | 138 | 139 | 140 | 141 | 142 | 143 | 144 | 145 | 146 | 147 | 148 | 149 | 150</t>
  </si>
  <si>
    <t>140 | 141 | 142 | 143 | 144 | 145 | 146 | 147</t>
  </si>
  <si>
    <t>147 | 148 | 149 | 150 | 151 | 152 | 153 | 154</t>
  </si>
  <si>
    <t>153 | 154 | 155 | 156 | 157 | 158 | 159 | 160</t>
  </si>
  <si>
    <t>30 | 31 | 32 | 33 | 34 | 35</t>
  </si>
  <si>
    <t>33 | 34 | 35 | 36 | 37 | 38</t>
  </si>
  <si>
    <t>38 | 39 | 40 | 41 | 42 | 43 | 44 | 45</t>
  </si>
  <si>
    <t>种类</t>
  </si>
  <si>
    <t>74 | 75 | 76 | 77 | 78 | 79 | 80 | 81 | 82 | 83 | 84 | 85 | 86 | 87 | 88 | 89 | 90</t>
  </si>
  <si>
    <t>44 | 45 | 46 | 47 | 48 | 49 | 50 | 51 | 52 | 53 | 54 | 55 | 56 | 57 | 58 | 59 | 60</t>
  </si>
  <si>
    <t>54 | 55 | 56 | 57 | 58 | 59 | 60 | 61 | 62 | 63 | 64 | 65 | 66 | 67 | 68 | 69 | 70</t>
  </si>
  <si>
    <t>6 | 7 | 8</t>
  </si>
  <si>
    <t>11 | 12 | 13 | 14 | 15 | 16 | 17 | 18</t>
  </si>
  <si>
    <t>6 | 7 | 8 | 9 | 10</t>
  </si>
  <si>
    <t>38 | 39 | 40 | 41 | 42 | 43 | 44 | 45 | 46 | 47 | 48 | 49 | 50</t>
  </si>
  <si>
    <t>48 | 49 | 50 | 51 | 52 | 53 | 54 | 55 | 56 | 57 | 58 | 59 | 60</t>
  </si>
  <si>
    <t>12 | 13 | 14 | 15</t>
  </si>
  <si>
    <t>27 | 28 | 29 | 30 | 31 | 32 | 33 | 34 | 35 | 36 | 37 | 38 | 39 | 40</t>
  </si>
  <si>
    <t>116 | 117 | 118 | 119 | 120 | 121 | 122 | 123 | 124 | 125 | 126 | 127 | 128 | 129 | 130 | 131 | 132 | 133 | 134 | 135 | 136 | 137 | 138 | 139 | 140</t>
  </si>
  <si>
    <t>11 | 12 | 13 | 14 | 15</t>
  </si>
  <si>
    <t>210 | 211 | 212 | 213 | 214 | 215 | 216 | 217 | 218 | 219 | 220 | 221 | 222 | 223 | 224 | 225 | 226 | 227 | 228 | 229 | 230 | 231 | 232 | 233 | 234 | 235 | 236 | 237 | 238 | 239 | 240 | 241 | 242 | 243 | 244 | 245 | 246 | 247 | 248 | 249 | 250</t>
  </si>
  <si>
    <t>绘卷·顿悟难度及以上出现</t>
  </si>
  <si>
    <t>其他(深奥/精髓并存)</t>
  </si>
  <si>
    <t>288 | 289 | 291 | 293 | 295 | 297 | 298 | 300 | 302 | 304 | 306 | 307 | 309 | 311 | 313 | 315 | 316 | 318 | 320 | 322 | 324 | 325 | 327 | 329 | 331 | 333 | 334 | 336 | 338 | 340 | 342 | 343 | 345 | 347 | 349 | 351 | 352 | 354 | 356 | 358 | 360</t>
  </si>
  <si>
    <t>280 | 282 | 284 | 286 | 288 | 290 | 292 | 294 | 296 | 298 | 300 | 302 | 304 | 306 | 308 | 310 | 312 | 314 | 316 | 318 | 320 | 322 | 324 | 326 | 328 | 330 | 332 | 334 | 336 | 338 | 340 | 342 | 344 | 346 | 348 | 350 | 352 | 354 | 356 | 358 | 360</t>
  </si>
  <si>
    <t>64 | 65 | 66 | 67 | 68 | 69 | 70 | 71 | 72 | 73 | 74 | 75 | 76 | 77 | 78 | 79 | 80</t>
  </si>
  <si>
    <t>0</t>
  </si>
  <si>
    <t>特殊词条，画龙点睛后可显示恩宠</t>
  </si>
  <si>
    <t>25</t>
  </si>
  <si>
    <t>19</t>
  </si>
  <si>
    <t>21</t>
  </si>
  <si>
    <t>57</t>
  </si>
  <si>
    <t>28</t>
  </si>
  <si>
    <t>140</t>
  </si>
  <si>
    <t>150</t>
  </si>
  <si>
    <t>38</t>
  </si>
  <si>
    <t>23</t>
  </si>
  <si>
    <t>42</t>
  </si>
  <si>
    <t>17</t>
  </si>
  <si>
    <t>20</t>
  </si>
  <si>
    <t>27</t>
  </si>
  <si>
    <t>29</t>
  </si>
  <si>
    <t>62</t>
  </si>
  <si>
    <t>30</t>
  </si>
  <si>
    <t>83</t>
  </si>
  <si>
    <t>85</t>
  </si>
  <si>
    <t>55</t>
  </si>
  <si>
    <t>75</t>
  </si>
  <si>
    <t>40</t>
  </si>
  <si>
    <t>2</t>
  </si>
  <si>
    <t>15</t>
  </si>
  <si>
    <t>70</t>
  </si>
  <si>
    <t>12</t>
  </si>
  <si>
    <t>11</t>
  </si>
  <si>
    <t>7</t>
  </si>
  <si>
    <t>80</t>
  </si>
  <si>
    <t>35</t>
  </si>
  <si>
    <t>90</t>
  </si>
  <si>
    <t>60</t>
  </si>
  <si>
    <t>24</t>
  </si>
  <si>
    <t>3</t>
  </si>
  <si>
    <t>14 | 15 | 16 | 17 | 18 | 19 | 20</t>
  </si>
  <si>
    <t>5 | 6</t>
  </si>
  <si>
    <t>5 | 6 | 7</t>
  </si>
  <si>
    <t>500</t>
  </si>
  <si>
    <t>170</t>
  </si>
  <si>
    <t>100</t>
  </si>
  <si>
    <t>22</t>
  </si>
  <si>
    <t>45</t>
  </si>
  <si>
    <t>50</t>
  </si>
  <si>
    <t>16</t>
  </si>
  <si>
    <t>158 | 159 | 161 | 163 | 165 | 167 | 168 | 170 | 172 | 174 | 176 | 177 | 179 | 181 | 183 | 185 | 186 | 188 | 190 | 192 | 193 | 195 | 197 | 199 | 201 | 203 | 204 | 206 | 208 | 210 | 212 | 213 | 215 | 217 | 219 | 221 | 222 | 224 | 226 | 228 | 230</t>
  </si>
  <si>
    <t>49</t>
  </si>
  <si>
    <t>18</t>
  </si>
  <si>
    <t>300</t>
  </si>
  <si>
    <t>33</t>
  </si>
  <si>
    <t>14</t>
  </si>
  <si>
    <t>也在大蛤蟆魂核中为固定词条</t>
  </si>
  <si>
    <t>44</t>
  </si>
  <si>
    <t>武器风格</t>
  </si>
  <si>
    <t>固有词条/套装</t>
  </si>
  <si>
    <t>崩解</t>
  </si>
  <si>
    <t>接招</t>
  </si>
  <si>
    <t>默认参考能力值</t>
  </si>
  <si>
    <t>武士</t>
  </si>
  <si>
    <t>心/武/智</t>
  </si>
  <si>
    <t>赋予水属性 +5～15</t>
  </si>
  <si>
    <t>速攻技吸取体力 5%</t>
  </si>
  <si>
    <t>武技伤害 +4.0%</t>
  </si>
  <si>
    <t>近距离攻击伤害(地狱) +6.0%</t>
  </si>
  <si>
    <t>心/武/咒</t>
  </si>
  <si>
    <t>强攻击精力伤害 +1.9%</t>
  </si>
  <si>
    <t>下段武技精力伤害 +4.4%</t>
  </si>
  <si>
    <t>赋予风属性 +5～15</t>
  </si>
  <si>
    <t>体/心/技</t>
  </si>
  <si>
    <t>武技精力伤害 +2.5%</t>
  </si>
  <si>
    <t>赋予火属性 +5～15</t>
  </si>
  <si>
    <t>中段架式攻击吸取体力 4%</t>
  </si>
  <si>
    <t>武技精力消耗降低 -2.0%</t>
  </si>
  <si>
    <t>伤害反映(弓伤害) D+</t>
  </si>
  <si>
    <t>弓伤害 +2.0%</t>
  </si>
  <si>
    <t>体/刚/武</t>
  </si>
  <si>
    <t>伤害反映(精华槽) D+</t>
  </si>
  <si>
    <t>伤害反映(爱用度) C-</t>
  </si>
  <si>
    <t>刚/武/咒</t>
  </si>
  <si>
    <t>吸收精华后赋予自动恢复体力(28)</t>
  </si>
  <si>
    <t>赋予雷属性 +5～15</t>
  </si>
  <si>
    <t>武技吸取体力 +4.0%</t>
  </si>
  <si>
    <t>目前有BUG，导致大和传大太刀在魑魅庇佑里面多出一把</t>
  </si>
  <si>
    <t>技/智/咒</t>
  </si>
  <si>
    <t>心/刚/武</t>
  </si>
  <si>
    <t>体/心/刚</t>
  </si>
  <si>
    <t>Boss柳生十兵卫</t>
  </si>
  <si>
    <t>忍者</t>
  </si>
  <si>
    <t>武/技/智</t>
  </si>
  <si>
    <t>高手中根正盛</t>
  </si>
  <si>
    <t>心/智/咒</t>
  </si>
  <si>
    <t>体/技/咒</t>
  </si>
  <si>
    <t>忍术造成的精力伤害 +2.5%</t>
  </si>
  <si>
    <t>敌人的毒状态累计 +1.5%</t>
  </si>
  <si>
    <t>忍术伤害 +3.3%</t>
  </si>
  <si>
    <t>地狱武器掉落率 +6.0%</t>
  </si>
  <si>
    <t>敌人的麻痹状态累计 +1.5%</t>
  </si>
  <si>
    <t>体/武/技</t>
  </si>
  <si>
    <t>赋予双属性(雷、火) +7</t>
  </si>
  <si>
    <t>刚/技/智</t>
  </si>
  <si>
    <t>赋予双属性(水、雷) +11</t>
  </si>
  <si>
    <t>武/智/咒</t>
  </si>
  <si>
    <t>近距离攻击吸取体力 3%</t>
  </si>
  <si>
    <t>心/刚/智</t>
  </si>
  <si>
    <t>体/刚/咒</t>
  </si>
  <si>
    <t>忍术造成的精力伤害 +2.3%</t>
  </si>
  <si>
    <t>对精力耗尽敌人的近距离伤害 +15.0%</t>
  </si>
  <si>
    <t>共通</t>
  </si>
  <si>
    <t>箭弹命中弱点时伤害 +4.5%</t>
  </si>
  <si>
    <t>心/技/智</t>
  </si>
  <si>
    <t>箭弹命中时施加造成伤害减少 +50.0%</t>
  </si>
  <si>
    <t>刚勇流离[武士套装]</t>
  </si>
  <si>
    <t>弓动作速度加快</t>
  </si>
  <si>
    <t>坂上党的骄傲[武士套装]</t>
  </si>
  <si>
    <t>不消耗箭弹 +10.0%</t>
  </si>
  <si>
    <t>武家政权之基石[武士套装]</t>
  </si>
  <si>
    <t>赤备的骄傲[武士套装]</t>
  </si>
  <si>
    <t>自动瞄准要害</t>
  </si>
  <si>
    <t>风流才智之士[武士套装]</t>
  </si>
  <si>
    <t>火枪动作速度加快</t>
  </si>
  <si>
    <t>拿起远距离武器时不会畏惧</t>
  </si>
  <si>
    <t>防具种类</t>
  </si>
  <si>
    <t>防具名称</t>
  </si>
  <si>
    <t>防具部位</t>
  </si>
  <si>
    <t>防具代码</t>
  </si>
  <si>
    <t>防具部位名称</t>
  </si>
  <si>
    <t>重量(合计)</t>
  </si>
  <si>
    <t>特殊效果需求</t>
  </si>
  <si>
    <t>坚忍度(合计)</t>
  </si>
  <si>
    <t>抗物理(合计)</t>
  </si>
  <si>
    <t>火属性伤害降低</t>
  </si>
  <si>
    <t>水属性伤害降低</t>
  </si>
  <si>
    <t>雷属性伤害降低</t>
  </si>
  <si>
    <t>风属性伤害降低</t>
  </si>
  <si>
    <t>毒抗性</t>
  </si>
  <si>
    <t>麻痹抗性</t>
  </si>
  <si>
    <t>功法书</t>
  </si>
  <si>
    <t>武士中甲</t>
  </si>
  <si>
    <t>世嗣中铠</t>
  </si>
  <si>
    <t>体5/武5</t>
  </si>
  <si>
    <t>开启锻造功能后
自动解锁锻造</t>
  </si>
  <si>
    <t>防御精力消耗降低 -2.0%</t>
  </si>
  <si>
    <t>防御精力消耗降低 -1.0%</t>
  </si>
  <si>
    <t>防御精力消耗降低 -1.5%</t>
  </si>
  <si>
    <t>体13/武12</t>
  </si>
  <si>
    <t>Boss德川国松掉落</t>
  </si>
  <si>
    <t>武士重甲</t>
  </si>
  <si>
    <t>刚8/武10</t>
  </si>
  <si>
    <t>Boss武田信玄掉落</t>
  </si>
  <si>
    <t>体7/武10</t>
  </si>
  <si>
    <t>奇谭"头痛的成因"报酬</t>
  </si>
  <si>
    <t>武士轻甲</t>
  </si>
  <si>
    <t>体18/技17</t>
  </si>
  <si>
    <t>Boss冲田总司掉落</t>
  </si>
  <si>
    <t>体12/武12</t>
  </si>
  <si>
    <t>奇谭"迈向三胜之道"报酬</t>
  </si>
  <si>
    <t>刚9/武12</t>
  </si>
  <si>
    <t>Boss源赖朝掉落</t>
  </si>
  <si>
    <t>体13/技12</t>
  </si>
  <si>
    <t>战绘卷"武道奥传"报酬</t>
  </si>
  <si>
    <t>神军再临</t>
  </si>
  <si>
    <t>体14/武19</t>
  </si>
  <si>
    <t>Boss德川庆喜掉落</t>
  </si>
  <si>
    <t>刚6/武5</t>
  </si>
  <si>
    <t>Boss山县昌景掉落</t>
  </si>
  <si>
    <t>体17/技17</t>
  </si>
  <si>
    <t>旗本之衣</t>
  </si>
  <si>
    <t>精力 +10</t>
  </si>
  <si>
    <t>体14/技15</t>
  </si>
  <si>
    <t>精力 +20</t>
  </si>
  <si>
    <t>精力 +15</t>
  </si>
  <si>
    <t>邪马台国之铠</t>
  </si>
  <si>
    <t>承受的伤害降低(攻击动作期间) -2.0%</t>
  </si>
  <si>
    <t>刚12/武10</t>
  </si>
  <si>
    <t>承受的伤害降低(攻击动作期间) -4.0%</t>
  </si>
  <si>
    <t>承受的伤害降低(攻击动作期间) -3.0%</t>
  </si>
  <si>
    <t>体6/武5</t>
  </si>
  <si>
    <t>刚7/武6</t>
  </si>
  <si>
    <t>强敌"穴山信君"掉落</t>
  </si>
  <si>
    <t>刚9/武8</t>
  </si>
  <si>
    <t>体17/技16</t>
  </si>
  <si>
    <t>体16/武15</t>
  </si>
  <si>
    <t>体6/技8</t>
  </si>
  <si>
    <t>高手"伊东一刀斋"</t>
  </si>
  <si>
    <t>刚15/武13</t>
  </si>
  <si>
    <t>体18/技19</t>
  </si>
  <si>
    <t>御家人之铠</t>
  </si>
  <si>
    <t>体10/武9</t>
  </si>
  <si>
    <t>强攻击精力消耗降低 -1.0%</t>
  </si>
  <si>
    <t>预购特典奖励</t>
  </si>
  <si>
    <t>体力恢复量(地狱) +2.5%</t>
  </si>
  <si>
    <t>刚5/技5</t>
  </si>
  <si>
    <t>销量特别纪念奖励</t>
  </si>
  <si>
    <t>道服</t>
  </si>
  <si>
    <t>体5/技5</t>
  </si>
  <si>
    <t>不请自来者之铠</t>
  </si>
  <si>
    <t>装备品掉落率 +0.8%</t>
  </si>
  <si>
    <t>体5/技6</t>
  </si>
  <si>
    <t>装备品掉落率 +1.6%</t>
  </si>
  <si>
    <t>装备品掉落率 +1.2%</t>
  </si>
  <si>
    <t>弓手衣裳</t>
  </si>
  <si>
    <t>体9/技9</t>
  </si>
  <si>
    <t>弓伤害 +4.0%</t>
  </si>
  <si>
    <t>弓伤害 +3.0%</t>
  </si>
  <si>
    <t>足轻中铠</t>
  </si>
  <si>
    <t>体7/武6</t>
  </si>
  <si>
    <t>浪人中铠</t>
  </si>
  <si>
    <t>体8/武11</t>
  </si>
  <si>
    <t>体11/武13</t>
  </si>
  <si>
    <t>体18/技18</t>
  </si>
  <si>
    <t>侍大将中铠</t>
  </si>
  <si>
    <t>对无伤敌人造成的近距离伤害 +2.0%</t>
  </si>
  <si>
    <t>体11/武16</t>
  </si>
  <si>
    <t>对无伤敌人造成的近距离伤害 +4.0%</t>
  </si>
  <si>
    <t>对无伤敌人造成的近距离伤害 +3.0%</t>
  </si>
  <si>
    <t>百战武者中铠</t>
  </si>
  <si>
    <t>体16/武12</t>
  </si>
  <si>
    <t>体13/武18</t>
  </si>
  <si>
    <t>体10/武11</t>
  </si>
  <si>
    <t>奇谭"箱子守护者"报酬</t>
  </si>
  <si>
    <t>传家大铠</t>
  </si>
  <si>
    <t>刚5/武5</t>
  </si>
  <si>
    <t>刚6/武8</t>
  </si>
  <si>
    <t>属性攻击伤害降低 +11</t>
  </si>
  <si>
    <t>属性攻击伤害降低 +8</t>
  </si>
  <si>
    <t>刚12/武13</t>
  </si>
  <si>
    <t>刚6/武6</t>
  </si>
  <si>
    <t>刚9/武10</t>
  </si>
  <si>
    <t>刚14/武15</t>
  </si>
  <si>
    <t>刚18/武17</t>
  </si>
  <si>
    <t>刚19/武19</t>
  </si>
  <si>
    <t>叛军浪士之铠</t>
  </si>
  <si>
    <t>体21/武21</t>
  </si>
  <si>
    <t>体22/技23</t>
  </si>
  <si>
    <t>刚23/武22</t>
  </si>
  <si>
    <t>武22/技22</t>
  </si>
  <si>
    <t>体22/武22</t>
  </si>
  <si>
    <t>体21/技21</t>
  </si>
  <si>
    <t>武士特殊头盔</t>
  </si>
  <si>
    <t>特殊头盔(重)</t>
  </si>
  <si>
    <t>幸运 +8</t>
  </si>
  <si>
    <t>特殊头盔(中)</t>
  </si>
  <si>
    <t>承受的伤害减半(无伤状态) 2.0%</t>
  </si>
  <si>
    <t>体8/武8</t>
  </si>
  <si>
    <t>打倒敌人时赋予承受伤害减少(1%)</t>
  </si>
  <si>
    <t>体13/武13</t>
  </si>
  <si>
    <t>祓除常世赋予造成伤害增加(2%)</t>
  </si>
  <si>
    <t>持续性伤害不会导致死亡</t>
  </si>
  <si>
    <t>刚8/武8</t>
  </si>
  <si>
    <t>特殊头盔(轻)</t>
  </si>
  <si>
    <t>绝境时赋予自动恢复体力(42)</t>
  </si>
  <si>
    <t>刚18/武18</t>
  </si>
  <si>
    <t>体8/技8</t>
  </si>
  <si>
    <t>对处于毒状态敌人的近距离伤害 +2.0%</t>
  </si>
  <si>
    <t>箭弹命中时召唤千千古</t>
  </si>
  <si>
    <t>火属性伤害 +4.4%
敌人的水状态累计 +3.5%</t>
  </si>
  <si>
    <t>以近距离攻击打倒敌人时恢复自己和我方体力 18</t>
  </si>
  <si>
    <t>体18/武18</t>
  </si>
  <si>
    <t>体13/技13</t>
  </si>
  <si>
    <t>忍者轻甲</t>
  </si>
  <si>
    <t>世嗣忍者装束</t>
  </si>
  <si>
    <t>体19/技20</t>
  </si>
  <si>
    <t>忍者中甲</t>
  </si>
  <si>
    <t>刚16/技17</t>
  </si>
  <si>
    <t>体16/技16</t>
  </si>
  <si>
    <t>打倒敌人时赋予自动恢复体力(27)</t>
  </si>
  <si>
    <t>邪马台国轻铠</t>
  </si>
  <si>
    <t>刚13/技18</t>
  </si>
  <si>
    <t>刚6/技8</t>
  </si>
  <si>
    <t>刚21/技15</t>
  </si>
  <si>
    <t>刚15/技19</t>
  </si>
  <si>
    <t>御庭番忍者</t>
  </si>
  <si>
    <t>不易被敌人发现 D+</t>
  </si>
  <si>
    <t>体9/技8</t>
  </si>
  <si>
    <t>刚9/技8</t>
  </si>
  <si>
    <t>强攻击精力消耗降低 -2.0%</t>
  </si>
  <si>
    <t>强攻击精力消耗降低 -1.5%</t>
  </si>
  <si>
    <t>修验者装束</t>
  </si>
  <si>
    <t>刚6/技5</t>
  </si>
  <si>
    <t>冲刺精力消耗降低 -4.0%</t>
  </si>
  <si>
    <t>体12/技13</t>
  </si>
  <si>
    <t>冲刺精力消耗降低 -8.0%</t>
  </si>
  <si>
    <t>冲刺精力消耗降低 -5.0%</t>
  </si>
  <si>
    <t>射手装束</t>
  </si>
  <si>
    <t>刚18/技17</t>
  </si>
  <si>
    <t>体12/技12</t>
  </si>
  <si>
    <t>刚21/技20</t>
  </si>
  <si>
    <t>刚7/技6</t>
  </si>
  <si>
    <t>刚17/技11</t>
  </si>
  <si>
    <t>体12/技11</t>
  </si>
  <si>
    <t>刚12/技20</t>
  </si>
  <si>
    <t>体力恢复量(地狱) +6.0%</t>
  </si>
  <si>
    <t>盗贼轻铠</t>
  </si>
  <si>
    <t>体6/技5</t>
  </si>
  <si>
    <t>体6/技7</t>
  </si>
  <si>
    <t>神官净衣/头冠／巫女净衣</t>
  </si>
  <si>
    <t>体10/技9</t>
  </si>
  <si>
    <t>忍术槽增加量 +1.5%</t>
  </si>
  <si>
    <t>体8/技7</t>
  </si>
  <si>
    <t>忍术槽增加量 +3.0%</t>
  </si>
  <si>
    <t>忍术槽增加量 +2.0%</t>
  </si>
  <si>
    <t>摆渡者装束</t>
  </si>
  <si>
    <t>体7/技8</t>
  </si>
  <si>
    <t>山伏装束</t>
  </si>
  <si>
    <t>体10/技11</t>
  </si>
  <si>
    <t>阴阳术 术力 +10</t>
  </si>
  <si>
    <t>刚10/技11</t>
  </si>
  <si>
    <t>阴阳术 术力 +20</t>
  </si>
  <si>
    <t>阴阳术 术力 +15</t>
  </si>
  <si>
    <t>背后攻击伤害 +2.0%</t>
  </si>
  <si>
    <t>刚7/技8</t>
  </si>
  <si>
    <t>背后攻击伤害 +4.0%</t>
  </si>
  <si>
    <t>背后攻击伤害 +3.0%</t>
  </si>
  <si>
    <t>体14/技13</t>
  </si>
  <si>
    <t>体16/技15</t>
  </si>
  <si>
    <t>体8/技9</t>
  </si>
  <si>
    <t>体10/技10</t>
  </si>
  <si>
    <t>刚18/技12</t>
  </si>
  <si>
    <t>负面效果持续时间缩短 -2.0%</t>
  </si>
  <si>
    <t>刚10/技9</t>
  </si>
  <si>
    <t>负面效果持续时间缩短 -4.0%</t>
  </si>
  <si>
    <t>负面效果持续时间缩短 -3.0%</t>
  </si>
  <si>
    <t>刚20/技14</t>
  </si>
  <si>
    <t>盗贼之铠</t>
  </si>
  <si>
    <t>刚20/技13</t>
  </si>
  <si>
    <t>柳生众装束</t>
  </si>
  <si>
    <t>心21/技21</t>
  </si>
  <si>
    <t>体23/技22</t>
  </si>
  <si>
    <t>忍者特殊头盔</t>
  </si>
  <si>
    <t>感应宝物</t>
  </si>
  <si>
    <t>感应木灵</t>
  </si>
  <si>
    <t>使用药品时赋予承受伤害减少(2.0%)</t>
  </si>
  <si>
    <t>以守护灵技打倒敌人可回收灵力 +4.0%</t>
  </si>
  <si>
    <t>刚8/技8</t>
  </si>
  <si>
    <t>感应敌人</t>
  </si>
  <si>
    <t>伤害反映(阴阳术术力) C</t>
  </si>
  <si>
    <t>承受伤害增加灵力 C-</t>
  </si>
  <si>
    <t>刚18/技18</t>
  </si>
  <si>
    <t>刚13/技13</t>
  </si>
  <si>
    <t>追击和近身刺击可恢复体力 7</t>
  </si>
  <si>
    <t>智5</t>
  </si>
  <si>
    <t>智6</t>
  </si>
  <si>
    <t>效果持续力 +2</t>
  </si>
  <si>
    <t>灵力 +4.0</t>
  </si>
  <si>
    <t>智7</t>
  </si>
  <si>
    <t>获得精华 +1.8%</t>
  </si>
  <si>
    <t>造成火属性伤害时增加灵力 B</t>
  </si>
  <si>
    <t>感应精华</t>
  </si>
  <si>
    <t>获得精华增加灵力 B</t>
  </si>
  <si>
    <t>智8</t>
  </si>
  <si>
    <t>吸收精华可恢复体力 4</t>
  </si>
  <si>
    <t>死亡时自动回收刀冢 +20.0%</t>
  </si>
  <si>
    <t>防御力 +10</t>
  </si>
  <si>
    <t>水属性伤害 +3.3%</t>
  </si>
  <si>
    <t>智9</t>
  </si>
  <si>
    <t>格挡可增加灵力 +14</t>
  </si>
  <si>
    <t>道具掉落率 +3.1%</t>
  </si>
  <si>
    <t>不消耗仙药 +5.0%</t>
  </si>
  <si>
    <t>智10</t>
  </si>
  <si>
    <t>药物恢复体力效果 +2.8%</t>
  </si>
  <si>
    <t>近距离攻击的精力消耗降低 -4.5%</t>
  </si>
  <si>
    <t>魂核掉落率 +4.5%</t>
  </si>
  <si>
    <t>智11</t>
  </si>
  <si>
    <t>使用仙药时增加灵力 +14</t>
  </si>
  <si>
    <t>异常状态抗性 +10</t>
  </si>
  <si>
    <t>守护灵技的伤害 +20.0%
格挡可增加灵力 +10</t>
  </si>
  <si>
    <t>组合效果的所需装备数 -1</t>
  </si>
  <si>
    <t>智12</t>
  </si>
  <si>
    <t>火属性伤害降低 +15</t>
  </si>
  <si>
    <t>水属性伤害降低 +15</t>
  </si>
  <si>
    <t>风属性伤害降低 +15</t>
  </si>
  <si>
    <t>雷属性伤害降低 +15</t>
  </si>
  <si>
    <t>毒抗性 +15</t>
  </si>
  <si>
    <t>麻痹抗性 +15</t>
  </si>
  <si>
    <t>体力恢复量 +2.5%</t>
  </si>
  <si>
    <t>承受的远距离伤害降低 -1.2%</t>
  </si>
  <si>
    <t>吸收精华后赋予移动速度上升(0.0%?)</t>
  </si>
  <si>
    <t>识破可增加灵力 +14(悲剧英雄)</t>
  </si>
  <si>
    <t>装备品掉落率 +3.1%</t>
  </si>
  <si>
    <t>守护灵技的伤害 +20.0%
识破可增加灵力 +10</t>
  </si>
  <si>
    <t>魂核代码</t>
  </si>
  <si>
    <t>魂核名称</t>
  </si>
  <si>
    <t>固定词条类别</t>
  </si>
  <si>
    <t>固定词条代码</t>
  </si>
  <si>
    <t>固定词条</t>
  </si>
  <si>
    <t>词条所需值(咒)</t>
  </si>
  <si>
    <t>阴阳术道具代码</t>
  </si>
  <si>
    <t>阴阳术效果</t>
  </si>
  <si>
    <t>造成火属性伤害时增加灵力 AAA+</t>
  </si>
  <si>
    <t>阳之座:使役符·狱卒鬼（焦热） x4</t>
  </si>
  <si>
    <t>使用后能暂时召唤出狱卒鬼（焦热）冲刺攻击敌人一次</t>
  </si>
  <si>
    <t>坚忍度 +15</t>
  </si>
  <si>
    <t>阴之座:禁火符 x7</t>
  </si>
  <si>
    <t>使用后能增加对火的抵抗力</t>
  </si>
  <si>
    <t>造成水属性伤害时增加灵力 AAA+</t>
  </si>
  <si>
    <t>阳之座:使役符·狱卒鬼（八寒） x4</t>
  </si>
  <si>
    <t>阴之座:禁水符 x7</t>
  </si>
  <si>
    <t>造成雷属性伤害时增加灵力 AAA+</t>
  </si>
  <si>
    <t>阳之座:使役符·狱卒鬼（针山） x4</t>
  </si>
  <si>
    <t>阴之座:禁雷符 x7</t>
  </si>
  <si>
    <t>造成风属性伤害时增加灵力 AAA+</t>
  </si>
  <si>
    <t>阳之座:使役符·狱卒鬼（业风） x4</t>
  </si>
  <si>
    <t>阴之座:造弹符 x5</t>
  </si>
  <si>
    <t>雷属性伤害 +4.4%</t>
  </si>
  <si>
    <t>阳之座:使役符·雷兽 x2</t>
  </si>
  <si>
    <t>灵力增加量反映（累积伤害） B</t>
  </si>
  <si>
    <t>阴之座:从雷符 x4</t>
  </si>
  <si>
    <t>阳之座:使役符·山狗 x3</t>
  </si>
  <si>
    <t>速攻击伤害 +3.0%</t>
  </si>
  <si>
    <t>阴之座:迅足符 x4</t>
  </si>
  <si>
    <t>空中攻击精力伤害 +5.0%</t>
  </si>
  <si>
    <t>阳之座:使役符·野槌 x5</t>
  </si>
  <si>
    <t>吸收精华后赋予赋予承受伤害减少</t>
  </si>
  <si>
    <t>阴之座:吸神符 x5</t>
  </si>
  <si>
    <t>阳之座:使役符·夜行兵 x3</t>
  </si>
  <si>
    <t>冲刺精力消耗降低 -10.0%</t>
  </si>
  <si>
    <t>阴之座:斩冲符 x5</t>
  </si>
  <si>
    <t>闪避动作精力消耗降低 -8.0%</t>
  </si>
  <si>
    <t>阳之座:使役符·山彦 x4</t>
  </si>
  <si>
    <t>近距离攻击精力伤害 +2.5%</t>
  </si>
  <si>
    <t>阴之座:发气符 x10</t>
  </si>
  <si>
    <t>残心初始量 +50</t>
  </si>
  <si>
    <t>阳之座:使役符·撒沙婆婆 x4</t>
  </si>
  <si>
    <t>阴阳术命中时施加盲目</t>
  </si>
  <si>
    <t>阴之座:封力符 x6</t>
  </si>
  <si>
    <t>阳之座:使役符·地狱蜂 x6</t>
  </si>
  <si>
    <t>敌人的毒状态累积 +3.5%</t>
  </si>
  <si>
    <t>阴之座:扫毒符 x7</t>
  </si>
  <si>
    <t>造成水属性伤害时吸取体力 B+</t>
  </si>
  <si>
    <t>阳之座:使役符·人鱼 x5</t>
  </si>
  <si>
    <t>阴之座:漏活符 x6</t>
  </si>
  <si>
    <t>对处于雷状态敌人的近距离伤害 +6.0%</t>
  </si>
  <si>
    <t>阳之座:使役符·见越入道 x3</t>
  </si>
  <si>
    <t>近距离攻击伤害（无伤） +4.0%</t>
  </si>
  <si>
    <t>阴之座:雷弹符 x12</t>
  </si>
  <si>
    <t>阳之座:使役符·朱盆 x6</t>
  </si>
  <si>
    <t>接招 +8</t>
  </si>
  <si>
    <t>阴之座:舍身符 x2</t>
  </si>
  <si>
    <t>获得精华 +8.5%</t>
  </si>
  <si>
    <t>阳之座:使役符·饿鬼 x6</t>
  </si>
  <si>
    <t>强攻击精力伤害 +3.5%</t>
  </si>
  <si>
    <t>阴之座:封气符 x3</t>
  </si>
  <si>
    <t>崩解 +10</t>
  </si>
  <si>
    <t>阳之座:使役符·棘饿鬼 x6</t>
  </si>
  <si>
    <t>精华槽增加量 +7.5%</t>
  </si>
  <si>
    <t>阳之座:使役符·饿鬼大将 x2</t>
  </si>
  <si>
    <t>阴之座:夺灵符 x5</t>
  </si>
  <si>
    <t>祓除常世增加灵力 +20</t>
  </si>
  <si>
    <t>阳之座:使役符·妖鬼 x4</t>
  </si>
  <si>
    <t>阴之座:刚力符 x5</t>
  </si>
  <si>
    <t>忍术伤害吸取体力 A</t>
  </si>
  <si>
    <t>阳之座:使役符·忍者妖鬼 x4</t>
  </si>
  <si>
    <t>阴之座:隐密符 x8</t>
  </si>
  <si>
    <t>弓伤害 +8.5%</t>
  </si>
  <si>
    <t>阳之座:使役符·亡骸武者 x4</t>
  </si>
  <si>
    <t>阴之座:狙击符 x4</t>
  </si>
  <si>
    <t>被攻击时承受的伤害降低（绝境） -3.5%</t>
  </si>
  <si>
    <t>阳之座:使役符·狂骨 x3</t>
  </si>
  <si>
    <t>近距离攻击伤害 +2.0%</t>
  </si>
  <si>
    <t>阴之座:克金符 x5</t>
  </si>
  <si>
    <t>中毒时持续承受伤害降低 -7.0%</t>
  </si>
  <si>
    <t>阳之座:使役符·敷次郎 x4</t>
  </si>
  <si>
    <t>阴之座:聚财符 x4</t>
  </si>
  <si>
    <t>敌人的火状态累积 +3.5%</t>
  </si>
  <si>
    <t>阳之座:使役符·鬼火（火） x3</t>
  </si>
  <si>
    <t>火属性伤害 +4.4%</t>
  </si>
  <si>
    <t>阴之座:召火符 x5</t>
  </si>
  <si>
    <t>敌人的水状态累积 +3.5%</t>
  </si>
  <si>
    <t>阳之座:使役符·鬼火（水） x3</t>
  </si>
  <si>
    <t>水属性伤害 +4.4%</t>
  </si>
  <si>
    <t>阴之座:召水符 x5</t>
  </si>
  <si>
    <t>鬼火 （雷）的魂核</t>
  </si>
  <si>
    <t>敌人的雷状态累积 +3.5%</t>
  </si>
  <si>
    <t>阳之座:使役符·鬼火（雷） x3</t>
  </si>
  <si>
    <t>阴之座:召雷符 x5</t>
  </si>
  <si>
    <t>鬼火 （风）的魂核</t>
  </si>
  <si>
    <t>敌人的风状态累积 +3.5%</t>
  </si>
  <si>
    <t>阳之座:使役符·鬼火（风） x3</t>
  </si>
  <si>
    <t>风属性伤害 +4.4%</t>
  </si>
  <si>
    <t>阴之座:召风符 x5</t>
  </si>
  <si>
    <t>水抗性 +15</t>
  </si>
  <si>
    <t>阳之座:使役符·小海坊主 x5</t>
  </si>
  <si>
    <t>对处于水状态敌人的近距离伤害 +6.0%</t>
  </si>
  <si>
    <t>阴之座:水弹符 x12</t>
  </si>
  <si>
    <t>对处于风状态敌人的近距离伤害 +6.0%</t>
  </si>
  <si>
    <t>阳之座:使役符·乌鸦天狗 x3</t>
  </si>
  <si>
    <t>阴之座:风弹符 x12</t>
  </si>
  <si>
    <t>对处于火状态敌人的近距离伤害 +6.0%</t>
  </si>
  <si>
    <t>阳之座:使役符·轮入道 x4</t>
  </si>
  <si>
    <t>阴之座:火弹符 x12</t>
  </si>
  <si>
    <t>阳之座:使役符·独脚踏鞴 x3</t>
  </si>
  <si>
    <t>阴之座:宿心升华符 x6</t>
  </si>
  <si>
    <t>阳之座:使役符·妖蟹 x4</t>
  </si>
  <si>
    <t>阳之座:使役符·濡女 x4</t>
  </si>
  <si>
    <t>阴之座:扫痹符 x7</t>
  </si>
  <si>
    <t>跳跃的精力 -15.0%</t>
  </si>
  <si>
    <t>阳之座:使役符·猿鬼 x4</t>
  </si>
  <si>
    <t>体力 +100</t>
  </si>
  <si>
    <t>阴之座:金刚符 x5</t>
  </si>
  <si>
    <t>武技崩解力 +1.5%</t>
  </si>
  <si>
    <t>阳之座:使役符·独眼鬼 x3</t>
  </si>
  <si>
    <t>防御精力消耗降低 -4.0%</t>
  </si>
  <si>
    <t>阴之座:拳力符 x5</t>
  </si>
  <si>
    <t>承受的伤害降低（攻击动作期间） -5.5%</t>
  </si>
  <si>
    <t>阳之座:使役符·防人 x3</t>
  </si>
  <si>
    <t>强攻击伤害 +2.8%</t>
  </si>
  <si>
    <t>阴之座:粹然符 x4</t>
  </si>
  <si>
    <t>造成风属性伤害时吸取体力 B+</t>
  </si>
  <si>
    <t>阳之座:使役符·以津真天 x2</t>
  </si>
  <si>
    <t>负面效果持续时间缩短 -10.0%</t>
  </si>
  <si>
    <t>阴之座:风箭符 x8</t>
  </si>
  <si>
    <t>伤害反映（装备重量） D+</t>
  </si>
  <si>
    <t>阳之座:使役符·子泣爷爷 x6</t>
  </si>
  <si>
    <t>恢复体力赋予承受伤害减少</t>
  </si>
  <si>
    <t>阴之座:护身符 x4</t>
  </si>
  <si>
    <t>阳之座:使役符·山姥 x3</t>
  </si>
  <si>
    <t>追击和近身刺击伤害 +8.5%</t>
  </si>
  <si>
    <t>阴之座:宿心解放符 x6</t>
  </si>
  <si>
    <t>身处常世时恢复体力(+17)</t>
  </si>
  <si>
    <t>阳之座:使役符·猥裸 x3</t>
  </si>
  <si>
    <t>抗常世 +1.5</t>
  </si>
  <si>
    <t>阴之座:昂灵符 x5</t>
  </si>
  <si>
    <t>造成火属性伤害时吸取体力 B+</t>
  </si>
  <si>
    <t>阳之座:使役符·古笼火 x3</t>
  </si>
  <si>
    <t>阴之座:火爆符 x8</t>
  </si>
  <si>
    <t>武技精力伤害 +4.5%</t>
  </si>
  <si>
    <t>阳之座:使役符·姑获鸟 x4</t>
  </si>
  <si>
    <t>阳之座:使役符·冰柱女 x4</t>
  </si>
  <si>
    <t>阴阳术命中时施加移动速度降低(-1.2%)</t>
  </si>
  <si>
    <t>阴之座:式神符·水卒 x8</t>
  </si>
  <si>
    <t>箭弹或道具命中增加灵力 C-</t>
  </si>
  <si>
    <t>阳之座:使役符·一反木棉 x4</t>
  </si>
  <si>
    <t>箭弹命中时施加承受伤害增加 +30.0%</t>
  </si>
  <si>
    <t>阴之座:禁风符 x7</t>
  </si>
  <si>
    <t>阳之座:使役符·油伞妖 x6</t>
  </si>
  <si>
    <t>敌人的麻痹状态累积 +3.5%</t>
  </si>
  <si>
    <t>精力恢复速度上升（无伤）+3.5%</t>
  </si>
  <si>
    <t>阳之座:使役符·祸津武士 x2</t>
  </si>
  <si>
    <t>阴之座:背水符 x4</t>
  </si>
  <si>
    <t>阳之座:使役符·肉瘤怪 x3</t>
  </si>
  <si>
    <t>吸收精华可恢复体力 12</t>
  </si>
  <si>
    <t>阴之座:养身符 x5</t>
  </si>
  <si>
    <t>武技精力消耗降低 -4.0%</t>
  </si>
  <si>
    <t>阳之座:使役符·夜叉 x2</t>
  </si>
  <si>
    <t>阴之座:水牙符 x8</t>
  </si>
  <si>
    <t>大炮伤害 +7.5%</t>
  </si>
  <si>
    <t>阳之座:使役符·外道兵 x5</t>
  </si>
  <si>
    <t>阴之座:感爆符 x6</t>
  </si>
  <si>
    <t>阳之座:使役符·蛇骨婆 x2</t>
  </si>
  <si>
    <t>死亡时自动回收刀冢 +17.0%</t>
  </si>
  <si>
    <t>阴之座:从水符 x4</t>
  </si>
  <si>
    <t>阳之座:使役符·大天狗 x1</t>
  </si>
  <si>
    <t>阴之座:式神符·风卒 x8</t>
  </si>
  <si>
    <t>精力恢复速度 +2.5%</t>
  </si>
  <si>
    <t>阳之座:使役符·惧鬼 x2</t>
  </si>
  <si>
    <t>阴之座:结界符 x5</t>
  </si>
  <si>
    <t>攻击处于雷状态的敌人增加灵力 AAA+</t>
  </si>
  <si>
    <t>阳之座:使役符·茨木童子 x1</t>
  </si>
  <si>
    <t>阴之座:修罗符 x5</t>
  </si>
  <si>
    <t>祓除常世赋予赋予承受伤害减少</t>
  </si>
  <si>
    <t>阳之座:使役符·涂佛 x2</t>
  </si>
  <si>
    <t>阴之座:转移不净的纸人 x4</t>
  </si>
  <si>
    <t>攻击处于水状态的敌人增加灵力 AAA+</t>
  </si>
  <si>
    <t>阳之座:使役符·傲岸鬼 x1</t>
  </si>
  <si>
    <t>阴之座:狱水符 x3</t>
  </si>
  <si>
    <t>攻击处于火状态的敌人增加灵力 AAA+</t>
  </si>
  <si>
    <t>阳之座:使役符·冒疾鬼 x1</t>
  </si>
  <si>
    <t>灵力增加量 +2.0%</t>
  </si>
  <si>
    <t>阴之座:狱炎符 x3</t>
  </si>
  <si>
    <t>攻击处于风状态的敌人增加灵力 AAA+</t>
  </si>
  <si>
    <t>阳之座:使役符·执心鬼 x1</t>
  </si>
  <si>
    <t>阴之座:狱风符 x3</t>
  </si>
  <si>
    <t>阳之座:使役符·马头鬼 x2</t>
  </si>
  <si>
    <t>阳之座:使役符·牛头鬼 x2</t>
  </si>
  <si>
    <t>阴之座:波动符 x5</t>
  </si>
  <si>
    <t>阳之座:使役符·镰鼬 x2</t>
  </si>
  <si>
    <t>阴之座:从风符 x4</t>
  </si>
  <si>
    <t>阳之座:使役符·飞缘魔 x2</t>
  </si>
  <si>
    <t>阴之座:活源符 x5</t>
  </si>
  <si>
    <t>阳之座:使役符·烟烟罗 x2</t>
  </si>
  <si>
    <t>灵力 +6</t>
  </si>
  <si>
    <t>阴之座:从火符 x4</t>
  </si>
  <si>
    <t>阳之座:使役符·两面宿傩 x1</t>
  </si>
  <si>
    <t>阴之座:神箭符 x5</t>
  </si>
  <si>
    <t>移动速度降低状态无效 50.0%</t>
  </si>
  <si>
    <t>阳之座:使役符·女郎蜘蛛 x3</t>
  </si>
  <si>
    <t>对处于毒状态敌人的近距离伤害 +6.0%</t>
  </si>
  <si>
    <t>阴之座:迟钝符 x5</t>
  </si>
  <si>
    <t>阳之座:使役符·火车 x2</t>
  </si>
  <si>
    <t>阴之座:式神符·火卒 x8</t>
  </si>
  <si>
    <t>阳之座:使役符·阴摩罗鬼 x2</t>
  </si>
  <si>
    <t>空中承受的伤害 -3.0%</t>
  </si>
  <si>
    <t>阳之座:使役符·怨灵鬼 x1</t>
  </si>
  <si>
    <t>属性攻击伤害 +5.5%</t>
  </si>
  <si>
    <t>阳之座:使役符·血刀修罗 x1</t>
  </si>
  <si>
    <t>对尸狂造成的伤害 +7.5%</t>
  </si>
  <si>
    <t>阳之座:使役符·比留呼 x1</t>
  </si>
  <si>
    <t>阴之座:狱雷符 x2</t>
  </si>
  <si>
    <t>道具掉落率 +9.0%</t>
  </si>
  <si>
    <t>阳之座:使役符·河童 x5</t>
  </si>
  <si>
    <t>阴之座:开运符 x4</t>
  </si>
  <si>
    <t>阳之座:使役符·赤河童 x4</t>
  </si>
  <si>
    <t>阳之座:使役符·琵琶牧牧 x4</t>
  </si>
  <si>
    <t>魂核掉落率 +9.0%</t>
  </si>
  <si>
    <t>阴之座:式神符·雷卒 x8</t>
  </si>
  <si>
    <t>被攻击时承受的伤害降低 -2.0%</t>
  </si>
  <si>
    <t>阳之座:使役符·泥墙 x3</t>
  </si>
  <si>
    <t>复制正面效果 +50.0%</t>
  </si>
  <si>
    <t>阳之座:使役符·貉 x3</t>
  </si>
  <si>
    <t>灵力增加量（无伤） +3.8%</t>
  </si>
  <si>
    <t>阴之座:回生符 x4</t>
  </si>
  <si>
    <t>药物恢复体力效果 +8.0%</t>
  </si>
  <si>
    <t>阳之座:使役符·木灵 x2</t>
  </si>
  <si>
    <t>阴之座:木灵变化符（木灵） x5</t>
  </si>
  <si>
    <t>造成雷属性伤害时吸取体力 B+</t>
  </si>
  <si>
    <t>阳之座:使役符·魑魅 x6</t>
  </si>
  <si>
    <t>获得金钱 +3.5%</t>
  </si>
  <si>
    <t>阴之座:雷霆符 x8</t>
  </si>
  <si>
    <t>灵力增加量（正面效果时） +2.8%</t>
  </si>
  <si>
    <t>阳之座:使役符·善擦 x4</t>
  </si>
  <si>
    <t>幸运 +24</t>
  </si>
  <si>
    <t>阴之座:轻身符 x6</t>
  </si>
  <si>
    <t>箭弹命中时施加移动速度降低 +1.5%</t>
  </si>
  <si>
    <t>阳之座:使役符·千千古 x6</t>
  </si>
  <si>
    <t>阴之座:斥风符 x5</t>
  </si>
  <si>
    <t>阳之座:使役符·大太法师 x2</t>
  </si>
  <si>
    <t>阳之座:使役符・蛤蟆附身 x4</t>
  </si>
  <si>
    <t>阴之座:减气符 x5</t>
  </si>
  <si>
    <t>阳之座:使役符・铁鼠 x4</t>
  </si>
  <si>
    <t>强攻击解除异常状态 +1.5%</t>
  </si>
  <si>
    <t>阳之座:使役符・垢尝 x3</t>
  </si>
  <si>
    <t>阴之座:除秽符 x5</t>
  </si>
  <si>
    <t>阳之座:使役符・一目连 x3</t>
  </si>
  <si>
    <t>阴之座:禁全符 x5</t>
  </si>
  <si>
    <t>阳之座:使役符・大蛤蟆 x2</t>
  </si>
  <si>
    <t>阴之座:削气符 x5</t>
  </si>
  <si>
    <t>套装种类</t>
  </si>
  <si>
    <t>套装码址</t>
  </si>
  <si>
    <t>套装名称</t>
  </si>
  <si>
    <t>套装部位</t>
  </si>
  <si>
    <t>(平均Lv.180)效果</t>
  </si>
  <si>
    <t>楚叶矢众铠　面具</t>
  </si>
  <si>
    <t>(2)体力 +150</t>
  </si>
  <si>
    <t>楚叶矢众铠　胸甲</t>
  </si>
  <si>
    <t>(3)幸运(地狱) +100</t>
  </si>
  <si>
    <t>楚叶矢众铠　臂甲</t>
  </si>
  <si>
    <t>(4)体力越少时精力恢复增强</t>
  </si>
  <si>
    <t>楚叶矢众铠　膝甲</t>
  </si>
  <si>
    <t>(5)近距离攻击伤害(地狱) +10.0%</t>
  </si>
  <si>
    <t>楚叶矢众铠　腿甲</t>
  </si>
  <si>
    <t>(2)不消耗御神水 35.0%</t>
  </si>
  <si>
    <t>(3)不消耗使役符以外的阴阳术 +11.0%</t>
  </si>
  <si>
    <t>(4)祓除常世赋予精力恢复速度增加</t>
  </si>
  <si>
    <t>(5)使用御神水时赋予阴阳术威力增强
   使用御神水时赋予效果持续力增强</t>
  </si>
  <si>
    <t>宫司净衣 头冠</t>
  </si>
  <si>
    <t>召妖衰气:以使役符召唤的妖怪对敌人造成的精力伤害增加</t>
  </si>
  <si>
    <t>宫司净衣 狩衣</t>
  </si>
  <si>
    <t>(3)不消耗使役符 +15.0%</t>
  </si>
  <si>
    <t>宫司净衣 臂甲</t>
  </si>
  <si>
    <t>(4)祓除常世赋予自动恢复体力</t>
  </si>
  <si>
    <t>宫司净衣 裤裙</t>
  </si>
  <si>
    <t>(5)使用御神水时赋予召妖衰气</t>
  </si>
  <si>
    <t>宫司净衣 足履</t>
  </si>
  <si>
    <t>(2)崩解 +4</t>
  </si>
  <si>
    <t>(3)体力 +159</t>
  </si>
  <si>
    <t>(4)强攻击伤害 +6.0%</t>
  </si>
  <si>
    <t>(5)幸运 +40</t>
  </si>
  <si>
    <t>(6)强攻击伤害 +8.6%</t>
  </si>
  <si>
    <t>(2)武技伤害 +5.0%</t>
  </si>
  <si>
    <t>(3)被攻击时承受的伤害降低 -3.0%</t>
  </si>
  <si>
    <t>(4)雷属性伤害 +10.0%</t>
  </si>
  <si>
    <t>(5)对伤害的反映(体) C+</t>
  </si>
  <si>
    <t>(6)造成雷属性伤害时吸取体力 B+</t>
  </si>
  <si>
    <t>(2)闪避动作精力消耗降低 -4.2%</t>
  </si>
  <si>
    <t>(3)忍术伤害 +10.2%</t>
  </si>
  <si>
    <t>(4)忍术命中赋予移动速度上升</t>
  </si>
  <si>
    <t>(5)不消耗忍术 +15.0%</t>
  </si>
  <si>
    <t>(6)忍具术伤害 +18.0%</t>
  </si>
  <si>
    <t>(7)忍术槽增加量(忍具术) +10.4%</t>
  </si>
  <si>
    <t>(2)承受的伤害降低(攻击动作期间) -7.0%</t>
  </si>
  <si>
    <t>(3)近距离攻击吸取体力 2%</t>
  </si>
  <si>
    <t>(4)蓄力攻击期间不会畏惧</t>
  </si>
  <si>
    <t>(5)攻防强化(斧) B</t>
  </si>
  <si>
    <t>(6)对伤害的反映(武) A-</t>
  </si>
  <si>
    <t>(2)承受的远距离伤害降低 -8.0%</t>
  </si>
  <si>
    <t>(4)伤害反映(装备重量) C</t>
  </si>
  <si>
    <t>(5)被攻击时承受的伤害降低 -4.0%
   属性攻击伤害降低 +45</t>
  </si>
  <si>
    <t>(2)幸运 +15</t>
  </si>
  <si>
    <t>(3)被攻击时承受的伤害降低 -2.0%</t>
  </si>
  <si>
    <t>(4)箭弹命中时施加承受伤害增加 +11.0%</t>
  </si>
  <si>
    <t>(5)火枪动作速度加快</t>
  </si>
  <si>
    <t>(6)伤害反映(幸运) B+</t>
  </si>
  <si>
    <t>(7)幸运 +60</t>
  </si>
  <si>
    <t>(2)负面效果时承受的伤害 -4.0%</t>
  </si>
  <si>
    <t>转嫁负面效果(绝境):体力所剩无几时，解除自身的负面效果，并赋予锁定中的敌人与自身相同的负面效果。</t>
  </si>
  <si>
    <t>(3)负面效果持续时间延长
   陷入异常状态时降低承受的伤害 -25.0%</t>
  </si>
  <si>
    <t>(4)伤害反映(负面效果数)B+</t>
  </si>
  <si>
    <t>(5)近距离攻击伤害(绝境) +18.0%</t>
  </si>
  <si>
    <t>(6)转嫁负面效果(绝境)</t>
  </si>
  <si>
    <t>(2)忍术槽增加量 +15.0%</t>
  </si>
  <si>
    <t>(3)幻术伤害 +10.0%</t>
  </si>
  <si>
    <t>(4)背后攻击灵力增加量 +15.0%</t>
  </si>
  <si>
    <t>(5)属性攻击伤害 +15.0%</t>
  </si>
  <si>
    <t>(6)忍术伤害吸取体力 B+</t>
  </si>
  <si>
    <t>(2)追击和近身刺击可恢复体力 100</t>
  </si>
  <si>
    <t>(3)对处于麻痹状态敌人的近距离伤害 +50.0%</t>
  </si>
  <si>
    <t>(4)近距离攻击精力伤害 +4.0%</t>
  </si>
  <si>
    <t>(5)施加麻痹状态造成精力伤害</t>
  </si>
  <si>
    <t>(6)追击和近身刺击伤害 +30.0%</t>
  </si>
  <si>
    <t>(2)近距离攻击打倒敌人时恢复体力 100</t>
  </si>
  <si>
    <t>(3)体力恢复量(地狱) +7.0%</t>
  </si>
  <si>
    <t>(4)吸收精华后赋予精力恢复速度增加</t>
  </si>
  <si>
    <t>(5)获得精华(地狱) +12.0%</t>
  </si>
  <si>
    <t>(6)地狱武器伤害 +16.0%</t>
  </si>
  <si>
    <t>(3)自动瞄准要害</t>
  </si>
  <si>
    <t>(4)精力 +51</t>
  </si>
  <si>
    <t>(5)箭弹命中弱点时伤害 +40.0%</t>
  </si>
  <si>
    <t>(6)箭弹命中时施加承受伤害增加 +40.0%
   近距离攻击伤害 +8.0%</t>
  </si>
  <si>
    <t>(2)箭弹贯穿</t>
  </si>
  <si>
    <t>全力张弓:延长拿起弓及射击后可再度发射所需的时间，但大幅增加造成的精力伤害。</t>
  </si>
  <si>
    <t>(3)弓伤害 +20.0%</t>
  </si>
  <si>
    <t>(4)箭弹的精力伤害 +15.0%</t>
  </si>
  <si>
    <t>(5)近距离攻击伤害 +8.0%</t>
  </si>
  <si>
    <t>(6)全力张弓</t>
  </si>
  <si>
    <t>(3)武技伤害 +13.0%</t>
  </si>
  <si>
    <t>讨鬼勇猛之铠臂甲</t>
  </si>
  <si>
    <t>(4)攻防强化(手甲)</t>
  </si>
  <si>
    <t>(5)精力恢复速度 +15.0%</t>
  </si>
  <si>
    <t>(6)武技精力消耗降低 -15.0%</t>
  </si>
  <si>
    <t>(7)对伤害的反映(武) A+</t>
  </si>
  <si>
    <t>(2)毒抗性 +10</t>
  </si>
  <si>
    <t>(3)体力恢复量 +10.0%</t>
  </si>
  <si>
    <t>(4)格挡成功时赋予承受伤害减少</t>
  </si>
  <si>
    <t>(5)防御精力消耗降低 −8.0%</t>
  </si>
  <si>
    <t>(6)近距离攻击伤害(无伤) +13.0%</t>
  </si>
  <si>
    <t>(7)伤害反映(毒抗性) A</t>
  </si>
  <si>
    <t>(3)被攻击时承受的伤害降低 -4.0%</t>
  </si>
  <si>
    <t>(4)箭矢持有数量上限 +3</t>
  </si>
  <si>
    <t>(5)残心精力恢复量 +20.0%</t>
  </si>
  <si>
    <t>(6)不消耗箭弹 +20.0%</t>
  </si>
  <si>
    <t>(7)攻防强化(枪) D+</t>
  </si>
  <si>
    <t>(2)防御反映(刚) D</t>
  </si>
  <si>
    <t>(3)防御精力消耗降低 −10.0%</t>
  </si>
  <si>
    <t>(4)残心初始量 +21</t>
  </si>
  <si>
    <t>(5)武技精力伤害 +7.1%</t>
  </si>
  <si>
    <t>(6)攻防强化(大太刀) B</t>
  </si>
  <si>
    <t>(7) 近距离攻击伤害(无伤) +15.0%</t>
  </si>
  <si>
    <t>(2)以琢技攻击恢复体力</t>
  </si>
  <si>
    <t>犹如满潮:以武技造成伤害后，若一定时间内未发动武技，则赋予次技增强(下次武技增加伤害)。</t>
  </si>
  <si>
    <t>(3)强攻击伤害 +4.5%</t>
  </si>
  <si>
    <t>(4)武技精力伤害 +5.8%</t>
  </si>
  <si>
    <t>(5)对伤害的反映(心) C+</t>
  </si>
  <si>
    <t>(6)犹如满潮</t>
  </si>
  <si>
    <t>(2)格挡成功时赋予造成伤害增加</t>
  </si>
  <si>
    <t>次击衰气:下次使出的攻击造成的精力伤害增加。</t>
  </si>
  <si>
    <t>(3)防御反映(心) C-</t>
  </si>
  <si>
    <t>(4)空手格挡赋予次击衰气</t>
  </si>
  <si>
    <t>(5)攻防强化(刀) D+</t>
  </si>
  <si>
    <t>(2)防御反映(体) D+</t>
  </si>
  <si>
    <t>(3)刺击伤害 +9.0%
   强攻击精力伤害</t>
  </si>
  <si>
    <t>海內无双之衣 足履</t>
  </si>
  <si>
    <t>(4)攻防强化(枪) B</t>
  </si>
  <si>
    <t>(2)体力 +110</t>
  </si>
  <si>
    <t>(3)动作加快(火枪与大炮)
   大炮伤害 +10.3%</t>
  </si>
  <si>
    <t>(4)对攻击力的反映(大炮伤害) A</t>
  </si>
  <si>
    <t>(5)不消耗枪弹与炮弹 +12.8%</t>
  </si>
  <si>
    <t>(2)精力恢复反映(精华槽) D+</t>
  </si>
  <si>
    <t>(3)对防御力的反映(咒) C-</t>
  </si>
  <si>
    <t>(4)爱用度增加量 +7.5%</t>
  </si>
  <si>
    <t>(5)伤害反映(爱用度) C+</t>
  </si>
  <si>
    <t>(6)吸收精华可恢复体力 4</t>
  </si>
  <si>
    <t>(2)获得武功 +4.2%</t>
  </si>
  <si>
    <t>双灵庇佑:可同时获得两种风格的守护灵的特殊效果。
反映变化(忍者):使用忍者风格装备近战武器的参考能力值，将变更为武士风格装备近战武器的参考能力值。</t>
  </si>
  <si>
    <t>(3)承受伤害增加灵力 C-</t>
  </si>
  <si>
    <t>(4)防御反映 (心) C</t>
  </si>
  <si>
    <t>(5)双灵庇佑</t>
  </si>
  <si>
    <t>(6){武|忍}反映变化(忍者)</t>
  </si>
  <si>
    <t>国松的砚盒</t>
  </si>
  <si>
    <t>(2)守护灵技的精力伤害 +7.4%</t>
  </si>
  <si>
    <t>(3)追击和近身刺击可恢复体力 102</t>
  </si>
  <si>
    <t>(4)九十九化身结束时赋予畏惧无效</t>
  </si>
  <si>
    <t>(5)连续攻击精力伤害增加 C-</t>
  </si>
  <si>
    <t>(6)追击与近身刺击赋予昂神</t>
  </si>
  <si>
    <t>(2){武|忍}防御精力消耗降低 -7.2%</t>
  </si>
  <si>
    <t>(3)冬月伤害 +10.4%</t>
  </si>
  <si>
    <t>(4)格挡赋予精力恢复速度增加</t>
  </si>
  <si>
    <t>(5)格挡造成精力伤害</t>
  </si>
  <si>
    <t>(6)对伤害的反映(武) C-</t>
  </si>
  <si>
    <t>(2){武|忍}闪避动作精力消耗降低 -4.2%</t>
  </si>
  <si>
    <t>(4)成功识破时造成伤害增加</t>
  </si>
  <si>
    <t>(5)成功识破时移动速度上升</t>
  </si>
  <si>
    <t>(6)对伤害的反映(心) C-</t>
  </si>
  <si>
    <t>蝉折之笛</t>
  </si>
  <si>
    <t>(2)守护灵技命中可吸取体力 20</t>
  </si>
  <si>
    <t>(3)九十九化身时的耐久力 +8.2%</t>
  </si>
  <si>
    <t>(4)灵力增加量反映(精华槽) C-</t>
  </si>
  <si>
    <t>(5)九十九化身时的属性伤害 +7.2%</t>
  </si>
  <si>
    <t>(6)水属性伤害 +30.0%</t>
  </si>
  <si>
    <t>进口怀表</t>
  </si>
  <si>
    <t>(3)武技精力消耗降低 −10.0%</t>
  </si>
  <si>
    <t>(4)武技吸取体力 +1.0%</t>
  </si>
  <si>
    <t>(5)武技赋予多才多艺(精力消耗减轻)</t>
  </si>
  <si>
    <t>(6)攻防强化(双刀) D+</t>
  </si>
  <si>
    <t>(3)陷入异常状态时赋予移动速度上升</t>
  </si>
  <si>
    <t>(4)近距离攻击伤害(无伤) +10.0%</t>
  </si>
  <si>
    <t>(5)武技吸取体力 +2.0%</t>
  </si>
  <si>
    <t>(2)强攻击吸取体力 3%</t>
  </si>
  <si>
    <t>(3)造成风属性伤害时增加灵力 C-</t>
  </si>
  <si>
    <t>(4)恢复体力赋予承受伤害减少</t>
  </si>
  <si>
    <t>(5)对处于火状态敌人的近距离伤害 +12.0%</t>
  </si>
  <si>
    <t>(6)防御时精力恢复速度 +12.0%</t>
  </si>
  <si>
    <t>(7)属性附武伤害 +20.0%</t>
  </si>
  <si>
    <t>(2)箭弹命中时施加移动速度降低 +10.0%</t>
  </si>
  <si>
    <t>近距离攻击延长负面效果:除混沌以外的负面效果。</t>
  </si>
  <si>
    <t>(3)拿起远距离武器时的移动速度 +30.0%</t>
  </si>
  <si>
    <t>木曾紫之铠臂甲</t>
  </si>
  <si>
    <t>(4)箭弹命中时施加承受伤害增加 +18.2%</t>
  </si>
  <si>
    <t>(5)敌人异常状态持续(混沌) +80.0%</t>
  </si>
  <si>
    <t>木曾紫之铠腿甲</t>
  </si>
  <si>
    <t>(6)近距离攻击延长负面效果</t>
  </si>
  <si>
    <t>(2)武技精力消耗降低 −5.7%</t>
  </si>
  <si>
    <t>(3)敌人的风状态累积 +10.0%</t>
  </si>
  <si>
    <t>(4)身处常世时恢复体力</t>
  </si>
  <si>
    <t>(5)造成风属性伤害时增加灵力 C+</t>
  </si>
  <si>
    <t>(6)近距离攻击伤害(常世内) +25.0%</t>
  </si>
  <si>
    <t>(7)伤害反映(灵力) A</t>
  </si>
  <si>
    <t>(2)使用药品时赋予承受伤害减少</t>
  </si>
  <si>
    <t>(3)近距离攻击伤害(地狱) +10.0%</t>
  </si>
  <si>
    <t>(4)祓除常世赋予承受伤害减少</t>
  </si>
  <si>
    <t>(5){武|忍}效果持续力 +26</t>
  </si>
  <si>
    <t>(6)对伤害的反映(智) D+</t>
  </si>
  <si>
    <t>(2)恢复体力侵蚀时一并恢复体力</t>
  </si>
  <si>
    <t>地狱的负面效果无效:使各地狱特有的负面效果(焦热、冻气、障血)无效。
灵力转炎:对敌人造成属性伤害时，消耗灵力以增加对敌人造成的伤害与异常状态累积量。</t>
  </si>
  <si>
    <t>(3)灵力增加量(地狱) +10.0%</t>
  </si>
  <si>
    <t>(4)地狱的负面效果无效</t>
  </si>
  <si>
    <t>(5)异常状态累积 +15.2%</t>
  </si>
  <si>
    <t>(6)敌人异常状态持续(混沌) +20.0%</t>
  </si>
  <si>
    <t>凶王耳饰</t>
  </si>
  <si>
    <t>(7)灵力转炎</t>
  </si>
  <si>
    <t>(2)刺击伤害 +8.0%</t>
  </si>
  <si>
    <t>(3)精华槽增加量 +10.0%</t>
  </si>
  <si>
    <t>(4)收刀状态下施展的武技伤害 +15.0%</t>
  </si>
  <si>
    <t>(5)吸收精华后赋予造成伤害增加</t>
  </si>
  <si>
    <t>(6)伤害反映(精华槽) D+</t>
  </si>
  <si>
    <t>(2)守护灵技异常状态累积 +8.0%</t>
  </si>
  <si>
    <t>(3)吸收精华后赋予造成伤害增加</t>
  </si>
  <si>
    <t>(4)守护灵技伤害(咒) B+</t>
  </si>
  <si>
    <t>(5)吸收精华后赋予精力恢复速度增加</t>
  </si>
  <si>
    <t>日巫女首饰</t>
  </si>
  <si>
    <t>(6){武|忍}体力归零时发动九十九化身</t>
  </si>
  <si>
    <t>(2)自动瞄准要害</t>
  </si>
  <si>
    <t>(3)箭弹命中弱点时伤害 +12.0%</t>
  </si>
  <si>
    <t>(4)火枪伤害 +11.0%</t>
  </si>
  <si>
    <t>(5)对攻击力的反映（火枪伤害） C+</t>
  </si>
  <si>
    <t>(2)速攻击伤害 +3.5%</t>
  </si>
  <si>
    <t>(3)近距离攻击的精力消耗降低 -10.0%</t>
  </si>
  <si>
    <t>(4)成功识破时移动速度上升</t>
  </si>
  <si>
    <t>(5)打倒敌人时赋予精力恢复速度增加</t>
  </si>
  <si>
    <t>(6)对伤害的反映（技） D+</t>
  </si>
  <si>
    <t>(2)空中的精力消耗 -4.7%</t>
  </si>
  <si>
    <t>(3)获得金钱 +5.0%</t>
  </si>
  <si>
    <t>万两义賊之铠 臂甲</t>
  </si>
  <si>
    <t>(4)遁术的伤害 +13.0%</t>
  </si>
  <si>
    <t>(5)对伤害的反映（刚） C+</t>
  </si>
  <si>
    <t>万两义賊之铠 腿甲</t>
  </si>
  <si>
    <t>(6)空中攻击伤害 +20.0%</t>
  </si>
  <si>
    <t>(2)背后攻击伤害 +4.5%</t>
  </si>
  <si>
    <t>(3)暗杀伤害 +3.1%</t>
  </si>
  <si>
    <t>(4)忍术伤害 +5.0%</t>
  </si>
  <si>
    <t>(5)不易被敌人发现 C+</t>
  </si>
  <si>
    <t>(6)对攻击力的反映（不易被敌人发现） D-</t>
  </si>
  <si>
    <t>(2)绝境时赋予自动恢复体力</t>
  </si>
  <si>
    <t>(3)伤害反映（敏捷） C-</t>
  </si>
  <si>
    <t>(4)跳跃的精力 −10.0%
   箭弹命中时赋予衰气</t>
  </si>
  <si>
    <t>(5)伤害反映（正面效果数） D+</t>
  </si>
  <si>
    <t>(3)以背后攻击恢复体力 D</t>
  </si>
  <si>
    <t>(4)忍术与琢技槽增加量 +10.0%</t>
  </si>
  <si>
    <t>(5)背后攻击伤害 +15.0%</t>
  </si>
  <si>
    <t>(6)攻防强化（锁镰） D+</t>
  </si>
  <si>
    <t>(2)体力 +100</t>
  </si>
  <si>
    <t>(3)近距离攻击伤害 +3.0%</t>
  </si>
  <si>
    <t>(4)闪避动作精力消耗降低 -25.0%</t>
  </si>
  <si>
    <t>(5)效果持续力 +50</t>
  </si>
  <si>
    <t>(6)攻防强化（机关棍） B</t>
  </si>
  <si>
    <t>(7)对伤害的反映（咒） B+</t>
  </si>
  <si>
    <t>弘法大师的念珠</t>
  </si>
  <si>
    <t>(2)幻术伤害（技） D</t>
  </si>
  <si>
    <t>(3)对处于风状态敌人的精力伤害 +10.0%</t>
  </si>
  <si>
    <t>(4)不易被敌人发现 B+</t>
  </si>
  <si>
    <t>(5)幻术异常状态累积 +15.0%</t>
  </si>
  <si>
    <t>(6)风属性伤害 +30.0%</t>
  </si>
  <si>
    <t>(2)感应宝物</t>
  </si>
  <si>
    <t>(3)灵力增加量（正面效果时） +4.0%</t>
  </si>
  <si>
    <t>(4)吸收精华后赋予造成伤害增加</t>
  </si>
  <si>
    <t>(5)对伤害的反映（智） C+</t>
  </si>
  <si>
    <t>(2)机关旋棍</t>
  </si>
  <si>
    <t>机关旋棍:在使用中的旋棍里装入炸药机关，施展特定武技时可使用专用的衍生动作。</t>
  </si>
  <si>
    <t>(3)武技精力消耗降低 -6.8%</t>
  </si>
  <si>
    <t>(4)使用遁术时赋予移动速度上升</t>
  </si>
  <si>
    <t>(5)连续攻击精力伤害增加 C+</t>
  </si>
  <si>
    <t>(6)忍术槽增加量（遁术） +20.0%</t>
  </si>
  <si>
    <t>(7)使用遁术时赋予造成伤害增加</t>
  </si>
  <si>
    <t>(2)格挡赋予造成伤害增加或延长效果</t>
  </si>
  <si>
    <t>表里剑:在武士风格下，每当武技命中敌人时，将获得正面效果“表里剑”。命中过的武技种类增加时会累积次数（上限为9次）：当计数达到6以上时，将根据累积次数增加忍术造成的伤害。同一武技无法提升累积次数。“贰”等衍生武技与原武技视为同一武技。</t>
  </si>
  <si>
    <t>(3)防御时精力恢复速度 +6.0%</t>
  </si>
  <si>
    <t>(4)表里剑</t>
  </si>
  <si>
    <t>(5)忍术槽积攒量（武士） +30.0%</t>
  </si>
  <si>
    <t>(6)对伤害的反映（技）C+</t>
  </si>
  <si>
    <t>三池典太・編笠</t>
  </si>
  <si>
    <t>(2)防御精力消耗降低 -4.2%</t>
  </si>
  <si>
    <t>(3)防御反映（智） C-</t>
  </si>
  <si>
    <t>(5)武技伤害反映（精力残量） C</t>
  </si>
  <si>
    <t>(6)残心精力恢复量 +25.0%</t>
  </si>
  <si>
    <t>(7)对伤害的反映（智） C+</t>
  </si>
  <si>
    <t>松平信纲的军扇</t>
  </si>
  <si>
    <t>(2)获得金钱 +4.0%</t>
  </si>
  <si>
    <t>(3)仙药掉落率 +8.0%</t>
  </si>
  <si>
    <t>(4)获得金钱反映（幸运） C</t>
  </si>
  <si>
    <t>(5)攻击反映（获得金钱增加率） C</t>
  </si>
  <si>
    <t>(6)获得金钱（绝境） +25.0%</t>
  </si>
  <si>
    <t>(3)武技精力伤害 +3.8%</t>
  </si>
  <si>
    <t>(4)追击和近身刺击伤害 +14.7%</t>
  </si>
  <si>
    <t>(6)对伤害的反映（心） C+</t>
  </si>
  <si>
    <t>(7)攻防强化（手甲） B-</t>
  </si>
  <si>
    <t>副将军的印笼</t>
  </si>
  <si>
    <t>(2)火抗性 +24</t>
  </si>
  <si>
    <t>次技增强:下次使出的武技造成的伤害增加。</t>
  </si>
  <si>
    <t>(3)绝境时赋予移动速度上升</t>
  </si>
  <si>
    <t>(4)蓄力攻击伤害 +15.0%</t>
  </si>
  <si>
    <t>(5)对攻击中敌人的近距离伤害 +18.0%</t>
  </si>
  <si>
    <t>(6)命中攻击动作中的敌人时赋予次技增强</t>
  </si>
  <si>
    <t>(7)攻防强化（枪） B-</t>
  </si>
  <si>
    <t>一玄居士的烟管</t>
  </si>
  <si>
    <t>(2)精力恢复速度上升（无伤） +6.0%</t>
  </si>
  <si>
    <t>(3)忍术命中赋予移动速度上升</t>
  </si>
  <si>
    <t>(4)背后攻击精力伤害 +12.0%</t>
  </si>
  <si>
    <t>(5)琢技槽积攒量（忍者） +30.0%</t>
  </si>
  <si>
    <t>(6)背后攻击伤害 +24.0%</t>
  </si>
  <si>
    <t>(2)武技吸取体力 +5.0%
   属性攻击伤害降低 +15</t>
  </si>
  <si>
    <t>复仇之志:自身或同行者受到敌人攻击或防御敌人攻击时，赋予自身精力恢复速度增加效果。</t>
  </si>
  <si>
    <t>(3)复仇之志</t>
  </si>
  <si>
    <t>(4)精力恢复速度 +7.4%</t>
  </si>
  <si>
    <t>(5)攻击反映（精力恢复速度） C-</t>
  </si>
  <si>
    <t>(3)忍术动作期间承受的伤害 -10.0%</t>
  </si>
  <si>
    <t>(4)忍术槽增加量 +18.0%</t>
  </si>
  <si>
    <t>弁庆梦想裝束 褲裙</t>
  </si>
  <si>
    <t>(5)忍术命中极近距离敌人时赋予衰气</t>
  </si>
  <si>
    <t>(7)近距离攻击伤害 +13.8%</t>
  </si>
  <si>
    <t>恩宠</t>
  </si>
  <si>
    <t>？？？</t>
  </si>
  <si>
    <t>(2)体力 +258</t>
  </si>
  <si>
    <t>(4)被攻击时承受的伤害降低 -4.0%</t>
  </si>
  <si>
    <t>(5)武技伤害 +6.0%</t>
  </si>
  <si>
    <t>(6)武技精力伤害 +7.0%</t>
  </si>
  <si>
    <t>防守技艺:格挡或识破成功时，将提升多才多艺的累计次数。
敏捷才艺:武技消耗的精力视多才多艺的累积次数而减少。</t>
  </si>
  <si>
    <t>(3)防守技艺</t>
  </si>
  <si>
    <t>(4)承受的伤害降低(攻击动作期间) -6.0%</t>
  </si>
  <si>
    <t>(5)获得精华 +10.0%</t>
  </si>
  <si>
    <t>(6)累积次数持续</t>
  </si>
  <si>
    <t>(7)敏捷才艺</t>
  </si>
  <si>
    <t>(3)幸运 +20</t>
  </si>
  <si>
    <t>(5)打倒敌人时赋予幸运增加</t>
  </si>
  <si>
    <t>(6)幸运 +50</t>
  </si>
  <si>
    <t>(7)道具掉落率 +20.0%</t>
  </si>
  <si>
    <t>(3)阴阳术伤害吸取体力 C+</t>
  </si>
  <si>
    <t>(5)阴阳术 术力 +50</t>
  </si>
  <si>
    <t>(6)使用阴阳术时赋予自动恢复体力</t>
  </si>
  <si>
    <t>(7)对伤害的反映(咒) A+</t>
  </si>
  <si>
    <t>(3)装备品掉落率 +5.0%</t>
  </si>
  <si>
    <t>(4)对防御力的反映(忍术威力) B-</t>
  </si>
  <si>
    <t>(5)对攻击力的反映(琢技威力) A</t>
  </si>
  <si>
    <t>(6)琢技威力 +100</t>
  </si>
  <si>
    <t>(7)忍术威力 +102</t>
  </si>
  <si>
    <t>(3)使用药品时解除负面效果 63.0%</t>
  </si>
  <si>
    <t>(5)幸运 +20</t>
  </si>
  <si>
    <t>(6)对伤害的反映(体) B+</t>
  </si>
  <si>
    <t>(7)被攻击时承受的伤害降低 -9.0%</t>
  </si>
  <si>
    <t>(2)自动回复累积次数化</t>
  </si>
  <si>
    <t>自动回复累积次数化:特定正面效果变得会在叠加时累积次数，且效果随累积次数上升。</t>
  </si>
  <si>
    <t>(3)格挡成功时赋予自动恢复体力</t>
  </si>
  <si>
    <t>(4)效果持续力 +20</t>
  </si>
  <si>
    <t>(5)成功识破时自动恢复体力</t>
  </si>
  <si>
    <t>(6)精力恢复速度上升(无伤) +19.2%</t>
  </si>
  <si>
    <t>(7)视自动回复累积次数使造成伤害增加</t>
  </si>
  <si>
    <t>(3)效果持续力 +10</t>
  </si>
  <si>
    <t>(5)属性附武伤害 +10.0%</t>
  </si>
  <si>
    <t>(6)使用阴阳术时赋予精力恢复速度增加</t>
  </si>
  <si>
    <t>(7)属性附武伤害 +18.0%</t>
  </si>
  <si>
    <t>(3)不消耗箭弹 +8.0%</t>
  </si>
  <si>
    <t>(5)不消耗箭弹 +15.0%</t>
  </si>
  <si>
    <t>(6)伤害反映(弓伤害) A+</t>
  </si>
  <si>
    <t>(7)弓伤害 +30.0%</t>
  </si>
  <si>
    <t>(3)使役符命中时赋予昂神</t>
  </si>
  <si>
    <t>(4)毒抗性 +30</t>
  </si>
  <si>
    <t>(5)对处于毒状态敌人的近距离伤害 +18.0%</t>
  </si>
  <si>
    <t>(6)毒异常状态累积(灵力) A+</t>
  </si>
  <si>
    <t>(7)不消耗使役符 +20.0%</t>
  </si>
  <si>
    <t>(2)体力 +328</t>
  </si>
  <si>
    <t>(3)恢复体力侵蚀时一并恢复体力</t>
  </si>
  <si>
    <t>(4)武技吸取体力 +6.0%</t>
  </si>
  <si>
    <t>(5)精力恢复速度上升(无伤) +25.0%</t>
  </si>
  <si>
    <t>(6)近距离攻击伤害(无伤) +28.0%</t>
  </si>
  <si>
    <t>(7)承受的伤害减半(无伤状态) 50.0%</t>
  </si>
  <si>
    <t>多艺真髓:提升正面效果"多才多艺"带来的伤害增加效果</t>
  </si>
  <si>
    <t>(3)崩解 +10</t>
  </si>
  <si>
    <t>(4)武技精力伤害 +6.0%</t>
  </si>
  <si>
    <t>(6)连续攻击精力伤害增加 B+</t>
  </si>
  <si>
    <t>(7)多艺真髓</t>
  </si>
  <si>
    <t>(2)体力 +428</t>
  </si>
  <si>
    <t>(3)阴阳术命中时施加承受伤害增加</t>
  </si>
  <si>
    <t>(4)阴阳术 术力 +70</t>
  </si>
  <si>
    <t>(5)阴阳术道具的伤害(无伤) +40.0%</t>
  </si>
  <si>
    <t>(6)不消耗使役符以外的阴阳术 +15.0%</t>
  </si>
  <si>
    <t>(7)发扬阴阳术 A</t>
  </si>
  <si>
    <t>(3)格挡·识破成功时赋予自动恢复体力</t>
  </si>
  <si>
    <t>(4)对处于火状态敌人的精力伤害 +15.0%</t>
  </si>
  <si>
    <t>(5)敌人的火状态累积 +20.0%</t>
  </si>
  <si>
    <t>(6)火属性伤害 +30.0%</t>
  </si>
  <si>
    <t>(7)对处于火状态敌人的近距离伤害 +35.0%</t>
  </si>
  <si>
    <t>(3)格挡·识破成功时赋予造成伤害增加</t>
  </si>
  <si>
    <t>(4)对处于水状态敌人的精力伤害 +15.0%</t>
  </si>
  <si>
    <t>(5)敌人的水状态累积 +20.0%</t>
  </si>
  <si>
    <t>(7)对处于水状态敌人的近距离伤害 +35.0%</t>
  </si>
  <si>
    <t>(3)格挡·识破成功时赋予移动速度上升</t>
  </si>
  <si>
    <t>(4)对处于雷状态敌人的精力伤害 +15.0%</t>
  </si>
  <si>
    <t>(5)敌人的雷状态累积 +20.0%</t>
  </si>
  <si>
    <t>(6)雷属性伤害 +30.0%</t>
  </si>
  <si>
    <t>(7)对处于雷状态敌人的近距离伤害 +35.0%</t>
  </si>
  <si>
    <t>(3)格挡·识破成功时赋予精力恢复速度增加</t>
  </si>
  <si>
    <t>(4)对处于风状态敌人的精力伤害 +15.0%</t>
  </si>
  <si>
    <t>(5)敌人的风状态累积 +20.0%</t>
  </si>
  <si>
    <t>(7)对处于风状态敌人的近距离伤害 +35.0%</t>
  </si>
  <si>
    <t>流连若舞:一定时间内未受到攻击并以近距离攻击命中敌人时，将赋予正面效果“流连若舞”。再次达成条件就能根据累计次数增加近距离攻击的伤害(上限为9次)，受到攻击时会减2，防御攻击则会减1。</t>
  </si>
  <si>
    <t>(3)闪避攻击赋予移动速度上升</t>
  </si>
  <si>
    <t>(4)闪避攻击赋予精力恢复速度增加</t>
  </si>
  <si>
    <t>(5)闪避行动移动距离延长</t>
  </si>
  <si>
    <t>(6)闪避动作精力消耗降低 -25.0%</t>
  </si>
  <si>
    <t>(7)流连若舞</t>
  </si>
  <si>
    <t>(3)负面效果时承受的伤害 -15.0%</t>
  </si>
  <si>
    <t>(4)异常状态时的精华槽积攒量 +20.0%</t>
  </si>
  <si>
    <t>(5)行动精力消耗(负面效果时) -24.0%</t>
  </si>
  <si>
    <t>(6)负面效果持续时间延长</t>
  </si>
  <si>
    <t>(7)伤害反映(负面效果数) AAA</t>
  </si>
  <si>
    <t>化身灵延:在九十九化身状态下以守护灵技命中敌人时，延长九十九化身的持续时间。</t>
  </si>
  <si>
    <t>(3)九十九化身时的耐久力 +16.0%</t>
  </si>
  <si>
    <t>(4)九十九化身持续时间延长 +18.0%</t>
  </si>
  <si>
    <t>(5)九十九化身时的属性伤害 +14.0%</t>
  </si>
  <si>
    <t>(6)精华槽增加量 +25.0%</t>
  </si>
  <si>
    <t>(7)化身灵延</t>
  </si>
  <si>
    <t>坚若盘石：在防御敌人的攻击后于一定时间内以近距离攻击命中敌人时，将赋予正面效果“坚若盘石”。再次达成条件就能根据累计次数增加近距离攻击的伤害(上限为9次)，并降低防御时的精力消耗与属性伤害。防御失败受到攻击时会减1。</t>
  </si>
  <si>
    <t>(3)防御力 +100</t>
  </si>
  <si>
    <t>(4)格挡·识破成功时赋予自动恢复体力</t>
  </si>
  <si>
    <t>(5)防御时的属性攻击伤害降低 +60</t>
  </si>
  <si>
    <t>(6)防御精力消耗降低 -15.0%</t>
  </si>
  <si>
    <t>(7)坚若盘石</t>
  </si>
  <si>
    <t>武器种类</t>
  </si>
  <si>
    <t>地狱武技代码:名称</t>
  </si>
  <si>
    <t>来源</t>
  </si>
  <si>
    <t>十六进制数</t>
  </si>
  <si>
    <t>二进制(内存读取)</t>
  </si>
  <si>
    <t>二进制</t>
  </si>
  <si>
    <t>十进制</t>
  </si>
  <si>
    <t>字母</t>
  </si>
  <si>
    <t>数值</t>
  </si>
  <si>
    <t>16进制值</t>
  </si>
  <si>
    <t>待完成目录</t>
  </si>
  <si>
    <t>C0C1:无想剑</t>
  </si>
  <si>
    <t>白装固定词条</t>
  </si>
  <si>
    <t>1E</t>
  </si>
  <si>
    <t>D-</t>
  </si>
  <si>
    <t>绘卷词条完成，规则后续补充</t>
  </si>
  <si>
    <t>3435:昂龙牙</t>
  </si>
  <si>
    <t>黄装固定词条</t>
  </si>
  <si>
    <t>D</t>
  </si>
  <si>
    <t>功法书补充</t>
  </si>
  <si>
    <t>AC06:总卷</t>
  </si>
  <si>
    <t>蓝装固定词条</t>
  </si>
  <si>
    <t>D+</t>
  </si>
  <si>
    <t>发现饰品的抗性与等级和+值相关，先不整理</t>
  </si>
  <si>
    <t>9778:双头斩</t>
  </si>
  <si>
    <t>紫/绿装固定词条</t>
  </si>
  <si>
    <t>C-</t>
  </si>
  <si>
    <t>5638:鬼菱</t>
  </si>
  <si>
    <t>随机/白装/近战</t>
  </si>
  <si>
    <t>0F</t>
  </si>
  <si>
    <t>C</t>
  </si>
  <si>
    <t>AA7C:昂龙爪</t>
  </si>
  <si>
    <t>C+</t>
  </si>
  <si>
    <t>8D12:五月雨突刺</t>
  </si>
  <si>
    <t>B-</t>
  </si>
  <si>
    <t>885C:青岚</t>
  </si>
  <si>
    <t>B</t>
  </si>
  <si>
    <t>D3A9:噬魂</t>
  </si>
  <si>
    <t>B+</t>
  </si>
  <si>
    <t>DD8A:大旋风</t>
  </si>
  <si>
    <t>A-</t>
  </si>
  <si>
    <t>A148:碎地</t>
  </si>
  <si>
    <t>A</t>
  </si>
  <si>
    <t>BB9F:昂龙角</t>
  </si>
  <si>
    <t>A+</t>
  </si>
  <si>
    <t>26D6:泷壶</t>
  </si>
  <si>
    <t>AA-</t>
  </si>
  <si>
    <t>C6EA:翔鸟</t>
  </si>
  <si>
    <t>AA</t>
  </si>
  <si>
    <t>B623:是空裁</t>
  </si>
  <si>
    <t>AA+</t>
  </si>
  <si>
    <t>D227:帝释裁</t>
  </si>
  <si>
    <t>AAA-</t>
  </si>
  <si>
    <t>3881:罗刹天</t>
  </si>
  <si>
    <t>AAA</t>
  </si>
  <si>
    <t>99C0:罗业拳</t>
  </si>
  <si>
    <t>AAA+</t>
  </si>
  <si>
    <t>653C:豺狼手</t>
  </si>
  <si>
    <t>0606:旭光</t>
  </si>
  <si>
    <t>6F70:落月</t>
  </si>
  <si>
    <t>F9B9:天翔</t>
  </si>
  <si>
    <t>A475:影斩</t>
  </si>
  <si>
    <t>410A:舞藤</t>
  </si>
  <si>
    <t>749E:结锁</t>
  </si>
  <si>
    <t>59BF:落瀑</t>
  </si>
  <si>
    <t>3FB9:灰烬</t>
  </si>
  <si>
    <t>29F4:连环腿</t>
  </si>
  <si>
    <t>532E:千牟莲</t>
  </si>
  <si>
    <t>409F:气焰</t>
  </si>
  <si>
    <t>E10B:熊鹰</t>
  </si>
  <si>
    <t>6EB6:地杀</t>
  </si>
  <si>
    <t>6122:流破棍</t>
  </si>
  <si>
    <t>D6F9:白鹭踢</t>
  </si>
  <si>
    <t>2ABB:碎五轮</t>
  </si>
  <si>
    <t>3A0F:踏影</t>
  </si>
  <si>
    <t>7E6A:千手击</t>
  </si>
  <si>
    <t>490D:地裂跳击</t>
  </si>
  <si>
    <t>5841:粉碎刺击</t>
  </si>
  <si>
    <t>99AF:震霆</t>
  </si>
  <si>
    <t>60A3:描击</t>
  </si>
  <si>
    <t>C67A:乱舞落</t>
  </si>
  <si>
    <t>35C5:龟翔</t>
  </si>
  <si>
    <t>下标</t>
  </si>
  <si>
    <t>标识</t>
  </si>
  <si>
    <t>规范标识</t>
  </si>
  <si>
    <t>最大值</t>
  </si>
  <si>
    <t>最大值
(16进制)</t>
  </si>
  <si>
    <t>取值计数</t>
  </si>
  <si>
    <t>取值集合</t>
  </si>
  <si>
    <t>绘卷环境
(p是周目，r是稀有度)</t>
  </si>
  <si>
    <t>HEX 0x000001C0</t>
  </si>
  <si>
    <t>HEX 0x00000000</t>
  </si>
  <si>
    <t>00 00</t>
  </si>
  <si>
    <t>备用</t>
  </si>
  <si>
    <t/>
  </si>
  <si>
    <t>8B 78</t>
  </si>
  <si>
    <t>42 C5</t>
  </si>
  <si>
    <t>HEX 0x000001C1</t>
  </si>
  <si>
    <t>HEX 0x00000008</t>
  </si>
  <si>
    <t>BC 53</t>
  </si>
  <si>
    <t>攻击力</t>
  </si>
  <si>
    <t>HEX 0x00000016</t>
  </si>
  <si>
    <t>15 | 16 | 17 | 18 | 19 | 20 | 21 | 22</t>
  </si>
  <si>
    <t>D4 1D</t>
  </si>
  <si>
    <t>攻击性能</t>
  </si>
  <si>
    <t>01/魂核</t>
  </si>
  <si>
    <t>22 52</t>
  </si>
  <si>
    <t>HEX 0x000001C5</t>
  </si>
  <si>
    <t>BA D7</t>
  </si>
  <si>
    <t>上段架式攻击伤害</t>
  </si>
  <si>
    <t>HEX 0x00000028</t>
  </si>
  <si>
    <t>36 | 37 | 38 | 39 | 40</t>
  </si>
  <si>
    <t>FD 6E</t>
  </si>
  <si>
    <t>中段架式攻击伤害</t>
  </si>
  <si>
    <t>98 31</t>
  </si>
  <si>
    <t>下段架式攻击伤害</t>
  </si>
  <si>
    <t>AF 1B</t>
  </si>
  <si>
    <t>速攻击伤害</t>
  </si>
  <si>
    <t>HEX 0x00000019</t>
  </si>
  <si>
    <t>21 | 22 | 23 | 24 | 25</t>
  </si>
  <si>
    <t>F5 9E</t>
  </si>
  <si>
    <t>强攻击伤害</t>
  </si>
  <si>
    <t>HEX 0x0000001E</t>
  </si>
  <si>
    <t>7B 4C</t>
  </si>
  <si>
    <t>31 CA</t>
  </si>
  <si>
    <t>FC BC</t>
  </si>
  <si>
    <t>03 8A</t>
  </si>
  <si>
    <t>21 38</t>
  </si>
  <si>
    <t>HEX 0x00000032</t>
  </si>
  <si>
    <t>46 | 47 | 48 | 49 | 50</t>
  </si>
  <si>
    <t>01 CA</t>
  </si>
  <si>
    <t>F4 6B</t>
  </si>
  <si>
    <t>BB D9</t>
  </si>
  <si>
    <t>HEX 0x00000023</t>
  </si>
  <si>
    <t>31 | 32 | 33 | 34 | 35</t>
  </si>
  <si>
    <t>F9 AC</t>
  </si>
  <si>
    <t>FB 13</t>
  </si>
  <si>
    <t>HEX 0x00000009</t>
  </si>
  <si>
    <t>7 | 8 | 9</t>
  </si>
  <si>
    <t>CC 1F</t>
  </si>
  <si>
    <t>A0 46</t>
  </si>
  <si>
    <t>24 EC</t>
  </si>
  <si>
    <t>上段架式　攻击崩解力</t>
  </si>
  <si>
    <t>HEX 0x00000078</t>
  </si>
  <si>
    <t>96 | 97 | 98 | 99 | 100 | 101 | 102 | 103 | 104 | 105 | 106 | 107 | 108 | 109 | 110 | 111 | 112 | 113 | 114 | 115 | 116 | 117 | 118 | 119 | 120</t>
  </si>
  <si>
    <t>87 95</t>
  </si>
  <si>
    <t>中段架式　攻击崩解力</t>
  </si>
  <si>
    <t>90 C2</t>
  </si>
  <si>
    <t>下段架式　攻击崩解力</t>
  </si>
  <si>
    <t>45 DE</t>
  </si>
  <si>
    <t>武技崩解力</t>
  </si>
  <si>
    <t>CF 74</t>
  </si>
  <si>
    <t>速攻击崩解力</t>
  </si>
  <si>
    <t>HEX 0x00000064</t>
  </si>
  <si>
    <t>76 | 77 | 78 | 79 | 80 | 81 | 82 | 83 | 84 | 85 | 86 | 87 | 88 | 89 | 90 | 91 | 92 | 93 | 94 | 95 | 96 | 97 | 98 | 99 | 100</t>
  </si>
  <si>
    <t>C3 A3</t>
  </si>
  <si>
    <t>强攻击崩解力</t>
  </si>
  <si>
    <t>21 17</t>
  </si>
  <si>
    <t>F7 E7</t>
  </si>
  <si>
    <t>E9 BF</t>
  </si>
  <si>
    <t>HEX 0x0000000F</t>
  </si>
  <si>
    <t>13 | 14 | 15</t>
  </si>
  <si>
    <t>A4 1E</t>
  </si>
  <si>
    <t>HEX 0x000000B4</t>
  </si>
  <si>
    <t>148 | 149 | 150 | 151 | 152 | 153 | 154 | 155 | 156 | 157 | 158 | 159 | 160 | 161 | 162 | 163 | 164 | 165 | 166 | 167 | 168 | 169 | 170 | 171 | 172 | 173 | 174 | 175 | 176 | 177 | 178 | 179 | 180</t>
  </si>
  <si>
    <t>16 AA</t>
  </si>
  <si>
    <t>E4 80</t>
  </si>
  <si>
    <t>F9 40</t>
  </si>
  <si>
    <t>4B 23</t>
  </si>
  <si>
    <t>HEX 0x00000082</t>
  </si>
  <si>
    <t>110 | 111 | 112 | 113 | 114 | 115 | 116 | 117 | 118 | 119 | 120 | 121 | 122 | 123 | 124 | 125 | 126 | 127 | 128 | 129 | 130</t>
  </si>
  <si>
    <t>B4 44</t>
  </si>
  <si>
    <t>5F F7</t>
  </si>
  <si>
    <t>F7 58</t>
  </si>
  <si>
    <t>赋予火属性</t>
  </si>
  <si>
    <t>8A 33</t>
  </si>
  <si>
    <t>赋予水属性</t>
  </si>
  <si>
    <t>87 DD</t>
  </si>
  <si>
    <t>赋予雷属性</t>
  </si>
  <si>
    <t>23 8A</t>
  </si>
  <si>
    <t>赋予毒效果</t>
  </si>
  <si>
    <t>8F 08</t>
  </si>
  <si>
    <t>赋予麻痹效果</t>
  </si>
  <si>
    <t>0C 16</t>
  </si>
  <si>
    <t>HEX 0x0000000D</t>
  </si>
  <si>
    <t>8A 55</t>
  </si>
  <si>
    <t>C9 E5</t>
  </si>
  <si>
    <t>71 1C</t>
  </si>
  <si>
    <t>B5 4D</t>
  </si>
  <si>
    <t>7B 5A</t>
  </si>
  <si>
    <t>近距离攻击的精力消耗降低</t>
  </si>
  <si>
    <t>HEX 0x00000030</t>
  </si>
  <si>
    <t>44 | 45 | 46 | 47 | 48</t>
  </si>
  <si>
    <t>85 50</t>
  </si>
  <si>
    <t>上段架式攻击的精力消耗降低</t>
  </si>
  <si>
    <t>HEX 0x00000044</t>
  </si>
  <si>
    <t>64 | 65 | 66 | 67 | 68</t>
  </si>
  <si>
    <t>43 B7</t>
  </si>
  <si>
    <t>中段架式攻击的精力消耗降低</t>
  </si>
  <si>
    <t>DE C0</t>
  </si>
  <si>
    <t>下段架式攻击的精力消耗降低</t>
  </si>
  <si>
    <t>武技精力消耗降低</t>
  </si>
  <si>
    <t>B6 73</t>
  </si>
  <si>
    <t>速攻击精力消耗降低</t>
  </si>
  <si>
    <t>93 E1</t>
  </si>
  <si>
    <t>强攻击精力消耗降低</t>
  </si>
  <si>
    <t>8F 4A</t>
  </si>
  <si>
    <t>HEX 0x00000035</t>
  </si>
  <si>
    <t>49 | 50 | 51 | 52 | 53</t>
  </si>
  <si>
    <t>54 FF</t>
  </si>
  <si>
    <t>HEX 0x00000049</t>
  </si>
  <si>
    <t>69 | 70 | 71 | 72 | 73</t>
  </si>
  <si>
    <t>1B 06</t>
  </si>
  <si>
    <t>7F F2</t>
  </si>
  <si>
    <t>3E DB</t>
  </si>
  <si>
    <t>13 07</t>
  </si>
  <si>
    <t>7F 01</t>
  </si>
  <si>
    <t>F1 6F</t>
  </si>
  <si>
    <t>近距离攻击吸取体力</t>
  </si>
  <si>
    <t>HEX 0x00000001</t>
  </si>
  <si>
    <t>1</t>
  </si>
  <si>
    <t>5C BA</t>
  </si>
  <si>
    <t>上段架式攻击吸取体力</t>
  </si>
  <si>
    <t>HEX 0x00000015</t>
  </si>
  <si>
    <t>14 | 15 | 16 | 17 | 18 | 19 | 20 | 21</t>
  </si>
  <si>
    <t>76 13</t>
  </si>
  <si>
    <t>中段架式攻击吸取体力</t>
  </si>
  <si>
    <t>HEX 0x00000017</t>
  </si>
  <si>
    <t>16 | 17 | 18 | 19 | 20 | 21 | 22 | 23</t>
  </si>
  <si>
    <t>1D CF</t>
  </si>
  <si>
    <t>下段架式攻击吸取体力</t>
  </si>
  <si>
    <t>HEX 0x000001C4</t>
  </si>
  <si>
    <t>49 D3</t>
  </si>
  <si>
    <t>8A 8A</t>
  </si>
  <si>
    <t>C9 AD</t>
  </si>
  <si>
    <t>44 16</t>
  </si>
  <si>
    <t>武技吸取体力</t>
  </si>
  <si>
    <t>HEX 0x0000001B</t>
  </si>
  <si>
    <t>19 | 20 | 21 | 22 | 23 | 24 | 25 | 26 | 27</t>
  </si>
  <si>
    <t>59 2D</t>
  </si>
  <si>
    <t>速攻击吸取体力</t>
  </si>
  <si>
    <t>C6 38</t>
  </si>
  <si>
    <t>强攻击吸取体力</t>
  </si>
  <si>
    <t>HEX 0x0000001A</t>
  </si>
  <si>
    <t>18 | 19 | 20 | 21 | 22 | 23 | 24 | 25 | 26</t>
  </si>
  <si>
    <t>58 64</t>
  </si>
  <si>
    <t>9 | 10 | 11 | 12 | 13</t>
  </si>
  <si>
    <t>33 3F</t>
  </si>
  <si>
    <t>近距离攻击打倒敌人时恢复体力</t>
  </si>
  <si>
    <t>HEX 0x000000D4</t>
  </si>
  <si>
    <t>157 | 158 | 160 | 161 | 163 | 164 | 165 | 167 | 168 | 169 | 171 | 172 | 174 | 175 | 176 | 178 | 179 | 180 | 182 | 183 | 185 | 186 | 187 | 189 | 190 | 191 | 193 | 194 | 196 | 197 | 198 | 200 | 201 | 202 | 204 | 205 | 207 | 208 | 209 | 211 | 212</t>
  </si>
  <si>
    <t>B5 C0</t>
  </si>
  <si>
    <t>近距离攻击伤害</t>
  </si>
  <si>
    <t>HEX 0x00000011</t>
  </si>
  <si>
    <t>14 | 15 | 16 | 17</t>
  </si>
  <si>
    <t>81 7E</t>
  </si>
  <si>
    <t>34 99</t>
  </si>
  <si>
    <t>19 | 20 | 21 | 22 | 23</t>
  </si>
  <si>
    <t>27 C1</t>
  </si>
  <si>
    <t>近距离攻击伤害（绝境）</t>
  </si>
  <si>
    <t>HEX 0x00000050</t>
  </si>
  <si>
    <t>76 | 77 | 78 | 79 | 80</t>
  </si>
  <si>
    <t>08 C6</t>
  </si>
  <si>
    <t>3A DF</t>
  </si>
  <si>
    <t>96 | 97 | 98 | 99 | 100</t>
  </si>
  <si>
    <t>A4 FD</t>
  </si>
  <si>
    <t>近距离攻击伤害（无伤）</t>
  </si>
  <si>
    <t>19 | 20 | 21 | 22</t>
  </si>
  <si>
    <t>6A 99</t>
  </si>
  <si>
    <t>50 45</t>
  </si>
  <si>
    <t>近距离攻击精力消耗降低（绝境）</t>
  </si>
  <si>
    <t>DA 56</t>
  </si>
  <si>
    <t>接招（绝境）</t>
  </si>
  <si>
    <t>HEX 0x00000080</t>
  </si>
  <si>
    <t>122 | 123 | 124 | 125 | 126 | 127 | 128</t>
  </si>
  <si>
    <t>B3 7C</t>
  </si>
  <si>
    <t>CC 7B</t>
  </si>
  <si>
    <t>HEX 0x00000085</t>
  </si>
  <si>
    <t>127 | 128 | 129 | 130 | 131 | 132 | 133</t>
  </si>
  <si>
    <t>9D 62</t>
  </si>
  <si>
    <t>防御力</t>
  </si>
  <si>
    <t>HEX 0x00000040</t>
  </si>
  <si>
    <t>44 | 45 | 46 | 47 | 48 | 49 | 50 | 51 | 52 | 53 | 54 | 55 | 56 | 57 | 58 | 59 | 60 | 61 | 62 | 63 | 64</t>
  </si>
  <si>
    <t>D3 40</t>
  </si>
  <si>
    <t>防御性能</t>
  </si>
  <si>
    <t>12 | 13</t>
  </si>
  <si>
    <t>74 08</t>
  </si>
  <si>
    <t>8 | 9</t>
  </si>
  <si>
    <t>0C 6F</t>
  </si>
  <si>
    <t>HEX 0x00000007</t>
  </si>
  <si>
    <t>6 | 7</t>
  </si>
  <si>
    <t>00 04</t>
  </si>
  <si>
    <t>8B 04</t>
  </si>
  <si>
    <t>坚忍度</t>
  </si>
  <si>
    <t>HEX 0x00000003</t>
  </si>
  <si>
    <t>2 | 3</t>
  </si>
  <si>
    <t>C3 01</t>
  </si>
  <si>
    <t>F4 00</t>
  </si>
  <si>
    <t>F8 7A</t>
  </si>
  <si>
    <t>体力</t>
  </si>
  <si>
    <t>7F FF</t>
  </si>
  <si>
    <t>HEX 0x00000046</t>
  </si>
  <si>
    <t>62 | 63 | 64 | 65 | 66 | 67 | 68 | 69 | 70</t>
  </si>
  <si>
    <t>D8 BF</t>
  </si>
  <si>
    <t>HEX 0x00000034</t>
  </si>
  <si>
    <t>46 | 47 | 48 | 49 | 50 | 51 | 52</t>
  </si>
  <si>
    <t>39 C5</t>
  </si>
  <si>
    <t>HEX 0x00000029</t>
  </si>
  <si>
    <t>37 | 38 | 39 | 40 | 41</t>
  </si>
  <si>
    <t>B3 4E</t>
  </si>
  <si>
    <t>HEX 0x0000003D</t>
  </si>
  <si>
    <t>55 | 56 | 57 | 58 | 59 | 60 | 61</t>
  </si>
  <si>
    <t>E8 59</t>
  </si>
  <si>
    <t>HEX 0x00000052</t>
  </si>
  <si>
    <t>74 | 75 | 76 | 77 | 78 | 79 | 80 | 81 | 82</t>
  </si>
  <si>
    <t>套装词条</t>
  </si>
  <si>
    <t>12 AF</t>
  </si>
  <si>
    <t>阴阳术　术力</t>
  </si>
  <si>
    <t>7 | 8</t>
  </si>
  <si>
    <t>55 49</t>
  </si>
  <si>
    <t>HEX 0x0000000C</t>
  </si>
  <si>
    <t>7A F1</t>
  </si>
  <si>
    <t>HEX 0x00000010</t>
  </si>
  <si>
    <t>HEX 0x00000101</t>
  </si>
  <si>
    <t>80 E5</t>
  </si>
  <si>
    <t>HEX 0x00000006</t>
  </si>
  <si>
    <t>F3 54</t>
  </si>
  <si>
    <t>DE 71</t>
  </si>
  <si>
    <t>41 44</t>
  </si>
  <si>
    <t>20 | 21 | 22</t>
  </si>
  <si>
    <t>42 5A</t>
  </si>
  <si>
    <t>23 | 24 | 25</t>
  </si>
  <si>
    <t>13 E6</t>
  </si>
  <si>
    <t>防御精力消耗降低</t>
  </si>
  <si>
    <t>93 3E</t>
  </si>
  <si>
    <t>上段架式防御精力消耗降低</t>
  </si>
  <si>
    <t>HEX 0x00000053</t>
  </si>
  <si>
    <t>79 | 80 | 81 | 82 | 83</t>
  </si>
  <si>
    <t>4D 33</t>
  </si>
  <si>
    <t>中段架式防御精力消耗降低</t>
  </si>
  <si>
    <t>3D 3A</t>
  </si>
  <si>
    <t>下段架式防御精力消耗降低</t>
  </si>
  <si>
    <t>CD 40</t>
  </si>
  <si>
    <t>HEX 0x0000004E</t>
  </si>
  <si>
    <t>74 | 75 | 76 | 77 | 78</t>
  </si>
  <si>
    <t>C3 D0</t>
  </si>
  <si>
    <t>HEX 0x00000058</t>
  </si>
  <si>
    <t>84 | 85 | 86 | 87 | 88</t>
  </si>
  <si>
    <t>57 15</t>
  </si>
  <si>
    <t>33 5A</t>
  </si>
  <si>
    <t>75 D4</t>
  </si>
  <si>
    <t>弓伤害</t>
  </si>
  <si>
    <t>6A B7</t>
  </si>
  <si>
    <t>火枪伤害</t>
  </si>
  <si>
    <t>40 | 41 | 42 | 43 | 44 | 45 | 46 | 47 | 48 | 49 | 50</t>
  </si>
  <si>
    <t>6D 1C</t>
  </si>
  <si>
    <t>大炮伤害</t>
  </si>
  <si>
    <t>DB 33</t>
  </si>
  <si>
    <t>远距离伤害</t>
  </si>
  <si>
    <t>F7 83</t>
  </si>
  <si>
    <t>HEX 0x00000096</t>
  </si>
  <si>
    <t>120 | 121 | 122 | 123 | 124 | 125 | 126 | 127 | 128 | 129 | 130 | 131 | 132 | 133 | 134 | 135 | 136 | 137 | 138 | 139 | 140 | 141 | 142 | 143 | 144 | 145 | 146 | 147 | 148 | 149 | 150</t>
  </si>
  <si>
    <t>93 8D</t>
  </si>
  <si>
    <t>56 | 57 | 58 | 59 | 60 | 61 | 62 | 63 | 64 | 65 | 66 | 67 | 68 | 69 | 70</t>
  </si>
  <si>
    <t>FB 8B</t>
  </si>
  <si>
    <t>12 2F</t>
  </si>
  <si>
    <t>84 4B</t>
  </si>
  <si>
    <t>承受的远距离伤害降低</t>
  </si>
  <si>
    <t>EC 9A</t>
  </si>
  <si>
    <t>91 51</t>
  </si>
  <si>
    <t>4B AB</t>
  </si>
  <si>
    <t>被攻击时承受的伤害降低（绝境）</t>
  </si>
  <si>
    <t>HEX 0x0000004B</t>
  </si>
  <si>
    <t>69 | 70 | 71 | 72 | 73 | 74 | 75</t>
  </si>
  <si>
    <t>BF 45</t>
  </si>
  <si>
    <t>防御精力消耗降低（绝境）</t>
  </si>
  <si>
    <t>HEX 0x00000091</t>
  </si>
  <si>
    <t>141 | 142 | 143 | 144 | 145</t>
  </si>
  <si>
    <t>26 09</t>
  </si>
  <si>
    <t>道具掉落率</t>
  </si>
  <si>
    <t>0C 9D</t>
  </si>
  <si>
    <t>B7 92</t>
  </si>
  <si>
    <t>装备品掉落率</t>
  </si>
  <si>
    <t>34 | 35 | 36 | 37 | 38 | 39 | 40 | 41 | 42 | 43 | 44 | 45 | 46 | 47 | 48 | 49 | 50</t>
  </si>
  <si>
    <t>3C 8F</t>
  </si>
  <si>
    <t>C3 53</t>
  </si>
  <si>
    <t>幸运</t>
  </si>
  <si>
    <t>9 | 10 | 11 | 12</t>
  </si>
  <si>
    <t>85 6A</t>
  </si>
  <si>
    <t>6B 33</t>
  </si>
  <si>
    <t>90 A5</t>
  </si>
  <si>
    <t>8B DF</t>
  </si>
  <si>
    <t>B5 91</t>
  </si>
  <si>
    <t>E6 CA</t>
  </si>
  <si>
    <t>F5 E0</t>
  </si>
  <si>
    <t>药物恢复体力效果</t>
  </si>
  <si>
    <t>HEX 0x0000003C</t>
  </si>
  <si>
    <t>2D 4D</t>
  </si>
  <si>
    <t>对伤害的反映（咒）</t>
  </si>
  <si>
    <t>HEX 0x0000000A</t>
  </si>
  <si>
    <t>5 | 6 | 7 | 8 | 9 | 10</t>
  </si>
  <si>
    <t>14 D6</t>
  </si>
  <si>
    <t>对防御力的反映（咒）</t>
  </si>
  <si>
    <t>6C 2F</t>
  </si>
  <si>
    <t>抗常世</t>
  </si>
  <si>
    <t>HEX 0x0000015E</t>
  </si>
  <si>
    <t>290 | 291 | 293 | 294 | 296 | 297 | 299 | 300 | 302 | 303 | 305 | 306 | 308 | 309 | 311 | 312 | 314 | 315 | 317 | 318 | 320 | 321 | 323 | 324 | 326 | 327 | 329 | 330 | 332 | 333 | 335 | 336 | 338 | 339 | 341 | 342 | 344 | 345 | 347 | 348 | 350</t>
  </si>
  <si>
    <t>01 C8</t>
  </si>
  <si>
    <t>HEX 0x000001C2</t>
  </si>
  <si>
    <t>390 | 391 | 393 | 394 | 396 | 397 | 399 | 400 | 402 | 403 | 405 | 406 | 408 | 409 | 411 | 412 | 414 | 415 | 417 | 418 | 420 | 421 | 423 | 424 | 426 | 427 | 429 | 430 | 432 | 433 | 435 | 436 | 438 | 439 | 441 | 442 | 444 | 445 | 447 | 448 | 450</t>
  </si>
  <si>
    <t>1A 7E</t>
  </si>
  <si>
    <t>火属性伤害</t>
  </si>
  <si>
    <t>C9 61</t>
  </si>
  <si>
    <t>水属性伤害</t>
  </si>
  <si>
    <t>E2 63</t>
  </si>
  <si>
    <t>雷属性伤害</t>
  </si>
  <si>
    <t>1A 1A</t>
  </si>
  <si>
    <t>属性攻击伤害</t>
  </si>
  <si>
    <t>48 CA</t>
  </si>
  <si>
    <t>属性攻击伤害降低</t>
  </si>
  <si>
    <t>05 33</t>
  </si>
  <si>
    <t>背后攻击伤害</t>
  </si>
  <si>
    <t>68 | 69 | 70 | 71 | 72 | 73 | 74 | 75 | 76 | 77 | 78 | 79 | 80</t>
  </si>
  <si>
    <t>C5 60</t>
  </si>
  <si>
    <t>BC 9E</t>
  </si>
  <si>
    <t>84 | 85 | 86 | 87 | 88 | 89 | 90 | 91 | 92 | 93 | 94 | 95 | 96 | 97 | 98 | 99 | 100</t>
  </si>
  <si>
    <t>EF BF</t>
  </si>
  <si>
    <t>箭弹命中弱点时伤害</t>
  </si>
  <si>
    <t>HEX 0x0000006E</t>
  </si>
  <si>
    <t>86 | 87 | 88 | 89 | 90 | 91 | 92 | 93 | 94 | 95 | 96 | 97 | 98 | 99 | 100 | 101 | 102 | 103 | 104 | 105 | 106 | 107 | 108 | 109 | 110</t>
  </si>
  <si>
    <t>97 F0</t>
  </si>
  <si>
    <t>12 86</t>
  </si>
  <si>
    <t>不消耗箭弹</t>
  </si>
  <si>
    <t>29 | 30 | 31 | 32 | 33 | 34 | 35 | 36 | 37 | 38 | 39 | 40 | 41 | 42 | 43 | 44 | 45 | 46 | 47 | 48 | 49 | 50</t>
  </si>
  <si>
    <t>12 25</t>
  </si>
  <si>
    <t>不消耗使役符以外的阴阳术</t>
  </si>
  <si>
    <t>9A EF</t>
  </si>
  <si>
    <t>不消耗仙药</t>
  </si>
  <si>
    <t>CD BF</t>
  </si>
  <si>
    <t>爱用度增加量</t>
  </si>
  <si>
    <t>110 | 111 | 112 | 113 | 114 | 115 | 116 | 118 | 119 | 120 | 121 | 122 | 124 | 125 | 126 | 127 | 128 | 129 | 130 | 131 | 132 | 133 | 134 | 135 | 136 | 137 | 138 | 139 | 140 | 141 | 142 | 143 | 144 | 145 | 146 | 147 | 148 | 149 | 150</t>
  </si>
  <si>
    <t>65 38</t>
  </si>
  <si>
    <t>伤害反映（爱用度）</t>
  </si>
  <si>
    <t>HEX 0x00000005</t>
  </si>
  <si>
    <t>2 | 3 | 4 | 5</t>
  </si>
  <si>
    <t>49 11</t>
  </si>
  <si>
    <t>A1 F2</t>
  </si>
  <si>
    <t>伤害反映（打倒敌人数）</t>
  </si>
  <si>
    <t>7E A8</t>
  </si>
  <si>
    <t>35 D9</t>
  </si>
  <si>
    <t>94 8E</t>
  </si>
  <si>
    <t>伤害反映（敏捷）</t>
  </si>
  <si>
    <t>59 22</t>
  </si>
  <si>
    <t>DF E5</t>
  </si>
  <si>
    <t>来自背后的伤害降低</t>
  </si>
  <si>
    <t>55 34</t>
  </si>
  <si>
    <t>空手攻击伤害</t>
  </si>
  <si>
    <t>B8 BC</t>
  </si>
  <si>
    <t>HEX 0x000000FA</t>
  </si>
  <si>
    <t>190 | 191 | 193 | 194 | 196 | 197 | 199 | 200 | 202 | 203 | 205 | 206 | 208 | 209 | 211 | 212 | 214 | 215 | 217 | 218 | 220 | 221 | 223 | 224 | 226 | 227 | 229 | 230 | 232 | 233 | 235 | 236 | 238 | 239 | 241 | 242 | 244 | 245 | 247 | 248 | 250</t>
  </si>
  <si>
    <t>6C 67</t>
  </si>
  <si>
    <t>箭弹命中弱点可恢复体力</t>
  </si>
  <si>
    <t>92 | 93 | 94 | 95 | 96 | 97 | 98 | 99 | 100</t>
  </si>
  <si>
    <t>E0 35</t>
  </si>
  <si>
    <t>吸收精华可恢复体力</t>
  </si>
  <si>
    <t>10 | 11 | 12 | 13 | 14 | 15 | 16 | 17</t>
  </si>
  <si>
    <t>68 F7</t>
  </si>
  <si>
    <t>精华槽增加量</t>
  </si>
  <si>
    <t>104 | 105 | 106 | 107 | 108 | 109 | 110 | 111 | 112 | 113 | 114 | 115 | 116 | 117 | 118 | 119 | 120</t>
  </si>
  <si>
    <t>5A 0E</t>
  </si>
  <si>
    <t>中毒时持续承受伤害降低</t>
  </si>
  <si>
    <t>21 98</t>
  </si>
  <si>
    <t>着火时持续承受伤害降低</t>
  </si>
  <si>
    <t>B4 18</t>
  </si>
  <si>
    <t>4A F0</t>
  </si>
  <si>
    <t>CE FF</t>
  </si>
  <si>
    <t>对尸狂造成的伤害</t>
  </si>
  <si>
    <t>98 | 99 | 100 | 101 | 102 | 103 | 104 | 105 | 106 | 107 | 108 | 109 | 110 | 111 | 112 | 113 | 114 | 115 | 116 | 117 | 118 | 119 | 120 | 121 | 122 | 123 | 124 | 125 | 126 | 127 | 128 | 129 | 130</t>
  </si>
  <si>
    <t>37 24</t>
  </si>
  <si>
    <t>130 | 131 | 132 | 133 | 134 | 135 | 136 | 137 | 138 | 139 | 140 | 141 | 142 | 143 | 144 | 145 | 146 | 147 | 148 | 149 | 150</t>
  </si>
  <si>
    <t>70 FD</t>
  </si>
  <si>
    <t>HEX 0x00000063</t>
  </si>
  <si>
    <t>87 | 88 | 89 | 90 | 91 | 92 | 93 | 94 | 95 | 96 | 97 | 98 | 99</t>
  </si>
  <si>
    <t>83 2F</t>
  </si>
  <si>
    <t>91 | 92 | 93 | 94 | 95 | 96 | 97 | 98 | 99</t>
  </si>
  <si>
    <t>79 B3</t>
  </si>
  <si>
    <t>95 | 96 | 97 | 98 | 99</t>
  </si>
  <si>
    <t>BA B0</t>
  </si>
  <si>
    <t>71 CD</t>
  </si>
  <si>
    <t>7B C9</t>
  </si>
  <si>
    <t>EA C9</t>
  </si>
  <si>
    <t>3A 50</t>
  </si>
  <si>
    <t>30 51</t>
  </si>
  <si>
    <t>HEX 0x0000000B</t>
  </si>
  <si>
    <t>90 16</t>
  </si>
  <si>
    <t>B7 A1</t>
  </si>
  <si>
    <t>59 | 61 | 62 | 63 | 64 | 65 | 66 | 68 | 69 | 70 | 71 | 72 | 74 | 75 | 76 | 77 | 78 | 79 | 81 | 82 | 83 | 84 | 85 | 87 | 88 | 89 | 90 | 91 | 93 | 94 | 95 | 96 | 97 | 98 | 100</t>
  </si>
  <si>
    <t>18 C9</t>
  </si>
  <si>
    <t>BF 53</t>
  </si>
  <si>
    <t>23 A9</t>
  </si>
  <si>
    <t>F7 82</t>
  </si>
  <si>
    <t>HEX 0x00000014</t>
  </si>
  <si>
    <t>16 | 17 | 18 | 19 | 20</t>
  </si>
  <si>
    <t>A9 5D</t>
  </si>
  <si>
    <t>HEX 0x0000000E</t>
  </si>
  <si>
    <t>11 | 12 | 13 | 14</t>
  </si>
  <si>
    <t>CA 4D</t>
  </si>
  <si>
    <t>30 B5</t>
  </si>
  <si>
    <t>71 10</t>
  </si>
  <si>
    <t>26 4A</t>
  </si>
  <si>
    <t>49 54</t>
  </si>
  <si>
    <t>8E 0D</t>
  </si>
  <si>
    <t>E4 9F</t>
  </si>
  <si>
    <t>F7 8B</t>
  </si>
  <si>
    <t>F2 CA</t>
  </si>
  <si>
    <t>D1 20</t>
  </si>
  <si>
    <t>92 C0</t>
  </si>
  <si>
    <t>FB F2</t>
  </si>
  <si>
    <t>5E F6</t>
  </si>
  <si>
    <t>21 6D</t>
  </si>
  <si>
    <t>A6 85</t>
  </si>
  <si>
    <t>CE F5</t>
  </si>
  <si>
    <t>5F 3B</t>
  </si>
  <si>
    <t>45 02</t>
  </si>
  <si>
    <t>C4 DF</t>
  </si>
  <si>
    <t>HEX 0x00000018</t>
  </si>
  <si>
    <t>22 | 23 | 24</t>
  </si>
  <si>
    <t>10 | 11 | 12 | 13 | 14</t>
  </si>
  <si>
    <t>C4 77</t>
  </si>
  <si>
    <t>HEX 0x00000012</t>
  </si>
  <si>
    <t>15 | 16 | 17 | 18</t>
  </si>
  <si>
    <t>BF A1</t>
  </si>
  <si>
    <t>55 C0</t>
  </si>
  <si>
    <t>3B 69</t>
  </si>
  <si>
    <t>54 2C</t>
  </si>
  <si>
    <t>BA 56</t>
  </si>
  <si>
    <t>BA 85</t>
  </si>
  <si>
    <t>8F 59</t>
  </si>
  <si>
    <t>89 5D</t>
  </si>
  <si>
    <t>9 | 10</t>
  </si>
  <si>
    <t>BA 66</t>
  </si>
  <si>
    <t>CF ED</t>
  </si>
  <si>
    <t>5E D6</t>
  </si>
  <si>
    <t>强攻击精力伤害</t>
  </si>
  <si>
    <t>8A 9A</t>
  </si>
  <si>
    <t>10 92</t>
  </si>
  <si>
    <t>CB F4</t>
  </si>
  <si>
    <t>B1 C1</t>
  </si>
  <si>
    <t>AE EB</t>
  </si>
  <si>
    <t>B4 6B</t>
  </si>
  <si>
    <t>8B EE</t>
  </si>
  <si>
    <t>85 CD</t>
  </si>
  <si>
    <t>46 64</t>
  </si>
  <si>
    <t>D0 82</t>
  </si>
  <si>
    <t>HEX 0x000000C8</t>
  </si>
  <si>
    <t>200</t>
  </si>
  <si>
    <t>94 04</t>
  </si>
  <si>
    <t>精力恢复速度</t>
  </si>
  <si>
    <t>AC AC</t>
  </si>
  <si>
    <t>AD A9</t>
  </si>
  <si>
    <t>闪避动作精力消耗降低</t>
  </si>
  <si>
    <t>1F C1</t>
  </si>
  <si>
    <t>B4 E1</t>
  </si>
  <si>
    <t>DA B0</t>
  </si>
  <si>
    <t>精力</t>
  </si>
  <si>
    <t>56 4C</t>
  </si>
  <si>
    <t>5D BC</t>
  </si>
  <si>
    <t>杂贺的八咫乌</t>
  </si>
  <si>
    <t>48 B1</t>
  </si>
  <si>
    <t>西国无双的荣耀</t>
  </si>
  <si>
    <t>85 86</t>
  </si>
  <si>
    <t>6C BE</t>
  </si>
  <si>
    <t>大一大万大吉</t>
  </si>
  <si>
    <t>E0 5F</t>
  </si>
  <si>
    <t>太平基石</t>
  </si>
  <si>
    <t>08 50</t>
  </si>
  <si>
    <t>19 F2</t>
  </si>
  <si>
    <t>三河武士之鉴</t>
  </si>
  <si>
    <t>37 E4</t>
  </si>
  <si>
    <t>井伊赤鬼</t>
  </si>
  <si>
    <t>30 3A</t>
  </si>
  <si>
    <t>天下布武</t>
  </si>
  <si>
    <t>4B BE</t>
  </si>
  <si>
    <t>日本第一的勇猛</t>
  </si>
  <si>
    <t>1B 60</t>
  </si>
  <si>
    <t>重义的谋将</t>
  </si>
  <si>
    <t>CE AF</t>
  </si>
  <si>
    <t>过往名军师的智谋</t>
  </si>
  <si>
    <t>柳生新阴流</t>
  </si>
  <si>
    <t>B1 2A</t>
  </si>
  <si>
    <t>交叉镰的体现</t>
  </si>
  <si>
    <t>C3 94</t>
  </si>
  <si>
    <t>天下第一兵法</t>
  </si>
  <si>
    <t>60 E4</t>
  </si>
  <si>
    <t>F0 BB</t>
  </si>
  <si>
    <t>黑色的异国武士</t>
  </si>
  <si>
    <t>01 92</t>
  </si>
  <si>
    <t>豪放猛牛的勇武</t>
  </si>
  <si>
    <t>9A E9</t>
  </si>
  <si>
    <t>剑豪将军的威武</t>
  </si>
  <si>
    <t>69 85</t>
  </si>
  <si>
    <t>HEX 0x00000102</t>
  </si>
  <si>
    <t>53 65</t>
  </si>
  <si>
    <t>68 CE</t>
  </si>
  <si>
    <t>素盏呜尊的恩宠</t>
  </si>
  <si>
    <t>BD BA</t>
  </si>
  <si>
    <t>EA EE</t>
  </si>
  <si>
    <t>E2 16</t>
  </si>
  <si>
    <t>92 41</t>
  </si>
  <si>
    <t>DD 09</t>
  </si>
  <si>
    <t>大山津见的恩宠</t>
  </si>
  <si>
    <t>EC 47</t>
  </si>
  <si>
    <t>F6 78</t>
  </si>
  <si>
    <t>经津主的恩宠</t>
  </si>
  <si>
    <t>40 01</t>
  </si>
  <si>
    <t>伊邪那岐的恩宠</t>
  </si>
  <si>
    <t>AA 66</t>
  </si>
  <si>
    <t>伊邪那美的恩宠</t>
  </si>
  <si>
    <t>01 AE</t>
  </si>
  <si>
    <t>思兼神的恩宠</t>
  </si>
  <si>
    <t>21 E1</t>
  </si>
  <si>
    <t>大国主的恩宠</t>
  </si>
  <si>
    <t>39 DC</t>
  </si>
  <si>
    <t>开耶姬的恩宠</t>
  </si>
  <si>
    <t>82 1D</t>
  </si>
  <si>
    <t>建御名方的恩宠</t>
  </si>
  <si>
    <t>0A F2</t>
  </si>
  <si>
    <t>天手力男的恩宠</t>
  </si>
  <si>
    <t>54 1B</t>
  </si>
  <si>
    <t>少彦名的恩宠</t>
  </si>
  <si>
    <t>C2 5A</t>
  </si>
  <si>
    <t>琼琼杵的恩宠</t>
  </si>
  <si>
    <t>BF 5A</t>
  </si>
  <si>
    <t>奇稻田姬的恩宠</t>
  </si>
  <si>
    <t>E4 4F</t>
  </si>
  <si>
    <t>24 01</t>
  </si>
  <si>
    <t>猿田彦的恩宠</t>
  </si>
  <si>
    <t>61 EB</t>
  </si>
  <si>
    <t>B1 4E</t>
  </si>
  <si>
    <t>E0 D3</t>
  </si>
  <si>
    <t>66 79</t>
  </si>
  <si>
    <t>230 | 231 | 232 | 233 | 234 | 235 | 236 | 237 | 238 | 239 | 240 | 241 | 242 | 243 | 244 | 245 | 246 | 247 | 248 | 249 | 250</t>
  </si>
  <si>
    <t>2C E2</t>
  </si>
  <si>
    <t>40 39</t>
  </si>
  <si>
    <t>36 4B</t>
  </si>
  <si>
    <t>3D 27</t>
  </si>
  <si>
    <t>105 | 106 | 107 | 108 | 109 | 110 | 111 | 112 | 113 | 114 | 115 | 116 | 117 | 118 | 119 | 120</t>
  </si>
  <si>
    <t>89 11</t>
  </si>
  <si>
    <t>忍术伤害</t>
  </si>
  <si>
    <t>4B B3</t>
  </si>
  <si>
    <t>忍术造成的精力伤害</t>
  </si>
  <si>
    <t>F7 53</t>
  </si>
  <si>
    <t>忍术槽增加量</t>
  </si>
  <si>
    <t>36 20</t>
  </si>
  <si>
    <t>2D C9</t>
  </si>
  <si>
    <t>HEX 0x00000037</t>
  </si>
  <si>
    <t>49 | 50 | 51 | 52 | 53 | 54 | 55</t>
  </si>
  <si>
    <t>1C 0E</t>
  </si>
  <si>
    <t>AE C2</t>
  </si>
  <si>
    <t>53 6A</t>
  </si>
  <si>
    <t>02 CB</t>
  </si>
  <si>
    <t>DC 59</t>
  </si>
  <si>
    <t>20 12</t>
  </si>
  <si>
    <t>4C B1</t>
  </si>
  <si>
    <t>4A 66</t>
  </si>
  <si>
    <t>8A F9</t>
  </si>
  <si>
    <t>A8 82</t>
  </si>
  <si>
    <t>28 00</t>
  </si>
  <si>
    <t>5B 78</t>
  </si>
  <si>
    <t>DD A9</t>
  </si>
  <si>
    <t>赋予风属性</t>
  </si>
  <si>
    <t>F0 0D</t>
  </si>
  <si>
    <t>HEX 0x0000004F</t>
  </si>
  <si>
    <t>75 | 76 | 77 | 78 | 79</t>
  </si>
  <si>
    <t>20 30</t>
  </si>
  <si>
    <t>33 | 34 | 35</t>
  </si>
  <si>
    <t>15 93</t>
  </si>
  <si>
    <t>HEX 0x00000059</t>
  </si>
  <si>
    <t>85 | 86 | 87 | 88 | 89</t>
  </si>
  <si>
    <t>武技成功时恢复精力（{}）</t>
  </si>
  <si>
    <t>HEX 0x000001EA</t>
  </si>
  <si>
    <t>474 | 475 | 476 | 477 | 478 | 479 | 480 | 481 | 482 | 483 | 484 | 485 | 486 | 487 | 488 | 489 | 490</t>
  </si>
  <si>
    <t>B0 1E</t>
  </si>
  <si>
    <t>对伤害的反映（武）</t>
  </si>
  <si>
    <t>AC 9C</t>
  </si>
  <si>
    <t>B3 33</t>
  </si>
  <si>
    <t>HEX 0x00000004</t>
  </si>
  <si>
    <t>97 87</t>
  </si>
  <si>
    <t>伤害反映（阴阳术术力）</t>
  </si>
  <si>
    <t>28 30</t>
  </si>
  <si>
    <t>E6 6B</t>
  </si>
  <si>
    <t>5E 5F</t>
  </si>
  <si>
    <t>HEX 0x0000012C</t>
  </si>
  <si>
    <t>284 | 285 | 286 | 287 | 288 | 289 | 290 | 291 | 292 | 293 | 294 | 295 | 296 | 297 | 298 | 299 | 300</t>
  </si>
  <si>
    <t>75 51</t>
  </si>
  <si>
    <t>54 E8</t>
  </si>
  <si>
    <t>DA 39</t>
  </si>
  <si>
    <t>25 11</t>
  </si>
  <si>
    <t>9F 8F</t>
  </si>
  <si>
    <t>72 70</t>
  </si>
  <si>
    <t>获得精华</t>
  </si>
  <si>
    <t>36 | 37 | 38 | 39 | 40 | 41 | 42 | 43 | 44 | 45 | 46 | 47 | 48 | 49 | 50</t>
  </si>
  <si>
    <t>对处于^09~DEBUFF~{}^09~~状态敌人的近距离伤害</t>
  </si>
  <si>
    <t>12 32</t>
  </si>
  <si>
    <t>HEX 0x000001F4</t>
  </si>
  <si>
    <t>460 | 461 | 462 | 463 | 464 | 465 | 466 | 467 | 468 | 469 | 470 | 471 | 472 | 473 | 474 | 475 | 476 | 477 | 478 | 479 | 480 | 481 | 482 | 483 | 484 | 485 | 486 | 487 | 488 | 489 | 490 | 491 | 492 | 493 | 494 | 495 | 496 | 497 | 498 | 499 | 500</t>
  </si>
  <si>
    <t>27 14</t>
  </si>
  <si>
    <t>77 | 78 | 79 | 80 | 81 | 82 | 83</t>
  </si>
  <si>
    <t>B3 B5</t>
  </si>
  <si>
    <t>32 | 33 | 34 | 35 | 36 | 37 | 38 | 39 | 40</t>
  </si>
  <si>
    <t>0A 34</t>
  </si>
  <si>
    <t>07 EF</t>
  </si>
  <si>
    <t>06 9A</t>
  </si>
  <si>
    <t>组合效果的所需装备数</t>
  </si>
  <si>
    <t>A3 44</t>
  </si>
  <si>
    <t>7F 2C</t>
  </si>
  <si>
    <t>对伤害的反映（技）</t>
  </si>
  <si>
    <t>85 AC</t>
  </si>
  <si>
    <t>对伤害的反映（体）</t>
  </si>
  <si>
    <t>95 F5</t>
  </si>
  <si>
    <t>对伤害的反映（心）</t>
  </si>
  <si>
    <t>DF 6E</t>
  </si>
  <si>
    <t>对伤害的反映（刚）</t>
  </si>
  <si>
    <t>91 F5</t>
  </si>
  <si>
    <t>对伤害的反映（智）</t>
  </si>
  <si>
    <t>39 C2</t>
  </si>
  <si>
    <t>B3 57</t>
  </si>
  <si>
    <t>E8 3E</t>
  </si>
  <si>
    <t>不易被敌人发现</t>
  </si>
  <si>
    <t>CD F6</t>
  </si>
  <si>
    <t>D0 B9</t>
  </si>
  <si>
    <t>03 D4</t>
  </si>
  <si>
    <t>回收射偏的箭弹</t>
  </si>
  <si>
    <t>27 FB</t>
  </si>
  <si>
    <t>81 85</t>
  </si>
  <si>
    <t>防御时的属性攻击伤害降低</t>
  </si>
  <si>
    <t>DA E9</t>
  </si>
  <si>
    <t>精力耗尽的恢复时间缩短</t>
  </si>
  <si>
    <t>30 4B</t>
  </si>
  <si>
    <t>视死如归的赤备队</t>
  </si>
  <si>
    <t>D1 D0</t>
  </si>
  <si>
    <t>仁王的化身</t>
  </si>
  <si>
    <t>54 2B</t>
  </si>
  <si>
    <t>6A 7C</t>
  </si>
  <si>
    <t>53 | 54 | 55</t>
  </si>
  <si>
    <t>DF BC</t>
  </si>
  <si>
    <t>42 | 43 | 44 | 45 | 46 | 47 | 48 | 49 | 50</t>
  </si>
  <si>
    <t>92 4F</t>
  </si>
  <si>
    <t>D8 DF</t>
  </si>
  <si>
    <t>HEX 0x0000005A</t>
  </si>
  <si>
    <t>E9 C5</t>
  </si>
  <si>
    <t>F3 FE</t>
  </si>
  <si>
    <t>19 | 20 | 21 | 22 | 23 | 24 | 25</t>
  </si>
  <si>
    <t>40 7E</t>
  </si>
  <si>
    <t>23 95</t>
  </si>
  <si>
    <t>冲刺精力消耗降低</t>
  </si>
  <si>
    <t>16 | 17</t>
  </si>
  <si>
    <t>34 8F</t>
  </si>
  <si>
    <t>19 51</t>
  </si>
  <si>
    <t>冲刺精力消耗降低（绝境）</t>
  </si>
  <si>
    <t>24 | 25 | 26</t>
  </si>
  <si>
    <t>F5 C2</t>
  </si>
  <si>
    <t>28 | 29 | 30</t>
  </si>
  <si>
    <t>DF CF</t>
  </si>
  <si>
    <t>闪避动作精力消耗降低（绝境）</t>
  </si>
  <si>
    <t>HEX 0x0000002C</t>
  </si>
  <si>
    <t>42 | 43 | 44</t>
  </si>
  <si>
    <t>BB 4B</t>
  </si>
  <si>
    <t>5D A5</t>
  </si>
  <si>
    <t>10 6B</t>
  </si>
  <si>
    <t>25 | 26 | 27</t>
  </si>
  <si>
    <t>74 EE</t>
  </si>
  <si>
    <t>CA D6</t>
  </si>
  <si>
    <t>HEX 0x0000001F</t>
  </si>
  <si>
    <t>29 | 30 | 31</t>
  </si>
  <si>
    <t>9F 74</t>
  </si>
  <si>
    <t>近距离攻击精力伤害</t>
  </si>
  <si>
    <t>EC 08</t>
  </si>
  <si>
    <t>8A 61</t>
  </si>
  <si>
    <t>03 02</t>
  </si>
  <si>
    <t>78 | 79 | 80 | 81 | 82 | 83 | 84 | 85 | 86 | 87 | 88 | 89 | 90</t>
  </si>
  <si>
    <t>F6 54</t>
  </si>
  <si>
    <t>6E 44</t>
  </si>
  <si>
    <t>赋予属性的持续时间延长</t>
  </si>
  <si>
    <t>D4 43</t>
  </si>
  <si>
    <t>AB 21</t>
  </si>
  <si>
    <t>95 08</t>
  </si>
  <si>
    <t>AF D8</t>
  </si>
  <si>
    <t>160 | 161 | 162 | 163 | 164 | 165 | 166 | 167 | 168 | 169 | 170 | 171 | 172 | 173 | 174 | 175 | 176 | 177 | 178 | 179 | 180 | 181 | 182 | 183 | 184 | 185 | 186 | 187 | 188 | 189 | 190 | 191 | 192 | 193 | 194 | 195 | 196 | 197 | 198 | 199 | 200</t>
  </si>
  <si>
    <t>80 36</t>
  </si>
  <si>
    <t>E9 0A</t>
  </si>
  <si>
    <t>48 F5</t>
  </si>
  <si>
    <t>49 6F</t>
  </si>
  <si>
    <t>CF 05</t>
  </si>
  <si>
    <t>CF 24</t>
  </si>
  <si>
    <t>05 A5</t>
  </si>
  <si>
    <t>A0 D1</t>
  </si>
  <si>
    <t>1A BA</t>
  </si>
  <si>
    <t>79 27</t>
  </si>
  <si>
    <t>68 23</t>
  </si>
  <si>
    <t>92 D8</t>
  </si>
  <si>
    <t>C9 C0</t>
  </si>
  <si>
    <t>86 52</t>
  </si>
  <si>
    <t>独眼龙的野心</t>
  </si>
  <si>
    <t>D1 92</t>
  </si>
  <si>
    <t>永不退缩者</t>
  </si>
  <si>
    <t>88 C9</t>
  </si>
  <si>
    <t>伊达家忠臣之鉴</t>
  </si>
  <si>
    <t>8A AE</t>
  </si>
  <si>
    <t>5C 32</t>
  </si>
  <si>
    <t>对精力耗尽敌人的近距离伤害</t>
  </si>
  <si>
    <t>118 | 119 | 120 | 121 | 122 | 123 | 124 | 125 | 126 | 127 | 128 | 129 | 130 | 131 | 132 | 133 | 134 | 135 | 136 | 137 | 138 | 139 | 140 | 141 | 142 | 143 | 144 | 145 | 146 | 147 | 148 | 149 | 150</t>
  </si>
  <si>
    <t>1A B4</t>
  </si>
  <si>
    <t>对攻击中敌人的近距离伤害</t>
  </si>
  <si>
    <t>7E 19</t>
  </si>
  <si>
    <t>对极近距离敌人的弓箭伤害</t>
  </si>
  <si>
    <t>5D F8</t>
  </si>
  <si>
    <t>对极近距离敌人的火枪伤害</t>
  </si>
  <si>
    <t>91 29</t>
  </si>
  <si>
    <t>对极近距离敌人的大炮伤害</t>
  </si>
  <si>
    <t>AD 9D</t>
  </si>
  <si>
    <t>10 7C</t>
  </si>
  <si>
    <t>A4 8D</t>
  </si>
  <si>
    <t>05 D6</t>
  </si>
  <si>
    <t>负面效果持续时间缩短</t>
  </si>
  <si>
    <t>CE 92</t>
  </si>
  <si>
    <t>HEX 0x00000140</t>
  </si>
  <si>
    <t>244 | 245 | 247 | 249 | 251 | 253 | 255 | 257 | 259 | 261 | 263 | 264 | 266 | 268 | 270 | 272 | 274 | 276 | 278 | 280 | 282 | 283 | 285 | 287 | 289 | 291 | 293 | 295 | 297 | 299 | 301 | 302 | 304 | 306 | 308 | 310 | 312 | 314 | 316 | 318 | 320</t>
  </si>
  <si>
    <t>4A 16</t>
  </si>
  <si>
    <t>拿起远距离武器时的移动速度</t>
  </si>
  <si>
    <t>HEX 0x000003E8</t>
  </si>
  <si>
    <t>1000</t>
  </si>
  <si>
    <t>HEX 0x000001C9</t>
  </si>
  <si>
    <t>74 53</t>
  </si>
  <si>
    <t>E1 F7</t>
  </si>
  <si>
    <t>A1 8B</t>
  </si>
  <si>
    <t>35 05</t>
  </si>
  <si>
    <t>6C D9</t>
  </si>
  <si>
    <t>阴阳术伤害吸取体力</t>
  </si>
  <si>
    <t>敌人的持续伤害</t>
  </si>
  <si>
    <t>61 EA</t>
  </si>
  <si>
    <t>7A 5A</t>
  </si>
  <si>
    <t>敌人的^09~DEBUFF~{}^09~~状态累积</t>
  </si>
  <si>
    <t>106 | 107 | 108 | 109 | 110 | 111 | 112 | 113 | 114 | 115 | 116 | 117 | 118 | 119 | 120 | 121 | 122 | 123 | 124 | 125 | 126 | 127 | 128 | 129 | 130</t>
  </si>
  <si>
    <t>13 38</t>
  </si>
  <si>
    <t>45 65</t>
  </si>
  <si>
    <t>38 4E</t>
  </si>
  <si>
    <t>CE 39</t>
  </si>
  <si>
    <t>3B 13</t>
  </si>
  <si>
    <t>64 1B</t>
  </si>
  <si>
    <t>53 EF</t>
  </si>
  <si>
    <t>E2 6E</t>
  </si>
  <si>
    <t>66 56</t>
  </si>
  <si>
    <t>94 FB</t>
  </si>
  <si>
    <t>1D 16</t>
  </si>
  <si>
    <t>22 | 23 | 24 | 25 | 26 | 27 | 28 | 29 | 30</t>
  </si>
  <si>
    <t>A9 E7</t>
  </si>
  <si>
    <t>HEX 0x0000002D</t>
  </si>
  <si>
    <t>33 | 34 | 35 | 36 | 37 | 38 | 39 | 40 | 41 | 42 | 43 | 44 | 45</t>
  </si>
  <si>
    <t>26 5C</t>
  </si>
  <si>
    <t>67 13</t>
  </si>
  <si>
    <t>4 | 5</t>
  </si>
  <si>
    <t>ED BC</t>
  </si>
  <si>
    <t>95 F2</t>
  </si>
  <si>
    <t>17 96</t>
  </si>
  <si>
    <t>连续攻击伤害增加</t>
  </si>
  <si>
    <t>95 30</t>
  </si>
  <si>
    <t>9F 95</t>
  </si>
  <si>
    <t>C3 75</t>
  </si>
  <si>
    <t>A8 B2</t>
  </si>
  <si>
    <t>94 | 95 | 96 | 97 | 98 | 99 | 100 | 101 | 102 | 103 | 104 | 105 | 106 | 107 | 108 | 109 | 110</t>
  </si>
  <si>
    <t>HEX 0x000001E0</t>
  </si>
  <si>
    <t>94 85</t>
  </si>
  <si>
    <t>A1 F5</t>
  </si>
  <si>
    <t>42 EB</t>
  </si>
  <si>
    <t>F4 DF</t>
  </si>
  <si>
    <t>86 6A</t>
  </si>
  <si>
    <t>对处于^09~DEBUFF~{}^09~~状态敌人的精力伤害</t>
  </si>
  <si>
    <t>D3 66</t>
  </si>
  <si>
    <t>E4 8A</t>
  </si>
  <si>
    <t>FD 8E</t>
  </si>
  <si>
    <t>武器造成的火属性伤害</t>
  </si>
  <si>
    <t>HEX 0x000001CC</t>
  </si>
  <si>
    <t>396 | 397 | 399 | 400 | 402 | 404 | 405 | 407 | 408 | 410 | 412 | 413 | 415 | 416 | 418 | 420 | 421 | 423 | 424 | 426 | 428 | 429 | 431 | 432 | 434 | 436 | 437 | 439 | 440 | 442 | 444 | 445 | 447 | 448 | 450 | 452 | 453 | 455 | 456 | 458 | 460</t>
  </si>
  <si>
    <t>A2 3F</t>
  </si>
  <si>
    <t>武器造成的水属性伤害</t>
  </si>
  <si>
    <t>C5 C9</t>
  </si>
  <si>
    <t>武器造成的雷属性伤害</t>
  </si>
  <si>
    <t>63 17</t>
  </si>
  <si>
    <t>箭弹命中时施加^09~DEBUFF~{}^09~~</t>
  </si>
  <si>
    <t>92 | 93 | 94 | 95 | 96 | 97 | 98 | 99 | 100 | 101 | 102 | 103 | 104 | 105 | 106 | 107 | 108 | 109 | 110 | 111 | 112 | 113 | 114 | 115 | 116 | 117 | 118 | 119 | 120</t>
  </si>
  <si>
    <t>7E A1</t>
  </si>
  <si>
    <t>CF BC</t>
  </si>
  <si>
    <t>HEX 0x000000BE</t>
  </si>
  <si>
    <t>162 | 163 | 164 | 165 | 166 | 167 | 168 | 169 | 170 | 171 | 172 | 173 | 174 | 175 | 176 | 177 | 178 | 179 | 180 | 181 | 182 | 183 | 184 | 185 | 186 | 187 | 188 | 189 | 190</t>
  </si>
  <si>
    <t>AB 7C</t>
  </si>
  <si>
    <t>176 | 177 | 178 | 179 | 180 | 181 | 182 | 183 | 184 | 185 | 186 | 187 | 188 | 189 | 190 | 191 | 192 | 193 | 194 | 195 | 196 | 197 | 198 | 199 | 200</t>
  </si>
  <si>
    <t>DE 21</t>
  </si>
  <si>
    <t>A6 62</t>
  </si>
  <si>
    <t>88 00</t>
  </si>
  <si>
    <t>大炮动作速度加快</t>
  </si>
  <si>
    <t>B5 45</t>
  </si>
  <si>
    <t>格挡成功时解除负面效果</t>
  </si>
  <si>
    <t>HEX 0x000001C8</t>
  </si>
  <si>
    <t>18 11</t>
  </si>
  <si>
    <t>祓除常世赋予^09~BUFF~{}^09~~</t>
  </si>
  <si>
    <t>88 2D</t>
  </si>
  <si>
    <t>43 06</t>
  </si>
  <si>
    <t>EF 21</t>
  </si>
  <si>
    <t>53 4D</t>
  </si>
  <si>
    <t>DD FF</t>
  </si>
  <si>
    <t>02 3A</t>
  </si>
  <si>
    <t>陷入异常状态时赋予^09~BUFF~{}^09~~</t>
  </si>
  <si>
    <t>39 C6</t>
  </si>
  <si>
    <t>B2 BF</t>
  </si>
  <si>
    <t>BC FE</t>
  </si>
  <si>
    <t>36 49</t>
  </si>
  <si>
    <t>2E B5</t>
  </si>
  <si>
    <t>27 FF</t>
  </si>
  <si>
    <t>吸收精华后赋予^09~BUFF~{}^09~~</t>
  </si>
  <si>
    <t>78 27</t>
  </si>
  <si>
    <t>DF 8B</t>
  </si>
  <si>
    <t>BB F6</t>
  </si>
  <si>
    <t>CF 5D</t>
  </si>
  <si>
    <t>97 E1</t>
  </si>
  <si>
    <t>48 1B</t>
  </si>
  <si>
    <t>陷入异常状态时降低承受的伤害</t>
  </si>
  <si>
    <t>1C 4F</t>
  </si>
  <si>
    <t>精力归零时降低承受的伤害</t>
  </si>
  <si>
    <t>08 81</t>
  </si>
  <si>
    <t>受到敌人攻击时不会畏惧（绝境）</t>
  </si>
  <si>
    <t>52 A9</t>
  </si>
  <si>
    <t>5B D8</t>
  </si>
  <si>
    <t>弓精力伤害</t>
  </si>
  <si>
    <t>HEX 0x000000DC</t>
  </si>
  <si>
    <t>192 | 193 | 194 | 195 | 196 | 197 | 198 | 199 | 200 | 201 | 202 | 203 | 204 | 205 | 206 | 207 | 208 | 209 | 210 | 211 | 212 | 213 | 214 | 215 | 216 | 217 | 218 | 219 | 220</t>
  </si>
  <si>
    <t>08 EB</t>
  </si>
  <si>
    <t>火枪精力伤害</t>
  </si>
  <si>
    <t>A0 03</t>
  </si>
  <si>
    <t>大炮精力伤害</t>
  </si>
  <si>
    <t>F2 43</t>
  </si>
  <si>
    <t>5F 3E</t>
  </si>
  <si>
    <t>9A 96</t>
  </si>
  <si>
    <t>180 | 181 | 182 | 183 | 184 | 185 | 186 | 187 | 188 | 189 | 190 | 191 | 192 | 193 | 194 | 195 | 196 | 197 | 198 | 199 | 200</t>
  </si>
  <si>
    <t>EF BA</t>
  </si>
  <si>
    <t>D7 3E</t>
  </si>
  <si>
    <t>5A 0B</t>
  </si>
  <si>
    <t>F2 AC</t>
  </si>
  <si>
    <t>7A 1F</t>
  </si>
  <si>
    <t>9F 22</t>
  </si>
  <si>
    <t>9A C6</t>
  </si>
  <si>
    <t>DD 75</t>
  </si>
  <si>
    <t>武技的持续时间（{}）</t>
  </si>
  <si>
    <t>83 6F</t>
  </si>
  <si>
    <t>4D 3F</t>
  </si>
  <si>
    <t>02 AD</t>
  </si>
  <si>
    <t>60 AB</t>
  </si>
  <si>
    <t>C4 27</t>
  </si>
  <si>
    <t>33 F5</t>
  </si>
  <si>
    <t>A8 74</t>
  </si>
  <si>
    <t>4E 66</t>
  </si>
  <si>
    <t>3A C6</t>
  </si>
  <si>
    <t>3E 96</t>
  </si>
  <si>
    <t>49 5B</t>
  </si>
  <si>
    <t>13 | 14 | 15 | 16 | 17 | 18</t>
  </si>
  <si>
    <t>89 44</t>
  </si>
  <si>
    <t>66 50</t>
  </si>
  <si>
    <t>8 | 9 | 10 | 11</t>
  </si>
  <si>
    <t>BF AF</t>
  </si>
  <si>
    <t>对处于负面效果敌人的近距离伤害</t>
  </si>
  <si>
    <t>22 27</t>
  </si>
  <si>
    <t>对无伤敌人造成的近距离伤害</t>
  </si>
  <si>
    <t>29 33</t>
  </si>
  <si>
    <t>1B 0D</t>
  </si>
  <si>
    <t>2F B6</t>
  </si>
  <si>
    <t>22 C6</t>
  </si>
  <si>
    <t>依打倒敌人的数量降低承受的伤害</t>
  </si>
  <si>
    <t>96 64</t>
  </si>
  <si>
    <t>5F 4E</t>
  </si>
  <si>
    <t>B4 D5</t>
  </si>
  <si>
    <t>AF 6F</t>
  </si>
  <si>
    <t>A0 BF</t>
  </si>
  <si>
    <t>32 E6</t>
  </si>
  <si>
    <t>36 DF</t>
  </si>
  <si>
    <t>F6 9D</t>
  </si>
  <si>
    <t>57 94</t>
  </si>
  <si>
    <t>62 89</t>
  </si>
  <si>
    <t>2C 44</t>
  </si>
  <si>
    <t>伤害反映（装备重量）</t>
  </si>
  <si>
    <t>4A 44</t>
  </si>
  <si>
    <t>36 CE</t>
  </si>
  <si>
    <t>HEX 0x00000025</t>
  </si>
  <si>
    <t>29 | 30 | 31 | 32 | 33 | 34 | 35 | 36 | 37</t>
  </si>
  <si>
    <t>B7 AB</t>
  </si>
  <si>
    <t>HEX 0x0000005C</t>
  </si>
  <si>
    <t>70 | 71 | 72 | 73 | 74 | 75 | 76 | 77 | 78 | 79 | 80 | 81 | 82 | 83 | 84 | 85 | 86 | 87 | 88 | 89 | 90 | 91 | 92</t>
  </si>
  <si>
    <t>9B A7</t>
  </si>
  <si>
    <t>2C A0</t>
  </si>
  <si>
    <t>07 8A</t>
  </si>
  <si>
    <t>C5 CA</t>
  </si>
  <si>
    <t>HEX 0x000000A5</t>
  </si>
  <si>
    <t>145 | 146 | 147 | 148 | 149 | 150 | 151 | 152 | 153 | 154 | 155 | 156 | 157 | 158 | 159 | 160 | 161 | 162 | 163 | 164 | 165</t>
  </si>
  <si>
    <t>0A DA</t>
  </si>
  <si>
    <t>B1 63</t>
  </si>
  <si>
    <t>8C F0</t>
  </si>
  <si>
    <t>8D FC</t>
  </si>
  <si>
    <t>BC 30</t>
  </si>
  <si>
    <t>B9 3B</t>
  </si>
  <si>
    <t>4D 14</t>
  </si>
  <si>
    <t>F6 46</t>
  </si>
  <si>
    <t>64 32</t>
  </si>
  <si>
    <t>DF DC</t>
  </si>
  <si>
    <t>60 CE</t>
  </si>
  <si>
    <t>EF 16</t>
  </si>
  <si>
    <t>2A 16</t>
  </si>
  <si>
    <t>E0 FD</t>
  </si>
  <si>
    <t>9B 5D</t>
  </si>
  <si>
    <t>96 FD</t>
  </si>
  <si>
    <t>9D 8C</t>
  </si>
  <si>
    <t>3B ED</t>
  </si>
  <si>
    <t>72 13</t>
  </si>
  <si>
    <t>57 75</t>
  </si>
  <si>
    <t>08 B4</t>
  </si>
  <si>
    <t>D0 86</t>
  </si>
  <si>
    <t>HEX 0x00000073</t>
  </si>
  <si>
    <t>89 | 90 | 91 | 92 | 93 | 94 | 95 | 96 | 97 | 98 | 99 | 100 | 101 | 102 | 103 | 104 | 105 | 106 | 107 | 108 | 109 | 110 | 111 | 112 | 113 | 114 | 115</t>
  </si>
  <si>
    <t>79 12</t>
  </si>
  <si>
    <t>11 | 12</t>
  </si>
  <si>
    <t>61 8F</t>
  </si>
  <si>
    <t>A3 BE</t>
  </si>
  <si>
    <t>56 0E</t>
  </si>
  <si>
    <t>42 3D</t>
  </si>
  <si>
    <t>72 | 73 | 74 | 75 | 76 | 77 | 78 | 79 | 80 | 81 | 82</t>
  </si>
  <si>
    <t>7E 95</t>
  </si>
  <si>
    <t>13 | 14</t>
  </si>
  <si>
    <t>E9 CA</t>
  </si>
  <si>
    <t>E4 F8</t>
  </si>
  <si>
    <t>72 D4</t>
  </si>
  <si>
    <t>48 86</t>
  </si>
  <si>
    <t>84 34</t>
  </si>
  <si>
    <t>99 F4</t>
  </si>
  <si>
    <t>A7 0F</t>
  </si>
  <si>
    <t>C8 89</t>
  </si>
  <si>
    <t>A8 A9</t>
  </si>
  <si>
    <t>20 CF</t>
  </si>
  <si>
    <t>65 3F</t>
  </si>
  <si>
    <t>02 8B</t>
  </si>
  <si>
    <t>B0 73</t>
  </si>
  <si>
    <t>BD 83</t>
  </si>
  <si>
    <t>81 A9</t>
  </si>
  <si>
    <t>6D E6</t>
  </si>
  <si>
    <t>F6 14</t>
  </si>
  <si>
    <t>86 09</t>
  </si>
  <si>
    <t>89 C6</t>
  </si>
  <si>
    <t>2C 5F</t>
  </si>
  <si>
    <t>79 87</t>
  </si>
  <si>
    <t>03 15</t>
  </si>
  <si>
    <t>8B 4F</t>
  </si>
  <si>
    <t>DC 36</t>
  </si>
  <si>
    <t>26 6C</t>
  </si>
  <si>
    <t>6D F4</t>
  </si>
  <si>
    <t>F2 C7</t>
  </si>
  <si>
    <t>格挡反射远距离攻击</t>
  </si>
  <si>
    <t>35 12</t>
  </si>
  <si>
    <t>复制正面效果</t>
  </si>
  <si>
    <t>HEX 0x0000014A</t>
  </si>
  <si>
    <t>310 | 311 | 312 | 313 | 314 | 315 | 316 | 317 | 318 | 319 | 320 | 321 | 322 | 323 | 324 | 325 | 326 | 327 | 328 | 329 | 330</t>
  </si>
  <si>
    <t>F1 B8</t>
  </si>
  <si>
    <t>FF 3F</t>
  </si>
  <si>
    <t>承受箭弹伤害时不会畏惧</t>
  </si>
  <si>
    <t>1E D5</t>
  </si>
  <si>
    <t>伤害反映（负面效果数）</t>
  </si>
  <si>
    <t>火抗性</t>
  </si>
  <si>
    <t>HEX 0x00000118</t>
  </si>
  <si>
    <t>260 | 261 | 262 | 263 | 264 | 265 | 266 | 267 | 268 | 269 | 270 | 271 | 272 | 273 | 274 | 275 | 276 | 277 | 278 | 279 | 280</t>
  </si>
  <si>
    <t>10 8A</t>
  </si>
  <si>
    <t>水抗性</t>
  </si>
  <si>
    <t>58 D7</t>
  </si>
  <si>
    <t>雷抗性</t>
  </si>
  <si>
    <t>C4 F9</t>
  </si>
  <si>
    <t>闪避动作的无敌时间延长</t>
  </si>
  <si>
    <t>D2 BE</t>
  </si>
  <si>
    <t>箭弹的精力伤害</t>
  </si>
  <si>
    <t>61 2C</t>
  </si>
  <si>
    <t>132 | 133 | 134 | 135 | 136 | 137 | 138 | 139 | 140 | 141 | 142 | 143 | 144 | 145 | 146 | 147 | 148 | 149 | 150</t>
  </si>
  <si>
    <t>37 22</t>
  </si>
  <si>
    <t>^09~DEBUFF~{}^09~~状态无效</t>
  </si>
  <si>
    <t>HEX 0x0000028A</t>
  </si>
  <si>
    <t>550 | 552 | 555 | 557 | 560 | 562 | 565 | 567 | 570 | 572 | 575 | 577 | 580 | 582 | 585 | 587 | 590 | 592 | 595 | 597 | 600 | 602 | 605 | 607 | 610 | 612 | 615 | 617 | 620 | 622 | 625 | 627 | 630 | 632 | 635 | 637 | 640 | 642 | 645 | 647 | 650</t>
  </si>
  <si>
    <t>75 6E</t>
  </si>
  <si>
    <t>99 9D</t>
  </si>
  <si>
    <t>65 ED</t>
  </si>
  <si>
    <t>C2 42</t>
  </si>
  <si>
    <t>07 78</t>
  </si>
  <si>
    <t>05 EE</t>
  </si>
  <si>
    <t>^09~DEBUFF~{}^09~~状态持续时间</t>
  </si>
  <si>
    <t>BE E7</t>
  </si>
  <si>
    <t>ED 18</t>
  </si>
  <si>
    <t>C8 9D</t>
  </si>
  <si>
    <t>C5 F9</t>
  </si>
  <si>
    <t>65 BA</t>
  </si>
  <si>
    <t>31 37</t>
  </si>
  <si>
    <t>负面效果持续时间延长</t>
  </si>
  <si>
    <t>D6 0C</t>
  </si>
  <si>
    <t>承受精力伤害</t>
  </si>
  <si>
    <t>36 E8</t>
  </si>
  <si>
    <t>机关旋棍</t>
  </si>
  <si>
    <t>1C BF</t>
  </si>
  <si>
    <t>仰不愧于天</t>
  </si>
  <si>
    <t>08 AD</t>
  </si>
  <si>
    <t>十勇士之首</t>
  </si>
  <si>
    <t>E3 5A</t>
  </si>
  <si>
    <t>50 59</t>
  </si>
  <si>
    <t>龙神灵宝</t>
  </si>
  <si>
    <t>BF B0</t>
  </si>
  <si>
    <t>13 | 14 | 15 | 16 | 17</t>
  </si>
  <si>
    <t>F0 D3</t>
  </si>
  <si>
    <t>0A 12</t>
  </si>
  <si>
    <t>HEX 0x00000212</t>
  </si>
  <si>
    <t>450 | 452 | 454 | 456 | 458 | 460 | 462 | 464 | 466 | 468 | 470 | 472 | 474 | 476 | 478 | 480 | 482 | 484 | 486 | 488 | 490 | 492 | 494 | 496 | 498 | 500 | 502 | 504 | 506 | 508 | 510 | 512 | 514 | 516 | 518 | 520 | 522 | 524 | 526 | 528 | 530</t>
  </si>
  <si>
    <t>A2 E3</t>
  </si>
  <si>
    <t>24 | 25 | 26 | 27 | 28 | 29 | 30</t>
  </si>
  <si>
    <t>74 12</t>
  </si>
  <si>
    <t>99 77</t>
  </si>
  <si>
    <t>8D DD</t>
  </si>
  <si>
    <t>AA 22</t>
  </si>
  <si>
    <t>勇士的真意</t>
  </si>
  <si>
    <t>B5 CA</t>
  </si>
  <si>
    <t>天顶烈阳</t>
  </si>
  <si>
    <t>F6 58</t>
  </si>
  <si>
    <t>战国第一接班人</t>
  </si>
  <si>
    <t>F4 CA</t>
  </si>
  <si>
    <t>土佐能人</t>
  </si>
  <si>
    <t>C3 0E</t>
  </si>
  <si>
    <t>龙之忍者</t>
  </si>
  <si>
    <t>E2 43</t>
  </si>
  <si>
    <t>阴阳术命中时施加^09~DEBUFF~{}^09~~</t>
  </si>
  <si>
    <t>4E 88</t>
  </si>
  <si>
    <t>66 BE</t>
  </si>
  <si>
    <t>F5 9F</t>
  </si>
  <si>
    <t>B4 DF</t>
  </si>
  <si>
    <t>34 23</t>
  </si>
  <si>
    <t>3B B7</t>
  </si>
  <si>
    <t>阴阳术命中赋予^09~BUFF~{}^09~~</t>
  </si>
  <si>
    <t>10 1D</t>
  </si>
  <si>
    <t>B5 81</t>
  </si>
  <si>
    <t>4B 29</t>
  </si>
  <si>
    <t>HEX 0x00000108</t>
  </si>
  <si>
    <t>57 DD</t>
  </si>
  <si>
    <t>忍术命中赋予^09~BUFF~{}^09~~</t>
  </si>
  <si>
    <t>6E 73</t>
  </si>
  <si>
    <t>使用阴阳术时赋予^09~BUFF~{}^09~~</t>
  </si>
  <si>
    <t>7D D3</t>
  </si>
  <si>
    <t>47 BD</t>
  </si>
  <si>
    <t>F6 D1</t>
  </si>
  <si>
    <t>8A B6</t>
  </si>
  <si>
    <t>绝境时赋予^09~BUFF~{}^09~~</t>
  </si>
  <si>
    <t>40 56</t>
  </si>
  <si>
    <t>BE B0</t>
  </si>
  <si>
    <t>6D 64</t>
  </si>
  <si>
    <t>DE AF</t>
  </si>
  <si>
    <t>14 8A</t>
  </si>
  <si>
    <t>精力受到攻击降至50%以下时赋予^09~BUFF~{}^09~~</t>
  </si>
  <si>
    <t>F7 D7</t>
  </si>
  <si>
    <t>恢复体力赋予^09~BUFF~{}^09~~</t>
  </si>
  <si>
    <t>6E DA</t>
  </si>
  <si>
    <t>打倒敌人时赋予^09~BUFF~{}^09~~</t>
  </si>
  <si>
    <t>340 | 344 | 348 | 352 | 356 | 360 | 364 | 367 | 372 | 376 | 380 | 384 | 388 | 391 | 396 | 400 | 404 | 408 | 412 | 416 | 419 | 424 | 428 | 432 | 436 | 440 | 443 | 448 | 452 | 456 | 460 | 464 | 467 | 472 | 476 | 480 | 484 | 488 | 491 | 495 | 500</t>
  </si>
  <si>
    <t>10 C5</t>
  </si>
  <si>
    <t>C6 D4</t>
  </si>
  <si>
    <t>CF A6</t>
  </si>
  <si>
    <t>33 DD</t>
  </si>
  <si>
    <t>93 24</t>
  </si>
  <si>
    <t>04 72</t>
  </si>
  <si>
    <t>F8 3E</t>
  </si>
  <si>
    <t>格挡成功时赋予^09~BUFF~{}^09~~</t>
  </si>
  <si>
    <t>3B 25</t>
  </si>
  <si>
    <t>1A FB</t>
  </si>
  <si>
    <t>6D 8F</t>
  </si>
  <si>
    <t>88 80</t>
  </si>
  <si>
    <t>13 D3</t>
  </si>
  <si>
    <t>C9 6A</t>
  </si>
  <si>
    <t>空手攻击时赋予^09~BUFF~{}^09~~</t>
  </si>
  <si>
    <t>E4 53</t>
  </si>
  <si>
    <t>BD D8</t>
  </si>
  <si>
    <t>A8 39</t>
  </si>
  <si>
    <t>7E 38</t>
  </si>
  <si>
    <t>5A 07</t>
  </si>
  <si>
    <t>74 F7</t>
  </si>
  <si>
    <t>神器以上装备掉落率</t>
  </si>
  <si>
    <t>32 F3</t>
  </si>
  <si>
    <t>E7 02</t>
  </si>
  <si>
    <t>神宝掉落率</t>
  </si>
  <si>
    <t>2 | 3 | 4</t>
  </si>
  <si>
    <t>A7 D0</t>
  </si>
  <si>
    <t>64 A8</t>
  </si>
  <si>
    <t>87 AB</t>
  </si>
  <si>
    <t>幸运（绝境）</t>
  </si>
  <si>
    <t>D0 EF</t>
  </si>
  <si>
    <t>属性伤害无效</t>
  </si>
  <si>
    <t>14 AF</t>
  </si>
  <si>
    <t>阴阳术道具的伤害（无伤）</t>
  </si>
  <si>
    <t>DF B4</t>
  </si>
  <si>
    <t>箭弹伤害（无伤）</t>
  </si>
  <si>
    <t>88 | 89 | 90 | 91 | 92 | 93 | 94 | 95 | 96 | 97 | 98 | 99 | 100</t>
  </si>
  <si>
    <t>F6 A4</t>
  </si>
  <si>
    <t>158 | 159 | 160 | 161 | 162 | 163 | 164 | 165 | 166 | 167 | 168 | 169 | 170 | 171 | 172 | 173 | 174 | 175 | 176 | 177 | 178 | 179 | 180</t>
  </si>
  <si>
    <t>3E 19</t>
  </si>
  <si>
    <t>DF 64</t>
  </si>
  <si>
    <t>精力恢复速度上升（无伤）</t>
  </si>
  <si>
    <t>17 | 18 | 19 | 20 | 21 | 22 | 23 | 24 | 25 | 26 | 27 | 28 | 29 | 30</t>
  </si>
  <si>
    <t>24 BE</t>
  </si>
  <si>
    <t>伤害反映（幸运）</t>
  </si>
  <si>
    <t>45 9F</t>
  </si>
  <si>
    <t>真·龙剑</t>
  </si>
  <si>
    <t>59 6E</t>
  </si>
  <si>
    <t>强攻击解除异常状态</t>
  </si>
  <si>
    <t>F7 BA</t>
  </si>
  <si>
    <t>身处常世时恢复体力</t>
  </si>
  <si>
    <t>F5 29</t>
  </si>
  <si>
    <t>90 E6</t>
  </si>
  <si>
    <t>赋予双属性（雷、火）</t>
  </si>
  <si>
    <t>18 15</t>
  </si>
  <si>
    <t>赋予双属性（火、水）</t>
  </si>
  <si>
    <t>21 8B</t>
  </si>
  <si>
    <t>赋予双属性（水、雷）</t>
  </si>
  <si>
    <t>9C 20</t>
  </si>
  <si>
    <t>30 58</t>
  </si>
  <si>
    <t>以近距离攻击打倒敌人时恢复自己和我方体力</t>
  </si>
  <si>
    <t>116 | 117 | 118 | 119 | 120</t>
  </si>
  <si>
    <t>9A D6</t>
  </si>
  <si>
    <t>HEX 0x00000294</t>
  </si>
  <si>
    <t>660</t>
  </si>
  <si>
    <t>D2 1F</t>
  </si>
  <si>
    <t>HEX 0x000002BC</t>
  </si>
  <si>
    <t>700</t>
  </si>
  <si>
    <t>55 77</t>
  </si>
  <si>
    <t>599 | 610 | 620 | 630 | 640 | 650 | 659 | 669 | 680 | 690 | 700 | 710 | 719 | 729 | 740 | 750 | 760 | 770 | 780 | 789 | 799 | 810 | 820 | 830 | 840 | 849 | 859 | 870 | 880 | 890 | 900 | 909 | 919 | 930 | 940 | 950 | 960 | 969 | 979 | 989 | 1000</t>
  </si>
  <si>
    <t>BE E6</t>
  </si>
  <si>
    <t>E7 4C</t>
  </si>
  <si>
    <t>HEX 0x0000010E</t>
  </si>
  <si>
    <t>270</t>
  </si>
  <si>
    <t>50 58</t>
  </si>
  <si>
    <t>2E DB</t>
  </si>
  <si>
    <t>250</t>
  </si>
  <si>
    <t>2D 84</t>
  </si>
  <si>
    <t>E0 BB</t>
  </si>
  <si>
    <t>59 8E</t>
  </si>
  <si>
    <t>1B A0</t>
  </si>
  <si>
    <t>精力恢复速度（绝境）</t>
  </si>
  <si>
    <t>20 B1</t>
  </si>
  <si>
    <t>55 BA</t>
  </si>
  <si>
    <t>97 3D</t>
  </si>
  <si>
    <t>A4 11</t>
  </si>
  <si>
    <t>3E 9E</t>
  </si>
  <si>
    <t>13 74</t>
  </si>
  <si>
    <t>8E 93</t>
  </si>
  <si>
    <t>残心初始量</t>
  </si>
  <si>
    <t>F7 B5</t>
  </si>
  <si>
    <t>A8 08</t>
  </si>
  <si>
    <t>F0 E5</t>
  </si>
  <si>
    <t>65 6E</t>
  </si>
  <si>
    <t>17 E6</t>
  </si>
  <si>
    <t>承受的伤害降低（攻击动作期间）</t>
  </si>
  <si>
    <t>B8 18</t>
  </si>
  <si>
    <t>F8 F5</t>
  </si>
  <si>
    <t>D9 6E</t>
  </si>
  <si>
    <t>39 F7</t>
  </si>
  <si>
    <t>风属性伤害</t>
  </si>
  <si>
    <t>3B 82</t>
  </si>
  <si>
    <t>1E BE</t>
  </si>
  <si>
    <t>4C D8</t>
  </si>
  <si>
    <t>10 B9</t>
  </si>
  <si>
    <t>2D 90</t>
  </si>
  <si>
    <t>50 05</t>
  </si>
  <si>
    <t>B7 BF</t>
  </si>
  <si>
    <t>15 73</t>
  </si>
  <si>
    <t>51 58</t>
  </si>
  <si>
    <t>2D 21</t>
  </si>
  <si>
    <t>被攻击时承受的伤害降低</t>
  </si>
  <si>
    <t>6A 72</t>
  </si>
  <si>
    <t>上段武技伤害</t>
  </si>
  <si>
    <t>DD B8</t>
  </si>
  <si>
    <t>中段武技伤害</t>
  </si>
  <si>
    <t>2B B6</t>
  </si>
  <si>
    <t>下段武技伤害</t>
  </si>
  <si>
    <t>3C FC</t>
  </si>
  <si>
    <t>上段武技精力伤害</t>
  </si>
  <si>
    <t>14 60</t>
  </si>
  <si>
    <t>中段武技精力伤害</t>
  </si>
  <si>
    <t>71 C2</t>
  </si>
  <si>
    <t>下段武技精力伤害</t>
  </si>
  <si>
    <t>C2 61</t>
  </si>
  <si>
    <t>上段武技精力</t>
  </si>
  <si>
    <t>8F E0</t>
  </si>
  <si>
    <t>中段武技精力</t>
  </si>
  <si>
    <t>EE 3D</t>
  </si>
  <si>
    <t>下段武技精力</t>
  </si>
  <si>
    <t>8A A2</t>
  </si>
  <si>
    <t>箭弹贯穿</t>
  </si>
  <si>
    <t>2D 8F</t>
  </si>
  <si>
    <t>77 44</t>
  </si>
  <si>
    <t>5C 2E</t>
  </si>
  <si>
    <t>0F E9</t>
  </si>
  <si>
    <t>F4 6F</t>
  </si>
  <si>
    <t>CB 6F</t>
  </si>
  <si>
    <t>CF A2</t>
  </si>
  <si>
    <t>1C A2</t>
  </si>
  <si>
    <t>23 4B</t>
  </si>
  <si>
    <t>刺击伤害</t>
  </si>
  <si>
    <t>54 0B</t>
  </si>
  <si>
    <t>60 8D</t>
  </si>
  <si>
    <t>造成火属性伤害时吸取体力</t>
  </si>
  <si>
    <t>C7 7D</t>
  </si>
  <si>
    <t>43 0E</t>
  </si>
  <si>
    <t>造成水属性伤害时吸取体力</t>
  </si>
  <si>
    <t>83 9E</t>
  </si>
  <si>
    <t>3B D3</t>
  </si>
  <si>
    <t>造成雷属性伤害时吸取体力</t>
  </si>
  <si>
    <t>75 1D</t>
  </si>
  <si>
    <t>造成属性伤害时吸取体力</t>
  </si>
  <si>
    <t>4E E0</t>
  </si>
  <si>
    <t>死亡时自动回收刀冢</t>
  </si>
  <si>
    <t>7B D8</t>
  </si>
  <si>
    <t>FF 5C</t>
  </si>
  <si>
    <t>76 5B</t>
  </si>
  <si>
    <t>3B 52</t>
  </si>
  <si>
    <t>3E D8</t>
  </si>
  <si>
    <t>3A 91</t>
  </si>
  <si>
    <t>获得精华增加灵力</t>
  </si>
  <si>
    <t>57 59</t>
  </si>
  <si>
    <t>获得精华增加灵力（绝境）</t>
  </si>
  <si>
    <t>CF 64</t>
  </si>
  <si>
    <t>获得精华增加灵力（无伤）</t>
  </si>
  <si>
    <t>攻击处于^09~DEBUFF~{}^09~~状态的敌人增加灵力</t>
  </si>
  <si>
    <t>D8 84</t>
  </si>
  <si>
    <t>19 2D</t>
  </si>
  <si>
    <t>F8 66</t>
  </si>
  <si>
    <t>81 91</t>
  </si>
  <si>
    <t>BC D6</t>
  </si>
  <si>
    <t>55 68</t>
  </si>
  <si>
    <t>使敌人陷入^09~DEBUFF~{}^09~~状态时增加灵力</t>
  </si>
  <si>
    <t>54 C9</t>
  </si>
  <si>
    <t>B7 7C</t>
  </si>
  <si>
    <t>FE 73</t>
  </si>
  <si>
    <t>D0 80</t>
  </si>
  <si>
    <t>EA DE</t>
  </si>
  <si>
    <t>43 7F</t>
  </si>
  <si>
    <t>5E 9C</t>
  </si>
  <si>
    <t>使敌人陷入异常状态时增加灵力</t>
  </si>
  <si>
    <t>3F 5C</t>
  </si>
  <si>
    <t>灵力增加量</t>
  </si>
  <si>
    <t>06 40</t>
  </si>
  <si>
    <t>85 AF</t>
  </si>
  <si>
    <t>灵力增加量（绝境）</t>
  </si>
  <si>
    <t>8E 97</t>
  </si>
  <si>
    <t>112 | 113 | 114 | 115 | 116 | 117 | 118 | 119 | 120</t>
  </si>
  <si>
    <t>B1 AD</t>
  </si>
  <si>
    <t>CC 45</t>
  </si>
  <si>
    <t>灵力增加量（无伤）</t>
  </si>
  <si>
    <t>F0 AA</t>
  </si>
  <si>
    <t>54 | 55 | 56 | 57 | 58 | 59 | 60</t>
  </si>
  <si>
    <t>31 A4</t>
  </si>
  <si>
    <t>44 | 45 | 46 | 47 | 48 | 49 | 50</t>
  </si>
  <si>
    <t>F2 EA</t>
  </si>
  <si>
    <t>灵力增加量（负面效果时）</t>
  </si>
  <si>
    <t>29 AC</t>
  </si>
  <si>
    <t>灵力增加量（正面效果时）</t>
  </si>
  <si>
    <t>0E BA</t>
  </si>
  <si>
    <t>AE E5</t>
  </si>
  <si>
    <t>F0 B3</t>
  </si>
  <si>
    <t>64 5E</t>
  </si>
  <si>
    <t>39 D2</t>
  </si>
  <si>
    <t>41 7C</t>
  </si>
  <si>
    <t>强攻击灵力增加量</t>
  </si>
  <si>
    <t>29 B2</t>
  </si>
  <si>
    <t>忍术命中增加灵力</t>
  </si>
  <si>
    <t>96 49</t>
  </si>
  <si>
    <t>阴阳术命中增加灵力</t>
  </si>
  <si>
    <t>E2 FE</t>
  </si>
  <si>
    <t>1F F4</t>
  </si>
  <si>
    <t>祓除常世增加灵力</t>
  </si>
  <si>
    <t>6E B4</t>
  </si>
  <si>
    <t>灵力增加量反映（累积伤害）</t>
  </si>
  <si>
    <t>D2 9A</t>
  </si>
  <si>
    <t>箭弹或道具命中增加灵力</t>
  </si>
  <si>
    <t>3F 48</t>
  </si>
  <si>
    <t>09 DC</t>
  </si>
  <si>
    <t>箭弹命中增加灵力</t>
  </si>
  <si>
    <t>BB E9</t>
  </si>
  <si>
    <t>承受伤害增加灵力</t>
  </si>
  <si>
    <t>79 E8</t>
  </si>
  <si>
    <t>E4 02</t>
  </si>
  <si>
    <t>1 | 2 | 3</t>
  </si>
  <si>
    <t>F4 0F</t>
  </si>
  <si>
    <t>28 D2</t>
  </si>
  <si>
    <t>52 | 53 | 54 | 55 | 56 | 57 | 58 | 59 | 60</t>
  </si>
  <si>
    <t>AE 14</t>
  </si>
  <si>
    <t>30 99</t>
  </si>
  <si>
    <t>BF 90</t>
  </si>
  <si>
    <t>跳跃的精力</t>
  </si>
  <si>
    <t>17 | 18 | 19 | 20 | 21 | 22</t>
  </si>
  <si>
    <t>D9 53</t>
  </si>
  <si>
    <t>空中攻击精力伤害</t>
  </si>
  <si>
    <t>05 7F</t>
  </si>
  <si>
    <t>A4 61</t>
  </si>
  <si>
    <t>4A 2D</t>
  </si>
  <si>
    <t>B3 E2</t>
  </si>
  <si>
    <t>A4 85</t>
  </si>
  <si>
    <t>F3 06</t>
  </si>
  <si>
    <t>23 | 24 | 25 | 26 | 27</t>
  </si>
  <si>
    <t>E2 1F</t>
  </si>
  <si>
    <t>HEX 0x00000024</t>
  </si>
  <si>
    <t>31 | 32 | 33 | 34 | 35 | 36</t>
  </si>
  <si>
    <t>46 B9</t>
  </si>
  <si>
    <t>武技精力伤害</t>
  </si>
  <si>
    <t>2A 78</t>
  </si>
  <si>
    <t>17 | 18 | 19 | 20</t>
  </si>
  <si>
    <t>8E B2</t>
  </si>
  <si>
    <t>4D 68</t>
  </si>
  <si>
    <t>57 E9</t>
  </si>
  <si>
    <t>AC 10</t>
  </si>
  <si>
    <t>HEX 0x0000002B</t>
  </si>
  <si>
    <t>37 | 38 | 39 | 40 | 41 | 42 | 43</t>
  </si>
  <si>
    <t>04 D9</t>
  </si>
  <si>
    <t>AC 45</t>
  </si>
  <si>
    <t>78 D4</t>
  </si>
  <si>
    <t>48 13</t>
  </si>
  <si>
    <t>DB D9</t>
  </si>
  <si>
    <t>08 82</t>
  </si>
  <si>
    <t>25 6C</t>
  </si>
  <si>
    <t>FB 75</t>
  </si>
  <si>
    <t>F3 AF</t>
  </si>
  <si>
    <t>91 EB</t>
  </si>
  <si>
    <t>10 AC</t>
  </si>
  <si>
    <t>86 80</t>
  </si>
  <si>
    <t>64 71</t>
  </si>
  <si>
    <t>2F 85</t>
  </si>
  <si>
    <t>8E D4</t>
  </si>
  <si>
    <t>1A 67</t>
  </si>
  <si>
    <t>76 DD</t>
  </si>
  <si>
    <t>66 E0</t>
  </si>
  <si>
    <t>88 C4</t>
  </si>
  <si>
    <t>0A 4A</t>
  </si>
  <si>
    <t>16 8C</t>
  </si>
  <si>
    <t>EF 78</t>
  </si>
  <si>
    <t>61 | 62 | 63 | 64 | 65 | 66 | 67 | 68 | 69 | 70</t>
  </si>
  <si>
    <t>95 EE</t>
  </si>
  <si>
    <t>18 44</t>
  </si>
  <si>
    <t>1A 0C</t>
  </si>
  <si>
    <t>C3 63</t>
  </si>
  <si>
    <t>1E FF</t>
  </si>
  <si>
    <t>HEX 0x00000186</t>
  </si>
  <si>
    <t>354 | 355 | 356 | 357 | 358 | 359 | 360 | 361 | 362 | 363 | 364 | 365 | 366 | 367 | 368 | 369 | 370 | 371 | 372 | 373 | 374 | 375 | 376 | 377 | 378 | 379 | 380 | 381 | 382 | 383 | 384 | 385 | 386 | 387 | 388 | 389 | 390</t>
  </si>
  <si>
    <t>BB FD</t>
  </si>
  <si>
    <t>118 | 119 | 120 | 121 | 122 | 123 | 124 | 125 | 126 | 127 | 128 | 129 | 130</t>
  </si>
  <si>
    <t>D7 3C</t>
  </si>
  <si>
    <t>HEX 0x000000C3</t>
  </si>
  <si>
    <t>177 | 178 | 179 | 180 | 181 | 182 | 183 | 184 | 185 | 186 | 187 | 188 | 189 | 190 | 191 | 192 | 193 | 194 | 195</t>
  </si>
  <si>
    <t>6C 88</t>
  </si>
  <si>
    <t>HEX 0x00000104</t>
  </si>
  <si>
    <t>236 | 237 | 238 | 239 | 240 | 241 | 242 | 243 | 244 | 245 | 246 | 247 | 248 | 249 | 250 | 251 | 252 | 253 | 254 | 255 | 256 | 257 | 258 | 259 | 260</t>
  </si>
  <si>
    <t>65 C9</t>
  </si>
  <si>
    <t>E5 E7</t>
  </si>
  <si>
    <t>11 8D</t>
  </si>
  <si>
    <t>91 4B</t>
  </si>
  <si>
    <t>1E F6</t>
  </si>
  <si>
    <t>4C 74</t>
  </si>
  <si>
    <t>79 64</t>
  </si>
  <si>
    <t>11 FB</t>
  </si>
  <si>
    <t>DB 52</t>
  </si>
  <si>
    <t>55 2C</t>
  </si>
  <si>
    <t>FA ED</t>
  </si>
  <si>
    <t>33 F0</t>
  </si>
  <si>
    <t>34 49</t>
  </si>
  <si>
    <t>12 | 13 | 14 | 15 | 16</t>
  </si>
  <si>
    <t>07 C8</t>
  </si>
  <si>
    <t>19 | 20 | 21 | 22 | 23 | 24</t>
  </si>
  <si>
    <t>BF 6C</t>
  </si>
  <si>
    <t>98 F3</t>
  </si>
  <si>
    <t>D2 68</t>
  </si>
  <si>
    <t>85 2D</t>
  </si>
  <si>
    <t>1C F1</t>
  </si>
  <si>
    <t>7D CE</t>
  </si>
  <si>
    <t>ED 4D</t>
  </si>
  <si>
    <t>4A F5</t>
  </si>
  <si>
    <t>DE BE</t>
  </si>
  <si>
    <t>33 98</t>
  </si>
  <si>
    <t>12 9A</t>
  </si>
  <si>
    <t>A2 18</t>
  </si>
  <si>
    <t>E2 5A</t>
  </si>
  <si>
    <t>获得金钱</t>
  </si>
  <si>
    <t>32 75</t>
  </si>
  <si>
    <t>0F 00</t>
  </si>
  <si>
    <t>1C 02</t>
  </si>
  <si>
    <t>ED EE</t>
  </si>
  <si>
    <t>1F 84</t>
  </si>
  <si>
    <t>8B 15</t>
  </si>
  <si>
    <t>DB 0A</t>
  </si>
  <si>
    <t>HEX 0x00000020</t>
  </si>
  <si>
    <t>28 | 29 | 30 | 31 | 32</t>
  </si>
  <si>
    <t>46 5E</t>
  </si>
  <si>
    <t>BC 59</t>
  </si>
  <si>
    <t>85 90</t>
  </si>
  <si>
    <t>5F BD</t>
  </si>
  <si>
    <t>4E C8</t>
  </si>
  <si>
    <t>95 14</t>
  </si>
  <si>
    <t>E9 1A</t>
  </si>
  <si>
    <t>82 69</t>
  </si>
  <si>
    <t>DF 3D</t>
  </si>
  <si>
    <t>源氏嫡系的威光</t>
  </si>
  <si>
    <t>63 F8</t>
  </si>
  <si>
    <t>猎妖者</t>
  </si>
  <si>
    <t>CF B0</t>
  </si>
  <si>
    <t>F7 91</t>
  </si>
  <si>
    <t>F1 63</t>
  </si>
  <si>
    <t>5E B0</t>
  </si>
  <si>
    <t>33 A6</t>
  </si>
  <si>
    <t>8F 40</t>
  </si>
  <si>
    <t>FB E5</t>
  </si>
  <si>
    <t>3A 88</t>
  </si>
  <si>
    <t>E2 19</t>
  </si>
  <si>
    <t>0C D7</t>
  </si>
  <si>
    <t>武技伤害</t>
  </si>
  <si>
    <t>60 63</t>
  </si>
  <si>
    <t>BF 59</t>
  </si>
  <si>
    <t>F7 70</t>
  </si>
  <si>
    <t>B2 DE</t>
  </si>
  <si>
    <t>DC 6B</t>
  </si>
  <si>
    <t>9A 3F</t>
  </si>
  <si>
    <t>55 89</t>
  </si>
  <si>
    <t>CA 9C</t>
  </si>
  <si>
    <t>67 40</t>
  </si>
  <si>
    <t>A8 93</t>
  </si>
  <si>
    <t>81 62</t>
  </si>
  <si>
    <t>37 01</t>
  </si>
  <si>
    <t>HEX 0x00000041</t>
  </si>
  <si>
    <t>65</t>
  </si>
  <si>
    <t>62 F3</t>
  </si>
  <si>
    <t>0D 75</t>
  </si>
  <si>
    <t>2C 92</t>
  </si>
  <si>
    <t>A2 A0</t>
  </si>
  <si>
    <t>A0 AB</t>
  </si>
  <si>
    <t>BE B9</t>
  </si>
  <si>
    <t>E3 31</t>
  </si>
  <si>
    <t>86 91</t>
  </si>
  <si>
    <t>14 17</t>
  </si>
  <si>
    <t>FB 88</t>
  </si>
  <si>
    <t>CC 1B</t>
  </si>
  <si>
    <t>0D 3B</t>
  </si>
  <si>
    <t>BF E4</t>
  </si>
  <si>
    <t>BB D5</t>
  </si>
  <si>
    <t>84 26</t>
  </si>
  <si>
    <t>71 17</t>
  </si>
  <si>
    <t>5C 25</t>
  </si>
  <si>
    <t>23 7E</t>
  </si>
  <si>
    <t>C0 8E</t>
  </si>
  <si>
    <t>97 15</t>
  </si>
  <si>
    <t>3C 90</t>
  </si>
  <si>
    <t>65 CB</t>
  </si>
  <si>
    <t>62 C9</t>
  </si>
  <si>
    <t>4B B1</t>
  </si>
  <si>
    <t>D1 44</t>
  </si>
  <si>
    <t>4E 3A</t>
  </si>
  <si>
    <t>39 69</t>
  </si>
  <si>
    <t>39 | 40 | 41 | 42 | 43 | 44 | 45</t>
  </si>
  <si>
    <t>1E 8D</t>
  </si>
  <si>
    <t>2B C1</t>
  </si>
  <si>
    <t>44 CF</t>
  </si>
  <si>
    <t>HEX 0x00000013</t>
  </si>
  <si>
    <t>17 | 18 | 19</t>
  </si>
  <si>
    <t>E9 2A</t>
  </si>
  <si>
    <t>42 36</t>
  </si>
  <si>
    <t>7F A9</t>
  </si>
  <si>
    <t>DB BF</t>
  </si>
  <si>
    <t>HEX 0x0000001C</t>
  </si>
  <si>
    <t>24 | 25 | 26 | 27 | 28</t>
  </si>
  <si>
    <t>72 9C</t>
  </si>
  <si>
    <t>AC 57</t>
  </si>
  <si>
    <t>11 23</t>
  </si>
  <si>
    <t>BF F9</t>
  </si>
  <si>
    <t>16 3B</t>
  </si>
  <si>
    <t>D5 D6</t>
  </si>
  <si>
    <t>HEX 0x00000002</t>
  </si>
  <si>
    <t>5A D4</t>
  </si>
  <si>
    <t>68 99</t>
  </si>
  <si>
    <t>6F 81</t>
  </si>
  <si>
    <t>51 1A</t>
  </si>
  <si>
    <t>75 9F</t>
  </si>
  <si>
    <t>19 7D</t>
  </si>
  <si>
    <t>78 67</t>
  </si>
  <si>
    <t>D5 C4</t>
  </si>
  <si>
    <t>130</t>
  </si>
  <si>
    <t>62 DE</t>
  </si>
  <si>
    <t>190</t>
  </si>
  <si>
    <t>3C 93</t>
  </si>
  <si>
    <t>AE 36</t>
  </si>
  <si>
    <t>3C 23</t>
  </si>
  <si>
    <t>0D 01</t>
  </si>
  <si>
    <t>43 C7</t>
  </si>
  <si>
    <t>伤害反映（弓伤害）</t>
  </si>
  <si>
    <t>CE 24</t>
  </si>
  <si>
    <t>伤害反映（精华槽）</t>
  </si>
  <si>
    <t>F6 45</t>
  </si>
  <si>
    <t>5 | 6 | 7 | 8 | 9</t>
  </si>
  <si>
    <t>86 34</t>
  </si>
  <si>
    <t>防御反映（精华槽）</t>
  </si>
  <si>
    <t>71 70</t>
  </si>
  <si>
    <t>幸运反映（精华槽）</t>
  </si>
  <si>
    <t>D9 15</t>
  </si>
  <si>
    <t>精力反映（精华槽）</t>
  </si>
  <si>
    <t>20 CA</t>
  </si>
  <si>
    <t>精力恢复反映（精华槽）</t>
  </si>
  <si>
    <t>2E 27</t>
  </si>
  <si>
    <t>阴阳术术力反映（精华槽）</t>
  </si>
  <si>
    <t>F3 B7</t>
  </si>
  <si>
    <t>灵力增加量反映（精华槽）</t>
  </si>
  <si>
    <t>8C C0</t>
  </si>
  <si>
    <t>8C C1</t>
  </si>
  <si>
    <t>149 | 150 | 151 | 152 | 153 | 154 | 155 | 156 | 157 | 158 | 159 | 160 | 161 | 162 | 163 | 164 | 165</t>
  </si>
  <si>
    <t>67 6B</t>
  </si>
  <si>
    <t>298 | 299 | 300 | 301 | 302 | 303 | 304 | 305 | 306 | 307 | 308 | 309 | 310 | 311 | 312 | 313 | 314 | 315 | 316 | 317 | 318 | 319 | 320 | 321 | 322 | 323 | 324 | 325 | 326 | 327 | 328 | 329 | 330</t>
  </si>
  <si>
    <t>93 44</t>
  </si>
  <si>
    <t>77 B2</t>
  </si>
  <si>
    <t>40 76</t>
  </si>
  <si>
    <t>68 35</t>
  </si>
  <si>
    <t>CD 97</t>
  </si>
  <si>
    <t>使用药品时赋予^09~BUFF~{}^09~~</t>
  </si>
  <si>
    <t>6F 12</t>
  </si>
  <si>
    <t>83 2E</t>
  </si>
  <si>
    <t>承受的伤害减半（无伤状态）</t>
  </si>
  <si>
    <t>260 | 261 | 262 | 263 | 264 | 265 | 266 | 267 | 268 | 269 | 270 | 271 | 272 | 273 | 274 | 275 | 276 | 277 | 278 | 279 | 280 | 281 | 282 | 283 | 284 | 285 | 286 | 287 | 288 | 289 | 290 | 291 | 292 | 293 | 294 | 295 | 296 | 297 | 298 | 299 | 300</t>
  </si>
  <si>
    <t>E2 BD</t>
  </si>
  <si>
    <t>行动精力消耗（负面效果时）</t>
  </si>
  <si>
    <t>1F 4F</t>
  </si>
  <si>
    <t>强攻击获得精华</t>
  </si>
  <si>
    <t>54 9D</t>
  </si>
  <si>
    <t>E7 9A</t>
  </si>
  <si>
    <t>波澜万丈</t>
  </si>
  <si>
    <t>A9 C1</t>
  </si>
  <si>
    <t>弑君之罪</t>
  </si>
  <si>
    <t>FE 24</t>
  </si>
  <si>
    <t>勇猛粗莽</t>
  </si>
  <si>
    <t>33 E4</t>
  </si>
  <si>
    <t>英勇猿夜叉</t>
  </si>
  <si>
    <t>04 9B</t>
  </si>
  <si>
    <t>调和严正</t>
  </si>
  <si>
    <t>22 89</t>
  </si>
  <si>
    <t>独创战法</t>
  </si>
  <si>
    <t>26 B7</t>
  </si>
  <si>
    <t>02 B4</t>
  </si>
  <si>
    <t>打虎勇士</t>
  </si>
  <si>
    <t>A9 D8</t>
  </si>
  <si>
    <t>无与伦比的名枪手</t>
  </si>
  <si>
    <t>03 09</t>
  </si>
  <si>
    <t>名门巨星</t>
  </si>
  <si>
    <t>1B CD</t>
  </si>
  <si>
    <t>70 F1</t>
  </si>
  <si>
    <t>河边妖怪众头目</t>
  </si>
  <si>
    <t>6B E2</t>
  </si>
  <si>
    <t>和谐严明</t>
  </si>
  <si>
    <t>87 E5</t>
  </si>
  <si>
    <t>鸿鹄之志</t>
  </si>
  <si>
    <t>EC D3</t>
  </si>
  <si>
    <t>千成之愿</t>
  </si>
  <si>
    <t>EA 02</t>
  </si>
  <si>
    <t>晴明御灵</t>
  </si>
  <si>
    <t>22 15</t>
  </si>
  <si>
    <t>神机妙算</t>
  </si>
  <si>
    <t>78 51</t>
  </si>
  <si>
    <t>田村大明神的庇佑</t>
  </si>
  <si>
    <t>04 8E</t>
  </si>
  <si>
    <t>D9 0F</t>
  </si>
  <si>
    <t>叱诧战国</t>
  </si>
  <si>
    <t>4F 9A</t>
  </si>
  <si>
    <t>鞍马流剑术</t>
  </si>
  <si>
    <t>1B B9</t>
  </si>
  <si>
    <t>AA 42</t>
  </si>
  <si>
    <t>2E 7F</t>
  </si>
  <si>
    <t>大力无双的勇僧</t>
  </si>
  <si>
    <t>17 EE</t>
  </si>
  <si>
    <t>破盔豪杰</t>
  </si>
  <si>
    <t>E5 23</t>
  </si>
  <si>
    <t>E6 2A</t>
  </si>
  <si>
    <t>4F B2</t>
  </si>
  <si>
    <t>EA 7B</t>
  </si>
  <si>
    <t>0C 59</t>
  </si>
  <si>
    <t>A3 4F</t>
  </si>
  <si>
    <t>E9 B1</t>
  </si>
  <si>
    <t>EB E8</t>
  </si>
  <si>
    <t>6D 94</t>
  </si>
  <si>
    <t>41 99</t>
  </si>
  <si>
    <t>86 41</t>
  </si>
  <si>
    <t>A5 32</t>
  </si>
  <si>
    <t>A3 94</t>
  </si>
  <si>
    <t>67 23</t>
  </si>
  <si>
    <t>AD C7</t>
  </si>
  <si>
    <t>01 7D</t>
  </si>
  <si>
    <t>5A 72</t>
  </si>
  <si>
    <t>AB D8</t>
  </si>
  <si>
    <t>4B EE</t>
  </si>
  <si>
    <t>43 7A</t>
  </si>
  <si>
    <t>D3 A9</t>
  </si>
  <si>
    <t>1D F4</t>
  </si>
  <si>
    <t>08 E3</t>
  </si>
  <si>
    <t>1A 68</t>
  </si>
  <si>
    <t>BC 73</t>
  </si>
  <si>
    <t>28 9D</t>
  </si>
  <si>
    <t>A1 A7</t>
  </si>
  <si>
    <t>74 FD</t>
  </si>
  <si>
    <t>BF EE</t>
  </si>
  <si>
    <t>CC 5E</t>
  </si>
  <si>
    <t>86 4A</t>
  </si>
  <si>
    <t>9A 61</t>
  </si>
  <si>
    <t>88 B7</t>
  </si>
  <si>
    <t>C3 4C</t>
  </si>
  <si>
    <t>48 12</t>
  </si>
  <si>
    <t>1A CE</t>
  </si>
  <si>
    <t>P1R3 | P1R4 | P1R5 | P2R3 | P2R4 | P2R5 | P3R3 | P3R4 | P3R5 | P4R3 | P4R4 | P4R5 | P5R3 | P5R4 | P5R5</t>
  </si>
  <si>
    <t>C7 BB</t>
  </si>
  <si>
    <t>8E 3A</t>
  </si>
  <si>
    <t>E3 6C</t>
  </si>
  <si>
    <t>不消耗使役符</t>
  </si>
  <si>
    <t>D1 28</t>
  </si>
  <si>
    <t>九十九化身持续时间延长</t>
  </si>
  <si>
    <t>BC 47</t>
  </si>
  <si>
    <t>P1R4 | P1R5 | P2R4 | P2R5 | P3R4 | P3R5 | P4R4 | P4R5 | P5R4 | P5R5</t>
  </si>
  <si>
    <t>2B B8</t>
  </si>
  <si>
    <t>敌人精力耗尽时赋予^09~BUFF~{}^09~~</t>
  </si>
  <si>
    <t>99 74</t>
  </si>
  <si>
    <t>对人战术</t>
  </si>
  <si>
    <t>对妖战术</t>
  </si>
  <si>
    <t>0A 19</t>
  </si>
  <si>
    <t>阴阳术伤害</t>
  </si>
  <si>
    <t>47 46</t>
  </si>
  <si>
    <t>伤害反映（忍术威力）</t>
  </si>
  <si>
    <t>FC C9</t>
  </si>
  <si>
    <t>05 18</t>
  </si>
  <si>
    <t>1E E7</t>
  </si>
  <si>
    <t>67 1B</t>
  </si>
  <si>
    <t>97 EF</t>
  </si>
  <si>
    <t>35 40</t>
  </si>
  <si>
    <t>83 B3</t>
  </si>
  <si>
    <t>3D 9A</t>
  </si>
  <si>
    <t>0A D4</t>
  </si>
  <si>
    <t>AE 4C</t>
  </si>
  <si>
    <t>A7 A0</t>
  </si>
  <si>
    <t>HEX 0x00000168</t>
  </si>
  <si>
    <t>20 DB</t>
  </si>
  <si>
    <t>53 EA</t>
  </si>
  <si>
    <t>3D A7</t>
  </si>
  <si>
    <t>D3 EB</t>
  </si>
  <si>
    <t>EE FB</t>
  </si>
  <si>
    <t>FC 2E</t>
  </si>
  <si>
    <t>93 B3</t>
  </si>
  <si>
    <t>84 81</t>
  </si>
  <si>
    <t>D2 47</t>
  </si>
  <si>
    <t>95 D4</t>
  </si>
  <si>
    <t>0D 61</t>
  </si>
  <si>
    <t>41 3F</t>
  </si>
  <si>
    <t>51 BC</t>
  </si>
  <si>
    <t>F7 3D</t>
  </si>
  <si>
    <t>7A 3E</t>
  </si>
  <si>
    <t>AC 5C</t>
  </si>
  <si>
    <t>E0 92</t>
  </si>
  <si>
    <t>11 D4</t>
  </si>
  <si>
    <t>EB 6B</t>
  </si>
  <si>
    <t>F3 34</t>
  </si>
  <si>
    <t>3B 58</t>
  </si>
  <si>
    <t>55 13</t>
  </si>
  <si>
    <t>20 8E</t>
  </si>
  <si>
    <t>FB D9</t>
  </si>
  <si>
    <t>0F 60</t>
  </si>
  <si>
    <t>2E 61</t>
  </si>
  <si>
    <t>7D D6</t>
  </si>
  <si>
    <t>51 FD</t>
  </si>
  <si>
    <t>8E DF</t>
  </si>
  <si>
    <t>50 CC</t>
  </si>
  <si>
    <t>1A E3</t>
  </si>
  <si>
    <t>E4 EB</t>
  </si>
  <si>
    <t>3F 51</t>
  </si>
  <si>
    <t>造成风属性伤害时吸取体力</t>
  </si>
  <si>
    <t>2E AE</t>
  </si>
  <si>
    <t>AD 96</t>
  </si>
  <si>
    <t>27 7A</t>
  </si>
  <si>
    <t>1A 38</t>
  </si>
  <si>
    <t>22 3E</t>
  </si>
  <si>
    <t>1F 97</t>
  </si>
  <si>
    <t>9B C3</t>
  </si>
  <si>
    <t>B9 8F</t>
  </si>
  <si>
    <t>77 68</t>
  </si>
  <si>
    <t>1E 6A</t>
  </si>
  <si>
    <t>C1 52</t>
  </si>
  <si>
    <t>63 D2</t>
  </si>
  <si>
    <t>C2 0A</t>
  </si>
  <si>
    <t>77 63</t>
  </si>
  <si>
    <t>64 DF</t>
  </si>
  <si>
    <t>属性附武伤害</t>
  </si>
  <si>
    <t>DC 06</t>
  </si>
  <si>
    <t>HEX 0x000001E4</t>
  </si>
  <si>
    <t>D0 7E</t>
  </si>
  <si>
    <t>31 F7</t>
  </si>
  <si>
    <t>92 F0</t>
  </si>
  <si>
    <t>11 0F</t>
  </si>
  <si>
    <t>CC E4</t>
  </si>
  <si>
    <t>D6 9C</t>
  </si>
  <si>
    <t>E0 37</t>
  </si>
  <si>
    <t>76 D2</t>
  </si>
  <si>
    <t>月下弄笛</t>
  </si>
  <si>
    <t>24 B3</t>
  </si>
  <si>
    <t>朝家守护</t>
  </si>
  <si>
    <t>0B 38</t>
  </si>
  <si>
    <t>97 E4</t>
  </si>
  <si>
    <t>38 1D</t>
  </si>
  <si>
    <t>C2 DA</t>
  </si>
  <si>
    <t>体之深奥</t>
  </si>
  <si>
    <t>P3R3 | P3R4 | P3R5 | P4R3 | P4R4 | P4R5 | P5R3 | P5R4 | P5R5</t>
  </si>
  <si>
    <t>13 B6</t>
  </si>
  <si>
    <t>心之深奥</t>
  </si>
  <si>
    <t>E8 23</t>
  </si>
  <si>
    <t>刚之深奥</t>
  </si>
  <si>
    <t>F0 DF</t>
  </si>
  <si>
    <t>武之深奥</t>
  </si>
  <si>
    <t>5A AE</t>
  </si>
  <si>
    <t>技之深奥</t>
  </si>
  <si>
    <t>AF 6A</t>
  </si>
  <si>
    <t>智之深奥</t>
  </si>
  <si>
    <t>06 2B</t>
  </si>
  <si>
    <t>咒之深奥</t>
  </si>
  <si>
    <t>53 15</t>
  </si>
  <si>
    <t>0B 42</t>
  </si>
  <si>
    <t>0D 45</t>
  </si>
  <si>
    <t>88 A5</t>
  </si>
  <si>
    <t>DA 4E</t>
  </si>
  <si>
    <t>造成雷属性伤害时增加灵力</t>
  </si>
  <si>
    <t>65 9A</t>
  </si>
  <si>
    <t>造成水属性伤害时增加灵力</t>
  </si>
  <si>
    <t>37 7D</t>
  </si>
  <si>
    <t>造成火属性伤害时增加灵力</t>
  </si>
  <si>
    <t>C0 84</t>
  </si>
  <si>
    <t>造成风属性伤害时增加灵力</t>
  </si>
  <si>
    <t>ED 30</t>
  </si>
  <si>
    <t>09 7E</t>
  </si>
  <si>
    <t>02 F4</t>
  </si>
  <si>
    <t>CE C6</t>
  </si>
  <si>
    <t>5E 5E</t>
  </si>
  <si>
    <t>冲刺速度提升</t>
  </si>
  <si>
    <t>CE 7E</t>
  </si>
  <si>
    <t>F6 71</t>
  </si>
  <si>
    <t>HEX 0x000001E1</t>
  </si>
  <si>
    <t>79 37</t>
  </si>
  <si>
    <t>反映变化（武士）</t>
  </si>
  <si>
    <t>44 CB</t>
  </si>
  <si>
    <t>反映变化（忍者）</t>
  </si>
  <si>
    <t>DD F9</t>
  </si>
  <si>
    <t>奥义两立（{}）</t>
  </si>
  <si>
    <t>BE C8</t>
  </si>
  <si>
    <t>BC A3</t>
  </si>
  <si>
    <t>F1 AB</t>
  </si>
  <si>
    <t>CE 77</t>
  </si>
  <si>
    <t>C8 56</t>
  </si>
  <si>
    <t>3A 22</t>
  </si>
  <si>
    <t>BA B6</t>
  </si>
  <si>
    <t>44 84</t>
  </si>
  <si>
    <t>34 AA</t>
  </si>
  <si>
    <t>7B FD</t>
  </si>
  <si>
    <t>4F 77</t>
  </si>
  <si>
    <t>一难的解除时间延长</t>
  </si>
  <si>
    <t>HEX 0x0000008C</t>
  </si>
  <si>
    <t>绝妙追杀</t>
  </si>
  <si>
    <t>D6 2A</t>
  </si>
  <si>
    <t>P4R4 | P4R5 | P5R4 | P5R5</t>
  </si>
  <si>
    <t>HEX 0x00000120</t>
  </si>
  <si>
    <t>9A 07</t>
  </si>
  <si>
    <t>76 D7</t>
  </si>
  <si>
    <t>03 40</t>
  </si>
  <si>
    <t>E1 2D</t>
  </si>
  <si>
    <t>D1 DD</t>
  </si>
  <si>
    <t>54 91</t>
  </si>
  <si>
    <t>BC 9C</t>
  </si>
  <si>
    <t>BD B8</t>
  </si>
  <si>
    <t>05 9A</t>
  </si>
  <si>
    <t>4A 86</t>
  </si>
  <si>
    <t>29 81</t>
  </si>
  <si>
    <t>12 F6</t>
  </si>
  <si>
    <t>A0 EE</t>
  </si>
  <si>
    <t>77 16</t>
  </si>
  <si>
    <t>14 67</t>
  </si>
  <si>
    <t>89 E6</t>
  </si>
  <si>
    <t>FA C8</t>
  </si>
  <si>
    <t>58 40</t>
  </si>
  <si>
    <t>43 2E</t>
  </si>
  <si>
    <t>8F 58</t>
  </si>
  <si>
    <t>83 2D</t>
  </si>
  <si>
    <t>17 23</t>
  </si>
  <si>
    <t>15 95</t>
  </si>
  <si>
    <t>近距离攻击的灵力增加量</t>
  </si>
  <si>
    <t>19 9A</t>
  </si>
  <si>
    <t>A0 06</t>
  </si>
  <si>
    <t>CF CA</t>
  </si>
  <si>
    <t>7A 08</t>
  </si>
  <si>
    <t>00 62</t>
  </si>
  <si>
    <t>58 | 59 | 60 | 61 | 62 | 63 | 64 | 65 | 66 | 67 | 68 | 69 | 70</t>
  </si>
  <si>
    <t>C2 E8</t>
  </si>
  <si>
    <t>持续伤害降低</t>
  </si>
  <si>
    <t>D8 82</t>
  </si>
  <si>
    <t>E2 75</t>
  </si>
  <si>
    <t>9E 51</t>
  </si>
  <si>
    <t>守护灵技的伤害</t>
  </si>
  <si>
    <t>95 CE</t>
  </si>
  <si>
    <t>13 9B</t>
  </si>
  <si>
    <t>HEX 0x000001E8</t>
  </si>
  <si>
    <t>5C 1B</t>
  </si>
  <si>
    <t>52 D9</t>
  </si>
  <si>
    <t>29 7B</t>
  </si>
  <si>
    <t>2A B3</t>
  </si>
  <si>
    <t>武技的架开判定时间延长</t>
  </si>
  <si>
    <t>82 1A</t>
  </si>
  <si>
    <t>FC 3A</t>
  </si>
  <si>
    <t>C7 30</t>
  </si>
  <si>
    <t>B3 39</t>
  </si>
  <si>
    <t>09 90</t>
  </si>
  <si>
    <t>FE 0E</t>
  </si>
  <si>
    <t>闪避行动移动距离延长</t>
  </si>
  <si>
    <t>AD F3</t>
  </si>
  <si>
    <t>HEX 0x00000190</t>
  </si>
  <si>
    <t>320 | 322 | 324 | 326 | 328 | 330 | 332 | 334 | 336 | 338 | 340 | 342 | 344 | 346 | 348 | 350 | 352 | 354 | 356 | 358 | 360 | 362 | 364 | 366 | 368 | 370 | 372 | 374 | 376 | 378 | 380 | 382 | 384 | 386 | 388 | 390 | 392 | 394 | 396 | 398 | 400</t>
  </si>
  <si>
    <t>69 62</t>
  </si>
  <si>
    <t>420 | 422 | 424 | 426 | 428 | 430 | 432 | 434 | 436 | 438 | 440 | 442 | 444 | 446 | 448 | 450 | 452 | 454 | 456 | 458 | 460 | 462 | 464 | 466 | 468 | 470 | 472 | 474 | 476 | 478 | 480 | 482 | 484 | 486 | 488 | 490 | 492 | 494 | 496 | 498 | 500</t>
  </si>
  <si>
    <t>44 F8</t>
  </si>
  <si>
    <t>8D 29</t>
  </si>
  <si>
    <t>弑兄觉悟</t>
  </si>
  <si>
    <t>5C 6D</t>
  </si>
  <si>
    <t>梦之残映</t>
  </si>
  <si>
    <t>15 8B</t>
  </si>
  <si>
    <t>征讨伟勋</t>
  </si>
  <si>
    <t>C4 85</t>
  </si>
  <si>
    <t>14 F1</t>
  </si>
  <si>
    <t>64 38</t>
  </si>
  <si>
    <t>03 2E</t>
  </si>
  <si>
    <t>6F 07</t>
  </si>
  <si>
    <t>37 17</t>
  </si>
  <si>
    <t>17 B3</t>
  </si>
  <si>
    <t>B9 6D</t>
  </si>
  <si>
    <t>F0 C2</t>
  </si>
  <si>
    <t>B6 CD</t>
  </si>
  <si>
    <t>AE 38</t>
  </si>
  <si>
    <t>80 5A</t>
  </si>
  <si>
    <t>通往地狱道的指引</t>
  </si>
  <si>
    <t>E1 E2</t>
  </si>
  <si>
    <t>通往饿鬼道的指引</t>
  </si>
  <si>
    <t>53 A1</t>
  </si>
  <si>
    <t>通往畜生道的指引</t>
  </si>
  <si>
    <t>2B CF</t>
  </si>
  <si>
    <t>通往修罗道的指引</t>
  </si>
  <si>
    <t>1C BA</t>
  </si>
  <si>
    <t>通往人道的指引</t>
  </si>
  <si>
    <t>DA 8B</t>
  </si>
  <si>
    <t>通往天道的指引</t>
  </si>
  <si>
    <t>FF 69</t>
  </si>
  <si>
    <t>66 70</t>
  </si>
  <si>
    <t>C9 C4</t>
  </si>
  <si>
    <t>CB 00</t>
  </si>
  <si>
    <t>4D 51</t>
  </si>
  <si>
    <t>4E 42</t>
  </si>
  <si>
    <t>A3 F7</t>
  </si>
  <si>
    <t>96 E3</t>
  </si>
  <si>
    <t>使敌人陷入^09~DEBUFF~{}^09~~状态时精华槽增加</t>
  </si>
  <si>
    <t>49 E5</t>
  </si>
  <si>
    <t>E8 24</t>
  </si>
  <si>
    <t>BD 82</t>
  </si>
  <si>
    <t>06 7E</t>
  </si>
  <si>
    <t>5B 04</t>
  </si>
  <si>
    <t>DC B8</t>
  </si>
  <si>
    <t>D8 B4</t>
  </si>
  <si>
    <t>40 B6</t>
  </si>
  <si>
    <t>40 C2</t>
  </si>
  <si>
    <t>4B BB</t>
  </si>
  <si>
    <t>41 C5</t>
  </si>
  <si>
    <t>FB 5F</t>
  </si>
  <si>
    <t>BF B7</t>
  </si>
  <si>
    <t>23 0F</t>
  </si>
  <si>
    <t>9E 50</t>
  </si>
  <si>
    <t>AE 8B</t>
  </si>
  <si>
    <t>16 D5</t>
  </si>
  <si>
    <t>31 5E</t>
  </si>
  <si>
    <t>22 CE</t>
  </si>
  <si>
    <t>96 4C</t>
  </si>
  <si>
    <t>AD D9</t>
  </si>
  <si>
    <t>AC D7</t>
  </si>
  <si>
    <t>HEX 0x00000033</t>
  </si>
  <si>
    <t>43 | 44 | 45 | 46 | 47 | 48 | 49 | 50 | 51</t>
  </si>
  <si>
    <t>FD 99</t>
  </si>
  <si>
    <t>31 | 32 | 33 | 34 | 35 | 36 | 37</t>
  </si>
  <si>
    <t>42 95</t>
  </si>
  <si>
    <t>1D 5A</t>
  </si>
  <si>
    <t>5A B2</t>
  </si>
  <si>
    <t>FF 07</t>
  </si>
  <si>
    <t>65 32</t>
  </si>
  <si>
    <t>1E A4</t>
  </si>
  <si>
    <t>EB 22</t>
  </si>
  <si>
    <t>99 1A</t>
  </si>
  <si>
    <t>5F 35</t>
  </si>
  <si>
    <t>6F 83</t>
  </si>
  <si>
    <t>正面效果持续时间延长</t>
  </si>
  <si>
    <t>D4 53</t>
  </si>
  <si>
    <t>43 8B</t>
  </si>
  <si>
    <t>0A 39</t>
  </si>
  <si>
    <t>C2 76</t>
  </si>
  <si>
    <t>F6 2A</t>
  </si>
  <si>
    <t>95 37</t>
  </si>
  <si>
    <t>A6 9B</t>
  </si>
  <si>
    <t>53 | 54 | 55 | 56 | 57 | 58 | 59 | 60 | 61 | 62 | 63 | 64 | 65</t>
  </si>
  <si>
    <t>0F EE</t>
  </si>
  <si>
    <t>6E ED</t>
  </si>
  <si>
    <t>DF 41</t>
  </si>
  <si>
    <t>D6 AC</t>
  </si>
  <si>
    <t>7E 3C</t>
  </si>
  <si>
    <t>6E FC</t>
  </si>
  <si>
    <t>猎杀妖怪者</t>
  </si>
  <si>
    <t>D6 4A</t>
  </si>
  <si>
    <t>E3 A5</t>
  </si>
  <si>
    <t>50 9C</t>
  </si>
  <si>
    <t>03 55</t>
  </si>
  <si>
    <t>0F 09</t>
  </si>
  <si>
    <t>54 92</t>
  </si>
  <si>
    <t>B6 C1</t>
  </si>
  <si>
    <t>D7 C1</t>
  </si>
  <si>
    <t>27 | 28 | 29 | 30 | 31 | 32 | 33 | 34 | 35</t>
  </si>
  <si>
    <t>34 32</t>
  </si>
  <si>
    <t>15 88</t>
  </si>
  <si>
    <t>D9 5C</t>
  </si>
  <si>
    <t>4F 0B</t>
  </si>
  <si>
    <t>0D 41</t>
  </si>
  <si>
    <t>16 04</t>
  </si>
  <si>
    <t>C0 D9</t>
  </si>
  <si>
    <t>10 | 11 | 12 | 13 | 14 | 15</t>
  </si>
  <si>
    <t>86 73</t>
  </si>
  <si>
    <t>DB 4F</t>
  </si>
  <si>
    <t>55 CA</t>
  </si>
  <si>
    <t>追击和近身刺击伤害</t>
  </si>
  <si>
    <t>9D 7C</t>
  </si>
  <si>
    <t>8B AC</t>
  </si>
  <si>
    <t>31 06</t>
  </si>
  <si>
    <t>CA 63</t>
  </si>
  <si>
    <t>27 F8</t>
  </si>
  <si>
    <t>B9 DA</t>
  </si>
  <si>
    <t>F1 D3</t>
  </si>
  <si>
    <t>FA 7B</t>
  </si>
  <si>
    <t>DD 2A</t>
  </si>
  <si>
    <t>AA DD</t>
  </si>
  <si>
    <t>F6 23</t>
  </si>
  <si>
    <t>97 74</t>
  </si>
  <si>
    <t>6B E4</t>
  </si>
  <si>
    <t>4A 38</t>
  </si>
  <si>
    <t>55 90</t>
  </si>
  <si>
    <t>49 EA</t>
  </si>
  <si>
    <t>8E 60</t>
  </si>
  <si>
    <t>B1 0B</t>
  </si>
  <si>
    <t>A9 30</t>
  </si>
  <si>
    <t>HEX 0x0000003A</t>
  </si>
  <si>
    <t>58</t>
  </si>
  <si>
    <t>D1 C0</t>
  </si>
  <si>
    <t>B3 D1</t>
  </si>
  <si>
    <t>CD EE</t>
  </si>
  <si>
    <t>FB B7</t>
  </si>
  <si>
    <t>04 94</t>
  </si>
  <si>
    <t>HEX 0x0000003F</t>
  </si>
  <si>
    <t>63</t>
  </si>
  <si>
    <t>FD 32</t>
  </si>
  <si>
    <t>A9 45</t>
  </si>
  <si>
    <t>E3 84</t>
  </si>
  <si>
    <t>FB BA</t>
  </si>
  <si>
    <t>26</t>
  </si>
  <si>
    <t>0B C3</t>
  </si>
  <si>
    <t>77 F3</t>
  </si>
  <si>
    <t>E7 F5</t>
  </si>
  <si>
    <t>0C 70</t>
  </si>
  <si>
    <t>32 FA</t>
  </si>
  <si>
    <t>53 0D</t>
  </si>
  <si>
    <t>C4 21</t>
  </si>
  <si>
    <t>6F 49</t>
  </si>
  <si>
    <t>FC 65</t>
  </si>
  <si>
    <t>5C 5D</t>
  </si>
  <si>
    <t>32 | 33 | 34 | 35 | 36 | 37</t>
  </si>
  <si>
    <t>24 9F</t>
  </si>
  <si>
    <t>3C 1F</t>
  </si>
  <si>
    <t>24 4E</t>
  </si>
  <si>
    <t>近距离攻击伤害（地狱）</t>
  </si>
  <si>
    <t>C8 33</t>
  </si>
  <si>
    <t>对处于^09~DEBUFF~{}^09~~状态敌人的守护灵技伤害</t>
  </si>
  <si>
    <t>45 19</t>
  </si>
  <si>
    <t>59 C4</t>
  </si>
  <si>
    <t>B2 DC</t>
  </si>
  <si>
    <t>FA BD</t>
  </si>
  <si>
    <t>67 DF</t>
  </si>
  <si>
    <t>77 F1</t>
  </si>
  <si>
    <t>62 54</t>
  </si>
  <si>
    <t>9C 01</t>
  </si>
  <si>
    <t>阴阳术精力伤害</t>
  </si>
  <si>
    <t>73 34</t>
  </si>
  <si>
    <t>成功识破时^09~BUFF~{}^09~~</t>
  </si>
  <si>
    <t>27 B4</t>
  </si>
  <si>
    <t>82 84</t>
  </si>
  <si>
    <t>AB 81</t>
  </si>
  <si>
    <t>60 8B</t>
  </si>
  <si>
    <t>90 82</t>
  </si>
  <si>
    <t>34 64</t>
  </si>
  <si>
    <t>成功识破时解除负面效果</t>
  </si>
  <si>
    <t>B8 5A</t>
  </si>
  <si>
    <t>格挡的判定时间延长</t>
  </si>
  <si>
    <t>1F 19</t>
  </si>
  <si>
    <t>识破的判定时间延长</t>
  </si>
  <si>
    <t>防御反映（体）</t>
  </si>
  <si>
    <t>00 7A</t>
  </si>
  <si>
    <t>防御反映（心）</t>
  </si>
  <si>
    <t>0B DF</t>
  </si>
  <si>
    <t>防御反映（刚）</t>
  </si>
  <si>
    <t>7E D1</t>
  </si>
  <si>
    <t>防御反映（武）</t>
  </si>
  <si>
    <t>AF 1F</t>
  </si>
  <si>
    <t>防御反映（智）</t>
  </si>
  <si>
    <t>8A 63</t>
  </si>
  <si>
    <t>空中承受的伤害</t>
  </si>
  <si>
    <t>C4 45</t>
  </si>
  <si>
    <t>幸运（地狱）</t>
  </si>
  <si>
    <t>30 44</t>
  </si>
  <si>
    <t>获得精华（地狱）</t>
  </si>
  <si>
    <t>EC E6</t>
  </si>
  <si>
    <t>魂核掉落率</t>
  </si>
  <si>
    <t>4D 41</t>
  </si>
  <si>
    <t>追击和近身刺击增加灵力</t>
  </si>
  <si>
    <t>48 58</t>
  </si>
  <si>
    <t>灵力增加量（地狱）</t>
  </si>
  <si>
    <t>0E 4F</t>
  </si>
  <si>
    <t>追击和近身刺击可恢复体力</t>
  </si>
  <si>
    <t>07 D4</t>
  </si>
  <si>
    <t>获得魂核时恢复体力</t>
  </si>
  <si>
    <t>E1 00</t>
  </si>
  <si>
    <t>体力恢复量（地狱）</t>
  </si>
  <si>
    <t>38 CE</t>
  </si>
  <si>
    <t>格挡可增加灵力</t>
  </si>
  <si>
    <t>46 7B</t>
  </si>
  <si>
    <t>识破可增加灵力</t>
  </si>
  <si>
    <t>以守护灵技打倒敌人可回收灵力</t>
  </si>
  <si>
    <t>17 86</t>
  </si>
  <si>
    <t>守护灵技灵力消耗减少</t>
  </si>
  <si>
    <t>49 F6</t>
  </si>
  <si>
    <t>发动守护灵技达成残心</t>
  </si>
  <si>
    <t>5C 4C</t>
  </si>
  <si>
    <t>守护灵技命中可吸取体力</t>
  </si>
  <si>
    <t>3 | 4</t>
  </si>
  <si>
    <t>31 A5</t>
  </si>
  <si>
    <t>九十九化身时的守护灵技伤害</t>
  </si>
  <si>
    <t>6B A0</t>
  </si>
  <si>
    <t>守护灵技伤害（绝境）</t>
  </si>
  <si>
    <t>56 15</t>
  </si>
  <si>
    <t>灵力全满时的守护灵技伤害</t>
  </si>
  <si>
    <t>AC 27</t>
  </si>
  <si>
    <t>守护灵技命中赋予^09~BUFF~{}^09~~</t>
  </si>
  <si>
    <t>F1 21</t>
  </si>
  <si>
    <t>82 36</t>
  </si>
  <si>
    <t>09 6C</t>
  </si>
  <si>
    <t>32 96</t>
  </si>
  <si>
    <t>F2 D1</t>
  </si>
  <si>
    <t>B6 D2</t>
  </si>
  <si>
    <t>守护灵技命中敌人时施加^09~DEBUFF~{}^09~~</t>
  </si>
  <si>
    <t>53 E8</t>
  </si>
  <si>
    <t>7A 9F</t>
  </si>
  <si>
    <t>04 35</t>
  </si>
  <si>
    <t>九十九化身结束时赋予^09~BUFF~{}^09~~</t>
  </si>
  <si>
    <t>A9 4D</t>
  </si>
  <si>
    <t>44 9F</t>
  </si>
  <si>
    <t>4E E5</t>
  </si>
  <si>
    <t>34 0B</t>
  </si>
  <si>
    <t>九十九化身结束时恢复体力</t>
  </si>
  <si>
    <t>4B 9E</t>
  </si>
  <si>
    <t>九十九化身时的耐久力</t>
  </si>
  <si>
    <t>DD 7B</t>
  </si>
  <si>
    <t>B2 AB</t>
  </si>
  <si>
    <t>九十九化身时造成的伤害增加</t>
  </si>
  <si>
    <t>77 51</t>
  </si>
  <si>
    <t>不消耗道具</t>
  </si>
  <si>
    <t>120</t>
  </si>
  <si>
    <t>阴阳术施加的负面效果持续时间</t>
  </si>
  <si>
    <t>4C BA</t>
  </si>
  <si>
    <t>阴阳术赋予的正面效果持续</t>
  </si>
  <si>
    <t>E8 84</t>
  </si>
  <si>
    <t>{}计量槽增加量</t>
  </si>
  <si>
    <t>F7 FC</t>
  </si>
  <si>
    <t>65 E5</t>
  </si>
  <si>
    <t>1F E0</t>
  </si>
  <si>
    <t>A0 83</t>
  </si>
  <si>
    <t>1A 10</t>
  </si>
  <si>
    <t>59 C0</t>
  </si>
  <si>
    <t>1C DE</t>
  </si>
  <si>
    <t>6F 64</t>
  </si>
  <si>
    <t>C3 CC</t>
  </si>
  <si>
    <t>ED 40</t>
  </si>
  <si>
    <t>94 D9</t>
  </si>
  <si>
    <t>B4 C9</t>
  </si>
  <si>
    <t>D1 A9</t>
  </si>
  <si>
    <t>BD FD</t>
  </si>
  <si>
    <t>07 2D</t>
  </si>
  <si>
    <t>B8 6C</t>
  </si>
  <si>
    <t>3E 72</t>
  </si>
  <si>
    <t>36 14</t>
  </si>
  <si>
    <t>CD B8</t>
  </si>
  <si>
    <t>09 1A</t>
  </si>
  <si>
    <t>5D 86</t>
  </si>
  <si>
    <t>9C 61</t>
  </si>
  <si>
    <t>EA E8</t>
  </si>
  <si>
    <t>同名固定</t>
  </si>
  <si>
    <t>11 70</t>
  </si>
  <si>
    <t>EB 23</t>
  </si>
  <si>
    <t>96 4A</t>
  </si>
  <si>
    <t>C5 E7</t>
  </si>
  <si>
    <t>1F E6</t>
  </si>
  <si>
    <t>6E 90</t>
  </si>
  <si>
    <t>B4 2A</t>
  </si>
  <si>
    <t>8C 3C</t>
  </si>
  <si>
    <t>63 56</t>
  </si>
  <si>
    <t>68 E8</t>
  </si>
  <si>
    <t>{}造成的伤害</t>
  </si>
  <si>
    <t>BF E2</t>
  </si>
  <si>
    <t>5D 12</t>
  </si>
  <si>
    <t>36 0A</t>
  </si>
  <si>
    <t>0A 3B</t>
  </si>
  <si>
    <t>41 68</t>
  </si>
  <si>
    <t>AF C5</t>
  </si>
  <si>
    <t>99 1B</t>
  </si>
  <si>
    <t>62 61</t>
  </si>
  <si>
    <t>8D A0</t>
  </si>
  <si>
    <t>D5 4E</t>
  </si>
  <si>
    <t>F7 D1</t>
  </si>
  <si>
    <t>2D 4B</t>
  </si>
  <si>
    <t>15 A6</t>
  </si>
  <si>
    <t>ED 2B</t>
  </si>
  <si>
    <t>29 44</t>
  </si>
  <si>
    <t>5B CB</t>
  </si>
  <si>
    <t>C1 59</t>
  </si>
  <si>
    <t>03 22</t>
  </si>
  <si>
    <t>08 A0</t>
  </si>
  <si>
    <t>E2 D3</t>
  </si>
  <si>
    <t>D8 19</t>
  </si>
  <si>
    <t>DE D1</t>
  </si>
  <si>
    <t>75 F3</t>
  </si>
  <si>
    <t>46 39</t>
  </si>
  <si>
    <t>{}的持有上限</t>
  </si>
  <si>
    <t>1C 7F</t>
  </si>
  <si>
    <t>31 C1</t>
  </si>
  <si>
    <t>A4 D6</t>
  </si>
  <si>
    <t>52 F1</t>
  </si>
  <si>
    <t>F8 89</t>
  </si>
  <si>
    <t>66 B0</t>
  </si>
  <si>
    <t>C4 4E</t>
  </si>
  <si>
    <t>02 BC</t>
  </si>
  <si>
    <t>40 DA</t>
  </si>
  <si>
    <t>F3 25</t>
  </si>
  <si>
    <t>03/魂核</t>
  </si>
  <si>
    <t>96 F4</t>
  </si>
  <si>
    <t>F1 5D</t>
  </si>
  <si>
    <t>F5 9A</t>
  </si>
  <si>
    <t>2D 0A</t>
  </si>
  <si>
    <t>0D D3</t>
  </si>
  <si>
    <t>98 DD</t>
  </si>
  <si>
    <t>F1 47</t>
  </si>
  <si>
    <t>24 3C</t>
  </si>
  <si>
    <t>83 27</t>
  </si>
  <si>
    <t>6A 8D</t>
  </si>
  <si>
    <t>73 27</t>
  </si>
  <si>
    <t>HEX 0x00000048</t>
  </si>
  <si>
    <t>6A B0</t>
  </si>
  <si>
    <t>F9 1B</t>
  </si>
  <si>
    <t>69 67</t>
  </si>
  <si>
    <t>9F 71</t>
  </si>
  <si>
    <t>C6 43</t>
  </si>
  <si>
    <t>CB 61</t>
  </si>
  <si>
    <t>68 55</t>
  </si>
  <si>
    <t>4A B3</t>
  </si>
  <si>
    <t>97 A2</t>
  </si>
  <si>
    <t>B5 9E</t>
  </si>
  <si>
    <t>18 ED</t>
  </si>
  <si>
    <t>AB 99</t>
  </si>
  <si>
    <t>F3 B6</t>
  </si>
  <si>
    <t>5C 9F</t>
  </si>
  <si>
    <t>85 43</t>
  </si>
  <si>
    <t>D2 C4</t>
  </si>
  <si>
    <t>7B 52</t>
  </si>
  <si>
    <t>9C B6</t>
  </si>
  <si>
    <t>3A C9</t>
  </si>
  <si>
    <t>41 C3</t>
  </si>
  <si>
    <t>5F 08</t>
  </si>
  <si>
    <t>E4 87</t>
  </si>
  <si>
    <t>13</t>
  </si>
  <si>
    <t>BC 29</t>
  </si>
  <si>
    <t>6E 54</t>
  </si>
  <si>
    <t>19 37</t>
  </si>
  <si>
    <t>E7 FA</t>
  </si>
  <si>
    <t>40 F2</t>
  </si>
  <si>
    <t>95 0E</t>
  </si>
  <si>
    <t>14 45</t>
  </si>
  <si>
    <t>B5 EE</t>
  </si>
  <si>
    <t>3B BD</t>
  </si>
  <si>
    <t>BA 44</t>
  </si>
  <si>
    <t>29 C7</t>
  </si>
  <si>
    <t>33 B2</t>
  </si>
  <si>
    <t>F2 CF</t>
  </si>
  <si>
    <t>7E C0</t>
  </si>
  <si>
    <t>26 35</t>
  </si>
  <si>
    <t>20 D7</t>
  </si>
  <si>
    <t>36 CB</t>
  </si>
  <si>
    <t>E3 02</t>
  </si>
  <si>
    <t>B8 08</t>
  </si>
  <si>
    <t>A8 37</t>
  </si>
  <si>
    <t>3E 87</t>
  </si>
  <si>
    <t>7E 07</t>
  </si>
  <si>
    <t>45 C4</t>
  </si>
  <si>
    <t>01 E4</t>
  </si>
  <si>
    <t>D1 6A</t>
  </si>
  <si>
    <t>87 8F</t>
  </si>
  <si>
    <t>C5 18</t>
  </si>
  <si>
    <t>75 F5</t>
  </si>
  <si>
    <t>87 85</t>
  </si>
  <si>
    <t>49 5E</t>
  </si>
  <si>
    <t>28 CA</t>
  </si>
  <si>
    <t>13 1F</t>
  </si>
  <si>
    <t>86 28</t>
  </si>
  <si>
    <t>3D F2</t>
  </si>
  <si>
    <t>FB 12</t>
  </si>
  <si>
    <t>86 3A</t>
  </si>
  <si>
    <t>DE 48</t>
  </si>
  <si>
    <t>HEX 0x00000031</t>
  </si>
  <si>
    <t>E7 8E</t>
  </si>
  <si>
    <t>F1 54</t>
  </si>
  <si>
    <t>九十九化身时的属性伤害</t>
  </si>
  <si>
    <t>HEX 0x00000026</t>
  </si>
  <si>
    <t>7C DF</t>
  </si>
  <si>
    <t>03 FE</t>
  </si>
  <si>
    <t>A7 FF</t>
  </si>
  <si>
    <t>3B 50</t>
  </si>
  <si>
    <t>7D A2</t>
  </si>
  <si>
    <t>F0 4C</t>
  </si>
  <si>
    <t>31</t>
  </si>
  <si>
    <t>D3 72</t>
  </si>
  <si>
    <t>E5 16</t>
  </si>
  <si>
    <t>6E 87</t>
  </si>
  <si>
    <t>0E 7F</t>
  </si>
  <si>
    <t>4E 2C</t>
  </si>
  <si>
    <t>40 F9</t>
  </si>
  <si>
    <t>B3 37</t>
  </si>
  <si>
    <t>41</t>
  </si>
  <si>
    <t>E7 FF</t>
  </si>
  <si>
    <t>91 7A</t>
  </si>
  <si>
    <t>15 A8</t>
  </si>
  <si>
    <t>AC 89</t>
  </si>
  <si>
    <t>B4 DD</t>
  </si>
  <si>
    <t>83 AD</t>
  </si>
  <si>
    <t>A0 FA</t>
  </si>
  <si>
    <t>41 8E</t>
  </si>
  <si>
    <t>AA 5B</t>
  </si>
  <si>
    <t>10 BC</t>
  </si>
  <si>
    <t>82 9A</t>
  </si>
  <si>
    <t>C6 83</t>
  </si>
  <si>
    <t>C3 A5</t>
  </si>
  <si>
    <t>96 78</t>
  </si>
  <si>
    <t>54 6F</t>
  </si>
  <si>
    <t>37 F4</t>
  </si>
  <si>
    <t>A8 7D</t>
  </si>
  <si>
    <t>F3 1B</t>
  </si>
  <si>
    <t>71 14</t>
  </si>
  <si>
    <t>20 D8</t>
  </si>
  <si>
    <t>0B A6</t>
  </si>
  <si>
    <t>HEX 0x00000022</t>
  </si>
  <si>
    <t>34</t>
  </si>
  <si>
    <t>45 60</t>
  </si>
  <si>
    <t>CA 09</t>
  </si>
  <si>
    <t>6C 1F</t>
  </si>
  <si>
    <t>4B D8</t>
  </si>
  <si>
    <t>BF 4F</t>
  </si>
  <si>
    <t>0B C6</t>
  </si>
  <si>
    <t>B2 C7</t>
  </si>
  <si>
    <t>F9 31</t>
  </si>
  <si>
    <t>1D E8</t>
  </si>
  <si>
    <t>C4 C7</t>
  </si>
  <si>
    <t>E7 41</t>
  </si>
  <si>
    <t>A1 BA</t>
  </si>
  <si>
    <t>C7 A9</t>
  </si>
  <si>
    <t>FF 8E</t>
  </si>
  <si>
    <t>5F DA</t>
  </si>
  <si>
    <t>B3 47</t>
  </si>
  <si>
    <t>7C 63</t>
  </si>
  <si>
    <t>DE 95</t>
  </si>
  <si>
    <t>D1 56</t>
  </si>
  <si>
    <t>B5 22</t>
  </si>
  <si>
    <t>3A 51</t>
  </si>
  <si>
    <t>58 A2</t>
  </si>
  <si>
    <t>25 65</t>
  </si>
  <si>
    <t>74 CC</t>
  </si>
  <si>
    <t>BA FC</t>
  </si>
  <si>
    <t>59 D4</t>
  </si>
  <si>
    <t>7E 03</t>
  </si>
  <si>
    <t>AD 22</t>
  </si>
  <si>
    <t>C5 09</t>
  </si>
  <si>
    <t>1A 63</t>
  </si>
  <si>
    <t>DD 17</t>
  </si>
  <si>
    <t>1F 21</t>
  </si>
  <si>
    <t>A7 91</t>
  </si>
  <si>
    <t>A2 9F</t>
  </si>
  <si>
    <t>C6 70</t>
  </si>
  <si>
    <t>A9 88</t>
  </si>
  <si>
    <t>61 B1</t>
  </si>
  <si>
    <t>F5 8D</t>
  </si>
  <si>
    <t>78 E7</t>
  </si>
  <si>
    <t>ED 32</t>
  </si>
  <si>
    <t>48 5C</t>
  </si>
  <si>
    <t>8D 73</t>
  </si>
  <si>
    <t>4B F4</t>
  </si>
  <si>
    <t>9B 58</t>
  </si>
  <si>
    <t>25 C9</t>
  </si>
  <si>
    <t>FB FB</t>
  </si>
  <si>
    <t>97 E9</t>
  </si>
  <si>
    <t>F4 94</t>
  </si>
  <si>
    <t>84 AC</t>
  </si>
  <si>
    <t>2C 1A</t>
  </si>
  <si>
    <t>15 86</t>
  </si>
  <si>
    <t>9F BD</t>
  </si>
  <si>
    <t>6B B5</t>
  </si>
  <si>
    <t>D0 54</t>
  </si>
  <si>
    <t>EC BD</t>
  </si>
  <si>
    <t>7D 05</t>
  </si>
  <si>
    <t>46 BA</t>
  </si>
  <si>
    <t>仙药掉落率</t>
  </si>
  <si>
    <t>D7 0B</t>
  </si>
  <si>
    <t>05 53</t>
  </si>
  <si>
    <t>获得武功</t>
  </si>
  <si>
    <t>B1 F1</t>
  </si>
  <si>
    <t>34 C4</t>
  </si>
  <si>
    <t>4B 0F</t>
  </si>
  <si>
    <t>57 DE</t>
  </si>
  <si>
    <t>AA 64</t>
  </si>
  <si>
    <t>09 2A</t>
  </si>
  <si>
    <t>地狱武器</t>
  </si>
  <si>
    <t>C2 89</t>
  </si>
  <si>
    <t>地狱武器掉落率</t>
  </si>
  <si>
    <t>97 BC</t>
  </si>
  <si>
    <t>82 99</t>
  </si>
  <si>
    <t>1F 18</t>
  </si>
  <si>
    <t>5D EF</t>
  </si>
  <si>
    <t>98 69</t>
  </si>
  <si>
    <t>0A BF</t>
  </si>
  <si>
    <t>1A B2</t>
  </si>
  <si>
    <t>E9 07</t>
  </si>
  <si>
    <t>HEX 0x00000021</t>
  </si>
  <si>
    <t>59 6F</t>
  </si>
  <si>
    <t>C8 EF</t>
  </si>
  <si>
    <t>F2 F4</t>
  </si>
  <si>
    <t>CB 2E</t>
  </si>
  <si>
    <t>01 10</t>
  </si>
  <si>
    <t>8A 0C</t>
  </si>
  <si>
    <t>4F 03</t>
  </si>
  <si>
    <t>BE 00</t>
  </si>
  <si>
    <t>C1 EA</t>
  </si>
  <si>
    <t>89 6E</t>
  </si>
  <si>
    <t>29 76</t>
  </si>
  <si>
    <t>98 EF</t>
  </si>
  <si>
    <t>05 DD</t>
  </si>
  <si>
    <t>3D 5A</t>
  </si>
  <si>
    <t>D6 3C</t>
  </si>
  <si>
    <t>B5 E1</t>
  </si>
  <si>
    <t>49 6B</t>
  </si>
  <si>
    <t>63 CE</t>
  </si>
  <si>
    <t>8A A5</t>
  </si>
  <si>
    <t>EF 3A</t>
  </si>
  <si>
    <t>C6 F5</t>
  </si>
  <si>
    <t>B8 6E</t>
  </si>
  <si>
    <t>FC 4C</t>
  </si>
  <si>
    <t>HEX 0x00000042</t>
  </si>
  <si>
    <t>66</t>
  </si>
  <si>
    <t>36 95</t>
  </si>
  <si>
    <t>99</t>
  </si>
  <si>
    <t>A1 8F</t>
  </si>
  <si>
    <t>91 2E</t>
  </si>
  <si>
    <t>A2 2F</t>
  </si>
  <si>
    <t>DC E3</t>
  </si>
  <si>
    <t>3A FA</t>
  </si>
  <si>
    <t>5B 2B</t>
  </si>
  <si>
    <t>79 ED</t>
  </si>
  <si>
    <t>12 68</t>
  </si>
  <si>
    <t>2B 7E</t>
  </si>
  <si>
    <t>46 4E</t>
  </si>
  <si>
    <t>A3 C5</t>
  </si>
  <si>
    <t>HEX 0x0000001D</t>
  </si>
  <si>
    <t>DE 5F</t>
  </si>
  <si>
    <t>43</t>
  </si>
  <si>
    <t>21 8F</t>
  </si>
  <si>
    <t>7B F5</t>
  </si>
  <si>
    <t>87 08</t>
  </si>
  <si>
    <t>46 52</t>
  </si>
  <si>
    <t>EF 06</t>
  </si>
  <si>
    <t>HEX 0x0000002F</t>
  </si>
  <si>
    <t>47</t>
  </si>
  <si>
    <t>AA 55</t>
  </si>
  <si>
    <t>21 99</t>
  </si>
  <si>
    <t>BE EE</t>
  </si>
  <si>
    <t>A4 87</t>
  </si>
  <si>
    <t>CB CF</t>
  </si>
  <si>
    <t>CE 2D</t>
  </si>
  <si>
    <t>49 DB</t>
  </si>
  <si>
    <t>A7 0D</t>
  </si>
  <si>
    <t>4F FE</t>
  </si>
  <si>
    <t>A7 F0</t>
  </si>
  <si>
    <t>8F 0C</t>
  </si>
  <si>
    <t>F9 CC</t>
  </si>
  <si>
    <t>HEX 0x0000002A</t>
  </si>
  <si>
    <t>92 79</t>
  </si>
  <si>
    <t>0F 81</t>
  </si>
  <si>
    <t>F5 A7</t>
  </si>
  <si>
    <t>95 99</t>
  </si>
  <si>
    <t>60 80</t>
  </si>
  <si>
    <t>F9 DD</t>
  </si>
  <si>
    <t>AC D3</t>
  </si>
  <si>
    <t>E2 1C</t>
  </si>
  <si>
    <t>87 F0</t>
  </si>
  <si>
    <t>2D 43</t>
  </si>
  <si>
    <t>AF 88</t>
  </si>
  <si>
    <t>86 87</t>
  </si>
  <si>
    <t>D9 5E</t>
  </si>
  <si>
    <t>F7 0B</t>
  </si>
  <si>
    <t>10 A6</t>
  </si>
  <si>
    <t>F7 DC</t>
  </si>
  <si>
    <t>94 52</t>
  </si>
  <si>
    <t>CD 75</t>
  </si>
  <si>
    <t>A7 20</t>
  </si>
  <si>
    <t>02 9D</t>
  </si>
  <si>
    <t>A9 E8</t>
  </si>
  <si>
    <t>D6 EE</t>
  </si>
  <si>
    <t>0E 19</t>
  </si>
  <si>
    <t>DB B3</t>
  </si>
  <si>
    <t>FC 07</t>
  </si>
  <si>
    <t>C6 5E</t>
  </si>
  <si>
    <t>D4 01</t>
  </si>
  <si>
    <t>92 08</t>
  </si>
  <si>
    <t>92 EC</t>
  </si>
  <si>
    <t>0C 2D</t>
  </si>
  <si>
    <t>D2 FC</t>
  </si>
  <si>
    <t>82 5B</t>
  </si>
  <si>
    <t>31 B1</t>
  </si>
  <si>
    <t>B4 D4</t>
  </si>
  <si>
    <t>94 44</t>
  </si>
  <si>
    <t>E9 B7</t>
  </si>
  <si>
    <t>8C F5</t>
  </si>
  <si>
    <t>1B 75</t>
  </si>
  <si>
    <t>C3 CF</t>
  </si>
  <si>
    <t>箭矢持有数量上限</t>
  </si>
  <si>
    <t>DB 34</t>
  </si>
  <si>
    <t>64 35</t>
  </si>
  <si>
    <t>枪弹持有数量上限</t>
  </si>
  <si>
    <t>67 16</t>
  </si>
  <si>
    <t>7C 12</t>
  </si>
  <si>
    <t>炮弹持有数量上限</t>
  </si>
  <si>
    <t>37 67</t>
  </si>
  <si>
    <t>CB 28</t>
  </si>
  <si>
    <t>D4 C3</t>
  </si>
  <si>
    <t>不消耗枪弹与炮弹</t>
  </si>
  <si>
    <t>51 FE</t>
  </si>
  <si>
    <t>13 BB</t>
  </si>
  <si>
    <t>防御时精力恢复速度</t>
  </si>
  <si>
    <t>81 88</t>
  </si>
  <si>
    <t>FF CF</t>
  </si>
  <si>
    <t>8D 6F</t>
  </si>
  <si>
    <t>50 E4</t>
  </si>
  <si>
    <t>BB 8A</t>
  </si>
  <si>
    <t>00 68</t>
  </si>
  <si>
    <t>残心精力恢复量</t>
  </si>
  <si>
    <t>1A F4</t>
  </si>
  <si>
    <t>63 78</t>
  </si>
  <si>
    <t>32 7F</t>
  </si>
  <si>
    <t>D7 D1</t>
  </si>
  <si>
    <t>4F 14</t>
  </si>
  <si>
    <t>F5 03</t>
  </si>
  <si>
    <t>21 16</t>
  </si>
  <si>
    <t>DD 8B</t>
  </si>
  <si>
    <t>04 2C</t>
  </si>
  <si>
    <t>A7 AD</t>
  </si>
  <si>
    <t>43 37</t>
  </si>
  <si>
    <t>7C 61</t>
  </si>
  <si>
    <t>HEX 0x0000004A</t>
  </si>
  <si>
    <t>74</t>
  </si>
  <si>
    <t>0E 25</t>
  </si>
  <si>
    <t>HEX 0x00000062</t>
  </si>
  <si>
    <t>98</t>
  </si>
  <si>
    <t>08 5D</t>
  </si>
  <si>
    <t>B1 00</t>
  </si>
  <si>
    <t>E4 50</t>
  </si>
  <si>
    <t>26 68</t>
  </si>
  <si>
    <t>45 B3</t>
  </si>
  <si>
    <t>6E D8</t>
  </si>
  <si>
    <t>92 06</t>
  </si>
  <si>
    <t>36</t>
  </si>
  <si>
    <t>69 A3</t>
  </si>
  <si>
    <t>3F 3F</t>
  </si>
  <si>
    <t>31 DF</t>
  </si>
  <si>
    <t>F1 9A</t>
  </si>
  <si>
    <t>17 7A</t>
  </si>
  <si>
    <t>HEX 0x00000043</t>
  </si>
  <si>
    <t>67</t>
  </si>
  <si>
    <t>41 0A</t>
  </si>
  <si>
    <t>89</t>
  </si>
  <si>
    <t>7F 31</t>
  </si>
  <si>
    <t>8A A4</t>
  </si>
  <si>
    <t>D2 2C</t>
  </si>
  <si>
    <t>F5 EB</t>
  </si>
  <si>
    <t>E1 CC</t>
  </si>
  <si>
    <t>F8 49</t>
  </si>
  <si>
    <t>93 DC</t>
  </si>
  <si>
    <t>CF C3</t>
  </si>
  <si>
    <t>6E 02</t>
  </si>
  <si>
    <t>B8 FC</t>
  </si>
  <si>
    <t>90 50</t>
  </si>
  <si>
    <t>04 63</t>
  </si>
  <si>
    <t>14 21</t>
  </si>
  <si>
    <t>72 12</t>
  </si>
  <si>
    <t>5B FC</t>
  </si>
  <si>
    <t>94 84</t>
  </si>
  <si>
    <t>23 7B</t>
  </si>
  <si>
    <t>91 8C</t>
  </si>
  <si>
    <t>40 26</t>
  </si>
  <si>
    <t>42 D9</t>
  </si>
  <si>
    <t>0B 5E</t>
  </si>
  <si>
    <t>D0 87</t>
  </si>
  <si>
    <t>1B 7F</t>
  </si>
  <si>
    <t>66 07</t>
  </si>
  <si>
    <t>0B 31</t>
  </si>
  <si>
    <t>4C B2</t>
  </si>
  <si>
    <t>6E 61</t>
  </si>
  <si>
    <t>B0 50</t>
  </si>
  <si>
    <t>DE B3</t>
  </si>
  <si>
    <t>31 99</t>
  </si>
  <si>
    <t>41 E4</t>
  </si>
  <si>
    <t>C0 57</t>
  </si>
  <si>
    <t>0E 0A</t>
  </si>
  <si>
    <t>75 D2</t>
  </si>
  <si>
    <t>96 71</t>
  </si>
  <si>
    <t>0A 5F</t>
  </si>
  <si>
    <t>0F 40</t>
  </si>
  <si>
    <t>C6 E0</t>
  </si>
  <si>
    <t>4A ED</t>
  </si>
  <si>
    <t>E9 84</t>
  </si>
  <si>
    <t>3F 61</t>
  </si>
  <si>
    <t>9A 5A</t>
  </si>
  <si>
    <t>F9 03</t>
  </si>
  <si>
    <t>54 00</t>
  </si>
  <si>
    <t>22 05</t>
  </si>
  <si>
    <t>30 92</t>
  </si>
  <si>
    <t>FB C5</t>
  </si>
  <si>
    <t>37 0A</t>
  </si>
  <si>
    <t>D5 1E</t>
  </si>
  <si>
    <t>0B 04</t>
  </si>
  <si>
    <t>0E 64</t>
  </si>
  <si>
    <t>60 0E</t>
  </si>
  <si>
    <t>D6 53</t>
  </si>
  <si>
    <t>FE 30</t>
  </si>
  <si>
    <t>74 D3</t>
  </si>
  <si>
    <t>BA 1C</t>
  </si>
  <si>
    <t>B6 AD</t>
  </si>
  <si>
    <t>8E E4</t>
  </si>
  <si>
    <t>D6 9B</t>
  </si>
  <si>
    <t>AB 97</t>
  </si>
  <si>
    <t>25 7B</t>
  </si>
  <si>
    <t>1E 73</t>
  </si>
  <si>
    <t>8F 4E</t>
  </si>
  <si>
    <t>86 63</t>
  </si>
  <si>
    <t>4E 6C</t>
  </si>
  <si>
    <t>44 0B</t>
  </si>
  <si>
    <t>05 17</t>
  </si>
  <si>
    <t>FD 3F</t>
  </si>
  <si>
    <t>C4 8A</t>
  </si>
  <si>
    <t>24 FB</t>
  </si>
  <si>
    <t>HEX 0x000000E6</t>
  </si>
  <si>
    <t>5C 9A</t>
  </si>
  <si>
    <t>46 9F</t>
  </si>
  <si>
    <t>祓除常世可恢复体力</t>
  </si>
  <si>
    <t>57 A1</t>
  </si>
  <si>
    <t>03 78</t>
  </si>
  <si>
    <t>71 03</t>
  </si>
  <si>
    <t>D6 83</t>
  </si>
  <si>
    <t>C7 7E</t>
  </si>
  <si>
    <t>43 02</t>
  </si>
  <si>
    <t>DA 9E</t>
  </si>
  <si>
    <t>50 EC</t>
  </si>
  <si>
    <t>37 57</t>
  </si>
  <si>
    <t>DB 31</t>
  </si>
  <si>
    <t>D2 AF</t>
  </si>
  <si>
    <t>23 35</t>
  </si>
  <si>
    <t>E0 D5</t>
  </si>
  <si>
    <t>E9 03</t>
  </si>
  <si>
    <t>0F D9</t>
  </si>
  <si>
    <t>01 FF</t>
  </si>
  <si>
    <t>53 B1</t>
  </si>
  <si>
    <t>80 5B</t>
  </si>
  <si>
    <t>F0 44</t>
  </si>
  <si>
    <t>箭弹命中可恢复体力</t>
  </si>
  <si>
    <t>9F 55</t>
  </si>
  <si>
    <t>C3 09</t>
  </si>
  <si>
    <t>21 EE</t>
  </si>
  <si>
    <t>0A 0C</t>
  </si>
  <si>
    <t>72 A0</t>
  </si>
  <si>
    <t>05 94</t>
  </si>
  <si>
    <t>DE F9</t>
  </si>
  <si>
    <t>2B 7B</t>
  </si>
  <si>
    <t>FE 85</t>
  </si>
  <si>
    <t>72 7F</t>
  </si>
  <si>
    <t>4B F9</t>
  </si>
  <si>
    <t>E7 08</t>
  </si>
  <si>
    <t>B1 C9</t>
  </si>
  <si>
    <t>19 6F</t>
  </si>
  <si>
    <t>7E B2</t>
  </si>
  <si>
    <t>FB B8</t>
  </si>
  <si>
    <t>02 D0</t>
  </si>
  <si>
    <t>E3 98</t>
  </si>
  <si>
    <t>EE 2E</t>
  </si>
  <si>
    <t>4A E2</t>
  </si>
  <si>
    <t>FB FC</t>
  </si>
  <si>
    <t>不消耗{}</t>
  </si>
  <si>
    <t>5A AB</t>
  </si>
  <si>
    <t>ED 23</t>
  </si>
  <si>
    <t>42 41</t>
  </si>
  <si>
    <t>62 2E</t>
  </si>
  <si>
    <t>死亡时自动回收一部分精华</t>
  </si>
  <si>
    <t>6D 96</t>
  </si>
  <si>
    <t>F6 3D</t>
  </si>
  <si>
    <t>E8 35</t>
  </si>
  <si>
    <t>36 74</t>
  </si>
  <si>
    <t>A3 9F</t>
  </si>
  <si>
    <t>6C 55</t>
  </si>
  <si>
    <t>A7 49</t>
  </si>
  <si>
    <t>93 97</t>
  </si>
  <si>
    <t>E2 89</t>
  </si>
  <si>
    <t>66 F7</t>
  </si>
  <si>
    <t>64 E3</t>
  </si>
  <si>
    <t>C2 EA</t>
  </si>
  <si>
    <t>65 08</t>
  </si>
  <si>
    <t>AF 23</t>
  </si>
  <si>
    <t>51 66</t>
  </si>
  <si>
    <t>C4 D7</t>
  </si>
  <si>
    <t>EA A6</t>
  </si>
  <si>
    <t>72 6B</t>
  </si>
  <si>
    <t>C7 66</t>
  </si>
  <si>
    <t>6A 51</t>
  </si>
  <si>
    <t>F8 BB</t>
  </si>
  <si>
    <t>64 82</t>
  </si>
  <si>
    <t>35 79</t>
  </si>
  <si>
    <t>F4 47</t>
  </si>
  <si>
    <t>44 AA</t>
  </si>
  <si>
    <t>D6 E5</t>
  </si>
  <si>
    <t>DE AC</t>
  </si>
  <si>
    <t>4C 6D</t>
  </si>
  <si>
    <t>0F 72</t>
  </si>
  <si>
    <t>97 FD</t>
  </si>
  <si>
    <t>83 F2</t>
  </si>
  <si>
    <t>35 3D</t>
  </si>
  <si>
    <t>03 45</t>
  </si>
  <si>
    <t>1B B8</t>
  </si>
  <si>
    <t>B6 A4</t>
  </si>
  <si>
    <t>8A 49</t>
  </si>
  <si>
    <t>14 85</t>
  </si>
  <si>
    <t>44 69</t>
  </si>
  <si>
    <t>33 CC</t>
  </si>
  <si>
    <t>8C 23</t>
  </si>
  <si>
    <t>65 96</t>
  </si>
  <si>
    <t>A8 A5</t>
  </si>
  <si>
    <t>47 C7</t>
  </si>
  <si>
    <t>74 3B</t>
  </si>
  <si>
    <t>44 74</t>
  </si>
  <si>
    <t>72 25</t>
  </si>
  <si>
    <t>EB 1A</t>
  </si>
  <si>
    <t>19 2F</t>
  </si>
  <si>
    <t>9B D8</t>
  </si>
  <si>
    <t>7F B5</t>
  </si>
  <si>
    <t>E5 D9</t>
  </si>
  <si>
    <t>4C D9</t>
  </si>
  <si>
    <t>08 45</t>
  </si>
  <si>
    <t>29 4C</t>
  </si>
  <si>
    <t>B2 08</t>
  </si>
  <si>
    <t>D3 F7</t>
  </si>
  <si>
    <t>A6 2F</t>
  </si>
  <si>
    <t>F0 B5</t>
  </si>
  <si>
    <t>E1 1D</t>
  </si>
  <si>
    <t>FC 11</t>
  </si>
  <si>
    <t>F0 79</t>
  </si>
  <si>
    <t>D1 F1</t>
  </si>
  <si>
    <t>6D 26</t>
  </si>
  <si>
    <t>78 0D</t>
  </si>
  <si>
    <t>BD B1</t>
  </si>
  <si>
    <t>04 DD</t>
  </si>
  <si>
    <t>1A 8A</t>
  </si>
  <si>
    <t>54 71</t>
  </si>
  <si>
    <t>2B ED</t>
  </si>
  <si>
    <t>E1 15</t>
  </si>
  <si>
    <t>7A E6</t>
  </si>
  <si>
    <t>E8 4C</t>
  </si>
  <si>
    <t>24 60</t>
  </si>
  <si>
    <t>20 97</t>
  </si>
  <si>
    <t>4A 3D</t>
  </si>
  <si>
    <t>8E BE</t>
  </si>
  <si>
    <t>4E 21</t>
  </si>
  <si>
    <t>3A 8E</t>
  </si>
  <si>
    <t>7B B3</t>
  </si>
  <si>
    <t>2D F7</t>
  </si>
  <si>
    <t>54 41</t>
  </si>
  <si>
    <t>26 10</t>
  </si>
  <si>
    <t>C5 87</t>
  </si>
  <si>
    <t>7F 36</t>
  </si>
  <si>
    <t>FB F0</t>
  </si>
  <si>
    <t>62 56</t>
  </si>
  <si>
    <t>CE 1E</t>
  </si>
  <si>
    <t>85 C7</t>
  </si>
  <si>
    <t>78 06</t>
  </si>
  <si>
    <t>38 3E</t>
  </si>
  <si>
    <t>HEX 0x00000036</t>
  </si>
  <si>
    <t>54</t>
  </si>
  <si>
    <t>50 9F</t>
  </si>
  <si>
    <t>A7 6E</t>
  </si>
  <si>
    <t>3C 65</t>
  </si>
  <si>
    <t>AC 99</t>
  </si>
  <si>
    <t>2B A4</t>
  </si>
  <si>
    <t>1F AF</t>
  </si>
  <si>
    <t>F0 CD</t>
  </si>
  <si>
    <t>92 3C</t>
  </si>
  <si>
    <t>53 1F</t>
  </si>
  <si>
    <t>07 33</t>
  </si>
  <si>
    <t>99 CF</t>
  </si>
  <si>
    <t>43 93</t>
  </si>
  <si>
    <t>D6 42</t>
  </si>
  <si>
    <t>CC 66</t>
  </si>
  <si>
    <t>0F 86</t>
  </si>
  <si>
    <t>2D 69</t>
  </si>
  <si>
    <t>15 52</t>
  </si>
  <si>
    <t>81 4E</t>
  </si>
  <si>
    <t>2B 44</t>
  </si>
  <si>
    <t>00 57</t>
  </si>
  <si>
    <t>03 C4</t>
  </si>
  <si>
    <t>D2 F2</t>
  </si>
  <si>
    <t>BA 23</t>
  </si>
  <si>
    <t>EE BD</t>
  </si>
  <si>
    <t>36 55</t>
  </si>
  <si>
    <t>C2 CB</t>
  </si>
  <si>
    <t>52 EE</t>
  </si>
  <si>
    <t>71 7F</t>
  </si>
  <si>
    <t>E6 2C</t>
  </si>
  <si>
    <t>99 BB</t>
  </si>
  <si>
    <t>77 73</t>
  </si>
  <si>
    <t>98 B3</t>
  </si>
  <si>
    <t>HEX 0x00000039</t>
  </si>
  <si>
    <t>1D 87</t>
  </si>
  <si>
    <t>D0 9E</t>
  </si>
  <si>
    <t>26 3A</t>
  </si>
  <si>
    <t>11 18</t>
  </si>
  <si>
    <t>D8 38</t>
  </si>
  <si>
    <t>A0 14</t>
  </si>
  <si>
    <t>34 C2</t>
  </si>
  <si>
    <t>3A 1F</t>
  </si>
  <si>
    <t>4E D9</t>
  </si>
  <si>
    <t>26 C7</t>
  </si>
  <si>
    <t>46 EE</t>
  </si>
  <si>
    <t>A0 BE</t>
  </si>
  <si>
    <t>防御反映（技）</t>
  </si>
  <si>
    <t>CF FA</t>
  </si>
  <si>
    <t>61 90</t>
  </si>
  <si>
    <t>45 BB</t>
  </si>
  <si>
    <t>51 CD</t>
  </si>
  <si>
    <t>E5 9E</t>
  </si>
  <si>
    <t>E1 07</t>
  </si>
  <si>
    <t>4D C2</t>
  </si>
  <si>
    <t>37 E7</t>
  </si>
  <si>
    <t>4C DB</t>
  </si>
  <si>
    <t>D5 7B</t>
  </si>
  <si>
    <t>81 41</t>
  </si>
  <si>
    <t>BE DB</t>
  </si>
  <si>
    <t>F5 4E</t>
  </si>
  <si>
    <t>4C BB</t>
  </si>
  <si>
    <t>5C E3</t>
  </si>
  <si>
    <t>9E DF</t>
  </si>
  <si>
    <t>21 BD</t>
  </si>
  <si>
    <t>6C F2</t>
  </si>
  <si>
    <t>6D 77</t>
  </si>
  <si>
    <t>22 5C</t>
  </si>
  <si>
    <t>B9 BB</t>
  </si>
  <si>
    <t>FB C7</t>
  </si>
  <si>
    <t>E8 4B</t>
  </si>
  <si>
    <t>1C 51</t>
  </si>
  <si>
    <t>3D 19</t>
  </si>
  <si>
    <t>E0 39</t>
  </si>
  <si>
    <t>4D FF</t>
  </si>
  <si>
    <t>FE 34</t>
  </si>
  <si>
    <t>5D BF</t>
  </si>
  <si>
    <t>51</t>
  </si>
  <si>
    <t>60 3B</t>
  </si>
  <si>
    <t>0C 33</t>
  </si>
  <si>
    <t>D0 AB</t>
  </si>
  <si>
    <t>FB 22</t>
  </si>
  <si>
    <t>A5 F8</t>
  </si>
  <si>
    <t>52 3C</t>
  </si>
  <si>
    <t>E3 E9</t>
  </si>
  <si>
    <t>53 59</t>
  </si>
  <si>
    <t>D7 DE</t>
  </si>
  <si>
    <t>9C 3F</t>
  </si>
  <si>
    <t>2D 1C</t>
  </si>
  <si>
    <t>B9 D4</t>
  </si>
  <si>
    <t>D8 76</t>
  </si>
  <si>
    <t>35 7C</t>
  </si>
  <si>
    <t>A8 85</t>
  </si>
  <si>
    <t>00 CE</t>
  </si>
  <si>
    <t>56 40</t>
  </si>
  <si>
    <t>72 AF</t>
  </si>
  <si>
    <t>98 F0</t>
  </si>
  <si>
    <t>29 50</t>
  </si>
  <si>
    <t>0E 0C</t>
  </si>
  <si>
    <t>70 DC</t>
  </si>
  <si>
    <t>F6 19</t>
  </si>
  <si>
    <t>EF FB</t>
  </si>
  <si>
    <t>FB A7</t>
  </si>
  <si>
    <t>91 AC</t>
  </si>
  <si>
    <t>02 0B</t>
  </si>
  <si>
    <t>6B 64</t>
  </si>
  <si>
    <t>F7 AA</t>
  </si>
  <si>
    <t>4A 13</t>
  </si>
  <si>
    <t>E9 0F</t>
  </si>
  <si>
    <t>00 A5</t>
  </si>
  <si>
    <t>C9 14</t>
  </si>
  <si>
    <t>59 2F</t>
  </si>
  <si>
    <t>8D E0</t>
  </si>
  <si>
    <t>1E A3</t>
  </si>
  <si>
    <t>87 CE</t>
  </si>
  <si>
    <t>风抗性</t>
  </si>
  <si>
    <t>F2 56</t>
  </si>
  <si>
    <t>9A BE</t>
  </si>
  <si>
    <t>CF 9C</t>
  </si>
  <si>
    <t>47 80</t>
  </si>
  <si>
    <t>FB 72</t>
  </si>
  <si>
    <t>B0 C3</t>
  </si>
  <si>
    <t>E9 35</t>
  </si>
  <si>
    <t>D3 70</t>
  </si>
  <si>
    <t>EE 1C</t>
  </si>
  <si>
    <t>37 BB</t>
  </si>
  <si>
    <t>96 EC</t>
  </si>
  <si>
    <t>E2 5F</t>
  </si>
  <si>
    <t>EC CF</t>
  </si>
  <si>
    <t>64 5D</t>
  </si>
  <si>
    <t>2A 11</t>
  </si>
  <si>
    <t>4E 70</t>
  </si>
  <si>
    <t>23 B3</t>
  </si>
  <si>
    <t>86 B7</t>
  </si>
  <si>
    <t>2C 2F</t>
  </si>
  <si>
    <t>65 23</t>
  </si>
  <si>
    <t>18 1C</t>
  </si>
  <si>
    <t>4E 56</t>
  </si>
  <si>
    <t>38 9D</t>
  </si>
  <si>
    <t>49 B7</t>
  </si>
  <si>
    <t>11 22</t>
  </si>
  <si>
    <t>37 F9</t>
  </si>
  <si>
    <t>A0 3F</t>
  </si>
  <si>
    <t>84 25</t>
  </si>
  <si>
    <t>A8 7B</t>
  </si>
  <si>
    <t>00 35</t>
  </si>
  <si>
    <t>18 D5</t>
  </si>
  <si>
    <t>13 5C</t>
  </si>
  <si>
    <t>FE DD</t>
  </si>
  <si>
    <t>24 3A</t>
  </si>
  <si>
    <t>B1 54</t>
  </si>
  <si>
    <t>2E D2</t>
  </si>
  <si>
    <t>AC 66</t>
  </si>
  <si>
    <t>E6 B4</t>
  </si>
  <si>
    <t>29 83</t>
  </si>
  <si>
    <t>42 6C</t>
  </si>
  <si>
    <t>1D 65</t>
  </si>
  <si>
    <t>5C BD</t>
  </si>
  <si>
    <t>77 0B</t>
  </si>
  <si>
    <t>48 E5</t>
  </si>
  <si>
    <t>1A 51</t>
  </si>
  <si>
    <t>95 4F</t>
  </si>
  <si>
    <t>97 A7</t>
  </si>
  <si>
    <t>09 B2</t>
  </si>
  <si>
    <t>9B D3</t>
  </si>
  <si>
    <t>A5 65</t>
  </si>
  <si>
    <t>26 99</t>
  </si>
  <si>
    <t>9A D9</t>
  </si>
  <si>
    <t>23 9F</t>
  </si>
  <si>
    <t>42 20</t>
  </si>
  <si>
    <t>68 AA</t>
  </si>
  <si>
    <t>DB 01</t>
  </si>
  <si>
    <t>2A AA</t>
  </si>
  <si>
    <t>12 3C</t>
  </si>
  <si>
    <t>3A 14</t>
  </si>
  <si>
    <t>HEX 0x00000071</t>
  </si>
  <si>
    <t>113</t>
  </si>
  <si>
    <t>25 D5</t>
  </si>
  <si>
    <t>62 7D</t>
  </si>
  <si>
    <t>B6 F6</t>
  </si>
  <si>
    <t>E6 36</t>
  </si>
  <si>
    <t>7A DA</t>
  </si>
  <si>
    <t>36 51</t>
  </si>
  <si>
    <t>85 B2</t>
  </si>
  <si>
    <t>E1 F6</t>
  </si>
  <si>
    <t>49 6A</t>
  </si>
  <si>
    <t>F5 30</t>
  </si>
  <si>
    <t>2B 52</t>
  </si>
  <si>
    <t>B4 64</t>
  </si>
  <si>
    <t>93 12</t>
  </si>
  <si>
    <t>FC 41</t>
  </si>
  <si>
    <t>58 5A</t>
  </si>
  <si>
    <t>54 5E</t>
  </si>
  <si>
    <t>8D 2A</t>
  </si>
  <si>
    <t>6B E5</t>
  </si>
  <si>
    <t>48 41</t>
  </si>
  <si>
    <t>0A AA</t>
  </si>
  <si>
    <t>B9 E5</t>
  </si>
  <si>
    <t>88 66</t>
  </si>
  <si>
    <t>B6 90</t>
  </si>
  <si>
    <t>8B BB</t>
  </si>
  <si>
    <t>94 F8</t>
  </si>
  <si>
    <t>A4 94</t>
  </si>
  <si>
    <t>05 B5</t>
  </si>
  <si>
    <t>6D A1</t>
  </si>
  <si>
    <t>67 6A</t>
  </si>
  <si>
    <t>F3 BA</t>
  </si>
  <si>
    <t>4A 81</t>
  </si>
  <si>
    <t>69 D2</t>
  </si>
  <si>
    <t>52 36</t>
  </si>
  <si>
    <t>E6 67</t>
  </si>
  <si>
    <t>49 90</t>
  </si>
  <si>
    <t>A0 76</t>
  </si>
  <si>
    <t>5F FE</t>
  </si>
  <si>
    <t>2B F2</t>
  </si>
  <si>
    <t>F7 1B</t>
  </si>
  <si>
    <t>28 BB</t>
  </si>
  <si>
    <t>FA 8D</t>
  </si>
  <si>
    <t>A6 A2</t>
  </si>
  <si>
    <t>7A 13</t>
  </si>
  <si>
    <t>71 34</t>
  </si>
  <si>
    <t>07 C7</t>
  </si>
  <si>
    <t>27 5D</t>
  </si>
  <si>
    <t>EA C5</t>
  </si>
  <si>
    <t>13 4C</t>
  </si>
  <si>
    <t>2E B7</t>
  </si>
  <si>
    <t>70 1C</t>
  </si>
  <si>
    <t>E1 68</t>
  </si>
  <si>
    <t>76 35</t>
  </si>
  <si>
    <t>30 6A</t>
  </si>
  <si>
    <t>6B EF</t>
  </si>
  <si>
    <t>DA 16</t>
  </si>
  <si>
    <t>HEX 0x0000002E</t>
  </si>
  <si>
    <t>46</t>
  </si>
  <si>
    <t>2F A6</t>
  </si>
  <si>
    <t>EF 1E</t>
  </si>
  <si>
    <t>A1 58</t>
  </si>
  <si>
    <t>E2 ED</t>
  </si>
  <si>
    <t>DC 41</t>
  </si>
  <si>
    <t>DC C8</t>
  </si>
  <si>
    <t>8E C6</t>
  </si>
  <si>
    <t>37 97</t>
  </si>
  <si>
    <t>6A E3</t>
  </si>
  <si>
    <t>29 40</t>
  </si>
  <si>
    <t>A9 0B</t>
  </si>
  <si>
    <t>72 F2</t>
  </si>
  <si>
    <t>0B CE</t>
  </si>
  <si>
    <t>EC B3</t>
  </si>
  <si>
    <t>0B E7</t>
  </si>
  <si>
    <t>HEX 0x0000003E</t>
  </si>
  <si>
    <t>A3 EA</t>
  </si>
  <si>
    <t>E2 EE</t>
  </si>
  <si>
    <t>BE 57</t>
  </si>
  <si>
    <t>E2 C3</t>
  </si>
  <si>
    <t>3C 7D</t>
  </si>
  <si>
    <t>19 87</t>
  </si>
  <si>
    <t>8D 31</t>
  </si>
  <si>
    <t>62 6A</t>
  </si>
  <si>
    <t>BA CE</t>
  </si>
  <si>
    <t>F1 68</t>
  </si>
  <si>
    <t>空中攻击伤害</t>
  </si>
  <si>
    <t>3E EA</t>
  </si>
  <si>
    <t>F6 4D</t>
  </si>
  <si>
    <t>地狱武器伤害</t>
  </si>
  <si>
    <t>12 52</t>
  </si>
  <si>
    <t>D3 4B</t>
  </si>
  <si>
    <t>暗杀伤害</t>
  </si>
  <si>
    <t>39 68</t>
  </si>
  <si>
    <t>E6 46</t>
  </si>
  <si>
    <t>0B 51</t>
  </si>
  <si>
    <t>1A EA</t>
  </si>
  <si>
    <t>B1 57</t>
  </si>
  <si>
    <t>BD A5</t>
  </si>
  <si>
    <t>49 04</t>
  </si>
  <si>
    <t>16 FE</t>
  </si>
  <si>
    <t>4B 79</t>
  </si>
  <si>
    <t>1E C5</t>
  </si>
  <si>
    <t>17 DC</t>
  </si>
  <si>
    <t>42 7C</t>
  </si>
  <si>
    <t>07 51</t>
  </si>
  <si>
    <t>DD 86</t>
  </si>
  <si>
    <t>7D 51</t>
  </si>
  <si>
    <t>78 D3</t>
  </si>
  <si>
    <t>07 7E</t>
  </si>
  <si>
    <t>41 03</t>
  </si>
  <si>
    <t>C4 19</t>
  </si>
  <si>
    <t>D3 4A</t>
  </si>
  <si>
    <t>AD 97</t>
  </si>
  <si>
    <t>F7 52</t>
  </si>
  <si>
    <t>D5 97</t>
  </si>
  <si>
    <t>14 27</t>
  </si>
  <si>
    <t>27 4F</t>
  </si>
  <si>
    <t>EA D8</t>
  </si>
  <si>
    <t>97 78</t>
  </si>
  <si>
    <t>96 97</t>
  </si>
  <si>
    <t>EF D7</t>
  </si>
  <si>
    <t>C3 C4</t>
  </si>
  <si>
    <t>66 A1</t>
  </si>
  <si>
    <t>近距离攻击精力伤害（地狱）</t>
  </si>
  <si>
    <t>F1 E3</t>
  </si>
  <si>
    <t>守护灵技的精力伤害</t>
  </si>
  <si>
    <t>3B 5C</t>
  </si>
  <si>
    <t>4E 41</t>
  </si>
  <si>
    <t>8D EC</t>
  </si>
  <si>
    <t>96 75</t>
  </si>
  <si>
    <t>A0 92</t>
  </si>
  <si>
    <t>CA E7</t>
  </si>
  <si>
    <t>F9 00</t>
  </si>
  <si>
    <t>11 36</t>
  </si>
  <si>
    <t>AF AA</t>
  </si>
  <si>
    <t>E4 18</t>
  </si>
  <si>
    <t>42 FB</t>
  </si>
  <si>
    <t>E9 EA</t>
  </si>
  <si>
    <t>FD E6</t>
  </si>
  <si>
    <t>92 18</t>
  </si>
  <si>
    <t>4D 38</t>
  </si>
  <si>
    <t>00 01</t>
  </si>
  <si>
    <t>EB EC</t>
  </si>
  <si>
    <t>39 AF</t>
  </si>
  <si>
    <t>14 FE</t>
  </si>
  <si>
    <t>A8 7E</t>
  </si>
  <si>
    <t>C9 80</t>
  </si>
  <si>
    <t>EF AE</t>
  </si>
  <si>
    <t>60 A0</t>
  </si>
  <si>
    <t>80 E6</t>
  </si>
  <si>
    <t>7F 63</t>
  </si>
  <si>
    <t>1D 37</t>
  </si>
  <si>
    <t>71 B9</t>
  </si>
  <si>
    <t>EE AE</t>
  </si>
  <si>
    <t>BA 8C</t>
  </si>
  <si>
    <t>11 32</t>
  </si>
  <si>
    <t>16 9A</t>
  </si>
  <si>
    <t>06 A7</t>
  </si>
  <si>
    <t>16 F4</t>
  </si>
  <si>
    <t>F0 CE</t>
  </si>
  <si>
    <t>45 5E</t>
  </si>
  <si>
    <t>B7 05</t>
  </si>
  <si>
    <t>0C 05</t>
  </si>
  <si>
    <t>2C 6B</t>
  </si>
  <si>
    <t>F9 27</t>
  </si>
  <si>
    <t>C4 61</t>
  </si>
  <si>
    <t>65 7C</t>
  </si>
  <si>
    <t>9A 6A</t>
  </si>
  <si>
    <t>A0 F7</t>
  </si>
  <si>
    <t>05 60</t>
  </si>
  <si>
    <t>D7 0C</t>
  </si>
  <si>
    <t>96 96</t>
  </si>
  <si>
    <t>04 EB</t>
  </si>
  <si>
    <t>89 15</t>
  </si>
  <si>
    <t>51 A3</t>
  </si>
  <si>
    <t>CA 22</t>
  </si>
  <si>
    <t>60 9C</t>
  </si>
  <si>
    <t>A5 C2</t>
  </si>
  <si>
    <t>09 CA</t>
  </si>
  <si>
    <t>9E 3D</t>
  </si>
  <si>
    <t>35 D5</t>
  </si>
  <si>
    <t>20 AC</t>
  </si>
  <si>
    <t>4B 84</t>
  </si>
  <si>
    <t>异常状态累积</t>
  </si>
  <si>
    <t>DB C9</t>
  </si>
  <si>
    <t>A0 7C</t>
  </si>
  <si>
    <t>C1 FB</t>
  </si>
  <si>
    <t>2A 8C</t>
  </si>
  <si>
    <t>幻术异常状态累积</t>
  </si>
  <si>
    <t>30 C9</t>
  </si>
  <si>
    <t>背后攻击灵力增加量</t>
  </si>
  <si>
    <t>D3 50</t>
  </si>
  <si>
    <t>F6 3F</t>
  </si>
  <si>
    <t>7B 24</t>
  </si>
  <si>
    <t>5C 69</t>
  </si>
  <si>
    <t>BA A2</t>
  </si>
  <si>
    <t>33 E7</t>
  </si>
  <si>
    <t>2C AA</t>
  </si>
  <si>
    <t>E7 92</t>
  </si>
  <si>
    <t>2E 99</t>
  </si>
  <si>
    <t>17 5E</t>
  </si>
  <si>
    <t>2E 16</t>
  </si>
  <si>
    <t>0A 5B</t>
  </si>
  <si>
    <t>5F B2</t>
  </si>
  <si>
    <t>DF EE</t>
  </si>
  <si>
    <t>79 03</t>
  </si>
  <si>
    <t>46 2A</t>
  </si>
  <si>
    <t>DA 22</t>
  </si>
  <si>
    <t>E9 C3</t>
  </si>
  <si>
    <t>30 77</t>
  </si>
  <si>
    <t>4C 77</t>
  </si>
  <si>
    <t>A6 0A</t>
  </si>
  <si>
    <t>71 31</t>
  </si>
  <si>
    <t>E6 04</t>
  </si>
  <si>
    <t>81 30</t>
  </si>
  <si>
    <t>EC 58</t>
  </si>
  <si>
    <t>E1 E6</t>
  </si>
  <si>
    <t>1D 5E</t>
  </si>
  <si>
    <t>23 E5</t>
  </si>
  <si>
    <t>A4 80</t>
  </si>
  <si>
    <t>70 DE</t>
  </si>
  <si>
    <t>B4 8A</t>
  </si>
  <si>
    <t>2D 9D</t>
  </si>
  <si>
    <t>AA B7</t>
  </si>
  <si>
    <t>8A 3B</t>
  </si>
  <si>
    <t>7A A3</t>
  </si>
  <si>
    <t>DB F3</t>
  </si>
  <si>
    <t>D1 03</t>
  </si>
  <si>
    <t>5D 6B</t>
  </si>
  <si>
    <t>6A 10</t>
  </si>
  <si>
    <t>9B 89</t>
  </si>
  <si>
    <t>48 3E</t>
  </si>
  <si>
    <t>61 C0</t>
  </si>
  <si>
    <t>94 E2</t>
  </si>
  <si>
    <t>D5 22</t>
  </si>
  <si>
    <t>41 BD</t>
  </si>
  <si>
    <t>D1 80</t>
  </si>
  <si>
    <t>95 9F</t>
  </si>
  <si>
    <t>C5 59</t>
  </si>
  <si>
    <t>D8 37</t>
  </si>
  <si>
    <t>F9 14</t>
  </si>
  <si>
    <t>6F 3A</t>
  </si>
  <si>
    <t>87 D9</t>
  </si>
  <si>
    <t>50 35</t>
  </si>
  <si>
    <t>0A F3</t>
  </si>
  <si>
    <t>75 64</t>
  </si>
  <si>
    <t>B1 B6</t>
  </si>
  <si>
    <t>05 AC</t>
  </si>
  <si>
    <t>10 3B</t>
  </si>
  <si>
    <t>F3 78</t>
  </si>
  <si>
    <t>9F 81</t>
  </si>
  <si>
    <t>BE 37</t>
  </si>
  <si>
    <t>55 D0</t>
  </si>
  <si>
    <t>32 15</t>
  </si>
  <si>
    <t>35 37</t>
  </si>
  <si>
    <t>EF C7</t>
  </si>
  <si>
    <t>武技灵力增加量</t>
  </si>
  <si>
    <t>CC 86</t>
  </si>
  <si>
    <t>FF 2E</t>
  </si>
  <si>
    <t>17 C0</t>
  </si>
  <si>
    <t>D3 0B</t>
  </si>
  <si>
    <t>56 7E</t>
  </si>
  <si>
    <t>B0 ED</t>
  </si>
  <si>
    <t>5D CC</t>
  </si>
  <si>
    <t>0F 71</t>
  </si>
  <si>
    <t>12 3E</t>
  </si>
  <si>
    <t>AC 0D</t>
  </si>
  <si>
    <t>AB 9B</t>
  </si>
  <si>
    <t>10 66</t>
  </si>
  <si>
    <t>88 BE</t>
  </si>
  <si>
    <t>5E 8B</t>
  </si>
  <si>
    <t>CC 48</t>
  </si>
  <si>
    <t>A6 C3</t>
  </si>
  <si>
    <t>59 82</t>
  </si>
  <si>
    <t>7F 48</t>
  </si>
  <si>
    <t>04 3F</t>
  </si>
  <si>
    <t>C7 71</t>
  </si>
  <si>
    <t>1F 4D</t>
  </si>
  <si>
    <t>1D 1A</t>
  </si>
  <si>
    <t>64 64</t>
  </si>
  <si>
    <t>8B 4E</t>
  </si>
  <si>
    <t>55 C5</t>
  </si>
  <si>
    <t>C2 3E</t>
  </si>
  <si>
    <t>1D 7C</t>
  </si>
  <si>
    <t>3E 12</t>
  </si>
  <si>
    <t>A3 0D</t>
  </si>
  <si>
    <t>0C 86</t>
  </si>
  <si>
    <t>E1 B8</t>
  </si>
  <si>
    <t>C5 2A</t>
  </si>
  <si>
    <t>C0 77</t>
  </si>
  <si>
    <t>19 BC</t>
  </si>
  <si>
    <t>D6 EB</t>
  </si>
  <si>
    <t>F3 68</t>
  </si>
  <si>
    <t>FB 81</t>
  </si>
  <si>
    <t>6A 13</t>
  </si>
  <si>
    <t>00 44</t>
  </si>
  <si>
    <t>05 A9</t>
  </si>
  <si>
    <t>F5 45</t>
  </si>
  <si>
    <t>88 7C</t>
  </si>
  <si>
    <t>95 ED</t>
  </si>
  <si>
    <t>D3 38</t>
  </si>
  <si>
    <t>47 6E</t>
  </si>
  <si>
    <t>11 80</t>
  </si>
  <si>
    <t>8C 51</t>
  </si>
  <si>
    <t>DB B4</t>
  </si>
  <si>
    <t>70 7F</t>
  </si>
  <si>
    <t>C7 47</t>
  </si>
  <si>
    <t>38 BD</t>
  </si>
  <si>
    <t>F7 72</t>
  </si>
  <si>
    <t>B5 F1</t>
  </si>
  <si>
    <t>F2 19</t>
  </si>
  <si>
    <t>25 9F</t>
  </si>
  <si>
    <t>4D 32</t>
  </si>
  <si>
    <t>EE D4</t>
  </si>
  <si>
    <t>08 00</t>
  </si>
  <si>
    <t>9F 15</t>
  </si>
  <si>
    <t>2F AD</t>
  </si>
  <si>
    <t>BE A5</t>
  </si>
  <si>
    <t>98 60</t>
  </si>
  <si>
    <t>0B D1</t>
  </si>
  <si>
    <t>4F C0</t>
  </si>
  <si>
    <t>2A 94</t>
  </si>
  <si>
    <t>CF D7</t>
  </si>
  <si>
    <t>66 19</t>
  </si>
  <si>
    <t>83 C6</t>
  </si>
  <si>
    <t>9A 2B</t>
  </si>
  <si>
    <t>C6 2D</t>
  </si>
  <si>
    <t>1A A4</t>
  </si>
  <si>
    <t>89 64</t>
  </si>
  <si>
    <t>6E 1E</t>
  </si>
  <si>
    <t>EE 05</t>
  </si>
  <si>
    <t>D5 0D</t>
  </si>
  <si>
    <t>2D 92</t>
  </si>
  <si>
    <t>17 BC</t>
  </si>
  <si>
    <t>30 D1</t>
  </si>
  <si>
    <t>70 39</t>
  </si>
  <si>
    <t>01 D1</t>
  </si>
  <si>
    <t>8D 6D</t>
  </si>
  <si>
    <t>C8 04</t>
  </si>
  <si>
    <t>27 A2</t>
  </si>
  <si>
    <t>B1 4C</t>
  </si>
  <si>
    <t>EA 61</t>
  </si>
  <si>
    <t>AE 4F</t>
  </si>
  <si>
    <t>7B 3E</t>
  </si>
  <si>
    <t>2C 18</t>
  </si>
  <si>
    <t>FD A8</t>
  </si>
  <si>
    <t>F4 9F</t>
  </si>
  <si>
    <t>C6 98</t>
  </si>
  <si>
    <t>C9 D6</t>
  </si>
  <si>
    <t>FD 8C</t>
  </si>
  <si>
    <t>C7 67</t>
  </si>
  <si>
    <t>F7 AD</t>
  </si>
  <si>
    <t>E6 EB</t>
  </si>
  <si>
    <t>BC 79</t>
  </si>
  <si>
    <t>75 9B</t>
  </si>
  <si>
    <t>EC B8</t>
  </si>
  <si>
    <t>71 8F</t>
  </si>
  <si>
    <t>DD CE</t>
  </si>
  <si>
    <t>2B 8D</t>
  </si>
  <si>
    <t>83 FB</t>
  </si>
  <si>
    <t>22 CD</t>
  </si>
  <si>
    <t>48 2F</t>
  </si>
  <si>
    <t>5E 2C</t>
  </si>
  <si>
    <t>19 C7</t>
  </si>
  <si>
    <t>A7 99</t>
  </si>
  <si>
    <t>F0 43</t>
  </si>
  <si>
    <t>6F 44</t>
  </si>
  <si>
    <t>BE 73</t>
  </si>
  <si>
    <t>BD D4</t>
  </si>
  <si>
    <t>DE A8</t>
  </si>
  <si>
    <t>03 F2</t>
  </si>
  <si>
    <t>1D 8B</t>
  </si>
  <si>
    <t>7B B7</t>
  </si>
  <si>
    <t>使用仙药时增加灵力</t>
  </si>
  <si>
    <t>D5 76</t>
  </si>
  <si>
    <t>1E ED</t>
  </si>
  <si>
    <t>追击与近身刺击赋予^09~BUFF~{}^09~~</t>
  </si>
  <si>
    <t>9A 15</t>
  </si>
  <si>
    <t>1D FB</t>
  </si>
  <si>
    <t>95 C4</t>
  </si>
  <si>
    <t>23 C0</t>
  </si>
  <si>
    <t>EE AC</t>
  </si>
  <si>
    <t>A5 60</t>
  </si>
  <si>
    <t>6C 1C</t>
  </si>
  <si>
    <t>14 B5</t>
  </si>
  <si>
    <t>73 C4</t>
  </si>
  <si>
    <t>3D E1</t>
  </si>
  <si>
    <t>FD 3E</t>
  </si>
  <si>
    <t>7C 15</t>
  </si>
  <si>
    <t>90 26</t>
  </si>
  <si>
    <t>F9 5F</t>
  </si>
  <si>
    <t>9F 6B</t>
  </si>
  <si>
    <t>92 99</t>
  </si>
  <si>
    <t>87 D2</t>
  </si>
  <si>
    <t>A8 CD</t>
  </si>
  <si>
    <t>77 D5</t>
  </si>
  <si>
    <t>59 9B</t>
  </si>
  <si>
    <t>AA 81</t>
  </si>
  <si>
    <t>94 8C</t>
  </si>
  <si>
    <t>BA 2A</t>
  </si>
  <si>
    <t>3D 53</t>
  </si>
  <si>
    <t>89 61</t>
  </si>
  <si>
    <t>84 1C</t>
  </si>
  <si>
    <t>06 BB</t>
  </si>
  <si>
    <t>D4 F8</t>
  </si>
  <si>
    <t>B1 3C</t>
  </si>
  <si>
    <t>5D 70</t>
  </si>
  <si>
    <t>FC FF</t>
  </si>
  <si>
    <t>1C E9</t>
  </si>
  <si>
    <t>61 11</t>
  </si>
  <si>
    <t>A2 F5</t>
  </si>
  <si>
    <t>89 95</t>
  </si>
  <si>
    <t>6C 0F</t>
  </si>
  <si>
    <t>B4 6D</t>
  </si>
  <si>
    <t>13 40</t>
  </si>
  <si>
    <t>36 FD</t>
  </si>
  <si>
    <t>11 A2</t>
  </si>
  <si>
    <t>9D B9</t>
  </si>
  <si>
    <t>9F C1</t>
  </si>
  <si>
    <t>63 38</t>
  </si>
  <si>
    <t>32 0A</t>
  </si>
  <si>
    <t>2B 6B</t>
  </si>
  <si>
    <t>96 AA</t>
  </si>
  <si>
    <t>C1 BE</t>
  </si>
  <si>
    <t>90 37</t>
  </si>
  <si>
    <t>7F CB</t>
  </si>
  <si>
    <t>D3 21</t>
  </si>
  <si>
    <t>F8 C4</t>
  </si>
  <si>
    <t>C6 BF</t>
  </si>
  <si>
    <t>4B 1D</t>
  </si>
  <si>
    <t>0C AF</t>
  </si>
  <si>
    <t>DA FA</t>
  </si>
  <si>
    <t>EB A3</t>
  </si>
  <si>
    <t>C1 11</t>
  </si>
  <si>
    <t>99 5E</t>
  </si>
  <si>
    <t>69 90</t>
  </si>
  <si>
    <t>9E A5</t>
  </si>
  <si>
    <t>97 23</t>
  </si>
  <si>
    <t>15 54</t>
  </si>
  <si>
    <t>40 E1</t>
  </si>
  <si>
    <t>E0 55</t>
  </si>
  <si>
    <t>1A 04</t>
  </si>
  <si>
    <t>EE 30</t>
  </si>
  <si>
    <t>70 CA</t>
  </si>
  <si>
    <t>90 61</t>
  </si>
  <si>
    <t>26 8A</t>
  </si>
  <si>
    <t>D2 64</t>
  </si>
  <si>
    <t>95 8D</t>
  </si>
  <si>
    <t>41 D8</t>
  </si>
  <si>
    <t>48 F9</t>
  </si>
  <si>
    <t>EB 4F</t>
  </si>
  <si>
    <t>HEX 0x0000004C</t>
  </si>
  <si>
    <t>76</t>
  </si>
  <si>
    <t>0C C8</t>
  </si>
  <si>
    <t>59 91</t>
  </si>
  <si>
    <t>1B 69</t>
  </si>
  <si>
    <t>4D 35</t>
  </si>
  <si>
    <t>26 29</t>
  </si>
  <si>
    <t>51 12</t>
  </si>
  <si>
    <t>3E 4E</t>
  </si>
  <si>
    <t>EF 7D</t>
  </si>
  <si>
    <t>DE A4</t>
  </si>
  <si>
    <t>B1 E9</t>
  </si>
  <si>
    <t>04 3B</t>
  </si>
  <si>
    <t>55 29</t>
  </si>
  <si>
    <t>96 46</t>
  </si>
  <si>
    <t>AE 9A</t>
  </si>
  <si>
    <t>22 66</t>
  </si>
  <si>
    <t>AA FD</t>
  </si>
  <si>
    <t>1A 0F</t>
  </si>
  <si>
    <t>A9 AF</t>
  </si>
  <si>
    <t>97 57</t>
  </si>
  <si>
    <t>79 7E</t>
  </si>
  <si>
    <t>3A 41</t>
  </si>
  <si>
    <t>25 A7</t>
  </si>
  <si>
    <t>5E E0</t>
  </si>
  <si>
    <t>9E 03</t>
  </si>
  <si>
    <t>0F C8</t>
  </si>
  <si>
    <t>48 34</t>
  </si>
  <si>
    <t>44 D9</t>
  </si>
  <si>
    <t>BB A0</t>
  </si>
  <si>
    <t>05 49</t>
  </si>
  <si>
    <t>9B 34</t>
  </si>
  <si>
    <t>62 37</t>
  </si>
  <si>
    <t>85 E7</t>
  </si>
  <si>
    <t>03 24</t>
  </si>
  <si>
    <t>FF E6</t>
  </si>
  <si>
    <t>80 69</t>
  </si>
  <si>
    <t>D0 3A</t>
  </si>
  <si>
    <t>73 DC</t>
  </si>
  <si>
    <t>73 35</t>
  </si>
  <si>
    <t>17 7E</t>
  </si>
  <si>
    <t>C3 55</t>
  </si>
  <si>
    <t>59 D5</t>
  </si>
  <si>
    <t>74 FA</t>
  </si>
  <si>
    <t>36 AF</t>
  </si>
  <si>
    <t>3B A6</t>
  </si>
  <si>
    <t>4A 3C</t>
  </si>
  <si>
    <t>20 | 21 | 22 | 23 | 24 | 25 | 26 | 27 | 28</t>
  </si>
  <si>
    <t>29 21</t>
  </si>
  <si>
    <t>41 86</t>
  </si>
  <si>
    <t>53 3A</t>
  </si>
  <si>
    <t>04 10</t>
  </si>
  <si>
    <t>58 EA</t>
  </si>
  <si>
    <t>C1 2F</t>
  </si>
  <si>
    <t>HEX 0x00000180</t>
  </si>
  <si>
    <t>46 33</t>
  </si>
  <si>
    <t>6D FB</t>
  </si>
  <si>
    <t>7B 8C</t>
  </si>
  <si>
    <t>B8 55</t>
  </si>
  <si>
    <t>EC DD</t>
  </si>
  <si>
    <t>AA 80</t>
  </si>
  <si>
    <t>CE 7A</t>
  </si>
  <si>
    <t>D2 86</t>
  </si>
  <si>
    <t>DB F9</t>
  </si>
  <si>
    <t>34 EA</t>
  </si>
  <si>
    <t>BC 88</t>
  </si>
  <si>
    <t>3E 6D</t>
  </si>
  <si>
    <t>DD F4</t>
  </si>
  <si>
    <t>0D 39</t>
  </si>
  <si>
    <t>6D EE</t>
  </si>
  <si>
    <t>38 05</t>
  </si>
  <si>
    <t>53 49</t>
  </si>
  <si>
    <t>32 3E</t>
  </si>
  <si>
    <t>A2 03</t>
  </si>
  <si>
    <t>D0 41</t>
  </si>
  <si>
    <t>12 D0</t>
  </si>
  <si>
    <t>96 5F</t>
  </si>
  <si>
    <t>2D 31</t>
  </si>
  <si>
    <t>52 2B</t>
  </si>
  <si>
    <t>37 21</t>
  </si>
  <si>
    <t>A7 D9</t>
  </si>
  <si>
    <t>91 31</t>
  </si>
  <si>
    <t>D3 01</t>
  </si>
  <si>
    <t>20 A9</t>
  </si>
  <si>
    <t>C6 46</t>
  </si>
  <si>
    <t>22 3A</t>
  </si>
  <si>
    <t>84 9B</t>
  </si>
  <si>
    <t>43 24</t>
  </si>
  <si>
    <t>EC EE</t>
  </si>
  <si>
    <t>FA 70</t>
  </si>
  <si>
    <t>4C 01</t>
  </si>
  <si>
    <t>97 4D</t>
  </si>
  <si>
    <t>20 A8</t>
  </si>
  <si>
    <t>F3 10</t>
  </si>
  <si>
    <t>76 59</t>
  </si>
  <si>
    <t>DB 66</t>
  </si>
  <si>
    <t>34 A9</t>
  </si>
  <si>
    <t>2D 60</t>
  </si>
  <si>
    <t>4C 7F</t>
  </si>
  <si>
    <t>14 B2</t>
  </si>
  <si>
    <t>35 6F</t>
  </si>
  <si>
    <t>95 40</t>
  </si>
  <si>
    <t>0A 45</t>
  </si>
  <si>
    <t>A4 A6</t>
  </si>
  <si>
    <t>20 D0</t>
  </si>
  <si>
    <t>04 71</t>
  </si>
  <si>
    <t>99 A2</t>
  </si>
  <si>
    <t>B9 EA</t>
  </si>
  <si>
    <t>F1 3F</t>
  </si>
  <si>
    <t>C1 8A</t>
  </si>
  <si>
    <t>93 FE</t>
  </si>
  <si>
    <t>1B D0</t>
  </si>
  <si>
    <t>43 6B</t>
  </si>
  <si>
    <t>11 7C</t>
  </si>
  <si>
    <t>5A AC</t>
  </si>
  <si>
    <t>D6 7E</t>
  </si>
  <si>
    <t>AE D1</t>
  </si>
  <si>
    <t>0C 40</t>
  </si>
  <si>
    <t>45 F2</t>
  </si>
  <si>
    <t>99 4E</t>
  </si>
  <si>
    <t>B9 D1</t>
  </si>
  <si>
    <t>9A D0</t>
  </si>
  <si>
    <t>20 4A</t>
  </si>
  <si>
    <t>25 3E</t>
  </si>
  <si>
    <t>33 A1</t>
  </si>
  <si>
    <t>3E 2D</t>
  </si>
  <si>
    <t>2B AA</t>
  </si>
  <si>
    <t>F5 DA</t>
  </si>
  <si>
    <t>DE 26</t>
  </si>
  <si>
    <t>69 FF</t>
  </si>
  <si>
    <t>E1 B1</t>
  </si>
  <si>
    <t>3E 79</t>
  </si>
  <si>
    <t>02 B2</t>
  </si>
  <si>
    <t>11 99</t>
  </si>
  <si>
    <t>87 EC</t>
  </si>
  <si>
    <t>2F 5B</t>
  </si>
  <si>
    <t>A9 7D</t>
  </si>
  <si>
    <t>00 D9</t>
  </si>
  <si>
    <t>A5 95</t>
  </si>
  <si>
    <t>EA 86</t>
  </si>
  <si>
    <t>89 97</t>
  </si>
  <si>
    <t>CB B0</t>
  </si>
  <si>
    <t>52 E4</t>
  </si>
  <si>
    <t>2B 64</t>
  </si>
  <si>
    <t>7F 5B</t>
  </si>
  <si>
    <t>66 72</t>
  </si>
  <si>
    <t>7C 7D</t>
  </si>
  <si>
    <t>DC 3C</t>
  </si>
  <si>
    <t>E2 94</t>
  </si>
  <si>
    <t>1C AD</t>
  </si>
  <si>
    <t>04 E8</t>
  </si>
  <si>
    <t>86 D7</t>
  </si>
  <si>
    <t>20 20</t>
  </si>
  <si>
    <t>06 8D</t>
  </si>
  <si>
    <t>7B 63</t>
  </si>
  <si>
    <t>7B 9D</t>
  </si>
  <si>
    <t>FB 6F</t>
  </si>
  <si>
    <t>E9 FA</t>
  </si>
  <si>
    <t>7E 68</t>
  </si>
  <si>
    <t>ED 0F</t>
  </si>
  <si>
    <t>C5 43</t>
  </si>
  <si>
    <t>6E F8</t>
  </si>
  <si>
    <t>C4 0F</t>
  </si>
  <si>
    <t>13 19</t>
  </si>
  <si>
    <t>57 8B</t>
  </si>
  <si>
    <t>B2 4C</t>
  </si>
  <si>
    <t>DD 56</t>
  </si>
  <si>
    <t>41 B9</t>
  </si>
  <si>
    <t>FF E2</t>
  </si>
  <si>
    <t>D3 BF</t>
  </si>
  <si>
    <t>A7 23</t>
  </si>
  <si>
    <t>AD F8</t>
  </si>
  <si>
    <t>67 AA</t>
  </si>
  <si>
    <t>5B 6B</t>
  </si>
  <si>
    <t>10 B7</t>
  </si>
  <si>
    <t>EE 20</t>
  </si>
  <si>
    <t>47 EC</t>
  </si>
  <si>
    <t>F5 E5</t>
  </si>
  <si>
    <t>BF CB</t>
  </si>
  <si>
    <t>56 64</t>
  </si>
  <si>
    <t>5B 98</t>
  </si>
  <si>
    <t>0F FD</t>
  </si>
  <si>
    <t>F1 F2</t>
  </si>
  <si>
    <t>57 4F</t>
  </si>
  <si>
    <t>48 DF</t>
  </si>
  <si>
    <t>DA 24</t>
  </si>
  <si>
    <t>C3 15</t>
  </si>
  <si>
    <t>86 14</t>
  </si>
  <si>
    <t>9D F1</t>
  </si>
  <si>
    <t>B1 F2</t>
  </si>
  <si>
    <t>81 C0</t>
  </si>
  <si>
    <t>B7 85</t>
  </si>
  <si>
    <t>24 43</t>
  </si>
  <si>
    <t>1A 9F</t>
  </si>
  <si>
    <t>06 A1</t>
  </si>
  <si>
    <t>3E CB</t>
  </si>
  <si>
    <t>D3 D8</t>
  </si>
  <si>
    <t>B4 25</t>
  </si>
  <si>
    <t>9F 26</t>
  </si>
  <si>
    <t>9B 83</t>
  </si>
  <si>
    <t>E3 B1</t>
  </si>
  <si>
    <t>48 ED</t>
  </si>
  <si>
    <t>5D C4</t>
  </si>
  <si>
    <t>D8 DE</t>
  </si>
  <si>
    <t>B9 75</t>
  </si>
  <si>
    <t>6A AC</t>
  </si>
  <si>
    <t>8C 7C</t>
  </si>
  <si>
    <t>B3 83</t>
  </si>
  <si>
    <t>F4 14</t>
  </si>
  <si>
    <t>BF 9C</t>
  </si>
  <si>
    <t>5A DE</t>
  </si>
  <si>
    <t>97 AB</t>
  </si>
  <si>
    <t>6A AB</t>
  </si>
  <si>
    <t>5E FB</t>
  </si>
  <si>
    <t>D3 1C</t>
  </si>
  <si>
    <t>BC C9</t>
  </si>
  <si>
    <t>0F AC</t>
  </si>
  <si>
    <t>D7 27</t>
  </si>
  <si>
    <t>1A 41</t>
  </si>
  <si>
    <t>BA A4</t>
  </si>
  <si>
    <t>E9 B9</t>
  </si>
  <si>
    <t>F6 30</t>
  </si>
  <si>
    <t>2C 38</t>
  </si>
  <si>
    <t>37 28</t>
  </si>
  <si>
    <t>F5 17</t>
  </si>
  <si>
    <t>E7 7F</t>
  </si>
  <si>
    <t>09 21</t>
  </si>
  <si>
    <t>22 0D</t>
  </si>
  <si>
    <t>93 2E</t>
  </si>
  <si>
    <t>7E 70</t>
  </si>
  <si>
    <t>2F 03</t>
  </si>
  <si>
    <t>58 69</t>
  </si>
  <si>
    <t>F9 97</t>
  </si>
  <si>
    <t>62 A5</t>
  </si>
  <si>
    <t>A9 DC</t>
  </si>
  <si>
    <t>F1 55</t>
  </si>
  <si>
    <t>26 E2</t>
  </si>
  <si>
    <t>20 DA</t>
  </si>
  <si>
    <t>B9 97</t>
  </si>
  <si>
    <t>33 84</t>
  </si>
  <si>
    <t>82 01</t>
  </si>
  <si>
    <t>C3 2C</t>
  </si>
  <si>
    <t>32 50</t>
  </si>
  <si>
    <t>A9 AA</t>
  </si>
  <si>
    <t>效果持续力</t>
  </si>
  <si>
    <t>2A 95</t>
  </si>
  <si>
    <t>C2 9E</t>
  </si>
  <si>
    <t>B5 1C</t>
  </si>
  <si>
    <t>E8 CB</t>
  </si>
  <si>
    <t>13 6B</t>
  </si>
  <si>
    <t>E6 22</t>
  </si>
  <si>
    <t>A1 F7</t>
  </si>
  <si>
    <t>97 8B</t>
  </si>
  <si>
    <t>EE 82</t>
  </si>
  <si>
    <t>异常状态抗性</t>
  </si>
  <si>
    <t>ED 39</t>
  </si>
  <si>
    <t>9F 4B</t>
  </si>
  <si>
    <t>05 7E</t>
  </si>
  <si>
    <t>2B C6</t>
  </si>
  <si>
    <t>21 6C</t>
  </si>
  <si>
    <t>53 8B</t>
  </si>
  <si>
    <t>D7 6F</t>
  </si>
  <si>
    <t>C1 AA</t>
  </si>
  <si>
    <t>体力恢复量</t>
  </si>
  <si>
    <t>32 0B</t>
  </si>
  <si>
    <t>5B D4</t>
  </si>
  <si>
    <t>FD B3</t>
  </si>
  <si>
    <t>46 AB</t>
  </si>
  <si>
    <t>BC 37</t>
  </si>
  <si>
    <t>FB 35</t>
  </si>
  <si>
    <t>E9 48</t>
  </si>
  <si>
    <t>46 85</t>
  </si>
  <si>
    <t>63 4C</t>
  </si>
  <si>
    <t>8F 2A</t>
  </si>
  <si>
    <t>BB DD</t>
  </si>
  <si>
    <t>1E C8</t>
  </si>
  <si>
    <t>A7 8F</t>
  </si>
  <si>
    <t>40 6A</t>
  </si>
  <si>
    <t>F2 78</t>
  </si>
  <si>
    <t>33 51</t>
  </si>
  <si>
    <t>C2 A3</t>
  </si>
  <si>
    <t>ED 7C</t>
  </si>
  <si>
    <t>1B 7C</t>
  </si>
  <si>
    <t>FF EC</t>
  </si>
  <si>
    <t>37 D6</t>
  </si>
  <si>
    <t>34 DE</t>
  </si>
  <si>
    <t>54 AA</t>
  </si>
  <si>
    <t>2B 98</t>
  </si>
  <si>
    <t>C3 C1</t>
  </si>
  <si>
    <t>6C 1D</t>
  </si>
  <si>
    <t>BD 23</t>
  </si>
  <si>
    <t>45 7D</t>
  </si>
  <si>
    <t>92 9D</t>
  </si>
  <si>
    <t>EF 7A</t>
  </si>
  <si>
    <t>6A AF</t>
  </si>
  <si>
    <t>84 07</t>
  </si>
  <si>
    <t>36 3A</t>
  </si>
  <si>
    <t>16 78</t>
  </si>
  <si>
    <t>12 B0</t>
  </si>
  <si>
    <t>DB 09</t>
  </si>
  <si>
    <t>91 CF</t>
  </si>
  <si>
    <t>99 13</t>
  </si>
  <si>
    <t>31 8B</t>
  </si>
  <si>
    <t>60 5E</t>
  </si>
  <si>
    <t>1F 00</t>
  </si>
  <si>
    <t>E9 43</t>
  </si>
  <si>
    <t>31 03</t>
  </si>
  <si>
    <t>1F DE</t>
  </si>
  <si>
    <t>9F 45</t>
  </si>
  <si>
    <t>4A 0A</t>
  </si>
  <si>
    <t>14 79</t>
  </si>
  <si>
    <t>4B AA</t>
  </si>
  <si>
    <t>AC FE</t>
  </si>
  <si>
    <t>B1 55</t>
  </si>
  <si>
    <t>E4 83</t>
  </si>
  <si>
    <t>1D 15</t>
  </si>
  <si>
    <t>76 22</t>
  </si>
  <si>
    <t>2F 2C</t>
  </si>
  <si>
    <t>A7 9D</t>
  </si>
  <si>
    <t>82 E9</t>
  </si>
  <si>
    <t>50 1A</t>
  </si>
  <si>
    <t>3D 12</t>
  </si>
  <si>
    <t>A3 CB</t>
  </si>
  <si>
    <t>B4 E7</t>
  </si>
  <si>
    <t>73 D1</t>
  </si>
  <si>
    <t>24 7B</t>
  </si>
  <si>
    <t>E7 8D</t>
  </si>
  <si>
    <t>91 17</t>
  </si>
  <si>
    <t>2D BA</t>
  </si>
  <si>
    <t>17 6F</t>
  </si>
  <si>
    <t>C1 C1</t>
  </si>
  <si>
    <t>31 D4</t>
  </si>
  <si>
    <t>54 69</t>
  </si>
  <si>
    <t>EA F0</t>
  </si>
  <si>
    <t>9F 8E</t>
  </si>
  <si>
    <t>A5 CD</t>
  </si>
  <si>
    <t>14 DE</t>
  </si>
  <si>
    <t>6A 66</t>
  </si>
  <si>
    <t>FA 94</t>
  </si>
  <si>
    <t>A4 E3</t>
  </si>
  <si>
    <t>0E 09</t>
  </si>
  <si>
    <t>7D 24</t>
  </si>
  <si>
    <t>A4 D0</t>
  </si>
  <si>
    <t>D3 B1</t>
  </si>
  <si>
    <t>51 B6</t>
  </si>
  <si>
    <t>F9 62</t>
  </si>
  <si>
    <t>9C 8D</t>
  </si>
  <si>
    <t>AB DD</t>
  </si>
  <si>
    <t>CA F1</t>
  </si>
  <si>
    <t>0E E6</t>
  </si>
  <si>
    <t>BC 92</t>
  </si>
  <si>
    <t>DD 20</t>
  </si>
  <si>
    <t>AB 2E</t>
  </si>
  <si>
    <t>C5 C8</t>
  </si>
  <si>
    <t>F9 2C</t>
  </si>
  <si>
    <t>37 50</t>
  </si>
  <si>
    <t>CC FC</t>
  </si>
  <si>
    <t>72 8B</t>
  </si>
  <si>
    <t>32 9B</t>
  </si>
  <si>
    <t>52 B7</t>
  </si>
  <si>
    <t>19 D6</t>
  </si>
  <si>
    <t>58 95</t>
  </si>
  <si>
    <t>C7 64</t>
  </si>
  <si>
    <t>45 F5</t>
  </si>
  <si>
    <t>77 47</t>
  </si>
  <si>
    <t>61 44</t>
  </si>
  <si>
    <t>C4 C5</t>
  </si>
  <si>
    <t>AC 08</t>
  </si>
  <si>
    <t>DD 05</t>
  </si>
  <si>
    <t>42 11</t>
  </si>
  <si>
    <t>1F 34</t>
  </si>
  <si>
    <t>A7 58</t>
  </si>
  <si>
    <t>37 C3</t>
  </si>
  <si>
    <t>CF 00</t>
  </si>
  <si>
    <t>65 CA</t>
  </si>
  <si>
    <t>64 24</t>
  </si>
  <si>
    <t>96 D7</t>
  </si>
  <si>
    <t>97 B4</t>
  </si>
  <si>
    <t>91 2C</t>
  </si>
  <si>
    <t>6B 91</t>
  </si>
  <si>
    <t>F7 CF</t>
  </si>
  <si>
    <t>22 EE</t>
  </si>
  <si>
    <t>A5 9D</t>
  </si>
  <si>
    <t>6D 93</t>
  </si>
  <si>
    <t>41 0C</t>
  </si>
  <si>
    <t>AC 52</t>
  </si>
  <si>
    <t>C9 D7</t>
  </si>
  <si>
    <t>2A 6D</t>
  </si>
  <si>
    <t>8B FA</t>
  </si>
  <si>
    <t>0B 4D</t>
  </si>
  <si>
    <t>0C C1</t>
  </si>
  <si>
    <t>82 1B</t>
  </si>
  <si>
    <t>3A 49</t>
  </si>
  <si>
    <t>E6 17</t>
  </si>
  <si>
    <t>1D E9</t>
  </si>
  <si>
    <t>31 E0</t>
  </si>
  <si>
    <t>06 E8</t>
  </si>
  <si>
    <t>D3 44</t>
  </si>
  <si>
    <t>14 3A</t>
  </si>
  <si>
    <t>A6 5D</t>
  </si>
  <si>
    <t>DC 2D</t>
  </si>
  <si>
    <t>A1 78</t>
  </si>
  <si>
    <t>35 48</t>
  </si>
  <si>
    <t>E0 5E</t>
  </si>
  <si>
    <t>HEX 0x0000004D</t>
  </si>
  <si>
    <t>77</t>
  </si>
  <si>
    <t>C7 09</t>
  </si>
  <si>
    <t>5B E7</t>
  </si>
  <si>
    <t>F6 E7</t>
  </si>
  <si>
    <t>4C 25</t>
  </si>
  <si>
    <t>D0 EC</t>
  </si>
  <si>
    <t>61 F9</t>
  </si>
  <si>
    <t>AF 9A</t>
  </si>
  <si>
    <t>F8 94</t>
  </si>
  <si>
    <t>1F 28</t>
  </si>
  <si>
    <t>AC A0</t>
  </si>
  <si>
    <t>6F 72</t>
  </si>
  <si>
    <t>73 E1</t>
  </si>
  <si>
    <t>DE 80</t>
  </si>
  <si>
    <t>0D 56</t>
  </si>
  <si>
    <t>44 06</t>
  </si>
  <si>
    <t>FF AE</t>
  </si>
  <si>
    <t>15 99</t>
  </si>
  <si>
    <t>56 E3</t>
  </si>
  <si>
    <t>32</t>
  </si>
  <si>
    <t>84 79</t>
  </si>
  <si>
    <t>DA E6</t>
  </si>
  <si>
    <t>F1 0D</t>
  </si>
  <si>
    <t>05 88</t>
  </si>
  <si>
    <t>23 33</t>
  </si>
  <si>
    <t>CE C1</t>
  </si>
  <si>
    <t>21 4F</t>
  </si>
  <si>
    <t>8D 81</t>
  </si>
  <si>
    <t>6A 5F</t>
  </si>
  <si>
    <t>CC 1A</t>
  </si>
  <si>
    <t>0B C4</t>
  </si>
  <si>
    <t>CB F3</t>
  </si>
  <si>
    <t>01 CE</t>
  </si>
  <si>
    <t>CE 85</t>
  </si>
  <si>
    <t>94 12</t>
  </si>
  <si>
    <t>19 F6</t>
  </si>
  <si>
    <t>3B 60</t>
  </si>
  <si>
    <t>AA C7</t>
  </si>
  <si>
    <t>D2 80</t>
  </si>
  <si>
    <t>42 B4</t>
  </si>
  <si>
    <t>C7 EF</t>
  </si>
  <si>
    <t>70 48</t>
  </si>
  <si>
    <t>C2 6D</t>
  </si>
  <si>
    <t>04 E3</t>
  </si>
  <si>
    <t>5F 63</t>
  </si>
  <si>
    <t>35 B9</t>
  </si>
  <si>
    <t>98 07</t>
  </si>
  <si>
    <t>98 27</t>
  </si>
  <si>
    <t>5F 4F</t>
  </si>
  <si>
    <t>3D 31</t>
  </si>
  <si>
    <t>17 62</t>
  </si>
  <si>
    <t>8A 7B</t>
  </si>
  <si>
    <t>42 90</t>
  </si>
  <si>
    <t>81 00</t>
  </si>
  <si>
    <t>47 9D</t>
  </si>
  <si>
    <t>AC B9</t>
  </si>
  <si>
    <t>93 37</t>
  </si>
  <si>
    <t>8D 4B</t>
  </si>
  <si>
    <t>6B 13</t>
  </si>
  <si>
    <t>DA 88</t>
  </si>
  <si>
    <t>41 41</t>
  </si>
  <si>
    <t>A3 57</t>
  </si>
  <si>
    <t>F5 40</t>
  </si>
  <si>
    <t>A8 ED</t>
  </si>
  <si>
    <t>DC B2</t>
  </si>
  <si>
    <t>AF F3</t>
  </si>
  <si>
    <t>HEX 0x00000047</t>
  </si>
  <si>
    <t>71</t>
  </si>
  <si>
    <t>E6 B8</t>
  </si>
  <si>
    <t>DE 4E</t>
  </si>
  <si>
    <t>43 18</t>
  </si>
  <si>
    <t>14 2F</t>
  </si>
  <si>
    <t>BD 89</t>
  </si>
  <si>
    <t>69 9E</t>
  </si>
  <si>
    <t>2E A0</t>
  </si>
  <si>
    <t>C4 CF</t>
  </si>
  <si>
    <t>98 08</t>
  </si>
  <si>
    <t>88 47</t>
  </si>
  <si>
    <t>E9 E5</t>
  </si>
  <si>
    <t>30 11</t>
  </si>
  <si>
    <t>8B 96</t>
  </si>
  <si>
    <t>B1 C2</t>
  </si>
  <si>
    <t>F4 59</t>
  </si>
  <si>
    <t>E5 4F</t>
  </si>
  <si>
    <t>2D 2E</t>
  </si>
  <si>
    <t>B4 B8</t>
  </si>
  <si>
    <t>EC 14</t>
  </si>
  <si>
    <t>40 78</t>
  </si>
  <si>
    <t>BF 3D</t>
  </si>
  <si>
    <t>4D 85</t>
  </si>
  <si>
    <t>8F 38</t>
  </si>
  <si>
    <t>D1 58</t>
  </si>
  <si>
    <t>8F A6</t>
  </si>
  <si>
    <t>17 90</t>
  </si>
  <si>
    <t>44 35</t>
  </si>
  <si>
    <t>D7 A0</t>
  </si>
  <si>
    <t>ED 66</t>
  </si>
  <si>
    <t>2E 07</t>
  </si>
  <si>
    <t>1F 16</t>
  </si>
  <si>
    <t>0F A2</t>
  </si>
  <si>
    <t>B6 75</t>
  </si>
  <si>
    <t>58 06</t>
  </si>
  <si>
    <t>5A 37</t>
  </si>
  <si>
    <t>E8 33</t>
  </si>
  <si>
    <t>79 96</t>
  </si>
  <si>
    <t>20 BA</t>
  </si>
  <si>
    <t>39 13</t>
  </si>
  <si>
    <t>DC 96</t>
  </si>
  <si>
    <t>76 4C</t>
  </si>
  <si>
    <t>85 06</t>
  </si>
  <si>
    <t>47 F8</t>
  </si>
  <si>
    <t>E7 E9</t>
  </si>
  <si>
    <t>FA 2E</t>
  </si>
  <si>
    <t>76 B9</t>
  </si>
  <si>
    <t>F4 38</t>
  </si>
  <si>
    <t>14 13</t>
  </si>
  <si>
    <t>EE 9E</t>
  </si>
  <si>
    <t>09 2C</t>
  </si>
  <si>
    <t>68 75</t>
  </si>
  <si>
    <t>26 8B</t>
  </si>
  <si>
    <t>47 7C</t>
  </si>
  <si>
    <t>HEX 0x00000070</t>
  </si>
  <si>
    <t>66 4C</t>
  </si>
  <si>
    <t>HEX 0x0000007B</t>
  </si>
  <si>
    <t>89 1D</t>
  </si>
  <si>
    <t>HEX 0x00000086</t>
  </si>
  <si>
    <t>CB D6</t>
  </si>
  <si>
    <t>D2 4D</t>
  </si>
  <si>
    <t>HEX 0x0000007D</t>
  </si>
  <si>
    <t>64 A1</t>
  </si>
  <si>
    <t>HEX 0x00000087</t>
  </si>
  <si>
    <t>E0 C0</t>
  </si>
  <si>
    <t>10 D7</t>
  </si>
  <si>
    <t>41 9F</t>
  </si>
  <si>
    <t>C6 08</t>
  </si>
  <si>
    <t>CC CD</t>
  </si>
  <si>
    <t>HEX 0x000000F0</t>
  </si>
  <si>
    <t>50 75</t>
  </si>
  <si>
    <t>2A 8B</t>
  </si>
  <si>
    <t>06 11</t>
  </si>
  <si>
    <t>HEX 0x000000A2</t>
  </si>
  <si>
    <t>A2 F4</t>
  </si>
  <si>
    <t>HEX 0x000000AC</t>
  </si>
  <si>
    <t>D0 0B</t>
  </si>
  <si>
    <t>5B 1C</t>
  </si>
  <si>
    <t>63 BE</t>
  </si>
  <si>
    <t>E2 86</t>
  </si>
  <si>
    <t>44 29</t>
  </si>
  <si>
    <t>1B E9</t>
  </si>
  <si>
    <t>37 A2</t>
  </si>
  <si>
    <t>B6 EA</t>
  </si>
  <si>
    <t>HEX 0x0000006F</t>
  </si>
  <si>
    <t>04 C5</t>
  </si>
  <si>
    <t>HEX 0x0000007C</t>
  </si>
  <si>
    <t>D1 E0</t>
  </si>
  <si>
    <t>8F 3B</t>
  </si>
  <si>
    <t>HEX 0x0000008E</t>
  </si>
  <si>
    <t>F6 0F</t>
  </si>
  <si>
    <t>HEX 0x00000099</t>
  </si>
  <si>
    <t>A0 2E</t>
  </si>
  <si>
    <t>F9 A3</t>
  </si>
  <si>
    <t>HEX 0x0000003B</t>
  </si>
  <si>
    <t>53 B8</t>
  </si>
  <si>
    <t>13 23</t>
  </si>
  <si>
    <t>EF 2D</t>
  </si>
  <si>
    <t>45 01</t>
  </si>
  <si>
    <t>E7 6E</t>
  </si>
  <si>
    <t>63 98</t>
  </si>
  <si>
    <t>HEX 0x00000057</t>
  </si>
  <si>
    <t>4E E3</t>
  </si>
  <si>
    <t>HEX 0x00000060</t>
  </si>
  <si>
    <t>42 C0</t>
  </si>
  <si>
    <t>HEX 0x00000068</t>
  </si>
  <si>
    <t>D0 31</t>
  </si>
  <si>
    <t>HEX 0x00000056</t>
  </si>
  <si>
    <t>5E 56</t>
  </si>
  <si>
    <t>HEX 0x0000005F</t>
  </si>
  <si>
    <t>F1 94</t>
  </si>
  <si>
    <t>HEX 0x00000067</t>
  </si>
  <si>
    <t>86 D5</t>
  </si>
  <si>
    <t>99 07</t>
  </si>
  <si>
    <t>HEX 0x0000007A</t>
  </si>
  <si>
    <t>1B 6E</t>
  </si>
  <si>
    <t>HEX 0x00000083</t>
  </si>
  <si>
    <t>F0 F4</t>
  </si>
  <si>
    <t>2E AB</t>
  </si>
  <si>
    <t>F3 A7</t>
  </si>
  <si>
    <t>61 7D</t>
  </si>
  <si>
    <t>D7 D4</t>
  </si>
  <si>
    <t>C9 51</t>
  </si>
  <si>
    <t>77 8A</t>
  </si>
  <si>
    <t>2B 14</t>
  </si>
  <si>
    <t>37 BE</t>
  </si>
  <si>
    <t>F7 02</t>
  </si>
  <si>
    <t>HEX 0x00000038</t>
  </si>
  <si>
    <t>8A E3</t>
  </si>
  <si>
    <t>9C 3C</t>
  </si>
  <si>
    <t>FA C0</t>
  </si>
  <si>
    <t>HEX 0x000000A9</t>
  </si>
  <si>
    <t>67 20</t>
  </si>
  <si>
    <t>HEX 0x000000C2</t>
  </si>
  <si>
    <t>F1 4E</t>
  </si>
  <si>
    <t>HEX 0x000000DB</t>
  </si>
  <si>
    <t>F2 49</t>
  </si>
  <si>
    <t>64 3F</t>
  </si>
  <si>
    <t>2F 80</t>
  </si>
  <si>
    <t>3E 4D</t>
  </si>
  <si>
    <t>CC 0C</t>
  </si>
  <si>
    <t>BD EF</t>
  </si>
  <si>
    <t>EA 12</t>
  </si>
  <si>
    <t>78 13</t>
  </si>
  <si>
    <t>DE E1</t>
  </si>
  <si>
    <t>11 85</t>
  </si>
  <si>
    <t>26 AE</t>
  </si>
  <si>
    <t>D6 A7</t>
  </si>
  <si>
    <t>7D 0A</t>
  </si>
  <si>
    <t>34 45</t>
  </si>
  <si>
    <t>41 2E</t>
  </si>
  <si>
    <t>68 72</t>
  </si>
  <si>
    <t>94 8A</t>
  </si>
  <si>
    <t>HEX 0x000000A0</t>
  </si>
  <si>
    <t>DE 2E</t>
  </si>
  <si>
    <t>3E 1C</t>
  </si>
  <si>
    <t>D4 9E</t>
  </si>
  <si>
    <t>B3 B9</t>
  </si>
  <si>
    <t>3B CD</t>
  </si>
  <si>
    <t>F2 BB</t>
  </si>
  <si>
    <t>7C E8</t>
  </si>
  <si>
    <t>8B F0</t>
  </si>
  <si>
    <t>HEX 0x0000007E</t>
  </si>
  <si>
    <t>AE DF</t>
  </si>
  <si>
    <t>C7 0F</t>
  </si>
  <si>
    <t>F8 FC</t>
  </si>
  <si>
    <t>F9 FE</t>
  </si>
  <si>
    <t>4A FF</t>
  </si>
  <si>
    <t>HEX 0x000000AF</t>
  </si>
  <si>
    <t>D1 94</t>
  </si>
  <si>
    <t>2D 7D</t>
  </si>
  <si>
    <t>8B 6A</t>
  </si>
  <si>
    <t>HEX 0x00000055</t>
  </si>
  <si>
    <t>C9 E4</t>
  </si>
  <si>
    <t>CC 9F</t>
  </si>
  <si>
    <t>HEX 0x0000006C</t>
  </si>
  <si>
    <t>00 B1</t>
  </si>
  <si>
    <t>HEX 0x00000084</t>
  </si>
  <si>
    <t>5B AA</t>
  </si>
  <si>
    <t>03 80</t>
  </si>
  <si>
    <t>HEX 0x00000094</t>
  </si>
  <si>
    <t>FC 84</t>
  </si>
  <si>
    <t>HEX 0x00000092</t>
  </si>
  <si>
    <t>D4 F5</t>
  </si>
  <si>
    <t>HEX 0x000000A8</t>
  </si>
  <si>
    <t>B8 2A</t>
  </si>
  <si>
    <t>27 D1</t>
  </si>
  <si>
    <t>50 78</t>
  </si>
  <si>
    <t>CE 08</t>
  </si>
  <si>
    <t>HEX 0x00000122</t>
  </si>
  <si>
    <t>BA B5</t>
  </si>
  <si>
    <t>1F 7C</t>
  </si>
  <si>
    <t>59 09</t>
  </si>
  <si>
    <t>38 75</t>
  </si>
  <si>
    <t>DA E1</t>
  </si>
  <si>
    <t>32 37</t>
  </si>
  <si>
    <t>D3 68</t>
  </si>
  <si>
    <t>A1 82</t>
  </si>
  <si>
    <t>88 B8</t>
  </si>
  <si>
    <t>DC 0A</t>
  </si>
  <si>
    <t>FE 8B</t>
  </si>
  <si>
    <t>C2 ED</t>
  </si>
  <si>
    <t>20 0D</t>
  </si>
  <si>
    <t>F7 F0</t>
  </si>
  <si>
    <t>C6 2B</t>
  </si>
  <si>
    <t>九十九化身槽减少（攻击动作中）</t>
  </si>
  <si>
    <t>HEX 0x00000061</t>
  </si>
  <si>
    <t>EF 33</t>
  </si>
  <si>
    <t>HEX 0x00000072</t>
  </si>
  <si>
    <t>93 B9</t>
  </si>
  <si>
    <t>C1 0B</t>
  </si>
  <si>
    <t>HEX 0x0000008A</t>
  </si>
  <si>
    <t>43 FF</t>
  </si>
  <si>
    <t>62 9D</t>
  </si>
  <si>
    <t>HEX 0x0000009A</t>
  </si>
  <si>
    <t>C9 0C</t>
  </si>
  <si>
    <t>56 CF</t>
  </si>
  <si>
    <t>HEX 0x000000B0</t>
  </si>
  <si>
    <t>0A 01</t>
  </si>
  <si>
    <t>HEX 0x000000C6</t>
  </si>
  <si>
    <t>06 D7</t>
  </si>
  <si>
    <t>91 C5</t>
  </si>
  <si>
    <t>3A E4</t>
  </si>
  <si>
    <t>26 47</t>
  </si>
  <si>
    <t>HEX 0x0000008F</t>
  </si>
  <si>
    <t>48 04</t>
  </si>
  <si>
    <t>66 13</t>
  </si>
  <si>
    <t>HEX 0x000000A4</t>
  </si>
  <si>
    <t>B2 EA</t>
  </si>
  <si>
    <t>87 80</t>
  </si>
  <si>
    <t>0C 22</t>
  </si>
  <si>
    <t>73 6C</t>
  </si>
  <si>
    <t>67 38</t>
  </si>
  <si>
    <t>0D 05</t>
  </si>
  <si>
    <t>7A ED</t>
  </si>
  <si>
    <t>8A 95</t>
  </si>
  <si>
    <t>A4 A0</t>
  </si>
  <si>
    <t>99 63</t>
  </si>
  <si>
    <t>HEX 0x000000BC</t>
  </si>
  <si>
    <t>05 62</t>
  </si>
  <si>
    <t>HEX 0x000000EC</t>
  </si>
  <si>
    <t>03 65</t>
  </si>
  <si>
    <t>HEX 0x00000089</t>
  </si>
  <si>
    <t>1B 1A</t>
  </si>
  <si>
    <t>HEX 0x00000098</t>
  </si>
  <si>
    <t>HEX 0x0000009C</t>
  </si>
  <si>
    <t>5A 80</t>
  </si>
  <si>
    <t>HEX 0x0000005B</t>
  </si>
  <si>
    <t>CD DB</t>
  </si>
  <si>
    <t>HEX 0x00000066</t>
  </si>
  <si>
    <t>CC 1C</t>
  </si>
  <si>
    <t>28 7B</t>
  </si>
  <si>
    <t>CD 60</t>
  </si>
  <si>
    <t>DD D3</t>
  </si>
  <si>
    <t>4C BD</t>
  </si>
  <si>
    <t>HEX 0x0000009D</t>
  </si>
  <si>
    <t>3B 01</t>
  </si>
  <si>
    <t>94 0D</t>
  </si>
  <si>
    <t>D2 18</t>
  </si>
  <si>
    <t>2D CC</t>
  </si>
  <si>
    <t>61 92</t>
  </si>
  <si>
    <t>58 36</t>
  </si>
  <si>
    <t>19 22</t>
  </si>
  <si>
    <t>9C 49</t>
  </si>
  <si>
    <t>D2 E3</t>
  </si>
  <si>
    <t>HEX 0x000000C0</t>
  </si>
  <si>
    <t>41 8C</t>
  </si>
  <si>
    <t>HEX 0x000000D0</t>
  </si>
  <si>
    <t>BE BD</t>
  </si>
  <si>
    <t>HEX 0x000000E1</t>
  </si>
  <si>
    <t>A6 7D</t>
  </si>
  <si>
    <t>HEX 0x000000B9</t>
  </si>
  <si>
    <t>D8 C4</t>
  </si>
  <si>
    <t>HEX 0x000000D3</t>
  </si>
  <si>
    <t>08 97</t>
  </si>
  <si>
    <t>HEX 0x000000EE</t>
  </si>
  <si>
    <t>31 AC</t>
  </si>
  <si>
    <t>25 A8</t>
  </si>
  <si>
    <t>C2 E1</t>
  </si>
  <si>
    <t>HEX 0x00000090</t>
  </si>
  <si>
    <t>2D A9</t>
  </si>
  <si>
    <t>9B 7F</t>
  </si>
  <si>
    <t>2C 88</t>
  </si>
  <si>
    <t>9A 9A</t>
  </si>
  <si>
    <t>74 D0</t>
  </si>
  <si>
    <t>E0 A3</t>
  </si>
  <si>
    <t>A5 FF</t>
  </si>
  <si>
    <t>64 B9</t>
  </si>
  <si>
    <t>3D 54</t>
  </si>
  <si>
    <t>4E 7F</t>
  </si>
  <si>
    <t>29 A1</t>
  </si>
  <si>
    <t>21 E0</t>
  </si>
  <si>
    <t>D2 D7</t>
  </si>
  <si>
    <t>9B FB</t>
  </si>
  <si>
    <t>DA 93</t>
  </si>
  <si>
    <t>63 2C</t>
  </si>
  <si>
    <t>30 48</t>
  </si>
  <si>
    <t>C5 4F</t>
  </si>
  <si>
    <t>BC 11</t>
  </si>
  <si>
    <t>0A B7</t>
  </si>
  <si>
    <t>B1 3D</t>
  </si>
  <si>
    <t>8A 87</t>
  </si>
  <si>
    <t>0A 93</t>
  </si>
  <si>
    <t>F6 03</t>
  </si>
  <si>
    <t>B8 BE</t>
  </si>
  <si>
    <t>7B 3B</t>
  </si>
  <si>
    <t>40 B4</t>
  </si>
  <si>
    <t>6E 49</t>
  </si>
  <si>
    <t>A1 AD</t>
  </si>
  <si>
    <t>6F C6</t>
  </si>
  <si>
    <t>8D 82</t>
  </si>
  <si>
    <t>52 75</t>
  </si>
  <si>
    <t>5A EB</t>
  </si>
  <si>
    <t>F0 D4</t>
  </si>
  <si>
    <t>F3 40</t>
  </si>
  <si>
    <t>95 5E</t>
  </si>
  <si>
    <t>84 9F</t>
  </si>
  <si>
    <t>HEX 0x000000A7</t>
  </si>
  <si>
    <t>14 26</t>
  </si>
  <si>
    <t>HEX 0x000000B8</t>
  </si>
  <si>
    <t>57 D3</t>
  </si>
  <si>
    <t>E6 18</t>
  </si>
  <si>
    <t>HEX 0x000001AE</t>
  </si>
  <si>
    <t>6B DC</t>
  </si>
  <si>
    <t>HEX 0x000001D6</t>
  </si>
  <si>
    <t>8C 24</t>
  </si>
  <si>
    <t>HEX 0x00000208</t>
  </si>
  <si>
    <t>7C 41</t>
  </si>
  <si>
    <t>FB 1B</t>
  </si>
  <si>
    <t>68 94</t>
  </si>
  <si>
    <t>45 A3</t>
  </si>
  <si>
    <t>E3 4A</t>
  </si>
  <si>
    <t>47 78</t>
  </si>
  <si>
    <t>F0 3B</t>
  </si>
  <si>
    <t>3D 72</t>
  </si>
  <si>
    <t>EE B4</t>
  </si>
  <si>
    <t>58 0D</t>
  </si>
  <si>
    <t>EE 99</t>
  </si>
  <si>
    <t>76 33</t>
  </si>
  <si>
    <t>HEX 0x00000075</t>
  </si>
  <si>
    <t>A2 D0</t>
  </si>
  <si>
    <t>67 7C</t>
  </si>
  <si>
    <t>56 DB</t>
  </si>
  <si>
    <t>HEX 0x00000093</t>
  </si>
  <si>
    <t>64 3E</t>
  </si>
  <si>
    <t>D6 E9</t>
  </si>
  <si>
    <t>97 10</t>
  </si>
  <si>
    <t>67 E9</t>
  </si>
  <si>
    <t>B6 E1</t>
  </si>
  <si>
    <t>34 5F</t>
  </si>
  <si>
    <t>49 0A</t>
  </si>
  <si>
    <t>D2 9C</t>
  </si>
  <si>
    <t>ED 62</t>
  </si>
  <si>
    <t>CE 5A</t>
  </si>
  <si>
    <t>B8 B4</t>
  </si>
  <si>
    <t>14 7B</t>
  </si>
  <si>
    <t>CA 0C</t>
  </si>
  <si>
    <t>D0 F1</t>
  </si>
  <si>
    <t>D3 36</t>
  </si>
  <si>
    <t>48 AB</t>
  </si>
  <si>
    <t>56 3E</t>
  </si>
  <si>
    <t>99 CE</t>
  </si>
  <si>
    <t>9F DA</t>
  </si>
  <si>
    <t>HEX 0x0000005D</t>
  </si>
  <si>
    <t>24 19</t>
  </si>
  <si>
    <t>0E 77</t>
  </si>
  <si>
    <t>8E 6F</t>
  </si>
  <si>
    <t>35 98</t>
  </si>
  <si>
    <t>35 75</t>
  </si>
  <si>
    <t>63 DB</t>
  </si>
  <si>
    <t>90 DE</t>
  </si>
  <si>
    <t>4E 04</t>
  </si>
  <si>
    <t>8B C4</t>
  </si>
  <si>
    <t>3F 83</t>
  </si>
  <si>
    <t>6E 4C</t>
  </si>
  <si>
    <t>7F B3</t>
  </si>
  <si>
    <t>B7 2F</t>
  </si>
  <si>
    <t>87 B9</t>
  </si>
  <si>
    <t>83 44</t>
  </si>
  <si>
    <t>C6 93</t>
  </si>
  <si>
    <t>1F DB</t>
  </si>
  <si>
    <t>55 42</t>
  </si>
  <si>
    <t>8E AE</t>
  </si>
  <si>
    <t>B6 CE</t>
  </si>
  <si>
    <t>22 12</t>
  </si>
  <si>
    <t>B6 1B</t>
  </si>
  <si>
    <t>5B C4</t>
  </si>
  <si>
    <t>7D 71</t>
  </si>
  <si>
    <t>D2 B6</t>
  </si>
  <si>
    <t>64 75</t>
  </si>
  <si>
    <t>79 DE</t>
  </si>
  <si>
    <t>47 9C</t>
  </si>
  <si>
    <t>39 07</t>
  </si>
  <si>
    <t>87 01</t>
  </si>
  <si>
    <t>42 60</t>
  </si>
  <si>
    <t>44 46</t>
  </si>
  <si>
    <t>C8 7B</t>
  </si>
  <si>
    <t>B1 E4</t>
  </si>
  <si>
    <t>91 5A</t>
  </si>
  <si>
    <t>B4 1B</t>
  </si>
  <si>
    <t>AF 81</t>
  </si>
  <si>
    <t>AF 02</t>
  </si>
  <si>
    <t>6C 08</t>
  </si>
  <si>
    <t>26 4D</t>
  </si>
  <si>
    <t>BB 6C</t>
  </si>
  <si>
    <t>BD 68</t>
  </si>
  <si>
    <t>98 E4</t>
  </si>
  <si>
    <t>98 32</t>
  </si>
  <si>
    <t>2F A4</t>
  </si>
  <si>
    <t>9C 2D</t>
  </si>
  <si>
    <t>30 57</t>
  </si>
  <si>
    <t>98 64</t>
  </si>
  <si>
    <t>C5 D0</t>
  </si>
  <si>
    <t>2E CB</t>
  </si>
  <si>
    <t>54 76</t>
  </si>
  <si>
    <t>19 7B</t>
  </si>
  <si>
    <t>E8 91</t>
  </si>
  <si>
    <t>FD BA</t>
  </si>
  <si>
    <t>94 BF</t>
  </si>
  <si>
    <t>DF E2</t>
  </si>
  <si>
    <t>43 C3</t>
  </si>
  <si>
    <t>15 BD</t>
  </si>
  <si>
    <t>3F A4</t>
  </si>
  <si>
    <t>BC C4</t>
  </si>
  <si>
    <t>DF 74</t>
  </si>
  <si>
    <t>D6 D4</t>
  </si>
  <si>
    <t>76 B5</t>
  </si>
  <si>
    <t>17 12</t>
  </si>
  <si>
    <t>70 D8</t>
  </si>
  <si>
    <t>F0 0F</t>
  </si>
  <si>
    <t>21 A6</t>
  </si>
  <si>
    <t>90 81</t>
  </si>
  <si>
    <t>66 A5</t>
  </si>
  <si>
    <t>F9 B2</t>
  </si>
  <si>
    <t>8B 48</t>
  </si>
  <si>
    <t>E4 8C</t>
  </si>
  <si>
    <t>39 84</t>
  </si>
  <si>
    <t>45 5D</t>
  </si>
  <si>
    <t>35 D1</t>
  </si>
  <si>
    <t>53 C4</t>
  </si>
  <si>
    <t>AA 6E</t>
  </si>
  <si>
    <t>08 B0</t>
  </si>
  <si>
    <t>CF 0C</t>
  </si>
  <si>
    <t>AA FB</t>
  </si>
  <si>
    <t>7E 75</t>
  </si>
  <si>
    <t>9A B0</t>
  </si>
  <si>
    <t>5C 6E</t>
  </si>
  <si>
    <t>77 DF</t>
  </si>
  <si>
    <t>CB 89</t>
  </si>
  <si>
    <t>B2 C6</t>
  </si>
  <si>
    <t>1A 43</t>
  </si>
  <si>
    <t>85 4F</t>
  </si>
  <si>
    <t>70 62</t>
  </si>
  <si>
    <t>A6 AF</t>
  </si>
  <si>
    <t>7D C4</t>
  </si>
  <si>
    <t>F6 27</t>
  </si>
  <si>
    <t>DC 1F</t>
  </si>
  <si>
    <t>B9 BD</t>
  </si>
  <si>
    <t>59 CF</t>
  </si>
  <si>
    <t>34 30</t>
  </si>
  <si>
    <t>26 78</t>
  </si>
  <si>
    <t>19 45</t>
  </si>
  <si>
    <t>DE 65</t>
  </si>
  <si>
    <t>47 1C</t>
  </si>
  <si>
    <t>A8 54</t>
  </si>
  <si>
    <t>A4 2A</t>
  </si>
  <si>
    <t>9D 49</t>
  </si>
  <si>
    <t>ED D0</t>
  </si>
  <si>
    <t>1F C8</t>
  </si>
  <si>
    <t>5D 49</t>
  </si>
  <si>
    <t>18 2E</t>
  </si>
  <si>
    <t>HEX 0x000000AA</t>
  </si>
  <si>
    <t>5B 3B</t>
  </si>
  <si>
    <t>AA 11</t>
  </si>
  <si>
    <t>A8 E1</t>
  </si>
  <si>
    <t>99 54</t>
  </si>
  <si>
    <t>0C 0D</t>
  </si>
  <si>
    <t>6F 97</t>
  </si>
  <si>
    <t>2F 58</t>
  </si>
  <si>
    <t>3D 4F</t>
  </si>
  <si>
    <t>79 66</t>
  </si>
  <si>
    <t>7A 0A</t>
  </si>
  <si>
    <t>AA 2B</t>
  </si>
  <si>
    <t>65 4B</t>
  </si>
  <si>
    <t>55 95</t>
  </si>
  <si>
    <t>6A C0</t>
  </si>
  <si>
    <t>B0 43</t>
  </si>
  <si>
    <t>AE F7</t>
  </si>
  <si>
    <t>01 00</t>
  </si>
  <si>
    <t>未完成的杰作</t>
  </si>
  <si>
    <t>CE 56</t>
  </si>
  <si>
    <t>A6 C9</t>
  </si>
  <si>
    <t>50 C6</t>
  </si>
  <si>
    <t>CA 75</t>
  </si>
  <si>
    <t>06 2D</t>
  </si>
  <si>
    <t>63 D3</t>
  </si>
  <si>
    <t>AD 70</t>
  </si>
  <si>
    <t>EF 95</t>
  </si>
  <si>
    <t>94 0B</t>
  </si>
  <si>
    <t>C1 D8</t>
  </si>
  <si>
    <t>C4 E7</t>
  </si>
  <si>
    <t>2D 51</t>
  </si>
  <si>
    <t>精髓并存（武士）</t>
  </si>
  <si>
    <t>74 EA</t>
  </si>
  <si>
    <t>精髓并存（忍者）</t>
  </si>
  <si>
    <t>BE F9</t>
  </si>
  <si>
    <t>精髓并存（共通）</t>
  </si>
  <si>
    <t>2B 6E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</si>
</sst>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  <numFmt numFmtId="178" formatCode="0_ "/>
    <numFmt numFmtId="179" formatCode="0.0_ "/>
    <numFmt numFmtId="180" formatCode="0.0_);[Red]\(0.0\)"/>
  </numFmts>
  <fonts count="38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9"/>
      <name val="Aptos"/>
      <charset val="134"/>
    </font>
    <font>
      <sz val="9"/>
      <name val="宋体"/>
      <charset val="134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4"/>
      <color theme="1"/>
      <name val="宋体"/>
      <charset val="134"/>
    </font>
    <font>
      <b/>
      <sz val="11.4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.4"/>
      <color rgb="FF000000"/>
      <name val="宋体"/>
      <charset val="134"/>
      <scheme val="minor"/>
    </font>
    <font>
      <b/>
      <sz val="11.4"/>
      <color theme="1"/>
      <name val="宋体"/>
      <charset val="134"/>
      <scheme val="minor"/>
    </font>
    <font>
      <sz val="11"/>
      <color theme="1"/>
      <name val="宋体"/>
      <charset val="134"/>
    </font>
    <font>
      <sz val="11.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5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C616EC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37C76D"/>
        <bgColor indexed="64"/>
      </patternFill>
    </fill>
    <fill>
      <patternFill patternType="solid">
        <fgColor rgb="FFEB13BB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B20E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C0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5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6" borderId="16" applyNumberFormat="0" applyAlignment="0" applyProtection="0">
      <alignment vertical="center"/>
    </xf>
    <xf numFmtId="0" fontId="27" fillId="27" borderId="17" applyNumberFormat="0" applyAlignment="0" applyProtection="0">
      <alignment vertical="center"/>
    </xf>
    <xf numFmtId="0" fontId="28" fillId="27" borderId="16" applyNumberFormat="0" applyAlignment="0" applyProtection="0">
      <alignment vertical="center"/>
    </xf>
    <xf numFmtId="0" fontId="29" fillId="28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7" fillId="0" borderId="0"/>
  </cellStyleXfs>
  <cellXfs count="2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horizontal="center"/>
    </xf>
    <xf numFmtId="0" fontId="2" fillId="0" borderId="1" xfId="49" applyNumberFormat="1" applyFont="1" applyFill="1" applyBorder="1" applyAlignment="1">
      <alignment horizontal="left"/>
    </xf>
    <xf numFmtId="0" fontId="2" fillId="0" borderId="1" xfId="49" applyNumberFormat="1" applyFont="1" applyFill="1" applyBorder="1"/>
    <xf numFmtId="0" fontId="3" fillId="0" borderId="1" xfId="49" applyNumberFormat="1" applyFont="1" applyFill="1" applyBorder="1" applyAlignment="1">
      <alignment horizontal="center"/>
    </xf>
    <xf numFmtId="0" fontId="2" fillId="4" borderId="1" xfId="49" applyNumberFormat="1" applyFont="1" applyFill="1" applyBorder="1" applyAlignment="1">
      <alignment horizontal="center"/>
    </xf>
    <xf numFmtId="0" fontId="3" fillId="0" borderId="1" xfId="49" applyNumberFormat="1" applyFont="1" applyFill="1" applyBorder="1" applyAlignment="1">
      <alignment horizontal="left"/>
    </xf>
    <xf numFmtId="0" fontId="2" fillId="5" borderId="1" xfId="49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76" fontId="0" fillId="8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0" fillId="7" borderId="1" xfId="0" applyFill="1" applyBorder="1" applyAlignment="1">
      <alignment horizontal="left" vertical="center"/>
    </xf>
    <xf numFmtId="177" fontId="0" fillId="0" borderId="1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49" fontId="0" fillId="0" borderId="1" xfId="0" applyNumberFormat="1" applyBorder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top" wrapText="1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49" fontId="0" fillId="5" borderId="2" xfId="0" applyNumberFormat="1" applyFill="1" applyBorder="1" applyAlignment="1">
      <alignment horizontal="left" vertical="center" wrapText="1"/>
    </xf>
    <xf numFmtId="49" fontId="0" fillId="5" borderId="4" xfId="0" applyNumberFormat="1" applyFill="1" applyBorder="1" applyAlignment="1">
      <alignment horizontal="left" vertical="center" wrapText="1"/>
    </xf>
    <xf numFmtId="49" fontId="0" fillId="5" borderId="1" xfId="0" applyNumberFormat="1" applyFill="1" applyBorder="1" applyAlignment="1">
      <alignment horizontal="left" vertical="center" wrapText="1"/>
    </xf>
    <xf numFmtId="49" fontId="0" fillId="5" borderId="2" xfId="0" applyNumberFormat="1" applyFill="1" applyBorder="1" applyAlignment="1">
      <alignment horizontal="left" vertical="top" wrapText="1"/>
    </xf>
    <xf numFmtId="49" fontId="0" fillId="5" borderId="4" xfId="0" applyNumberFormat="1" applyFill="1" applyBorder="1" applyAlignment="1">
      <alignment horizontal="left" vertical="top"/>
    </xf>
    <xf numFmtId="0" fontId="0" fillId="5" borderId="5" xfId="0" applyFill="1" applyBorder="1" applyAlignment="1">
      <alignment horizontal="left" vertical="top" wrapText="1"/>
    </xf>
    <xf numFmtId="49" fontId="0" fillId="5" borderId="1" xfId="0" applyNumberForma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49" fontId="0" fillId="5" borderId="1" xfId="0" applyNumberFormat="1" applyFill="1" applyBorder="1" applyAlignment="1">
      <alignment horizontal="left" vertical="top"/>
    </xf>
    <xf numFmtId="49" fontId="0" fillId="10" borderId="1" xfId="0" applyNumberFormat="1" applyFill="1" applyBorder="1" applyAlignment="1">
      <alignment horizontal="left" vertical="center" wrapText="1"/>
    </xf>
    <xf numFmtId="49" fontId="0" fillId="10" borderId="1" xfId="0" applyNumberForma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11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12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8" borderId="0" xfId="0" applyFill="1">
      <alignment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distributed" vertical="center" indent="1"/>
    </xf>
    <xf numFmtId="0" fontId="6" fillId="13" borderId="9" xfId="0" applyFont="1" applyFill="1" applyBorder="1" applyAlignment="1">
      <alignment horizontal="distributed" vertical="center" indent="1"/>
    </xf>
    <xf numFmtId="0" fontId="6" fillId="14" borderId="7" xfId="0" applyFont="1" applyFill="1" applyBorder="1" applyAlignment="1">
      <alignment horizontal="center" vertical="center"/>
    </xf>
    <xf numFmtId="178" fontId="6" fillId="13" borderId="8" xfId="0" applyNumberFormat="1" applyFont="1" applyFill="1" applyBorder="1" applyAlignment="1">
      <alignment horizontal="distributed" vertical="center"/>
    </xf>
    <xf numFmtId="178" fontId="6" fillId="13" borderId="9" xfId="0" applyNumberFormat="1" applyFont="1" applyFill="1" applyBorder="1" applyAlignment="1">
      <alignment horizontal="distributed" vertical="center"/>
    </xf>
    <xf numFmtId="179" fontId="6" fillId="15" borderId="8" xfId="0" applyNumberFormat="1" applyFont="1" applyFill="1" applyBorder="1" applyAlignment="1">
      <alignment horizontal="distributed" vertical="center"/>
    </xf>
    <xf numFmtId="0" fontId="6" fillId="15" borderId="9" xfId="0" applyFont="1" applyFill="1" applyBorder="1" applyAlignment="1">
      <alignment horizontal="distributed" vertical="center"/>
    </xf>
    <xf numFmtId="0" fontId="6" fillId="2" borderId="8" xfId="0" applyFont="1" applyFill="1" applyBorder="1" applyAlignment="1">
      <alignment horizontal="distributed" vertical="center"/>
    </xf>
    <xf numFmtId="0" fontId="6" fillId="2" borderId="9" xfId="0" applyFont="1" applyFill="1" applyBorder="1" applyAlignment="1">
      <alignment horizontal="distributed" vertical="center"/>
    </xf>
    <xf numFmtId="0" fontId="7" fillId="16" borderId="8" xfId="0" applyFont="1" applyFill="1" applyBorder="1" applyAlignment="1">
      <alignment horizontal="distributed" vertical="center"/>
    </xf>
    <xf numFmtId="0" fontId="7" fillId="16" borderId="9" xfId="0" applyFont="1" applyFill="1" applyBorder="1" applyAlignment="1">
      <alignment horizontal="distributed" vertical="center"/>
    </xf>
    <xf numFmtId="0" fontId="6" fillId="11" borderId="8" xfId="0" applyFont="1" applyFill="1" applyBorder="1" applyAlignment="1">
      <alignment horizontal="distributed" vertical="center"/>
    </xf>
    <xf numFmtId="0" fontId="6" fillId="11" borderId="9" xfId="0" applyFont="1" applyFill="1" applyBorder="1" applyAlignment="1">
      <alignment horizontal="distributed" vertical="center"/>
    </xf>
    <xf numFmtId="0" fontId="6" fillId="10" borderId="8" xfId="0" applyFont="1" applyFill="1" applyBorder="1" applyAlignment="1">
      <alignment horizontal="distributed" vertical="center"/>
    </xf>
    <xf numFmtId="0" fontId="6" fillId="10" borderId="9" xfId="0" applyFont="1" applyFill="1" applyBorder="1" applyAlignment="1">
      <alignment horizontal="distributed" vertical="center"/>
    </xf>
    <xf numFmtId="0" fontId="6" fillId="17" borderId="8" xfId="0" applyFont="1" applyFill="1" applyBorder="1" applyAlignment="1">
      <alignment horizontal="distributed" vertical="center"/>
    </xf>
    <xf numFmtId="0" fontId="6" fillId="17" borderId="9" xfId="0" applyFont="1" applyFill="1" applyBorder="1" applyAlignment="1">
      <alignment horizontal="distributed" vertical="center"/>
    </xf>
    <xf numFmtId="0" fontId="6" fillId="18" borderId="8" xfId="0" applyFont="1" applyFill="1" applyBorder="1" applyAlignment="1">
      <alignment horizontal="distributed" vertical="center"/>
    </xf>
    <xf numFmtId="0" fontId="6" fillId="18" borderId="9" xfId="0" applyFont="1" applyFill="1" applyBorder="1" applyAlignment="1">
      <alignment horizontal="distributed" vertical="center"/>
    </xf>
    <xf numFmtId="0" fontId="6" fillId="19" borderId="7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0" xfId="0" applyFill="1" applyBorder="1" applyAlignment="1">
      <alignment horizontal="left" vertical="center"/>
    </xf>
    <xf numFmtId="180" fontId="0" fillId="8" borderId="1" xfId="0" applyNumberFormat="1" applyFill="1" applyBorder="1" applyAlignment="1">
      <alignment horizontal="center" vertical="center"/>
    </xf>
    <xf numFmtId="179" fontId="0" fillId="8" borderId="11" xfId="0" applyNumberFormat="1" applyFont="1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178" fontId="0" fillId="13" borderId="1" xfId="0" applyNumberFormat="1" applyFill="1" applyBorder="1" applyAlignment="1">
      <alignment horizontal="center" vertical="center"/>
    </xf>
    <xf numFmtId="178" fontId="0" fillId="13" borderId="10" xfId="0" applyNumberFormat="1" applyFill="1" applyBorder="1" applyAlignment="1">
      <alignment horizontal="center" vertical="center"/>
    </xf>
    <xf numFmtId="179" fontId="0" fillId="15" borderId="10" xfId="0" applyNumberFormat="1" applyFill="1" applyBorder="1" applyAlignment="1">
      <alignment horizontal="center" vertical="center"/>
    </xf>
    <xf numFmtId="179" fontId="0" fillId="15" borderId="11" xfId="0" applyNumberFormat="1" applyFont="1" applyFill="1" applyBorder="1" applyAlignment="1">
      <alignment horizontal="center" vertical="center"/>
    </xf>
    <xf numFmtId="180" fontId="0" fillId="2" borderId="1" xfId="0" applyNumberFormat="1" applyFont="1" applyFill="1" applyBorder="1" applyAlignment="1">
      <alignment horizontal="center" vertical="center"/>
    </xf>
    <xf numFmtId="179" fontId="0" fillId="2" borderId="11" xfId="0" applyNumberFormat="1" applyFont="1" applyFill="1" applyBorder="1" applyAlignment="1">
      <alignment horizontal="center" vertical="center"/>
    </xf>
    <xf numFmtId="180" fontId="0" fillId="16" borderId="1" xfId="0" applyNumberFormat="1" applyFill="1" applyBorder="1" applyAlignment="1">
      <alignment horizontal="center" vertical="center"/>
    </xf>
    <xf numFmtId="179" fontId="0" fillId="16" borderId="11" xfId="0" applyNumberFormat="1" applyFont="1" applyFill="1" applyBorder="1" applyAlignment="1">
      <alignment horizontal="center" vertical="center"/>
    </xf>
    <xf numFmtId="180" fontId="0" fillId="11" borderId="1" xfId="0" applyNumberFormat="1" applyFill="1" applyBorder="1" applyAlignment="1">
      <alignment horizontal="center" vertical="center"/>
    </xf>
    <xf numFmtId="179" fontId="0" fillId="11" borderId="11" xfId="0" applyNumberFormat="1" applyFont="1" applyFill="1" applyBorder="1" applyAlignment="1">
      <alignment horizontal="center" vertical="center"/>
    </xf>
    <xf numFmtId="180" fontId="0" fillId="10" borderId="1" xfId="0" applyNumberFormat="1" applyFill="1" applyBorder="1" applyAlignment="1">
      <alignment horizontal="center" vertical="center"/>
    </xf>
    <xf numFmtId="179" fontId="0" fillId="10" borderId="11" xfId="0" applyNumberFormat="1" applyFont="1" applyFill="1" applyBorder="1" applyAlignment="1">
      <alignment horizontal="center" vertical="center"/>
    </xf>
    <xf numFmtId="180" fontId="0" fillId="17" borderId="1" xfId="0" applyNumberFormat="1" applyFill="1" applyBorder="1" applyAlignment="1">
      <alignment horizontal="center" vertical="center"/>
    </xf>
    <xf numFmtId="179" fontId="0" fillId="17" borderId="11" xfId="0" applyNumberFormat="1" applyFont="1" applyFill="1" applyBorder="1" applyAlignment="1">
      <alignment horizontal="center" vertical="center"/>
    </xf>
    <xf numFmtId="180" fontId="0" fillId="18" borderId="1" xfId="0" applyNumberFormat="1" applyFill="1" applyBorder="1" applyAlignment="1">
      <alignment horizontal="center" vertical="center"/>
    </xf>
    <xf numFmtId="179" fontId="0" fillId="18" borderId="11" xfId="0" applyNumberFormat="1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79" fontId="0" fillId="8" borderId="3" xfId="0" applyNumberFormat="1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79" fontId="0" fillId="15" borderId="1" xfId="0" applyNumberFormat="1" applyFill="1" applyBorder="1" applyAlignment="1">
      <alignment horizontal="center" vertical="center"/>
    </xf>
    <xf numFmtId="179" fontId="0" fillId="15" borderId="3" xfId="0" applyNumberFormat="1" applyFont="1" applyFill="1" applyBorder="1" applyAlignment="1">
      <alignment horizontal="center" vertical="center"/>
    </xf>
    <xf numFmtId="179" fontId="0" fillId="2" borderId="3" xfId="0" applyNumberFormat="1" applyFont="1" applyFill="1" applyBorder="1" applyAlignment="1">
      <alignment horizontal="center" vertical="center"/>
    </xf>
    <xf numFmtId="179" fontId="0" fillId="16" borderId="3" xfId="0" applyNumberFormat="1" applyFont="1" applyFill="1" applyBorder="1" applyAlignment="1">
      <alignment horizontal="center" vertical="center"/>
    </xf>
    <xf numFmtId="179" fontId="0" fillId="11" borderId="3" xfId="0" applyNumberFormat="1" applyFont="1" applyFill="1" applyBorder="1" applyAlignment="1">
      <alignment horizontal="center" vertical="center"/>
    </xf>
    <xf numFmtId="179" fontId="0" fillId="10" borderId="3" xfId="0" applyNumberFormat="1" applyFont="1" applyFill="1" applyBorder="1" applyAlignment="1">
      <alignment horizontal="center" vertical="center"/>
    </xf>
    <xf numFmtId="179" fontId="0" fillId="17" borderId="3" xfId="0" applyNumberFormat="1" applyFont="1" applyFill="1" applyBorder="1" applyAlignment="1">
      <alignment horizontal="center" vertical="center"/>
    </xf>
    <xf numFmtId="179" fontId="0" fillId="18" borderId="3" xfId="0" applyNumberFormat="1" applyFont="1" applyFill="1" applyBorder="1" applyAlignment="1">
      <alignment horizontal="center" vertical="center"/>
    </xf>
    <xf numFmtId="179" fontId="0" fillId="8" borderId="4" xfId="0" applyNumberFormat="1" applyFont="1" applyFill="1" applyBorder="1" applyAlignment="1">
      <alignment horizontal="center" vertical="center"/>
    </xf>
    <xf numFmtId="179" fontId="0" fillId="15" borderId="4" xfId="0" applyNumberFormat="1" applyFont="1" applyFill="1" applyBorder="1" applyAlignment="1">
      <alignment horizontal="center" vertical="center"/>
    </xf>
    <xf numFmtId="179" fontId="0" fillId="2" borderId="4" xfId="0" applyNumberFormat="1" applyFont="1" applyFill="1" applyBorder="1" applyAlignment="1">
      <alignment horizontal="center" vertical="center"/>
    </xf>
    <xf numFmtId="179" fontId="0" fillId="16" borderId="4" xfId="0" applyNumberFormat="1" applyFont="1" applyFill="1" applyBorder="1" applyAlignment="1">
      <alignment horizontal="center" vertical="center"/>
    </xf>
    <xf numFmtId="179" fontId="0" fillId="11" borderId="4" xfId="0" applyNumberFormat="1" applyFont="1" applyFill="1" applyBorder="1" applyAlignment="1">
      <alignment horizontal="center" vertical="center"/>
    </xf>
    <xf numFmtId="179" fontId="0" fillId="10" borderId="4" xfId="0" applyNumberFormat="1" applyFont="1" applyFill="1" applyBorder="1" applyAlignment="1">
      <alignment horizontal="center" vertical="center"/>
    </xf>
    <xf numFmtId="179" fontId="0" fillId="17" borderId="4" xfId="0" applyNumberFormat="1" applyFont="1" applyFill="1" applyBorder="1" applyAlignment="1">
      <alignment horizontal="center" vertical="center"/>
    </xf>
    <xf numFmtId="179" fontId="0" fillId="18" borderId="4" xfId="0" applyNumberFormat="1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0" fillId="8" borderId="10" xfId="0" applyFont="1" applyFill="1" applyBorder="1" applyAlignment="1">
      <alignment horizontal="center" vertical="center"/>
    </xf>
    <xf numFmtId="0" fontId="0" fillId="8" borderId="11" xfId="0" applyFont="1" applyFill="1" applyBorder="1" applyAlignment="1">
      <alignment horizontal="center" vertical="center"/>
    </xf>
    <xf numFmtId="0" fontId="0" fillId="14" borderId="10" xfId="0" applyFont="1" applyFill="1" applyBorder="1" applyAlignment="1">
      <alignment horizontal="center" vertical="center"/>
    </xf>
    <xf numFmtId="178" fontId="0" fillId="13" borderId="11" xfId="0" applyNumberFormat="1" applyFont="1" applyFill="1" applyBorder="1" applyAlignment="1">
      <alignment horizontal="center" vertical="center"/>
    </xf>
    <xf numFmtId="179" fontId="0" fillId="15" borderId="10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0" fillId="8" borderId="3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178" fontId="0" fillId="13" borderId="3" xfId="0" applyNumberFormat="1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179" fontId="0" fillId="15" borderId="1" xfId="0" applyNumberFormat="1" applyFont="1" applyFill="1" applyBorder="1" applyAlignment="1">
      <alignment horizontal="center" vertical="center"/>
    </xf>
    <xf numFmtId="0" fontId="0" fillId="8" borderId="4" xfId="0" applyFont="1" applyFill="1" applyBorder="1" applyAlignment="1">
      <alignment horizontal="center" vertical="center"/>
    </xf>
    <xf numFmtId="178" fontId="0" fillId="13" borderId="4" xfId="0" applyNumberFormat="1" applyFont="1" applyFill="1" applyBorder="1" applyAlignment="1">
      <alignment horizontal="center" vertical="center"/>
    </xf>
    <xf numFmtId="0" fontId="0" fillId="8" borderId="10" xfId="0" applyFont="1" applyFill="1" applyBorder="1" applyAlignment="1">
      <alignment horizontal="left" vertical="center"/>
    </xf>
    <xf numFmtId="0" fontId="0" fillId="8" borderId="1" xfId="0" applyFont="1" applyFill="1" applyBorder="1" applyAlignment="1">
      <alignment horizontal="left" vertical="center"/>
    </xf>
    <xf numFmtId="0" fontId="0" fillId="8" borderId="10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vertical="center"/>
    </xf>
    <xf numFmtId="0" fontId="0" fillId="8" borderId="2" xfId="0" applyFont="1" applyFill="1" applyBorder="1" applyAlignment="1">
      <alignment horizontal="center" vertical="center"/>
    </xf>
    <xf numFmtId="178" fontId="0" fillId="13" borderId="1" xfId="0" applyNumberFormat="1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 wrapText="1"/>
    </xf>
    <xf numFmtId="180" fontId="0" fillId="8" borderId="5" xfId="0" applyNumberFormat="1" applyFill="1" applyBorder="1" applyAlignment="1">
      <alignment horizontal="center" vertical="center"/>
    </xf>
    <xf numFmtId="180" fontId="0" fillId="8" borderId="6" xfId="0" applyNumberFormat="1" applyFill="1" applyBorder="1" applyAlignment="1">
      <alignment horizontal="center" vertical="center"/>
    </xf>
    <xf numFmtId="180" fontId="0" fillId="13" borderId="5" xfId="0" applyNumberFormat="1" applyFill="1" applyBorder="1" applyAlignment="1">
      <alignment horizontal="center" vertical="center"/>
    </xf>
    <xf numFmtId="180" fontId="0" fillId="13" borderId="6" xfId="0" applyNumberFormat="1" applyFill="1" applyBorder="1" applyAlignment="1">
      <alignment horizontal="center" vertical="center"/>
    </xf>
    <xf numFmtId="180" fontId="0" fillId="15" borderId="5" xfId="0" applyNumberFormat="1" applyFill="1" applyBorder="1" applyAlignment="1">
      <alignment horizontal="center" vertical="center"/>
    </xf>
    <xf numFmtId="180" fontId="0" fillId="15" borderId="6" xfId="0" applyNumberFormat="1" applyFill="1" applyBorder="1" applyAlignment="1">
      <alignment horizontal="center" vertical="center"/>
    </xf>
    <xf numFmtId="180" fontId="0" fillId="2" borderId="5" xfId="0" applyNumberFormat="1" applyFont="1" applyFill="1" applyBorder="1" applyAlignment="1">
      <alignment horizontal="center" vertical="center"/>
    </xf>
    <xf numFmtId="180" fontId="0" fillId="2" borderId="6" xfId="0" applyNumberFormat="1" applyFont="1" applyFill="1" applyBorder="1" applyAlignment="1">
      <alignment horizontal="center" vertical="center"/>
    </xf>
    <xf numFmtId="180" fontId="0" fillId="16" borderId="5" xfId="0" applyNumberFormat="1" applyFill="1" applyBorder="1" applyAlignment="1">
      <alignment horizontal="center" vertical="center"/>
    </xf>
    <xf numFmtId="180" fontId="0" fillId="16" borderId="6" xfId="0" applyNumberFormat="1" applyFill="1" applyBorder="1" applyAlignment="1">
      <alignment horizontal="center" vertical="center"/>
    </xf>
    <xf numFmtId="180" fontId="0" fillId="11" borderId="5" xfId="0" applyNumberFormat="1" applyFill="1" applyBorder="1" applyAlignment="1">
      <alignment horizontal="center" vertical="center"/>
    </xf>
    <xf numFmtId="180" fontId="0" fillId="11" borderId="6" xfId="0" applyNumberFormat="1" applyFill="1" applyBorder="1" applyAlignment="1">
      <alignment horizontal="center" vertical="center"/>
    </xf>
    <xf numFmtId="180" fontId="0" fillId="10" borderId="5" xfId="0" applyNumberFormat="1" applyFill="1" applyBorder="1" applyAlignment="1">
      <alignment horizontal="center" vertical="center"/>
    </xf>
    <xf numFmtId="180" fontId="0" fillId="10" borderId="6" xfId="0" applyNumberFormat="1" applyFill="1" applyBorder="1" applyAlignment="1">
      <alignment horizontal="center" vertical="center"/>
    </xf>
    <xf numFmtId="180" fontId="0" fillId="17" borderId="5" xfId="0" applyNumberFormat="1" applyFill="1" applyBorder="1" applyAlignment="1">
      <alignment horizontal="center" vertical="center"/>
    </xf>
    <xf numFmtId="180" fontId="0" fillId="17" borderId="6" xfId="0" applyNumberFormat="1" applyFill="1" applyBorder="1" applyAlignment="1">
      <alignment horizontal="center" vertical="center"/>
    </xf>
    <xf numFmtId="180" fontId="0" fillId="18" borderId="5" xfId="0" applyNumberFormat="1" applyFill="1" applyBorder="1" applyAlignment="1">
      <alignment horizontal="center" vertical="center"/>
    </xf>
    <xf numFmtId="180" fontId="0" fillId="18" borderId="6" xfId="0" applyNumberForma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left" vertical="center" wrapText="1"/>
    </xf>
    <xf numFmtId="180" fontId="0" fillId="15" borderId="1" xfId="0" applyNumberFormat="1" applyFill="1" applyBorder="1" applyAlignment="1">
      <alignment horizontal="center" vertical="center"/>
    </xf>
    <xf numFmtId="178" fontId="0" fillId="13" borderId="5" xfId="0" applyNumberFormat="1" applyFill="1" applyBorder="1" applyAlignment="1">
      <alignment horizontal="center" vertical="center"/>
    </xf>
    <xf numFmtId="178" fontId="0" fillId="13" borderId="6" xfId="0" applyNumberFormat="1" applyFill="1" applyBorder="1" applyAlignment="1">
      <alignment horizontal="center" vertical="center"/>
    </xf>
    <xf numFmtId="179" fontId="0" fillId="15" borderId="5" xfId="0" applyNumberFormat="1" applyFont="1" applyFill="1" applyBorder="1" applyAlignment="1">
      <alignment horizontal="center" vertical="center"/>
    </xf>
    <xf numFmtId="179" fontId="0" fillId="15" borderId="6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6" borderId="1" xfId="0" applyFill="1" applyBorder="1" applyAlignment="1">
      <alignment horizontal="left" vertical="center"/>
    </xf>
    <xf numFmtId="177" fontId="0" fillId="8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0" fillId="21" borderId="1" xfId="0" applyFill="1" applyBorder="1" applyAlignment="1">
      <alignment horizontal="left" vertical="center"/>
    </xf>
    <xf numFmtId="0" fontId="1" fillId="22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23" borderId="0" xfId="0" applyFill="1" applyAlignment="1">
      <alignment horizontal="left" vertical="center"/>
    </xf>
    <xf numFmtId="0" fontId="10" fillId="0" borderId="0" xfId="0" applyNumberFormat="1" applyFont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0" fillId="16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9" fontId="0" fillId="0" borderId="0" xfId="0" applyNumberFormat="1" applyAlignment="1">
      <alignment vertical="center"/>
    </xf>
    <xf numFmtId="49" fontId="16" fillId="2" borderId="1" xfId="0" applyNumberFormat="1" applyFont="1" applyFill="1" applyBorder="1" applyAlignment="1">
      <alignment horizontal="center" vertical="center"/>
    </xf>
    <xf numFmtId="49" fontId="0" fillId="10" borderId="5" xfId="0" applyNumberFormat="1" applyFill="1" applyBorder="1" applyAlignment="1">
      <alignment horizontal="left" vertical="center"/>
    </xf>
    <xf numFmtId="49" fontId="0" fillId="10" borderId="12" xfId="0" applyNumberFormat="1" applyFill="1" applyBorder="1" applyAlignment="1">
      <alignment horizontal="left" vertical="center"/>
    </xf>
    <xf numFmtId="49" fontId="0" fillId="10" borderId="6" xfId="0" applyNumberFormat="1" applyFill="1" applyBorder="1" applyAlignment="1">
      <alignment horizontal="left" vertical="center"/>
    </xf>
    <xf numFmtId="0" fontId="0" fillId="12" borderId="0" xfId="0" applyFill="1" applyAlignment="1">
      <alignment horizontal="left" vertical="top" wrapText="1"/>
    </xf>
    <xf numFmtId="49" fontId="0" fillId="10" borderId="5" xfId="0" applyNumberFormat="1" applyFont="1" applyFill="1" applyBorder="1" applyAlignment="1">
      <alignment horizontal="left" vertical="center"/>
    </xf>
    <xf numFmtId="49" fontId="9" fillId="24" borderId="5" xfId="0" applyNumberFormat="1" applyFont="1" applyFill="1" applyBorder="1" applyAlignment="1">
      <alignment horizontal="center" vertical="center"/>
    </xf>
    <xf numFmtId="49" fontId="9" fillId="24" borderId="12" xfId="0" applyNumberFormat="1" applyFont="1" applyFill="1" applyBorder="1" applyAlignment="1">
      <alignment horizontal="center" vertical="center"/>
    </xf>
    <xf numFmtId="49" fontId="9" fillId="24" borderId="6" xfId="0" applyNumberFormat="1" applyFont="1" applyFill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0" fillId="10" borderId="1" xfId="0" applyNumberFormat="1" applyFill="1" applyBorder="1" applyAlignment="1">
      <alignment horizontal="left" vertical="top" wrapText="1"/>
    </xf>
    <xf numFmtId="49" fontId="0" fillId="10" borderId="1" xfId="0" applyNumberFormat="1" applyFill="1" applyBorder="1" applyAlignment="1">
      <alignment horizontal="left" vertical="top"/>
    </xf>
    <xf numFmtId="49" fontId="17" fillId="24" borderId="1" xfId="0" applyNumberFormat="1" applyFont="1" applyFill="1" applyBorder="1" applyAlignment="1">
      <alignment vertical="center"/>
    </xf>
    <xf numFmtId="49" fontId="17" fillId="0" borderId="1" xfId="0" applyNumberFormat="1" applyFont="1" applyBorder="1" applyAlignment="1">
      <alignment horizontal="center" vertical="center"/>
    </xf>
    <xf numFmtId="49" fontId="17" fillId="24" borderId="1" xfId="0" applyNumberFormat="1" applyFont="1" applyFill="1" applyBorder="1" applyAlignment="1">
      <alignment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left" vertical="center" wrapText="1"/>
    </xf>
    <xf numFmtId="49" fontId="17" fillId="0" borderId="1" xfId="0" applyNumberFormat="1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mruColors>
      <color rgb="00EB13BB"/>
      <color rgb="00A510B2"/>
      <color rgb="00C616EC"/>
      <color rgb="00000000"/>
      <color rgb="00F9D070"/>
      <color rgb="00F4F650"/>
      <color rgb="00E79259"/>
      <color rgb="00FFB81F"/>
      <color rgb="00EFAB5A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customXml" Target="../customXml/item2.xml"/><Relationship Id="rId16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9"/>
  <sheetViews>
    <sheetView tabSelected="1" workbookViewId="0">
      <selection activeCell="F20" sqref="F20"/>
    </sheetView>
  </sheetViews>
  <sheetFormatPr defaultColWidth="9" defaultRowHeight="13.5"/>
  <cols>
    <col min="1" max="4" width="13.625" style="214" customWidth="1"/>
    <col min="5" max="6" width="13.625" style="194" customWidth="1"/>
    <col min="7" max="7" width="15.25" style="194" customWidth="1"/>
    <col min="8" max="8" width="23.75" style="194" customWidth="1"/>
    <col min="9" max="9" width="22.75" style="194" customWidth="1"/>
    <col min="10" max="10" width="18" style="194" customWidth="1"/>
    <col min="11" max="11" width="19.375" style="194" customWidth="1"/>
    <col min="12" max="12" width="13.625" style="194" customWidth="1"/>
    <col min="17" max="17" width="25" customWidth="1"/>
    <col min="18" max="18" width="10.75" customWidth="1"/>
  </cols>
  <sheetData>
    <row r="1" ht="22.5" spans="1:18">
      <c r="A1" s="215" t="s">
        <v>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</row>
    <row r="2" spans="1:18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8">
      <c r="A3" s="38" t="s">
        <v>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8">
      <c r="A4" s="38" t="s">
        <v>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8">
      <c r="A5" s="38" t="s">
        <v>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8">
      <c r="A6" s="216" t="s">
        <v>5</v>
      </c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8"/>
      <c r="M6" s="219" t="s">
        <v>6</v>
      </c>
      <c r="N6" s="219"/>
      <c r="O6" s="219"/>
      <c r="P6" s="219"/>
      <c r="Q6" s="219"/>
      <c r="R6" s="219"/>
    </row>
    <row r="7" spans="1:18">
      <c r="A7" s="220" t="s">
        <v>7</v>
      </c>
      <c r="B7" s="217"/>
      <c r="C7" s="217"/>
      <c r="D7" s="217"/>
      <c r="E7" s="217"/>
      <c r="F7" s="217"/>
      <c r="G7" s="217"/>
      <c r="H7" s="217"/>
      <c r="I7" s="217"/>
      <c r="J7" s="217"/>
      <c r="K7" s="217"/>
      <c r="L7" s="218"/>
      <c r="M7" s="219"/>
      <c r="N7" s="219"/>
      <c r="O7" s="219"/>
      <c r="P7" s="219"/>
      <c r="Q7" s="219"/>
      <c r="R7" s="219"/>
    </row>
    <row r="8" spans="1:18">
      <c r="A8" s="221" t="s">
        <v>8</v>
      </c>
      <c r="B8" s="222"/>
      <c r="C8" s="222"/>
      <c r="D8" s="223"/>
      <c r="E8" s="224" t="s">
        <v>9</v>
      </c>
      <c r="F8" s="225"/>
      <c r="G8" s="225"/>
      <c r="H8" s="226"/>
      <c r="I8" s="227" t="s">
        <v>10</v>
      </c>
      <c r="J8" s="227" t="s">
        <v>11</v>
      </c>
      <c r="K8" s="227" t="s">
        <v>12</v>
      </c>
      <c r="L8" s="227" t="s">
        <v>13</v>
      </c>
      <c r="M8" s="228" t="s">
        <v>14</v>
      </c>
      <c r="N8" s="229"/>
      <c r="O8" s="229"/>
      <c r="P8" s="229"/>
      <c r="Q8" s="229"/>
      <c r="R8" s="229"/>
    </row>
    <row r="9" spans="1:18">
      <c r="A9" s="230" t="s">
        <v>15</v>
      </c>
      <c r="B9" s="230" t="s">
        <v>15</v>
      </c>
      <c r="C9" s="230" t="s">
        <v>15</v>
      </c>
      <c r="D9" s="230" t="s">
        <v>15</v>
      </c>
      <c r="E9" s="235" t="s">
        <v>16</v>
      </c>
      <c r="F9" s="235" t="s">
        <v>16</v>
      </c>
      <c r="G9" s="235" t="s">
        <v>16</v>
      </c>
      <c r="H9" s="235" t="s">
        <v>16</v>
      </c>
      <c r="I9" s="235" t="s">
        <v>16</v>
      </c>
      <c r="J9" s="235" t="s">
        <v>16</v>
      </c>
      <c r="K9" s="235" t="s">
        <v>16</v>
      </c>
      <c r="L9" s="235" t="s">
        <v>16</v>
      </c>
      <c r="M9" s="229"/>
      <c r="N9" s="229"/>
      <c r="O9" s="229"/>
      <c r="P9" s="229"/>
      <c r="Q9" s="229"/>
      <c r="R9" s="229"/>
    </row>
    <row r="10" ht="95" customHeight="1" spans="1:18">
      <c r="A10" s="232" t="s">
        <v>8</v>
      </c>
      <c r="B10" s="232" t="s">
        <v>8</v>
      </c>
      <c r="C10" s="232" t="s">
        <v>17</v>
      </c>
      <c r="D10" s="232" t="s">
        <v>17</v>
      </c>
      <c r="E10" s="233" t="s">
        <v>9</v>
      </c>
      <c r="F10" s="233" t="s">
        <v>9</v>
      </c>
      <c r="G10" s="233" t="s">
        <v>17</v>
      </c>
      <c r="H10" s="233" t="s">
        <v>17</v>
      </c>
      <c r="I10" s="234" t="s">
        <v>18</v>
      </c>
      <c r="J10" s="233" t="s">
        <v>19</v>
      </c>
      <c r="K10" s="233" t="s">
        <v>20</v>
      </c>
      <c r="L10" s="233" t="s">
        <v>21</v>
      </c>
      <c r="M10" s="229"/>
      <c r="N10" s="229"/>
      <c r="O10" s="229"/>
      <c r="P10" s="229"/>
      <c r="Q10" s="229"/>
      <c r="R10" s="229"/>
    </row>
    <row r="11" spans="1:18">
      <c r="G11"/>
      <c r="H11"/>
    </row>
    <row r="12" spans="1:18">
      <c r="G12"/>
      <c r="H12"/>
    </row>
    <row r="13" spans="1:18">
      <c r="G13"/>
      <c r="H13"/>
    </row>
    <row r="14" spans="1:18">
      <c r="A14"/>
      <c r="G14"/>
      <c r="H14"/>
    </row>
    <row r="15" spans="1:18">
      <c r="A15"/>
      <c r="G15"/>
      <c r="H15"/>
    </row>
    <row r="16" spans="1:18">
      <c r="A16"/>
      <c r="G16"/>
      <c r="H16"/>
    </row>
    <row r="17" spans="1:8">
      <c r="A17"/>
      <c r="G17"/>
      <c r="H17"/>
    </row>
    <row r="18" spans="1:8">
      <c r="A18"/>
      <c r="B18"/>
      <c r="C18"/>
      <c r="D18"/>
      <c r="G18"/>
      <c r="H18"/>
    </row>
    <row r="19" spans="1:8">
      <c r="A19"/>
      <c r="B19"/>
      <c r="C19"/>
      <c r="D19"/>
      <c r="G19"/>
      <c r="H19"/>
    </row>
    <row r="20" spans="1:8">
      <c r="A20"/>
      <c r="B20"/>
      <c r="C20"/>
      <c r="D20"/>
      <c r="G20"/>
      <c r="H20"/>
    </row>
    <row r="21" spans="1:8">
      <c r="A21"/>
      <c r="B21"/>
      <c r="C21"/>
      <c r="D21"/>
      <c r="G21"/>
      <c r="H21"/>
    </row>
    <row r="22" spans="1:8">
      <c r="A22"/>
      <c r="B22"/>
      <c r="C22"/>
      <c r="D22"/>
      <c r="G22"/>
      <c r="H22"/>
    </row>
    <row r="23" spans="1:8">
      <c r="A23"/>
      <c r="G23"/>
      <c r="H23"/>
    </row>
    <row r="24" spans="1:8">
      <c r="A24"/>
      <c r="G24"/>
      <c r="H24"/>
    </row>
    <row r="25" spans="1:8">
      <c r="A25"/>
      <c r="G25"/>
      <c r="H25"/>
    </row>
    <row r="26" spans="1:8">
      <c r="G26"/>
      <c r="H26"/>
    </row>
    <row r="27" spans="1:8">
      <c r="G27"/>
      <c r="H27"/>
    </row>
    <row r="28" spans="1:8">
      <c r="G28"/>
      <c r="H28"/>
    </row>
    <row r="29" spans="1:8">
      <c r="G29"/>
      <c r="H29"/>
    </row>
    <row r="30" spans="1:8">
      <c r="G30"/>
      <c r="H30"/>
    </row>
    <row r="31" spans="1:8">
      <c r="G31"/>
      <c r="H31"/>
    </row>
    <row r="32" spans="1:8">
      <c r="G32"/>
      <c r="H32"/>
    </row>
    <row r="33" spans="7:8">
      <c r="G33"/>
      <c r="H33"/>
    </row>
    <row r="34" spans="7:8">
      <c r="G34"/>
      <c r="H34"/>
    </row>
    <row r="35" spans="7:8">
      <c r="G35"/>
      <c r="H35"/>
    </row>
    <row r="36" spans="7:8">
      <c r="G36"/>
      <c r="H36"/>
    </row>
    <row r="37" spans="7:8">
      <c r="G37"/>
      <c r="H37"/>
    </row>
    <row r="38" spans="7:8">
      <c r="G38"/>
      <c r="H38"/>
    </row>
    <row r="39" spans="7:8">
      <c r="G39"/>
      <c r="H39"/>
    </row>
    <row r="40" spans="7:8">
      <c r="G40"/>
      <c r="H40"/>
    </row>
    <row r="41" spans="7:8">
      <c r="G41"/>
      <c r="H41"/>
    </row>
    <row r="42" spans="7:8">
      <c r="G42"/>
      <c r="H42"/>
    </row>
    <row r="43" spans="7:8">
      <c r="G43"/>
      <c r="H43"/>
    </row>
    <row r="44" spans="7:8">
      <c r="G44"/>
      <c r="H44"/>
    </row>
    <row r="45" spans="7:8">
      <c r="G45"/>
      <c r="H45"/>
    </row>
    <row r="46" spans="7:8">
      <c r="G46"/>
      <c r="H46"/>
    </row>
    <row r="47" spans="7:8">
      <c r="G47"/>
      <c r="H47"/>
    </row>
    <row r="48" spans="7:8">
      <c r="G48"/>
      <c r="H48"/>
    </row>
    <row r="49" spans="7:8">
      <c r="G49"/>
      <c r="H49"/>
    </row>
    <row r="50" spans="7:8">
      <c r="G50"/>
      <c r="H50"/>
    </row>
    <row r="51" spans="7:8">
      <c r="G51"/>
      <c r="H51"/>
    </row>
    <row r="52" spans="7:8">
      <c r="G52"/>
      <c r="H52"/>
    </row>
    <row r="53" spans="7:8">
      <c r="G53"/>
      <c r="H53"/>
    </row>
    <row r="54" spans="7:8">
      <c r="G54"/>
      <c r="H54"/>
    </row>
    <row r="55" spans="7:8">
      <c r="G55"/>
      <c r="H55"/>
    </row>
    <row r="56" spans="7:8">
      <c r="G56"/>
      <c r="H56"/>
    </row>
    <row r="57" spans="7:8">
      <c r="G57"/>
      <c r="H57"/>
    </row>
    <row r="58" spans="7:8">
      <c r="G58"/>
      <c r="H58"/>
    </row>
    <row r="59" spans="7:8">
      <c r="G59"/>
      <c r="H59"/>
    </row>
  </sheetData>
  <sheetProtection formatCells="0" formatColumns="0" formatRows="0" insertRows="0" insertColumns="0" insertHyperlinks="0" deleteColumns="0" deleteRows="0" sort="0" autoFilter="0" pivotTables="0"/>
  <mergeCells count="11">
    <mergeCell ref="A1:L1"/>
    <mergeCell ref="A2:L2"/>
    <mergeCell ref="A3:L3"/>
    <mergeCell ref="A4:L4"/>
    <mergeCell ref="A5:L5"/>
    <mergeCell ref="A6:L6"/>
    <mergeCell ref="A7:L7"/>
    <mergeCell ref="A8:D8"/>
    <mergeCell ref="E8:H8"/>
    <mergeCell ref="M8:R10"/>
    <mergeCell ref="M6:R7"/>
  </mergeCells>
  <pageMargins left="0.75" right="0.75" top="1" bottom="1" header="0.5" footer="0.5"/>
  <headerFooter/>
  <ignoredErrors>
    <ignoredError sqref="J8:K8 H8 F8 B8:D8 A9:L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60"/>
  <sheetViews>
    <sheetView workbookViewId="0">
      <selection activeCell="L11" sqref="L11"/>
    </sheetView>
  </sheetViews>
  <sheetFormatPr defaultColWidth="9" defaultRowHeight="13.5" outlineLevelCol="7"/>
  <cols>
    <col min="1" max="1" width="39.375" style="61" customWidth="1"/>
    <col min="2" max="2" width="51.75" style="61" customWidth="1"/>
    <col min="3" max="3" width="27.875" style="61" customWidth="1"/>
    <col min="4" max="4" width="94.125" style="52" hidden="1" customWidth="1"/>
  </cols>
  <sheetData>
    <row r="1" ht="18.75" spans="1:8">
      <c r="A1" s="15" t="s">
        <v>8</v>
      </c>
      <c r="B1" s="15" t="s">
        <v>22</v>
      </c>
      <c r="C1" s="15" t="s">
        <v>23</v>
      </c>
      <c r="D1" s="208" t="s">
        <v>24</v>
      </c>
      <c r="E1" s="31"/>
      <c r="F1" s="31"/>
      <c r="G1" s="31"/>
      <c r="H1" s="31"/>
    </row>
    <row r="2" spans="1:8">
      <c r="A2" s="55" t="s">
        <v>25</v>
      </c>
      <c r="B2" s="61" t="s">
        <v>26</v>
      </c>
      <c r="C2" s="61" t="s">
        <v>27</v>
      </c>
      <c r="D2" s="209" t="str">
        <f>LEFT(A2,11)&amp;":"&amp;B2&amp;C2</f>
        <v>FF FF FF FF:无[无]</v>
      </c>
      <c r="E2" s="31"/>
      <c r="F2" s="31"/>
      <c r="G2" s="31"/>
      <c r="H2" s="31"/>
    </row>
    <row r="3" spans="1:8">
      <c r="A3" s="55" t="s">
        <v>28</v>
      </c>
      <c r="B3" s="199" t="s">
        <v>29</v>
      </c>
      <c r="C3" s="61" t="s">
        <v>30</v>
      </c>
      <c r="D3" s="209" t="str">
        <f>LEFT(A3,11)&amp;":"&amp;B3&amp;C3</f>
        <v>DE 48 00 00:九十九化身时造成的伤害增加 +4.9%[近战]</v>
      </c>
    </row>
    <row r="4" spans="1:8">
      <c r="A4" s="55" t="s">
        <v>31</v>
      </c>
      <c r="B4" s="199" t="s">
        <v>32</v>
      </c>
      <c r="C4" s="61" t="s">
        <v>30</v>
      </c>
      <c r="D4" s="209" t="str">
        <f t="shared" ref="D4:D67" si="0">LEFT(A4,11)&amp;":"&amp;B4&amp;C4</f>
        <v>F1 54 00 00:九十九化身时的属性伤害 +3.8%[近战]</v>
      </c>
    </row>
    <row r="5" spans="1:8">
      <c r="A5" s="55" t="s">
        <v>33</v>
      </c>
      <c r="B5" s="61" t="s">
        <v>34</v>
      </c>
      <c r="C5" s="61" t="s">
        <v>30</v>
      </c>
      <c r="D5" s="209" t="str">
        <f t="shared" si="0"/>
        <v>26 8A 00 00:(同名固定)上段架式攻击伤害 +4.2%[近战]</v>
      </c>
    </row>
    <row r="6" spans="1:8">
      <c r="A6" s="55" t="s">
        <v>35</v>
      </c>
      <c r="B6" s="61" t="s">
        <v>36</v>
      </c>
      <c r="C6" s="61" t="s">
        <v>30</v>
      </c>
      <c r="D6" s="209" t="str">
        <f t="shared" si="0"/>
        <v>77 0B 00 00:上段架式攻击伤害 +4.2%[近战]</v>
      </c>
    </row>
    <row r="7" spans="1:8">
      <c r="A7" s="55" t="s">
        <v>37</v>
      </c>
      <c r="B7" s="61" t="s">
        <v>38</v>
      </c>
      <c r="C7" s="61" t="s">
        <v>30</v>
      </c>
      <c r="D7" s="209" t="str">
        <f t="shared" si="0"/>
        <v>D2 64 00 00:(同名固定)中段架式攻击伤害 +4.2%[近战]</v>
      </c>
    </row>
    <row r="8" spans="1:8">
      <c r="A8" s="55" t="s">
        <v>39</v>
      </c>
      <c r="B8" s="61" t="s">
        <v>40</v>
      </c>
      <c r="C8" s="61" t="s">
        <v>30</v>
      </c>
      <c r="D8" s="209" t="str">
        <f t="shared" si="0"/>
        <v>1A 51 00 00:中段架式攻击伤害 +4.2%[近战]</v>
      </c>
    </row>
    <row r="9" spans="1:8">
      <c r="A9" s="55" t="s">
        <v>41</v>
      </c>
      <c r="B9" s="61" t="s">
        <v>42</v>
      </c>
      <c r="C9" s="61" t="s">
        <v>30</v>
      </c>
      <c r="D9" s="209" t="str">
        <f t="shared" si="0"/>
        <v>95 8D 00 00:(同名固定)下段架式攻击伤害 +4.2%[近战]</v>
      </c>
    </row>
    <row r="10" spans="1:8">
      <c r="A10" s="55" t="s">
        <v>43</v>
      </c>
      <c r="B10" s="61" t="s">
        <v>44</v>
      </c>
      <c r="C10" s="61" t="s">
        <v>30</v>
      </c>
      <c r="D10" s="209" t="str">
        <f t="shared" si="0"/>
        <v>09 B2 00 00:下段架式攻击伤害 +4.2%[近战]</v>
      </c>
    </row>
    <row r="11" spans="1:8">
      <c r="A11" s="55" t="s">
        <v>45</v>
      </c>
      <c r="B11" s="61" t="s">
        <v>46</v>
      </c>
      <c r="C11" s="61" t="s">
        <v>30</v>
      </c>
      <c r="D11" s="209" t="str">
        <f t="shared" si="0"/>
        <v>41 D8 00 00:(同名固定)速攻击伤害 +4.2%[近战]</v>
      </c>
    </row>
    <row r="12" spans="1:8">
      <c r="A12" s="55" t="s">
        <v>47</v>
      </c>
      <c r="B12" s="56" t="s">
        <v>48</v>
      </c>
      <c r="C12" s="61" t="s">
        <v>30</v>
      </c>
      <c r="D12" s="209" t="str">
        <f t="shared" si="0"/>
        <v>26 99 00 00:速攻击伤害 +4.2%[近战]</v>
      </c>
    </row>
    <row r="13" spans="1:8">
      <c r="A13" s="55" t="s">
        <v>49</v>
      </c>
      <c r="B13" s="61" t="s">
        <v>50</v>
      </c>
      <c r="C13" s="61" t="s">
        <v>30</v>
      </c>
      <c r="D13" s="209" t="str">
        <f t="shared" si="0"/>
        <v>48 F9 00 00:(同名固定)强攻击伤害 +4.2%[近战]</v>
      </c>
    </row>
    <row r="14" spans="1:8">
      <c r="A14" s="55" t="s">
        <v>51</v>
      </c>
      <c r="B14" s="56" t="s">
        <v>52</v>
      </c>
      <c r="C14" s="61" t="s">
        <v>30</v>
      </c>
      <c r="D14" s="209" t="str">
        <f t="shared" si="0"/>
        <v>42 20 00 00:强攻击伤害 +4.2%[近战]</v>
      </c>
    </row>
    <row r="15" spans="1:8">
      <c r="A15" s="55" t="s">
        <v>53</v>
      </c>
      <c r="B15" s="205" t="s">
        <v>54</v>
      </c>
      <c r="C15" s="61" t="s">
        <v>30</v>
      </c>
      <c r="D15" s="209" t="str">
        <f t="shared" si="0"/>
        <v>35 B9 00 00:(星)强攻击伤害 +6.3%[近战]</v>
      </c>
    </row>
    <row r="16" spans="1:8">
      <c r="A16" s="55" t="s">
        <v>55</v>
      </c>
      <c r="B16" s="61" t="s">
        <v>56</v>
      </c>
      <c r="C16" s="61" t="s">
        <v>30</v>
      </c>
      <c r="D16" s="209" t="str">
        <f t="shared" si="0"/>
        <v>0C C8 00 00:(同名固定)近距离攻击伤害 +3.8%[近战]</v>
      </c>
    </row>
    <row r="17" spans="1:4">
      <c r="A17" s="55" t="s">
        <v>57</v>
      </c>
      <c r="B17" s="56" t="s">
        <v>58</v>
      </c>
      <c r="C17" s="61" t="s">
        <v>30</v>
      </c>
      <c r="D17" s="209" t="str">
        <f t="shared" si="0"/>
        <v>DB 01 00 00:近距离攻击伤害 +3.8%[近战]</v>
      </c>
    </row>
    <row r="18" spans="1:4">
      <c r="A18" s="55" t="s">
        <v>59</v>
      </c>
      <c r="B18" s="205" t="s">
        <v>60</v>
      </c>
      <c r="C18" s="61" t="s">
        <v>30</v>
      </c>
      <c r="D18" s="209" t="str">
        <f t="shared" si="0"/>
        <v>5F 4F 00 00:(星)近距离攻击伤害 +5.7%[近战]</v>
      </c>
    </row>
    <row r="19" spans="1:4">
      <c r="A19" s="55" t="s">
        <v>61</v>
      </c>
      <c r="B19" s="203" t="s">
        <v>62</v>
      </c>
      <c r="C19" s="61" t="s">
        <v>30</v>
      </c>
      <c r="D19" s="209" t="str">
        <f t="shared" si="0"/>
        <v>EB 4F 00 00:(地狱武器)近距离攻击伤害 +7.6%[近战]</v>
      </c>
    </row>
    <row r="20" spans="1:4">
      <c r="A20" s="55" t="s">
        <v>63</v>
      </c>
      <c r="B20" s="56" t="s">
        <v>64</v>
      </c>
      <c r="C20" s="61" t="s">
        <v>30</v>
      </c>
      <c r="D20" s="209" t="str">
        <f t="shared" si="0"/>
        <v>3A 14 00 00:近距离攻击伤害(绝境) +11.3%[近战]</v>
      </c>
    </row>
    <row r="21" spans="1:4">
      <c r="A21" s="55" t="s">
        <v>65</v>
      </c>
      <c r="B21" s="56" t="s">
        <v>66</v>
      </c>
      <c r="C21" s="61" t="s">
        <v>30</v>
      </c>
      <c r="D21" s="209" t="str">
        <f t="shared" si="0"/>
        <v>B6 F6 00 00:(同名固定)近距离攻击伤害(地狱) +6.0%[近战]</v>
      </c>
    </row>
    <row r="22" spans="1:4">
      <c r="A22" s="55" t="s">
        <v>67</v>
      </c>
      <c r="B22" s="56" t="s">
        <v>68</v>
      </c>
      <c r="C22" s="61" t="s">
        <v>30</v>
      </c>
      <c r="D22" s="209" t="str">
        <f t="shared" si="0"/>
        <v>E6 36 00 00:近距离攻击伤害(地狱) +4.9%[近战]</v>
      </c>
    </row>
    <row r="23" spans="1:4">
      <c r="A23" s="55" t="s">
        <v>69</v>
      </c>
      <c r="B23" s="56" t="s">
        <v>70</v>
      </c>
      <c r="C23" s="61" t="s">
        <v>30</v>
      </c>
      <c r="D23" s="209" t="str">
        <f t="shared" si="0"/>
        <v>85 B2 00 00:对处于火状态敌人的守护灵技伤害 +1.4%[近战]</v>
      </c>
    </row>
    <row r="24" spans="1:4">
      <c r="A24" s="55" t="s">
        <v>71</v>
      </c>
      <c r="B24" s="56" t="s">
        <v>72</v>
      </c>
      <c r="C24" s="61" t="s">
        <v>30</v>
      </c>
      <c r="D24" s="209" t="str">
        <f t="shared" si="0"/>
        <v>F5 30 00 00:对处于水状态敌人的守护灵技伤害 +1.4%[近战]</v>
      </c>
    </row>
    <row r="25" spans="1:4">
      <c r="A25" s="55" t="s">
        <v>73</v>
      </c>
      <c r="B25" s="56" t="s">
        <v>74</v>
      </c>
      <c r="C25" s="61" t="s">
        <v>30</v>
      </c>
      <c r="D25" s="209" t="str">
        <f t="shared" si="0"/>
        <v>93 12 00 00:对处于雷状态敌人的守护灵技伤害 +1.4%[近战]</v>
      </c>
    </row>
    <row r="26" spans="1:4">
      <c r="A26" s="55" t="s">
        <v>75</v>
      </c>
      <c r="B26" s="56" t="s">
        <v>76</v>
      </c>
      <c r="C26" s="61" t="s">
        <v>30</v>
      </c>
      <c r="D26" s="209" t="str">
        <f t="shared" si="0"/>
        <v>54 5E 00 00:对处于风状态敌人的守护灵技伤害 +1.4%[近战]</v>
      </c>
    </row>
    <row r="27" spans="1:4">
      <c r="A27" s="55" t="s">
        <v>77</v>
      </c>
      <c r="B27" s="56" t="s">
        <v>78</v>
      </c>
      <c r="C27" s="61" t="s">
        <v>30</v>
      </c>
      <c r="D27" s="209" t="str">
        <f t="shared" si="0"/>
        <v>48 41 00 00:对处于毒状态敌人的守护灵技伤害 +1.4%[近战]</v>
      </c>
    </row>
    <row r="28" spans="1:4">
      <c r="A28" s="55" t="s">
        <v>79</v>
      </c>
      <c r="B28" s="56" t="s">
        <v>80</v>
      </c>
      <c r="C28" s="61" t="s">
        <v>30</v>
      </c>
      <c r="D28" s="209" t="str">
        <f t="shared" si="0"/>
        <v>B9 E5 00 00:对处于麻痹状态敌人的守护灵技伤害 +7.0%[近战]</v>
      </c>
    </row>
    <row r="29" spans="1:4">
      <c r="A29" s="55" t="s">
        <v>81</v>
      </c>
      <c r="B29" s="61" t="s">
        <v>82</v>
      </c>
      <c r="C29" s="61" t="s">
        <v>30</v>
      </c>
      <c r="D29" s="209" t="str">
        <f t="shared" si="0"/>
        <v>93 2E 00 00:(同名固定)伤害反映(爱用度) C-[近战]</v>
      </c>
    </row>
    <row r="30" spans="1:4">
      <c r="A30" s="55" t="s">
        <v>83</v>
      </c>
      <c r="B30" s="56" t="s">
        <v>84</v>
      </c>
      <c r="C30" s="61" t="s">
        <v>30</v>
      </c>
      <c r="D30" s="209" t="str">
        <f t="shared" si="0"/>
        <v>F3 BA 00 00:对无伤敌人造成的近距离伤害 +7.5%[近战]</v>
      </c>
    </row>
    <row r="31" spans="1:4">
      <c r="A31" s="55" t="s">
        <v>85</v>
      </c>
      <c r="B31" s="61" t="s">
        <v>86</v>
      </c>
      <c r="C31" s="61" t="s">
        <v>30</v>
      </c>
      <c r="D31" s="209" t="str">
        <f t="shared" si="0"/>
        <v>3E 4E 00 00:(同名固定)对精力耗尽敌人的近距离伤害 +4.9%[近战]</v>
      </c>
    </row>
    <row r="32" spans="1:4">
      <c r="A32" s="55" t="s">
        <v>87</v>
      </c>
      <c r="B32" s="61" t="s">
        <v>88</v>
      </c>
      <c r="C32" s="61" t="s">
        <v>30</v>
      </c>
      <c r="D32" s="209" t="str">
        <f t="shared" si="0"/>
        <v>5C 32 00 00:(同名固定)对精力耗尽敌人的近距离伤害 +15.0%[近战]</v>
      </c>
    </row>
    <row r="33" spans="1:4">
      <c r="A33" s="55" t="s">
        <v>89</v>
      </c>
      <c r="B33" s="56" t="s">
        <v>90</v>
      </c>
      <c r="C33" s="61" t="s">
        <v>30</v>
      </c>
      <c r="D33" s="209" t="str">
        <f t="shared" si="0"/>
        <v>52 36 00 00:对精力耗尽敌人的近距离伤害 +4.9%[近战]</v>
      </c>
    </row>
    <row r="34" spans="1:4">
      <c r="A34" s="55" t="s">
        <v>91</v>
      </c>
      <c r="B34" s="56" t="s">
        <v>92</v>
      </c>
      <c r="C34" s="61" t="s">
        <v>30</v>
      </c>
      <c r="D34" s="209" t="str">
        <f t="shared" si="0"/>
        <v>A0 76 00 00:对攻击中敌人的近距离伤害 +4.5%[近战]</v>
      </c>
    </row>
    <row r="35" spans="1:4">
      <c r="A35" s="55" t="s">
        <v>93</v>
      </c>
      <c r="B35" s="61" t="s">
        <v>94</v>
      </c>
      <c r="C35" s="61" t="s">
        <v>30</v>
      </c>
      <c r="D35" s="209" t="str">
        <f t="shared" si="0"/>
        <v>EF 7D 00 00:(同名固定)刺击伤害 +4.2%[近战]</v>
      </c>
    </row>
    <row r="36" spans="1:4">
      <c r="A36" s="55" t="s">
        <v>95</v>
      </c>
      <c r="B36" s="56" t="s">
        <v>96</v>
      </c>
      <c r="C36" s="61" t="s">
        <v>30</v>
      </c>
      <c r="D36" s="209" t="str">
        <f t="shared" si="0"/>
        <v>28 BB 00 00:刺击伤害 +4.2%[近战]</v>
      </c>
    </row>
    <row r="37" spans="1:4">
      <c r="A37" s="55" t="s">
        <v>97</v>
      </c>
      <c r="B37" s="56" t="s">
        <v>98</v>
      </c>
      <c r="C37" s="61" t="s">
        <v>30</v>
      </c>
      <c r="D37" s="209" t="str">
        <f t="shared" si="0"/>
        <v>D3 4B 00 00:暗杀伤害 +3.8%[近战]</v>
      </c>
    </row>
    <row r="38" spans="1:4">
      <c r="A38" s="55" t="s">
        <v>99</v>
      </c>
      <c r="B38" s="61" t="s">
        <v>100</v>
      </c>
      <c r="C38" s="61" t="s">
        <v>30</v>
      </c>
      <c r="D38" s="209" t="str">
        <f t="shared" si="0"/>
        <v>1B D0 00 00:(同名固定)忍术伤害 +3.3%[近战]</v>
      </c>
    </row>
    <row r="39" spans="1:4">
      <c r="A39" s="55" t="s">
        <v>101</v>
      </c>
      <c r="B39" s="61" t="s">
        <v>102</v>
      </c>
      <c r="C39" s="61" t="s">
        <v>30</v>
      </c>
      <c r="D39" s="209" t="str">
        <f t="shared" si="0"/>
        <v>DE A4 00 00:(同名固定)武技伤害 +4.0%[近战]</v>
      </c>
    </row>
    <row r="40" spans="1:4">
      <c r="A40" s="55" t="s">
        <v>103</v>
      </c>
      <c r="B40" s="203" t="s">
        <v>104</v>
      </c>
      <c r="C40" s="61" t="s">
        <v>30</v>
      </c>
      <c r="D40" s="209" t="str">
        <f t="shared" si="0"/>
        <v>B1 E9 00 00:(地狱武器)武技伤害 +8.0%[近战]</v>
      </c>
    </row>
    <row r="41" spans="1:4">
      <c r="A41" s="55" t="s">
        <v>105</v>
      </c>
      <c r="B41" s="199" t="s">
        <v>106</v>
      </c>
      <c r="C41" s="61" t="s">
        <v>30</v>
      </c>
      <c r="D41" s="209" t="str">
        <f t="shared" si="0"/>
        <v>27 5D 00 00:打倒敌人时赋予造成伤害增加(5%)[近战]</v>
      </c>
    </row>
    <row r="42" spans="1:4">
      <c r="A42" s="55" t="s">
        <v>107</v>
      </c>
      <c r="B42" s="61" t="s">
        <v>108</v>
      </c>
      <c r="C42" s="61" t="s">
        <v>30</v>
      </c>
      <c r="D42" s="209" t="str">
        <f t="shared" si="0"/>
        <v>62 A5 00 00:(同名固定)伤害反映(精华槽) D+[近战]</v>
      </c>
    </row>
    <row r="43" spans="1:4">
      <c r="A43" s="55" t="s">
        <v>109</v>
      </c>
      <c r="B43" s="199" t="s">
        <v>110</v>
      </c>
      <c r="C43" s="61" t="s">
        <v>30</v>
      </c>
      <c r="D43" s="209" t="str">
        <f t="shared" si="0"/>
        <v>2E B7 00 00:祓除常世赋予造成伤害增加(5.4%)[近战]</v>
      </c>
    </row>
    <row r="44" spans="1:4">
      <c r="A44" s="55" t="s">
        <v>111</v>
      </c>
      <c r="B44" s="199" t="s">
        <v>112</v>
      </c>
      <c r="C44" s="61" t="s">
        <v>30</v>
      </c>
      <c r="D44" s="209" t="str">
        <f t="shared" si="0"/>
        <v>76 35 00 00:陷入异常状态时赋予造成伤害增加(5.8%)[近战]</v>
      </c>
    </row>
    <row r="45" spans="1:4">
      <c r="A45" s="55" t="s">
        <v>113</v>
      </c>
      <c r="B45" s="61" t="s">
        <v>114</v>
      </c>
      <c r="C45" s="61" t="s">
        <v>30</v>
      </c>
      <c r="D45" s="209" t="str">
        <f t="shared" si="0"/>
        <v>AA FD 00 00:(同名固定)吸收精华后赋予造成伤害增加(4.6%)[近战]</v>
      </c>
    </row>
    <row r="46" spans="1:4">
      <c r="A46" s="55" t="s">
        <v>115</v>
      </c>
      <c r="B46" s="199" t="s">
        <v>116</v>
      </c>
      <c r="C46" s="61" t="s">
        <v>30</v>
      </c>
      <c r="D46" s="209" t="str">
        <f t="shared" si="0"/>
        <v>DA 16 00 00:吸收精华后赋予造成伤害增加(4.6%)[近战]</v>
      </c>
    </row>
    <row r="47" spans="1:4">
      <c r="A47" s="55" t="s">
        <v>117</v>
      </c>
      <c r="B47" s="56" t="s">
        <v>118</v>
      </c>
      <c r="C47" s="61" t="s">
        <v>30</v>
      </c>
      <c r="D47" s="209" t="str">
        <f t="shared" si="0"/>
        <v>A1 58 00 00:对伤害的反映(体) D+[近战]</v>
      </c>
    </row>
    <row r="48" spans="1:4">
      <c r="A48" s="55" t="s">
        <v>119</v>
      </c>
      <c r="B48" s="56" t="s">
        <v>120</v>
      </c>
      <c r="C48" s="61" t="s">
        <v>30</v>
      </c>
      <c r="D48" s="209" t="str">
        <f t="shared" si="0"/>
        <v>E2 ED 00 00:对伤害的反映(心) D+[近战]</v>
      </c>
    </row>
    <row r="49" spans="1:4">
      <c r="A49" s="55" t="s">
        <v>121</v>
      </c>
      <c r="B49" s="56" t="s">
        <v>122</v>
      </c>
      <c r="C49" s="61" t="s">
        <v>30</v>
      </c>
      <c r="D49" s="209" t="str">
        <f t="shared" si="0"/>
        <v>DC 41 00 00:对伤害的反映(刚) D+[近战]</v>
      </c>
    </row>
    <row r="50" spans="1:4">
      <c r="A50" s="55" t="s">
        <v>123</v>
      </c>
      <c r="B50" s="56" t="s">
        <v>124</v>
      </c>
      <c r="C50" s="61" t="s">
        <v>30</v>
      </c>
      <c r="D50" s="209" t="str">
        <f t="shared" si="0"/>
        <v>DC C8 00 00:对伤害的反映(武) D+[近战]</v>
      </c>
    </row>
    <row r="51" spans="1:4">
      <c r="A51" s="55" t="s">
        <v>125</v>
      </c>
      <c r="B51" s="56" t="s">
        <v>126</v>
      </c>
      <c r="C51" s="61" t="s">
        <v>30</v>
      </c>
      <c r="D51" s="209" t="str">
        <f t="shared" si="0"/>
        <v>8E C6 00 00:对伤害的反映(技) D+[近战]</v>
      </c>
    </row>
    <row r="52" spans="1:4">
      <c r="A52" s="55" t="s">
        <v>127</v>
      </c>
      <c r="B52" s="56" t="s">
        <v>128</v>
      </c>
      <c r="C52" s="61" t="s">
        <v>30</v>
      </c>
      <c r="D52" s="209" t="str">
        <f t="shared" si="0"/>
        <v>37 97 00 00:对伤害的反映(智) D+[近战]</v>
      </c>
    </row>
    <row r="53" spans="1:4">
      <c r="A53" s="55" t="s">
        <v>129</v>
      </c>
      <c r="B53" s="56" t="s">
        <v>130</v>
      </c>
      <c r="C53" s="61" t="s">
        <v>30</v>
      </c>
      <c r="D53" s="209" t="str">
        <f t="shared" si="0"/>
        <v>6A E3 00 00:对伤害的反映(咒) D+[近战]</v>
      </c>
    </row>
    <row r="54" spans="1:4">
      <c r="A54" s="55" t="s">
        <v>131</v>
      </c>
      <c r="B54" s="61" t="s">
        <v>132</v>
      </c>
      <c r="C54" s="61" t="s">
        <v>30</v>
      </c>
      <c r="D54" s="209" t="str">
        <f t="shared" si="0"/>
        <v>1A 0F 00 00:(同名固定)上段武技伤害 +4.4%[近战]</v>
      </c>
    </row>
    <row r="55" spans="1:4">
      <c r="A55" s="55" t="s">
        <v>133</v>
      </c>
      <c r="B55" s="61" t="s">
        <v>134</v>
      </c>
      <c r="C55" s="61" t="s">
        <v>30</v>
      </c>
      <c r="D55" s="209" t="str">
        <f t="shared" si="0"/>
        <v>29 40 00 00:上段武技伤害 +4.4%[近战]</v>
      </c>
    </row>
    <row r="56" spans="1:4">
      <c r="A56" s="55" t="s">
        <v>135</v>
      </c>
      <c r="B56" s="61" t="s">
        <v>136</v>
      </c>
      <c r="C56" s="61" t="s">
        <v>30</v>
      </c>
      <c r="D56" s="209" t="str">
        <f t="shared" si="0"/>
        <v>72 F2 00 00:中段武技伤害 +4.4%[近战]</v>
      </c>
    </row>
    <row r="57" spans="1:4">
      <c r="A57" s="55" t="s">
        <v>137</v>
      </c>
      <c r="B57" s="61" t="s">
        <v>138</v>
      </c>
      <c r="C57" s="61" t="s">
        <v>30</v>
      </c>
      <c r="D57" s="209" t="str">
        <f t="shared" si="0"/>
        <v>EC B3 00 00:下段武技伤害 +4.4%[近战]</v>
      </c>
    </row>
    <row r="58" spans="1:4">
      <c r="A58" s="55" t="s">
        <v>139</v>
      </c>
      <c r="B58" s="199" t="s">
        <v>140</v>
      </c>
      <c r="C58" s="61" t="s">
        <v>30</v>
      </c>
      <c r="D58" s="209" t="str">
        <f t="shared" si="0"/>
        <v>E2 EE 00 00:格挡成功时赋予造成伤害增加(4.6%)[近战]</v>
      </c>
    </row>
    <row r="59" spans="1:4">
      <c r="A59" s="55" t="s">
        <v>141</v>
      </c>
      <c r="B59" s="199" t="s">
        <v>142</v>
      </c>
      <c r="C59" s="61" t="s">
        <v>30</v>
      </c>
      <c r="D59" s="209" t="str">
        <f t="shared" si="0"/>
        <v>E2 C3 00 00:成功识破时造成伤害增加(4.6%)[近战]</v>
      </c>
    </row>
    <row r="60" spans="1:4">
      <c r="A60" s="55" t="s">
        <v>143</v>
      </c>
      <c r="B60" s="56" t="s">
        <v>144</v>
      </c>
      <c r="C60" s="61" t="s">
        <v>30</v>
      </c>
      <c r="D60" s="209" t="str">
        <f t="shared" si="0"/>
        <v>F1 68 00 00:空中攻击伤害 +4.2%[近战]</v>
      </c>
    </row>
    <row r="61" spans="1:4">
      <c r="A61" s="55" t="s">
        <v>145</v>
      </c>
      <c r="B61" s="56" t="s">
        <v>146</v>
      </c>
      <c r="C61" s="61" t="s">
        <v>30</v>
      </c>
      <c r="D61" s="209" t="str">
        <f t="shared" si="0"/>
        <v>14 FE 00 00:追击和近身刺击伤害 +4.5%[近战]</v>
      </c>
    </row>
    <row r="62" spans="1:4">
      <c r="A62" s="55" t="s">
        <v>147</v>
      </c>
      <c r="B62" s="61" t="s">
        <v>148</v>
      </c>
      <c r="C62" s="61" t="s">
        <v>30</v>
      </c>
      <c r="D62" s="209" t="str">
        <f t="shared" si="0"/>
        <v>A9 AF 00 00:(同名固定)背后攻击伤害 +4.5%[近战]</v>
      </c>
    </row>
    <row r="63" spans="1:4">
      <c r="A63" s="55" t="s">
        <v>149</v>
      </c>
      <c r="B63" s="56" t="s">
        <v>150</v>
      </c>
      <c r="C63" s="61" t="s">
        <v>30</v>
      </c>
      <c r="D63" s="209" t="str">
        <f t="shared" si="0"/>
        <v>EF AE 00 00:背后攻击伤害 +4.5%[近战]</v>
      </c>
    </row>
    <row r="64" spans="1:4">
      <c r="A64" s="55" t="s">
        <v>151</v>
      </c>
      <c r="B64" s="61" t="s">
        <v>152</v>
      </c>
      <c r="C64" s="61" t="s">
        <v>30</v>
      </c>
      <c r="D64" s="209" t="str">
        <f t="shared" si="0"/>
        <v>FC FF 00 00:(同名固定)近距离攻击的精力消耗降低 -1.7%[近战]</v>
      </c>
    </row>
    <row r="65" spans="1:4">
      <c r="A65" s="55" t="s">
        <v>153</v>
      </c>
      <c r="B65" s="56" t="s">
        <v>154</v>
      </c>
      <c r="C65" s="61" t="s">
        <v>30</v>
      </c>
      <c r="D65" s="209" t="str">
        <f t="shared" si="0"/>
        <v>5C E3 00 00:近距离攻击的精力消耗降低 -1.7%[近战]</v>
      </c>
    </row>
    <row r="66" spans="1:4">
      <c r="A66" s="55" t="s">
        <v>155</v>
      </c>
      <c r="B66" s="205" t="s">
        <v>156</v>
      </c>
      <c r="C66" s="61" t="s">
        <v>30</v>
      </c>
      <c r="D66" s="209" t="str">
        <f t="shared" si="0"/>
        <v>1D E9 00 00:(星)近距离攻击的精力消耗降低 -2.6%[近战]</v>
      </c>
    </row>
    <row r="67" spans="1:4">
      <c r="A67" s="55" t="s">
        <v>157</v>
      </c>
      <c r="B67" s="61" t="s">
        <v>158</v>
      </c>
      <c r="C67" s="61" t="s">
        <v>30</v>
      </c>
      <c r="D67" s="209" t="str">
        <f t="shared" si="0"/>
        <v>1C E9 00 00:(同名固定)上段架式攻击的精力消耗降低 -1.9%[近战]</v>
      </c>
    </row>
    <row r="68" spans="1:4">
      <c r="A68" s="55" t="s">
        <v>159</v>
      </c>
      <c r="B68" s="61" t="s">
        <v>160</v>
      </c>
      <c r="C68" s="61" t="s">
        <v>30</v>
      </c>
      <c r="D68" s="209" t="str">
        <f>LEFT(A68,11)&amp;":"&amp;B68&amp;C68</f>
        <v>21 BD 00 00:上段架式攻击的精力消耗降低 -1.9%[近战]</v>
      </c>
    </row>
    <row r="69" spans="1:4">
      <c r="A69" s="55" t="s">
        <v>161</v>
      </c>
      <c r="B69" s="61" t="s">
        <v>162</v>
      </c>
      <c r="C69" s="61" t="s">
        <v>30</v>
      </c>
      <c r="D69" s="209" t="str">
        <f t="shared" ref="D69:D132" si="1">LEFT(A69,11)&amp;":"&amp;B69&amp;C69</f>
        <v>61 11 00 00:(同名固定)中段架式攻击的精力消耗降低 -1.9%[近战]</v>
      </c>
    </row>
    <row r="70" spans="1:4">
      <c r="A70" s="55" t="s">
        <v>163</v>
      </c>
      <c r="B70" s="61" t="s">
        <v>164</v>
      </c>
      <c r="C70" s="61" t="s">
        <v>30</v>
      </c>
      <c r="D70" s="209" t="str">
        <f t="shared" si="1"/>
        <v>6D 77 00 00:中段架式攻击的精力消耗降低 -1.9%[近战]</v>
      </c>
    </row>
    <row r="71" spans="1:4">
      <c r="A71" s="55" t="s">
        <v>165</v>
      </c>
      <c r="B71" s="61" t="s">
        <v>166</v>
      </c>
      <c r="C71" s="61" t="s">
        <v>30</v>
      </c>
      <c r="D71" s="209" t="str">
        <f t="shared" si="1"/>
        <v>A2 F5 00 00:(同名固定)下段架式攻击的精力消耗降低 -1.9%[近战]</v>
      </c>
    </row>
    <row r="72" spans="1:4">
      <c r="A72" s="55" t="s">
        <v>167</v>
      </c>
      <c r="B72" s="61" t="s">
        <v>168</v>
      </c>
      <c r="C72" s="61" t="s">
        <v>30</v>
      </c>
      <c r="D72" s="209" t="str">
        <f t="shared" si="1"/>
        <v>AB DF 00 00:下段架式攻击的精力消耗降低 -1.9%[近战]</v>
      </c>
    </row>
    <row r="73" spans="1:4">
      <c r="A73" s="55" t="s">
        <v>169</v>
      </c>
      <c r="B73" s="61" t="s">
        <v>170</v>
      </c>
      <c r="C73" s="61" t="s">
        <v>30</v>
      </c>
      <c r="D73" s="209" t="str">
        <f t="shared" si="1"/>
        <v>89 95 00 00:(同名固定)速攻击精力消耗降低 -1.9%[近战]</v>
      </c>
    </row>
    <row r="74" spans="1:4">
      <c r="A74" s="55" t="s">
        <v>171</v>
      </c>
      <c r="B74" s="61" t="s">
        <v>172</v>
      </c>
      <c r="C74" s="61" t="s">
        <v>30</v>
      </c>
      <c r="D74" s="209" t="str">
        <f t="shared" si="1"/>
        <v>FB C7 00 00:速攻击精力消耗降低 -1.9%[近战]</v>
      </c>
    </row>
    <row r="75" spans="1:4">
      <c r="A75" s="55" t="s">
        <v>173</v>
      </c>
      <c r="B75" s="61" t="s">
        <v>174</v>
      </c>
      <c r="C75" s="61" t="s">
        <v>30</v>
      </c>
      <c r="D75" s="209" t="str">
        <f t="shared" si="1"/>
        <v>6C 0F 00 00:(同名固定)强攻击精力消耗降低 -1.9%[近战]</v>
      </c>
    </row>
    <row r="76" spans="1:4">
      <c r="A76" s="55" t="s">
        <v>175</v>
      </c>
      <c r="B76" s="61" t="s">
        <v>176</v>
      </c>
      <c r="C76" s="61" t="s">
        <v>30</v>
      </c>
      <c r="D76" s="209" t="str">
        <f t="shared" si="1"/>
        <v>1C 51 00 00:强攻击精力消耗降低 -1.9%[近战]</v>
      </c>
    </row>
    <row r="77" spans="1:4">
      <c r="A77" s="55" t="s">
        <v>177</v>
      </c>
      <c r="B77" s="61" t="s">
        <v>178</v>
      </c>
      <c r="C77" s="61" t="s">
        <v>30</v>
      </c>
      <c r="D77" s="209" t="str">
        <f t="shared" si="1"/>
        <v>3A FB 00 00:(同名固定)武技精力消耗降低 -2.0%[近战]</v>
      </c>
    </row>
    <row r="78" spans="1:4">
      <c r="A78" s="55" t="s">
        <v>179</v>
      </c>
      <c r="B78" s="56" t="s">
        <v>180</v>
      </c>
      <c r="C78" s="61" t="s">
        <v>30</v>
      </c>
      <c r="D78" s="209" t="str">
        <f t="shared" si="1"/>
        <v>4D FF 00 00:武技精力消耗降低 -1.8%[近战]</v>
      </c>
    </row>
    <row r="79" spans="1:4">
      <c r="A79" s="55" t="s">
        <v>181</v>
      </c>
      <c r="B79" s="205" t="s">
        <v>182</v>
      </c>
      <c r="C79" s="61" t="s">
        <v>30</v>
      </c>
      <c r="D79" s="209" t="str">
        <f t="shared" si="1"/>
        <v>A1 78 00 00:(星)武技精力消耗降低 -2.7%[近战]</v>
      </c>
    </row>
    <row r="80" spans="1:4">
      <c r="A80" s="55" t="s">
        <v>183</v>
      </c>
      <c r="B80" s="56" t="s">
        <v>184</v>
      </c>
      <c r="C80" s="61" t="s">
        <v>30</v>
      </c>
      <c r="D80" s="209" t="str">
        <f t="shared" si="1"/>
        <v>5D BF 00 00:近距离攻击精力消耗降低(绝境) -5.1%[近战]</v>
      </c>
    </row>
    <row r="81" spans="1:4">
      <c r="A81" s="55" t="s">
        <v>185</v>
      </c>
      <c r="B81" s="205" t="s">
        <v>186</v>
      </c>
      <c r="C81" s="61" t="s">
        <v>30</v>
      </c>
      <c r="D81" s="209" t="str">
        <f t="shared" si="1"/>
        <v>E0 5E 00 00:(星)近距离攻击的精力消耗降低(绝境) -7.7%[近战]</v>
      </c>
    </row>
    <row r="82" spans="1:4">
      <c r="A82" s="55" t="s">
        <v>187</v>
      </c>
      <c r="B82" s="56" t="s">
        <v>188</v>
      </c>
      <c r="C82" s="61" t="s">
        <v>30</v>
      </c>
      <c r="D82" s="209" t="str">
        <f t="shared" si="1"/>
        <v>0C 33 00 00:接招(绝境) +5.1%[近战]</v>
      </c>
    </row>
    <row r="83" spans="1:4">
      <c r="A83" s="55" t="s">
        <v>189</v>
      </c>
      <c r="B83" s="205" t="s">
        <v>190</v>
      </c>
      <c r="C83" s="61" t="s">
        <v>30</v>
      </c>
      <c r="D83" s="209" t="str">
        <f t="shared" si="1"/>
        <v>5B E7 00 00:(星)接招(绝境) +7.7%[近战]</v>
      </c>
    </row>
    <row r="84" spans="1:4">
      <c r="A84" s="55" t="s">
        <v>191</v>
      </c>
      <c r="B84" s="61" t="s">
        <v>192</v>
      </c>
      <c r="C84" s="61" t="s">
        <v>30</v>
      </c>
      <c r="D84" s="209" t="str">
        <f t="shared" si="1"/>
        <v>92 99 00 00:(同名固定)防御精力消耗降低 -2.1%[近战]</v>
      </c>
    </row>
    <row r="85" spans="1:4">
      <c r="A85" s="55" t="s">
        <v>193</v>
      </c>
      <c r="B85" s="56" t="s">
        <v>194</v>
      </c>
      <c r="C85" s="61" t="s">
        <v>30</v>
      </c>
      <c r="D85" s="209" t="str">
        <f t="shared" si="1"/>
        <v>D0 AB 00 00:防御精力消耗降低 -2.1%[近战]</v>
      </c>
    </row>
    <row r="86" spans="1:4">
      <c r="A86" s="55" t="s">
        <v>195</v>
      </c>
      <c r="B86" s="61" t="s">
        <v>196</v>
      </c>
      <c r="C86" s="61" t="s">
        <v>30</v>
      </c>
      <c r="D86" s="209" t="str">
        <f t="shared" si="1"/>
        <v>A5 F8 00 00:上段架式防御精力消耗降低 -2.3%[近战]</v>
      </c>
    </row>
    <row r="87" spans="1:4">
      <c r="A87" s="55" t="s">
        <v>197</v>
      </c>
      <c r="B87" s="61" t="s">
        <v>198</v>
      </c>
      <c r="C87" s="61" t="s">
        <v>30</v>
      </c>
      <c r="D87" s="209" t="str">
        <f t="shared" si="1"/>
        <v>94 8C 00 00:(同名固定)中段架式防御精力消耗降低 -2.3%[近战]</v>
      </c>
    </row>
    <row r="88" spans="1:4">
      <c r="A88" s="55" t="s">
        <v>199</v>
      </c>
      <c r="B88" s="61" t="s">
        <v>200</v>
      </c>
      <c r="C88" s="61" t="s">
        <v>30</v>
      </c>
      <c r="D88" s="209" t="str">
        <f t="shared" si="1"/>
        <v>E3 E9 00 00:中段架式防御精力消耗降低 -2.3%[近战]</v>
      </c>
    </row>
    <row r="89" spans="1:4">
      <c r="A89" s="55" t="s">
        <v>201</v>
      </c>
      <c r="B89" s="61" t="s">
        <v>202</v>
      </c>
      <c r="C89" s="61" t="s">
        <v>30</v>
      </c>
      <c r="D89" s="209" t="str">
        <f t="shared" si="1"/>
        <v>D7 DE 00 00:下段架式防御精力消耗降低 -2.3%[近战]</v>
      </c>
    </row>
    <row r="90" spans="1:4">
      <c r="A90" s="55" t="s">
        <v>203</v>
      </c>
      <c r="B90" s="199" t="s">
        <v>204</v>
      </c>
      <c r="C90" s="61" t="s">
        <v>30</v>
      </c>
      <c r="D90" s="209" t="str">
        <f t="shared" si="1"/>
        <v>2D 1C 00 00:行动精力消耗(负面效果时) -2.2%[近战]</v>
      </c>
    </row>
    <row r="91" spans="1:4">
      <c r="A91" s="55" t="s">
        <v>205</v>
      </c>
      <c r="B91" s="56" t="s">
        <v>206</v>
      </c>
      <c r="C91" s="61" t="s">
        <v>30</v>
      </c>
      <c r="D91" s="209" t="str">
        <f t="shared" si="1"/>
        <v>D8 76 00 00:精力 +17[近战]</v>
      </c>
    </row>
    <row r="92" spans="1:4">
      <c r="A92" s="55" t="s">
        <v>207</v>
      </c>
      <c r="B92" s="61" t="s">
        <v>208</v>
      </c>
      <c r="C92" s="61" t="s">
        <v>30</v>
      </c>
      <c r="D92" s="209" t="str">
        <f t="shared" si="1"/>
        <v>35 7C 00 00:上段武技精力 -1.9%[近战]</v>
      </c>
    </row>
    <row r="93" spans="1:4">
      <c r="A93" s="55" t="s">
        <v>209</v>
      </c>
      <c r="B93" s="61" t="s">
        <v>210</v>
      </c>
      <c r="C93" s="61" t="s">
        <v>30</v>
      </c>
      <c r="D93" s="209" t="str">
        <f t="shared" si="1"/>
        <v>00 CE 00 00:中段武技精力 -1.9%[近战]</v>
      </c>
    </row>
    <row r="94" spans="1:4">
      <c r="A94" s="55" t="s">
        <v>211</v>
      </c>
      <c r="B94" s="61" t="s">
        <v>212</v>
      </c>
      <c r="C94" s="61" t="s">
        <v>30</v>
      </c>
      <c r="D94" s="209" t="str">
        <f t="shared" si="1"/>
        <v>72 AF 00 00:下段武技精力 -1.9%[近战]</v>
      </c>
    </row>
    <row r="95" spans="1:4">
      <c r="A95" s="55" t="s">
        <v>213</v>
      </c>
      <c r="B95" s="61" t="s">
        <v>214</v>
      </c>
      <c r="C95" s="61" t="s">
        <v>30</v>
      </c>
      <c r="D95" s="209" t="str">
        <f t="shared" si="1"/>
        <v>03 FE 00 00:获得金钱 +1.2%[近战]</v>
      </c>
    </row>
    <row r="96" spans="1:4">
      <c r="A96" s="55" t="s">
        <v>215</v>
      </c>
      <c r="B96" s="205" t="s">
        <v>216</v>
      </c>
      <c r="C96" s="61" t="s">
        <v>30</v>
      </c>
      <c r="D96" s="209" t="str">
        <f t="shared" si="1"/>
        <v>ED 7C 00 00:(星)获得金钱 +1.8%[近战]</v>
      </c>
    </row>
    <row r="97" spans="1:4">
      <c r="A97" s="55" t="s">
        <v>217</v>
      </c>
      <c r="B97" s="56" t="s">
        <v>218</v>
      </c>
      <c r="C97" s="61" t="s">
        <v>30</v>
      </c>
      <c r="D97" s="209" t="str">
        <f t="shared" si="1"/>
        <v>05 53 00 00:获得武功 +0.8%[近战]</v>
      </c>
    </row>
    <row r="98" spans="1:4">
      <c r="A98" s="55" t="s">
        <v>219</v>
      </c>
      <c r="B98" s="56" t="s">
        <v>220</v>
      </c>
      <c r="C98" s="61" t="s">
        <v>30</v>
      </c>
      <c r="D98" s="209" t="str">
        <f t="shared" si="1"/>
        <v>E5 16 00 00:打倒敌人时赋予幸运增加(11)[近战]</v>
      </c>
    </row>
    <row r="99" spans="1:4">
      <c r="A99" s="55" t="s">
        <v>221</v>
      </c>
      <c r="B99" s="56" t="s">
        <v>222</v>
      </c>
      <c r="C99" s="61" t="s">
        <v>30</v>
      </c>
      <c r="D99" s="209" t="str">
        <f t="shared" si="1"/>
        <v>91 7A 00 00:幸运(绝境) +5[近战]</v>
      </c>
    </row>
    <row r="100" spans="1:4">
      <c r="A100" s="55" t="s">
        <v>223</v>
      </c>
      <c r="B100" s="56" t="s">
        <v>224</v>
      </c>
      <c r="C100" s="61" t="s">
        <v>30</v>
      </c>
      <c r="D100" s="209" t="str">
        <f t="shared" si="1"/>
        <v>AA 5B 00 00:幸运(地狱) +3[近战]</v>
      </c>
    </row>
    <row r="101" spans="1:4">
      <c r="A101" s="55" t="s">
        <v>225</v>
      </c>
      <c r="B101" s="56" t="s">
        <v>226</v>
      </c>
      <c r="C101" s="61" t="s">
        <v>30</v>
      </c>
      <c r="D101" s="209" t="str">
        <f t="shared" si="1"/>
        <v>37 F4 00 00:吸收精华后赋予幸运增加(9)[近战]</v>
      </c>
    </row>
    <row r="102" spans="1:4">
      <c r="A102" s="55" t="s">
        <v>227</v>
      </c>
      <c r="B102" s="199" t="s">
        <v>228</v>
      </c>
      <c r="C102" s="61" t="s">
        <v>30</v>
      </c>
      <c r="D102" s="209" t="str">
        <f t="shared" si="1"/>
        <v>CA 09 00 00:幸运反映(精华槽) D+[近战]</v>
      </c>
    </row>
    <row r="103" spans="1:4">
      <c r="A103" s="55" t="s">
        <v>229</v>
      </c>
      <c r="B103" s="205" t="s">
        <v>230</v>
      </c>
      <c r="C103" s="61" t="s">
        <v>30</v>
      </c>
      <c r="D103" s="209" t="str">
        <f t="shared" si="1"/>
        <v>1D E8 00 00:强攻击获得精华 9[近战]</v>
      </c>
    </row>
    <row r="104" spans="1:4">
      <c r="A104" s="55" t="s">
        <v>231</v>
      </c>
      <c r="B104" s="56" t="s">
        <v>232</v>
      </c>
      <c r="C104" s="61" t="s">
        <v>30</v>
      </c>
      <c r="D104" s="209" t="str">
        <f t="shared" si="1"/>
        <v>B3 47 00 00:获得精华 +0.8%[近战]</v>
      </c>
    </row>
    <row r="105" spans="1:4">
      <c r="A105" s="55" t="s">
        <v>233</v>
      </c>
      <c r="B105" s="205" t="s">
        <v>234</v>
      </c>
      <c r="C105" s="61" t="s">
        <v>30</v>
      </c>
      <c r="D105" s="209" t="str">
        <f t="shared" si="1"/>
        <v>C3 C1 00 00:(星)获得精华 +1.2%[近战]</v>
      </c>
    </row>
    <row r="106" spans="1:4">
      <c r="A106" s="55" t="s">
        <v>235</v>
      </c>
      <c r="B106" s="61" t="s">
        <v>236</v>
      </c>
      <c r="C106" s="61" t="s">
        <v>30</v>
      </c>
      <c r="D106" s="209" t="str">
        <f t="shared" si="1"/>
        <v>4D 04 00 00:获得精华(地狱) +1.1%[近战]</v>
      </c>
    </row>
    <row r="107" spans="1:4">
      <c r="A107" s="55" t="s">
        <v>237</v>
      </c>
      <c r="B107" s="61" t="s">
        <v>238</v>
      </c>
      <c r="C107" s="61" t="s">
        <v>30</v>
      </c>
      <c r="D107" s="209" t="str">
        <f t="shared" si="1"/>
        <v>C5 09 00 00:道具掉落率 +4.0%[近战]</v>
      </c>
    </row>
    <row r="108" spans="1:4">
      <c r="A108" s="55" t="s">
        <v>239</v>
      </c>
      <c r="B108" s="205" t="s">
        <v>240</v>
      </c>
      <c r="C108" s="61" t="s">
        <v>30</v>
      </c>
      <c r="D108" s="209" t="str">
        <f t="shared" si="1"/>
        <v>84 07 00 00:(星)道具掉落率 +6.0%[近战]</v>
      </c>
    </row>
    <row r="109" spans="1:4">
      <c r="A109" s="55" t="s">
        <v>241</v>
      </c>
      <c r="B109" s="56" t="s">
        <v>242</v>
      </c>
      <c r="C109" s="61" t="s">
        <v>30</v>
      </c>
      <c r="D109" s="209" t="str">
        <f t="shared" si="1"/>
        <v>A9 88 00 00:装备品掉落率 +4.0%[近战]</v>
      </c>
    </row>
    <row r="110" spans="1:4">
      <c r="A110" s="55" t="s">
        <v>243</v>
      </c>
      <c r="B110" s="205" t="s">
        <v>244</v>
      </c>
      <c r="C110" s="61" t="s">
        <v>30</v>
      </c>
      <c r="D110" s="209" t="str">
        <f t="shared" si="1"/>
        <v>31 8B 00 00:(星)装备品掉落率 +6.0%[近战]</v>
      </c>
    </row>
    <row r="111" spans="1:4">
      <c r="A111" s="55" t="s">
        <v>245</v>
      </c>
      <c r="B111" s="56" t="s">
        <v>246</v>
      </c>
      <c r="C111" s="61" t="s">
        <v>30</v>
      </c>
      <c r="D111" s="209" t="str">
        <f t="shared" si="1"/>
        <v>4B F4 00 00:魂核掉落率 +4.0%[近战]</v>
      </c>
    </row>
    <row r="112" spans="1:4">
      <c r="A112" s="55" t="s">
        <v>247</v>
      </c>
      <c r="B112" s="205" t="s">
        <v>248</v>
      </c>
      <c r="C112" s="61" t="s">
        <v>30</v>
      </c>
      <c r="D112" s="209" t="str">
        <f t="shared" si="1"/>
        <v>9F 45 00 00:(星)魂核掉落率 +6.0%[近战]</v>
      </c>
    </row>
    <row r="113" spans="1:4">
      <c r="A113" s="55" t="s">
        <v>249</v>
      </c>
      <c r="B113" s="56" t="s">
        <v>250</v>
      </c>
      <c r="C113" s="61" t="s">
        <v>30</v>
      </c>
      <c r="D113" s="209" t="str">
        <f t="shared" si="1"/>
        <v>82 99 00 00:地狱武器掉落率 +4.0%[近战]</v>
      </c>
    </row>
    <row r="114" spans="1:4">
      <c r="A114" s="55" t="s">
        <v>251</v>
      </c>
      <c r="B114" s="56" t="s">
        <v>252</v>
      </c>
      <c r="C114" s="61" t="s">
        <v>30</v>
      </c>
      <c r="D114" s="209" t="str">
        <f t="shared" si="1"/>
        <v>97 BC 00 00:(同名固定)地狱武器掉落率 +6.0%[近战]</v>
      </c>
    </row>
    <row r="115" spans="1:4">
      <c r="A115" s="55" t="s">
        <v>253</v>
      </c>
      <c r="B115" s="203" t="s">
        <v>254</v>
      </c>
      <c r="C115" s="61" t="s">
        <v>30</v>
      </c>
      <c r="D115" s="209" t="str">
        <f t="shared" si="1"/>
        <v>C2 89 00 00:(地狱武器)地狱武器掉落率 +10.0%[近战]</v>
      </c>
    </row>
    <row r="116" spans="1:4">
      <c r="A116" s="55" t="s">
        <v>255</v>
      </c>
      <c r="B116" s="56" t="s">
        <v>256</v>
      </c>
      <c r="C116" s="61" t="s">
        <v>30</v>
      </c>
      <c r="D116" s="209" t="str">
        <f t="shared" si="1"/>
        <v>2C 1A 00 00:幸运 +2[近战]</v>
      </c>
    </row>
    <row r="117" spans="1:4">
      <c r="A117" s="55" t="s">
        <v>257</v>
      </c>
      <c r="B117" s="205" t="s">
        <v>258</v>
      </c>
      <c r="C117" s="61" t="s">
        <v>30</v>
      </c>
      <c r="D117" s="209" t="str">
        <f t="shared" si="1"/>
        <v>1D 15 00 00:(星)幸运 +12[近战]</v>
      </c>
    </row>
    <row r="118" spans="1:4">
      <c r="A118" s="55" t="s">
        <v>259</v>
      </c>
      <c r="B118" s="56" t="s">
        <v>260</v>
      </c>
      <c r="C118" s="61" t="s">
        <v>30</v>
      </c>
      <c r="D118" s="209" t="str">
        <f t="shared" si="1"/>
        <v>30 C9 00 00:背后攻击灵力增加量 +0.9%[近战]</v>
      </c>
    </row>
    <row r="119" spans="1:4">
      <c r="A119" s="55" t="s">
        <v>261</v>
      </c>
      <c r="B119" s="199" t="s">
        <v>262</v>
      </c>
      <c r="C119" s="61" t="s">
        <v>30</v>
      </c>
      <c r="D119" s="209" t="str">
        <f t="shared" si="1"/>
        <v>BA A2 00 00:造成火属性伤害时增加灵力 C[近战]</v>
      </c>
    </row>
    <row r="120" spans="1:4">
      <c r="A120" s="55" t="s">
        <v>263</v>
      </c>
      <c r="B120" s="199" t="s">
        <v>264</v>
      </c>
      <c r="C120" s="61" t="s">
        <v>30</v>
      </c>
      <c r="D120" s="209" t="str">
        <f t="shared" si="1"/>
        <v>17 5E 00 00:造成水属性伤害时增加灵力 C[近战]</v>
      </c>
    </row>
    <row r="121" spans="1:4">
      <c r="A121" s="55" t="s">
        <v>265</v>
      </c>
      <c r="B121" s="199" t="s">
        <v>266</v>
      </c>
      <c r="C121" s="61" t="s">
        <v>30</v>
      </c>
      <c r="D121" s="209" t="str">
        <f t="shared" si="1"/>
        <v>79 03 00 00:造成雷属性伤害时增加灵力 C[近战]</v>
      </c>
    </row>
    <row r="122" spans="1:4">
      <c r="A122" s="55" t="s">
        <v>267</v>
      </c>
      <c r="B122" s="199" t="s">
        <v>268</v>
      </c>
      <c r="C122" s="61" t="s">
        <v>30</v>
      </c>
      <c r="D122" s="209" t="str">
        <f t="shared" si="1"/>
        <v>4C 77 00 00:造成风属性伤害时增加灵力 C[近战]</v>
      </c>
    </row>
    <row r="123" spans="1:4">
      <c r="A123" s="55" t="s">
        <v>269</v>
      </c>
      <c r="B123" s="61" t="s">
        <v>270</v>
      </c>
      <c r="C123" s="61" t="s">
        <v>30</v>
      </c>
      <c r="D123" s="209" t="str">
        <f t="shared" si="1"/>
        <v>EC 58 00 00:使敌人陷入火状态时增加灵力 C[近战]</v>
      </c>
    </row>
    <row r="124" spans="1:4">
      <c r="A124" s="55" t="s">
        <v>271</v>
      </c>
      <c r="B124" s="61" t="s">
        <v>272</v>
      </c>
      <c r="C124" s="61" t="s">
        <v>30</v>
      </c>
      <c r="D124" s="209" t="str">
        <f t="shared" si="1"/>
        <v>70 DE 00 00:使敌人陷入水状态时增加灵力 C[近战]</v>
      </c>
    </row>
    <row r="125" spans="1:4">
      <c r="A125" s="55" t="s">
        <v>273</v>
      </c>
      <c r="B125" s="61" t="s">
        <v>274</v>
      </c>
      <c r="C125" s="61" t="s">
        <v>30</v>
      </c>
      <c r="D125" s="209" t="str">
        <f t="shared" si="1"/>
        <v>7A A3 00 00:使敌人陷入雷状态时增加灵力 C[近战]</v>
      </c>
    </row>
    <row r="126" spans="1:4">
      <c r="A126" s="55" t="s">
        <v>275</v>
      </c>
      <c r="B126" s="61" t="s">
        <v>276</v>
      </c>
      <c r="C126" s="61" t="s">
        <v>30</v>
      </c>
      <c r="D126" s="209" t="str">
        <f t="shared" si="1"/>
        <v>9B 89 00 00:使敌人陷入风状态时增加灵力 C[近战]</v>
      </c>
    </row>
    <row r="127" spans="1:4">
      <c r="A127" s="55" t="s">
        <v>277</v>
      </c>
      <c r="B127" s="61" t="s">
        <v>278</v>
      </c>
      <c r="C127" s="61" t="s">
        <v>30</v>
      </c>
      <c r="D127" s="209" t="str">
        <f t="shared" si="1"/>
        <v>41 BD 00 00:使敌人陷入毒状态时增加灵力 C[近战]</v>
      </c>
    </row>
    <row r="128" spans="1:4">
      <c r="A128" s="55" t="s">
        <v>279</v>
      </c>
      <c r="B128" s="61" t="s">
        <v>280</v>
      </c>
      <c r="C128" s="61" t="s">
        <v>30</v>
      </c>
      <c r="D128" s="209" t="str">
        <f t="shared" si="1"/>
        <v>F9 14 00 00:使敌人陷入麻痹状态时增加灵力 C[近战]</v>
      </c>
    </row>
    <row r="129" spans="1:4">
      <c r="A129" s="55" t="s">
        <v>281</v>
      </c>
      <c r="B129" s="56" t="s">
        <v>282</v>
      </c>
      <c r="C129" s="61" t="s">
        <v>30</v>
      </c>
      <c r="D129" s="209" t="str">
        <f t="shared" si="1"/>
        <v>75 64 00 00:使敌人陷入异常状态时增加灵力 C[近战]</v>
      </c>
    </row>
    <row r="130" spans="1:4">
      <c r="A130" s="55" t="s">
        <v>283</v>
      </c>
      <c r="B130" s="56" t="s">
        <v>284</v>
      </c>
      <c r="C130" s="61" t="s">
        <v>30</v>
      </c>
      <c r="D130" s="209" t="str">
        <f t="shared" si="1"/>
        <v>F3 78 00 00:近距离攻击的灵力增加量 +0.7%[近战]</v>
      </c>
    </row>
    <row r="131" spans="1:4">
      <c r="A131" s="55" t="s">
        <v>285</v>
      </c>
      <c r="B131" s="205" t="s">
        <v>286</v>
      </c>
      <c r="C131" s="61" t="s">
        <v>30</v>
      </c>
      <c r="D131" s="209" t="str">
        <f t="shared" si="1"/>
        <v>D1 58 00 00:(星)近距离攻击的灵力增加量 +1.1%[近战]</v>
      </c>
    </row>
    <row r="132" spans="1:4">
      <c r="A132" s="55" t="s">
        <v>287</v>
      </c>
      <c r="B132" s="56" t="s">
        <v>288</v>
      </c>
      <c r="C132" s="61" t="s">
        <v>30</v>
      </c>
      <c r="D132" s="209" t="str">
        <f t="shared" si="1"/>
        <v>55 D0 00 00:强攻击灵力增加量 +0.8%[近战]</v>
      </c>
    </row>
    <row r="133" spans="1:4">
      <c r="A133" s="55" t="s">
        <v>289</v>
      </c>
      <c r="B133" s="205" t="s">
        <v>290</v>
      </c>
      <c r="C133" s="61" t="s">
        <v>30</v>
      </c>
      <c r="D133" s="209" t="str">
        <f t="shared" ref="D133:D158" si="2">LEFT(A133,11)&amp;":"&amp;B133&amp;C133</f>
        <v>44 35 00 00:(星)强攻击灵力增加量 +1.2%[近战]</v>
      </c>
    </row>
    <row r="134" spans="1:4">
      <c r="A134" s="55" t="s">
        <v>291</v>
      </c>
      <c r="B134" s="56" t="s">
        <v>292</v>
      </c>
      <c r="C134" s="61" t="s">
        <v>30</v>
      </c>
      <c r="D134" s="209" t="str">
        <f t="shared" si="2"/>
        <v>EF C7 00 00:武技灵力增加量 +0.8%[近战]</v>
      </c>
    </row>
    <row r="135" spans="1:4">
      <c r="A135" s="55" t="s">
        <v>293</v>
      </c>
      <c r="B135" s="61" t="s">
        <v>294</v>
      </c>
      <c r="C135" s="61" t="s">
        <v>30</v>
      </c>
      <c r="D135" s="209" t="str">
        <f t="shared" si="2"/>
        <v>00 D9 00 00:(同名固定)灵力 +2.0[近战]</v>
      </c>
    </row>
    <row r="136" spans="1:4">
      <c r="A136" s="55" t="s">
        <v>295</v>
      </c>
      <c r="B136" s="61" t="s">
        <v>296</v>
      </c>
      <c r="C136" s="61" t="s">
        <v>30</v>
      </c>
      <c r="D136" s="209" t="str">
        <f t="shared" si="2"/>
        <v>17 C0 00 00:灵力 +1.0[近战]</v>
      </c>
    </row>
    <row r="137" spans="1:4">
      <c r="A137" s="55" t="s">
        <v>297</v>
      </c>
      <c r="B137" s="205" t="s">
        <v>298</v>
      </c>
      <c r="C137" s="61" t="s">
        <v>30</v>
      </c>
      <c r="D137" s="209" t="str">
        <f t="shared" si="2"/>
        <v>B6 75 00 00:(星)灵力 +3.0[近战]</v>
      </c>
    </row>
    <row r="138" spans="1:4">
      <c r="A138" s="55" t="s">
        <v>299</v>
      </c>
      <c r="B138" s="203" t="s">
        <v>300</v>
      </c>
      <c r="C138" s="61" t="s">
        <v>30</v>
      </c>
      <c r="D138" s="209" t="str">
        <f t="shared" si="2"/>
        <v>A9 7D 00 00:(地狱武器)灵力 +10.0[近战]</v>
      </c>
    </row>
    <row r="139" spans="1:4">
      <c r="A139" s="55" t="s">
        <v>301</v>
      </c>
      <c r="B139" s="61" t="s">
        <v>302</v>
      </c>
      <c r="C139" s="61" t="s">
        <v>30</v>
      </c>
      <c r="D139" s="209" t="str">
        <f t="shared" si="2"/>
        <v>66 72 00 00:(同名固定)获得精华增加灵力 C[近战]</v>
      </c>
    </row>
    <row r="140" spans="1:4">
      <c r="A140" s="55" t="s">
        <v>303</v>
      </c>
      <c r="B140" s="56" t="s">
        <v>304</v>
      </c>
      <c r="C140" s="61" t="s">
        <v>30</v>
      </c>
      <c r="D140" s="209" t="str">
        <f t="shared" si="2"/>
        <v>AC 0D 00 00:获得精华增加灵力 C[近战]</v>
      </c>
    </row>
    <row r="141" spans="1:4">
      <c r="A141" s="55" t="s">
        <v>305</v>
      </c>
      <c r="B141" s="205" t="s">
        <v>306</v>
      </c>
      <c r="C141" s="61" t="s">
        <v>30</v>
      </c>
      <c r="D141" s="209" t="str">
        <f t="shared" si="2"/>
        <v>DC 96 00 00:(星)获得精华增加灵力 B[近战]</v>
      </c>
    </row>
    <row r="142" spans="1:4">
      <c r="A142" s="55" t="s">
        <v>307</v>
      </c>
      <c r="B142" s="203" t="s">
        <v>308</v>
      </c>
      <c r="C142" s="61" t="s">
        <v>30</v>
      </c>
      <c r="D142" s="209" t="str">
        <f t="shared" si="2"/>
        <v>7F 5B 00 00:(地狱武器)获得精华增加灵力 B[近战]</v>
      </c>
    </row>
    <row r="143" spans="1:4">
      <c r="A143" s="55" t="s">
        <v>309</v>
      </c>
      <c r="B143" s="61" t="s">
        <v>310</v>
      </c>
      <c r="C143" s="61" t="s">
        <v>30</v>
      </c>
      <c r="D143" s="209" t="str">
        <f t="shared" si="2"/>
        <v>44 50 00 00:获得精华增加灵力(绝境) B-[近战]</v>
      </c>
    </row>
    <row r="144" spans="1:4">
      <c r="A144" s="55" t="s">
        <v>311</v>
      </c>
      <c r="B144" s="61" t="s">
        <v>312</v>
      </c>
      <c r="C144" s="61" t="s">
        <v>30</v>
      </c>
      <c r="D144" s="209" t="str">
        <f t="shared" si="2"/>
        <v>1D 1A 00 00:获得精华增加灵力(无伤) C+[近战]</v>
      </c>
    </row>
    <row r="145" spans="1:4">
      <c r="A145" s="55" t="s">
        <v>313</v>
      </c>
      <c r="B145" s="56" t="s">
        <v>314</v>
      </c>
      <c r="C145" s="61" t="s">
        <v>30</v>
      </c>
      <c r="D145" s="209" t="str">
        <f t="shared" si="2"/>
        <v>A3 0D 00 00:攻击处于麻痹状态的敌人增加灵力 AAA+[近战]</v>
      </c>
    </row>
    <row r="146" spans="1:4">
      <c r="A146" s="55" t="s">
        <v>315</v>
      </c>
      <c r="B146" s="56" t="s">
        <v>316</v>
      </c>
      <c r="C146" s="61" t="s">
        <v>30</v>
      </c>
      <c r="D146" s="209" t="str">
        <f t="shared" si="2"/>
        <v>C5 2A 00 00:攻击处于毒状态的敌人增加灵力 C+[近战]</v>
      </c>
    </row>
    <row r="147" spans="1:4">
      <c r="A147" s="55" t="s">
        <v>317</v>
      </c>
      <c r="B147" s="56" t="s">
        <v>318</v>
      </c>
      <c r="C147" s="61" t="s">
        <v>30</v>
      </c>
      <c r="D147" s="209" t="str">
        <f t="shared" si="2"/>
        <v>F3 68 00 00:攻击处于火状态的敌人增加灵力 C+[近战]</v>
      </c>
    </row>
    <row r="148" spans="1:4">
      <c r="A148" s="55" t="s">
        <v>319</v>
      </c>
      <c r="B148" s="56" t="s">
        <v>320</v>
      </c>
      <c r="C148" s="61" t="s">
        <v>30</v>
      </c>
      <c r="D148" s="209" t="str">
        <f t="shared" si="2"/>
        <v>05 A9 00 00:攻击处于水状态的敌人增加灵力 C+[近战]</v>
      </c>
    </row>
    <row r="149" spans="1:4">
      <c r="A149" s="55" t="s">
        <v>321</v>
      </c>
      <c r="B149" s="56" t="s">
        <v>322</v>
      </c>
      <c r="C149" s="61" t="s">
        <v>30</v>
      </c>
      <c r="D149" s="209" t="str">
        <f t="shared" si="2"/>
        <v>95 ED 00 00:攻击处于雷状态的敌人增加灵力 C+[近战]</v>
      </c>
    </row>
    <row r="150" spans="1:4">
      <c r="A150" s="55" t="s">
        <v>323</v>
      </c>
      <c r="B150" s="56" t="s">
        <v>324</v>
      </c>
      <c r="C150" s="61" t="s">
        <v>30</v>
      </c>
      <c r="D150" s="209" t="str">
        <f t="shared" si="2"/>
        <v>8C 51 00 00:攻击处于风状态的敌人增加灵力 C+[近战]</v>
      </c>
    </row>
    <row r="151" spans="1:4">
      <c r="A151" s="55" t="s">
        <v>325</v>
      </c>
      <c r="B151" s="56" t="s">
        <v>326</v>
      </c>
      <c r="C151" s="61" t="s">
        <v>30</v>
      </c>
      <c r="D151" s="209" t="str">
        <f t="shared" si="2"/>
        <v>38 BD 00 00:追击和近身刺击增加灵力(C+)[近战]</v>
      </c>
    </row>
    <row r="152" spans="1:4">
      <c r="A152" s="55" t="s">
        <v>327</v>
      </c>
      <c r="B152" s="61" t="s">
        <v>328</v>
      </c>
      <c r="C152" s="61" t="s">
        <v>30</v>
      </c>
      <c r="D152" s="209" t="str">
        <f t="shared" si="2"/>
        <v>F5 DA 00 00:(同名固定)灵力增加量 +0.7%[近战]</v>
      </c>
    </row>
    <row r="153" spans="1:4">
      <c r="A153" s="55" t="s">
        <v>329</v>
      </c>
      <c r="B153" s="56" t="s">
        <v>330</v>
      </c>
      <c r="C153" s="61" t="s">
        <v>30</v>
      </c>
      <c r="D153" s="209" t="str">
        <f t="shared" si="2"/>
        <v>25 9F 00 00:灵力增加量 +0.7%[近战]</v>
      </c>
    </row>
    <row r="154" spans="1:4">
      <c r="A154" s="55" t="s">
        <v>331</v>
      </c>
      <c r="B154" s="61" t="s">
        <v>332</v>
      </c>
      <c r="C154" s="61" t="s">
        <v>30</v>
      </c>
      <c r="D154" s="209" t="str">
        <f t="shared" si="2"/>
        <v>2F AD 00 00:灵力增加量(绝境) +2.1%[近战]</v>
      </c>
    </row>
    <row r="155" spans="1:4">
      <c r="A155" s="55" t="s">
        <v>333</v>
      </c>
      <c r="B155" s="61" t="s">
        <v>334</v>
      </c>
      <c r="C155" s="61" t="s">
        <v>30</v>
      </c>
      <c r="D155" s="209" t="str">
        <f t="shared" si="2"/>
        <v>66 19 00 00:灵力增加量(无伤) +0.9%[近战]</v>
      </c>
    </row>
    <row r="156" spans="1:4">
      <c r="A156" s="55" t="s">
        <v>335</v>
      </c>
      <c r="B156" s="61" t="s">
        <v>336</v>
      </c>
      <c r="C156" s="61" t="s">
        <v>30</v>
      </c>
      <c r="D156" s="209" t="str">
        <f t="shared" si="2"/>
        <v>02 D2 00 00:灵力增加量(地狱) +0.9%[近战]</v>
      </c>
    </row>
    <row r="157" spans="1:4">
      <c r="A157" s="55" t="s">
        <v>337</v>
      </c>
      <c r="B157" s="61" t="s">
        <v>338</v>
      </c>
      <c r="C157" s="61" t="s">
        <v>30</v>
      </c>
      <c r="D157" s="209" t="str">
        <f t="shared" si="2"/>
        <v>70 39 00 00:灵力增加量(负面效果时) +0.9%[近战]</v>
      </c>
    </row>
    <row r="158" spans="1:4">
      <c r="A158" s="55" t="s">
        <v>339</v>
      </c>
      <c r="B158" s="61" t="s">
        <v>340</v>
      </c>
      <c r="C158" s="61" t="s">
        <v>30</v>
      </c>
      <c r="D158" s="209" t="str">
        <f t="shared" si="2"/>
        <v>AE 4F 00 00:灵力增加量(正面效果时) +0.8%[近战]</v>
      </c>
    </row>
    <row r="159" spans="1:4">
      <c r="A159" s="55" t="s">
        <v>341</v>
      </c>
      <c r="B159" s="56" t="s">
        <v>342</v>
      </c>
      <c r="C159" s="61" t="s">
        <v>30</v>
      </c>
      <c r="D159" s="209" t="str">
        <f t="shared" ref="D159:D164" si="3">LEFT(A159,11)&amp;":"&amp;B159&amp;C159</f>
        <v>2B 8D 00 00:承受伤害增加灵力 C[近战]</v>
      </c>
    </row>
    <row r="160" spans="1:4">
      <c r="A160" s="55" t="s">
        <v>343</v>
      </c>
      <c r="B160" s="56" t="s">
        <v>344</v>
      </c>
      <c r="C160" s="61" t="s">
        <v>30</v>
      </c>
      <c r="D160" s="209" t="str">
        <f t="shared" si="3"/>
        <v>F0 43 00 00:(同名固定)识破可增加灵力 +4[近战]</v>
      </c>
    </row>
    <row r="161" spans="1:4">
      <c r="A161" s="55" t="s">
        <v>345</v>
      </c>
      <c r="B161" s="199" t="s">
        <v>346</v>
      </c>
      <c r="C161" s="61" t="s">
        <v>30</v>
      </c>
      <c r="D161" s="209" t="str">
        <f t="shared" si="3"/>
        <v>1E ED 00 00:追击与近身刺击赋予昂神(B)[近战]</v>
      </c>
    </row>
    <row r="162" spans="1:4">
      <c r="A162" s="55" t="s">
        <v>347</v>
      </c>
      <c r="B162" s="61" t="s">
        <v>348</v>
      </c>
      <c r="C162" s="61" t="s">
        <v>30</v>
      </c>
      <c r="D162" s="209" t="str">
        <f t="shared" si="3"/>
        <v>A9 DC 00 00:(同名固定)伤害反映(弓伤害) D+[近战]</v>
      </c>
    </row>
    <row r="163" spans="1:4">
      <c r="A163" s="55" t="s">
        <v>349</v>
      </c>
      <c r="B163" s="56" t="s">
        <v>350</v>
      </c>
      <c r="C163" s="61" t="s">
        <v>30</v>
      </c>
      <c r="D163" s="209" t="str">
        <f t="shared" si="3"/>
        <v>0B 51 00 00:阴阳术精力伤害 +1.8%[近战]</v>
      </c>
    </row>
    <row r="164" spans="1:4">
      <c r="A164" s="55" t="s">
        <v>351</v>
      </c>
      <c r="B164" s="61" t="s">
        <v>352</v>
      </c>
      <c r="C164" s="61" t="s">
        <v>30</v>
      </c>
      <c r="D164" s="209" t="str">
        <f t="shared" si="3"/>
        <v>41 49 00 00:(同名固定)忍术造成的精力伤害 +2.3%[近战]</v>
      </c>
    </row>
    <row r="165" spans="1:4">
      <c r="A165" s="55" t="s">
        <v>353</v>
      </c>
      <c r="B165" s="61" t="s">
        <v>354</v>
      </c>
      <c r="C165" s="61" t="s">
        <v>30</v>
      </c>
      <c r="D165" s="209" t="str">
        <f t="shared" ref="D165:D197" si="4">LEFT(A165,11)&amp;":"&amp;B165&amp;C165</f>
        <v>C1 BE 00 00:(同名固定)忍术造成的精力伤害 +2.5%[近战]</v>
      </c>
    </row>
    <row r="166" spans="1:4">
      <c r="A166" s="55" t="s">
        <v>355</v>
      </c>
      <c r="B166" s="56" t="s">
        <v>356</v>
      </c>
      <c r="C166" s="61" t="s">
        <v>30</v>
      </c>
      <c r="D166" s="209" t="str">
        <f t="shared" si="4"/>
        <v>BD A5 00 00:忍术造成的精力伤害 +1.5%[近战]</v>
      </c>
    </row>
    <row r="167" spans="1:4">
      <c r="A167" s="55" t="s">
        <v>357</v>
      </c>
      <c r="B167" s="61" t="s">
        <v>358</v>
      </c>
      <c r="C167" s="61" t="s">
        <v>30</v>
      </c>
      <c r="D167" s="209" t="str">
        <f t="shared" si="4"/>
        <v>7F CB 00 00:(同名固定)武技精力伤害 +2.5%[近战]</v>
      </c>
    </row>
    <row r="168" spans="1:4">
      <c r="A168" s="55" t="s">
        <v>359</v>
      </c>
      <c r="B168" s="56" t="s">
        <v>360</v>
      </c>
      <c r="C168" s="61" t="s">
        <v>30</v>
      </c>
      <c r="D168" s="209" t="str">
        <f t="shared" si="4"/>
        <v>4B 79 00 00:武技精力伤害 +1.5%[近战]</v>
      </c>
    </row>
    <row r="169" spans="1:4">
      <c r="A169" s="55" t="s">
        <v>361</v>
      </c>
      <c r="B169" s="203" t="s">
        <v>362</v>
      </c>
      <c r="C169" s="61" t="s">
        <v>30</v>
      </c>
      <c r="D169" s="209" t="str">
        <f t="shared" si="4"/>
        <v>90 37 00 00:(地狱武器)武技精力伤害 +5.0%[近战]</v>
      </c>
    </row>
    <row r="170" spans="1:4">
      <c r="A170" s="55" t="s">
        <v>363</v>
      </c>
      <c r="B170" s="61" t="s">
        <v>364</v>
      </c>
      <c r="C170" s="61" t="s">
        <v>30</v>
      </c>
      <c r="D170" s="209" t="str">
        <f t="shared" si="4"/>
        <v>F8 C4 00 00:(同名固定)近距离攻击精力伤害 +1.5%[近战]</v>
      </c>
    </row>
    <row r="171" spans="1:4">
      <c r="A171" s="55" t="s">
        <v>365</v>
      </c>
      <c r="B171" s="56" t="s">
        <v>366</v>
      </c>
      <c r="C171" s="61" t="s">
        <v>30</v>
      </c>
      <c r="D171" s="209" t="str">
        <f t="shared" si="4"/>
        <v>17 DC 00 00:近距离攻击精力伤害 +1.5%[近战]</v>
      </c>
    </row>
    <row r="172" spans="1:4">
      <c r="A172" s="55" t="s">
        <v>367</v>
      </c>
      <c r="B172" s="205" t="s">
        <v>368</v>
      </c>
      <c r="C172" s="61" t="s">
        <v>30</v>
      </c>
      <c r="D172" s="209" t="str">
        <f t="shared" si="4"/>
        <v>93 37 00 00:(星)近距离攻击精力伤害 +2.3%[近战]</v>
      </c>
    </row>
    <row r="173" spans="1:4">
      <c r="A173" s="55" t="s">
        <v>369</v>
      </c>
      <c r="B173" s="203" t="s">
        <v>370</v>
      </c>
      <c r="C173" s="61" t="s">
        <v>30</v>
      </c>
      <c r="D173" s="209" t="str">
        <f t="shared" si="4"/>
        <v>D3 21 00 00:(地狱武器)近距离攻击精力伤害 +3.0%[近战]</v>
      </c>
    </row>
    <row r="174" spans="1:4">
      <c r="A174" s="55" t="s">
        <v>371</v>
      </c>
      <c r="B174" s="56" t="s">
        <v>372</v>
      </c>
      <c r="C174" s="61" t="s">
        <v>30</v>
      </c>
      <c r="D174" s="209" t="str">
        <f t="shared" si="4"/>
        <v>66 A1 00 00:近距离攻击精力伤害(地狱) +1.5%[近战]</v>
      </c>
    </row>
    <row r="175" spans="1:4">
      <c r="A175" s="55" t="s">
        <v>373</v>
      </c>
      <c r="B175" s="61" t="s">
        <v>374</v>
      </c>
      <c r="C175" s="61" t="s">
        <v>30</v>
      </c>
      <c r="D175" s="209" t="str">
        <f t="shared" si="4"/>
        <v>C6 BF 00 00:(同名固定)强攻击精力伤害 +1.9%[近战]</v>
      </c>
    </row>
    <row r="176" spans="1:4">
      <c r="A176" s="55" t="s">
        <v>375</v>
      </c>
      <c r="B176" s="56" t="s">
        <v>376</v>
      </c>
      <c r="C176" s="61" t="s">
        <v>30</v>
      </c>
      <c r="D176" s="209" t="str">
        <f t="shared" si="4"/>
        <v>07 51 00 00:强攻击精力伤害 +1.6%[近战]</v>
      </c>
    </row>
    <row r="177" spans="1:4">
      <c r="A177" s="55" t="s">
        <v>377</v>
      </c>
      <c r="B177" s="205" t="s">
        <v>378</v>
      </c>
      <c r="C177" s="61" t="s">
        <v>30</v>
      </c>
      <c r="D177" s="209" t="str">
        <f t="shared" si="4"/>
        <v>6B 13 00 00:(星)强攻击精力伤害 +2.4%[近战]</v>
      </c>
    </row>
    <row r="178" spans="1:4">
      <c r="A178" s="55" t="s">
        <v>379</v>
      </c>
      <c r="B178" s="56" t="s">
        <v>380</v>
      </c>
      <c r="C178" s="61" t="s">
        <v>30</v>
      </c>
      <c r="D178" s="209" t="str">
        <f t="shared" si="4"/>
        <v>7D 51 00 00:空中攻击精力伤害 +1.8%[近战]</v>
      </c>
    </row>
    <row r="179" spans="1:4">
      <c r="A179" s="55" t="s">
        <v>381</v>
      </c>
      <c r="B179" s="61" t="s">
        <v>382</v>
      </c>
      <c r="C179" s="61" t="s">
        <v>30</v>
      </c>
      <c r="D179" s="209" t="str">
        <f t="shared" si="4"/>
        <v>D3 4A 00 00:对处于火状态敌人的精力伤害 +2.1%[近战]</v>
      </c>
    </row>
    <row r="180" spans="1:4">
      <c r="A180" s="55" t="s">
        <v>383</v>
      </c>
      <c r="B180" s="61" t="s">
        <v>384</v>
      </c>
      <c r="C180" s="61" t="s">
        <v>30</v>
      </c>
      <c r="D180" s="209" t="str">
        <f t="shared" si="4"/>
        <v>F7 52 00 00:对处于水状态敌人的精力伤害 +2.1%[近战]</v>
      </c>
    </row>
    <row r="181" spans="1:4">
      <c r="A181" s="55" t="s">
        <v>385</v>
      </c>
      <c r="B181" s="61" t="s">
        <v>386</v>
      </c>
      <c r="C181" s="61" t="s">
        <v>30</v>
      </c>
      <c r="D181" s="209" t="str">
        <f t="shared" si="4"/>
        <v>14 27 00 00:对处于雷状态敌人的精力伤害 +2.1%[近战]</v>
      </c>
    </row>
    <row r="182" spans="1:4">
      <c r="A182" s="55" t="s">
        <v>387</v>
      </c>
      <c r="B182" s="61" t="s">
        <v>388</v>
      </c>
      <c r="C182" s="61" t="s">
        <v>30</v>
      </c>
      <c r="D182" s="209" t="str">
        <f t="shared" si="4"/>
        <v>EA D8 00 00:对处于风状态敌人的精力伤害 +2.1%[近战]</v>
      </c>
    </row>
    <row r="183" spans="1:4">
      <c r="A183" s="55" t="s">
        <v>389</v>
      </c>
      <c r="B183" s="61" t="s">
        <v>390</v>
      </c>
      <c r="C183" s="61" t="s">
        <v>30</v>
      </c>
      <c r="D183" s="209" t="str">
        <f t="shared" si="4"/>
        <v>96 97 00 00:上段武技精力伤害 +1.7%[近战]</v>
      </c>
    </row>
    <row r="184" spans="1:4">
      <c r="A184" s="55" t="s">
        <v>391</v>
      </c>
      <c r="B184" s="61" t="s">
        <v>392</v>
      </c>
      <c r="C184" s="61" t="s">
        <v>30</v>
      </c>
      <c r="D184" s="209" t="str">
        <f t="shared" si="4"/>
        <v>EF D7 00 00:中段武技精力伤害 +1.7%[近战]</v>
      </c>
    </row>
    <row r="185" spans="1:4">
      <c r="A185" s="55" t="s">
        <v>393</v>
      </c>
      <c r="B185" s="61" t="s">
        <v>394</v>
      </c>
      <c r="C185" s="61" t="s">
        <v>30</v>
      </c>
      <c r="D185" s="209" t="str">
        <f t="shared" si="4"/>
        <v>4B 1D 00 00:(同名固定)下段武技精力伤害 +4.4%[近战]</v>
      </c>
    </row>
    <row r="186" spans="1:4">
      <c r="A186" s="55" t="s">
        <v>395</v>
      </c>
      <c r="B186" s="61" t="s">
        <v>396</v>
      </c>
      <c r="C186" s="61" t="s">
        <v>30</v>
      </c>
      <c r="D186" s="209" t="str">
        <f t="shared" si="4"/>
        <v>C3 C4 00 00:下段武技精力伤害 +1.7%[近战]</v>
      </c>
    </row>
    <row r="187" spans="1:4">
      <c r="A187" s="55" t="s">
        <v>397</v>
      </c>
      <c r="B187" s="61" t="s">
        <v>398</v>
      </c>
      <c r="C187" s="61" t="s">
        <v>30</v>
      </c>
      <c r="D187" s="209" t="str">
        <f t="shared" si="4"/>
        <v>34 EA 00 00:(同名固定)近距离攻击吸取体力 3%[近战]</v>
      </c>
    </row>
    <row r="188" spans="1:4">
      <c r="A188" s="55" t="s">
        <v>399</v>
      </c>
      <c r="B188" s="205" t="s">
        <v>400</v>
      </c>
      <c r="C188" s="61" t="s">
        <v>30</v>
      </c>
      <c r="D188" s="209" t="str">
        <f t="shared" si="4"/>
        <v>33 3B 00 00:近距离攻击吸取体力 2%[近战]</v>
      </c>
    </row>
    <row r="189" spans="1:4">
      <c r="A189" s="55" t="s">
        <v>401</v>
      </c>
      <c r="B189" s="203" t="s">
        <v>402</v>
      </c>
      <c r="C189" s="61" t="s">
        <v>30</v>
      </c>
      <c r="D189" s="209" t="str">
        <f t="shared" si="4"/>
        <v>DB F9 00 00:(地狱武器)近距离攻击吸取体力 6%[近战]</v>
      </c>
    </row>
    <row r="190" spans="1:4">
      <c r="A190" s="55" t="s">
        <v>403</v>
      </c>
      <c r="B190" s="56" t="s">
        <v>404</v>
      </c>
      <c r="C190" s="61" t="s">
        <v>30</v>
      </c>
      <c r="D190" s="209" t="str">
        <f t="shared" si="4"/>
        <v>40 26 00 00:上段架式攻击吸取体力 3%[近战]</v>
      </c>
    </row>
    <row r="191" spans="1:4">
      <c r="A191" s="55" t="s">
        <v>405</v>
      </c>
      <c r="B191" s="61" t="s">
        <v>406</v>
      </c>
      <c r="C191" s="61" t="s">
        <v>30</v>
      </c>
      <c r="D191" s="209" t="str">
        <f t="shared" si="4"/>
        <v>BC 88 00 00:(同名固定)中段架式攻击吸取体力 4%[近战]</v>
      </c>
    </row>
    <row r="192" spans="1:4">
      <c r="A192" s="55" t="s">
        <v>407</v>
      </c>
      <c r="B192" s="56" t="s">
        <v>408</v>
      </c>
      <c r="C192" s="61" t="s">
        <v>30</v>
      </c>
      <c r="D192" s="209" t="str">
        <f t="shared" si="4"/>
        <v>D0 87 00 00:中段架式攻击吸取体力 3%[近战]</v>
      </c>
    </row>
    <row r="193" spans="1:4">
      <c r="A193" s="55" t="s">
        <v>409</v>
      </c>
      <c r="B193" s="56" t="s">
        <v>410</v>
      </c>
      <c r="C193" s="61" t="s">
        <v>30</v>
      </c>
      <c r="D193" s="209" t="str">
        <f t="shared" si="4"/>
        <v>0B 31 00 00:下段架式攻击吸取体力 3%[近战]</v>
      </c>
    </row>
    <row r="194" spans="1:4">
      <c r="A194" s="55" t="s">
        <v>411</v>
      </c>
      <c r="B194" s="61" t="s">
        <v>412</v>
      </c>
      <c r="C194" s="61" t="s">
        <v>30</v>
      </c>
      <c r="D194" s="209" t="str">
        <f t="shared" si="4"/>
        <v>3E 6D 00 00:(同名固定)速攻技吸取体力 5%[近战]</v>
      </c>
    </row>
    <row r="195" spans="1:4">
      <c r="A195" s="55" t="s">
        <v>413</v>
      </c>
      <c r="B195" s="199" t="s">
        <v>414</v>
      </c>
      <c r="C195" s="61" t="s">
        <v>30</v>
      </c>
      <c r="D195" s="209" t="str">
        <f t="shared" si="4"/>
        <v>B0 50 00 00:速攻技吸取体力 4%[近战]</v>
      </c>
    </row>
    <row r="196" spans="1:4">
      <c r="A196" s="55" t="s">
        <v>415</v>
      </c>
      <c r="B196" s="199" t="s">
        <v>416</v>
      </c>
      <c r="C196" s="61" t="s">
        <v>30</v>
      </c>
      <c r="D196" s="209" t="str">
        <f t="shared" si="4"/>
        <v>41 E4 00 00:强攻技吸取体力 3%[近战]</v>
      </c>
    </row>
    <row r="197" spans="1:4">
      <c r="A197" s="55" t="s">
        <v>417</v>
      </c>
      <c r="B197" s="56" t="s">
        <v>418</v>
      </c>
      <c r="C197" s="61" t="s">
        <v>30</v>
      </c>
      <c r="D197" s="209" t="str">
        <f t="shared" si="4"/>
        <v>75 D2 00 00:近距离攻击打倒敌人时恢复体力 30[近战]</v>
      </c>
    </row>
    <row r="198" spans="1:4">
      <c r="A198" s="55" t="s">
        <v>419</v>
      </c>
      <c r="B198" s="199" t="s">
        <v>420</v>
      </c>
      <c r="C198" s="61" t="s">
        <v>30</v>
      </c>
      <c r="D198" s="209" t="str">
        <f t="shared" ref="D198:D261" si="5">LEFT(A198,11)&amp;":"&amp;B198&amp;C198</f>
        <v>0F 40 00 00:打倒敌人时赋予自动恢复体力(33)[近战]</v>
      </c>
    </row>
    <row r="199" spans="1:4">
      <c r="A199" s="55" t="s">
        <v>421</v>
      </c>
      <c r="B199" s="61" t="s">
        <v>422</v>
      </c>
      <c r="C199" s="61" t="s">
        <v>30</v>
      </c>
      <c r="D199" s="209" t="str">
        <f t="shared" si="5"/>
        <v>3F 61 00 00:造成火属性伤害时吸取体力 C[近战]</v>
      </c>
    </row>
    <row r="200" spans="1:4">
      <c r="A200" s="55" t="s">
        <v>423</v>
      </c>
      <c r="B200" s="205" t="s">
        <v>424</v>
      </c>
      <c r="C200" s="61" t="s">
        <v>30</v>
      </c>
      <c r="D200" s="209" t="str">
        <f t="shared" si="5"/>
        <v>C7 64 00 00:(星)造成火属性伤害时吸取体力 B[近战]</v>
      </c>
    </row>
    <row r="201" spans="1:4">
      <c r="A201" s="55" t="s">
        <v>425</v>
      </c>
      <c r="B201" s="61" t="s">
        <v>426</v>
      </c>
      <c r="C201" s="61" t="s">
        <v>30</v>
      </c>
      <c r="D201" s="209" t="str">
        <f t="shared" si="5"/>
        <v>54 00 00 00:造成水属性伤害时吸取体力 C[近战]</v>
      </c>
    </row>
    <row r="202" spans="1:4">
      <c r="A202" s="55" t="s">
        <v>427</v>
      </c>
      <c r="B202" s="61" t="s">
        <v>428</v>
      </c>
      <c r="C202" s="61" t="s">
        <v>30</v>
      </c>
      <c r="D202" s="209" t="str">
        <f t="shared" si="5"/>
        <v>FB C5 00 00:造成雷属性伤害时吸取体力 C[近战]</v>
      </c>
    </row>
    <row r="203" spans="1:4">
      <c r="A203" s="55" t="s">
        <v>429</v>
      </c>
      <c r="B203" s="61" t="s">
        <v>430</v>
      </c>
      <c r="C203" s="61" t="s">
        <v>30</v>
      </c>
      <c r="D203" s="209" t="str">
        <f t="shared" si="5"/>
        <v>0B 04 00 00:造成风属性伤害时吸取体力 C[近战]</v>
      </c>
    </row>
    <row r="204" spans="1:4">
      <c r="A204" s="55" t="s">
        <v>431</v>
      </c>
      <c r="B204" s="205" t="s">
        <v>432</v>
      </c>
      <c r="C204" s="61" t="s">
        <v>30</v>
      </c>
      <c r="D204" s="209" t="str">
        <f t="shared" si="5"/>
        <v>A7 58 00 00:(星)造成风属性伤害时吸取体力 B[近战]</v>
      </c>
    </row>
    <row r="205" spans="1:4">
      <c r="A205" s="55" t="s">
        <v>433</v>
      </c>
      <c r="B205" s="61" t="s">
        <v>434</v>
      </c>
      <c r="C205" s="61" t="s">
        <v>30</v>
      </c>
      <c r="D205" s="209" t="str">
        <f t="shared" si="5"/>
        <v>D6 53 00 00:造成属性伤害时吸取体力 D+[近战]</v>
      </c>
    </row>
    <row r="206" spans="1:4">
      <c r="A206" s="55" t="s">
        <v>435</v>
      </c>
      <c r="B206" s="205" t="s">
        <v>436</v>
      </c>
      <c r="C206" s="61" t="s">
        <v>30</v>
      </c>
      <c r="D206" s="209" t="str">
        <f t="shared" si="5"/>
        <v>65 CA 00 00:(星)造成属性伤害时吸取体力 C+[近战]</v>
      </c>
    </row>
    <row r="207" spans="1:4">
      <c r="A207" s="55" t="s">
        <v>437</v>
      </c>
      <c r="B207" s="199" t="s">
        <v>438</v>
      </c>
      <c r="C207" s="61" t="s">
        <v>30</v>
      </c>
      <c r="D207" s="209" t="str">
        <f t="shared" si="5"/>
        <v>BA 1C 00 00:格挡成功时赋予自动恢复体力(31)[近战]</v>
      </c>
    </row>
    <row r="208" spans="1:4">
      <c r="A208" s="55" t="s">
        <v>439</v>
      </c>
      <c r="B208" s="199" t="s">
        <v>440</v>
      </c>
      <c r="C208" s="61" t="s">
        <v>30</v>
      </c>
      <c r="D208" s="209" t="str">
        <f t="shared" si="5"/>
        <v>1E 73 00 00:成功识破时自动恢复体力(31)[近战]</v>
      </c>
    </row>
    <row r="209" spans="1:4">
      <c r="A209" s="55" t="s">
        <v>441</v>
      </c>
      <c r="B209" s="56" t="s">
        <v>442</v>
      </c>
      <c r="C209" s="61" t="s">
        <v>30</v>
      </c>
      <c r="D209" s="209" t="str">
        <f t="shared" si="5"/>
        <v>FD 3F 00 00:追击和近身刺击可恢复体力 30[近战]</v>
      </c>
    </row>
    <row r="210" spans="1:4">
      <c r="A210" s="55" t="s">
        <v>443</v>
      </c>
      <c r="B210" s="61" t="s">
        <v>444</v>
      </c>
      <c r="C210" s="61" t="s">
        <v>30</v>
      </c>
      <c r="D210" s="209" t="str">
        <f t="shared" si="5"/>
        <v>C7 7E 00 00:箭弹命中弱点可恢复体力 42[近战]</v>
      </c>
    </row>
    <row r="211" spans="1:4">
      <c r="A211" s="55" t="s">
        <v>445</v>
      </c>
      <c r="B211" s="61" t="s">
        <v>446</v>
      </c>
      <c r="C211" s="61" t="s">
        <v>30</v>
      </c>
      <c r="D211" s="209" t="str">
        <f t="shared" si="5"/>
        <v>B1 F2 00 00:(同名固定)吸收精华后赋予自动恢复体力(28)[近战]</v>
      </c>
    </row>
    <row r="212" spans="1:4">
      <c r="A212" s="55" t="s">
        <v>447</v>
      </c>
      <c r="B212" s="205" t="s">
        <v>448</v>
      </c>
      <c r="C212" s="61" t="s">
        <v>30</v>
      </c>
      <c r="D212" s="209" t="str">
        <f t="shared" si="5"/>
        <v>37 57 00 00:吸收精华可恢复体力 6[近战]</v>
      </c>
    </row>
    <row r="213" spans="1:4">
      <c r="A213" s="55" t="s">
        <v>449</v>
      </c>
      <c r="B213" s="61" t="s">
        <v>450</v>
      </c>
      <c r="C213" s="61" t="s">
        <v>30</v>
      </c>
      <c r="D213" s="209" t="str">
        <f t="shared" si="5"/>
        <v>0D 39 00 00:(同名固定)武技吸取体力 +4.0%[近战]</v>
      </c>
    </row>
    <row r="214" spans="1:4">
      <c r="A214" s="55" t="s">
        <v>451</v>
      </c>
      <c r="B214" s="56" t="s">
        <v>452</v>
      </c>
      <c r="C214" s="61" t="s">
        <v>30</v>
      </c>
      <c r="D214" s="209" t="str">
        <f t="shared" si="5"/>
        <v>01 FF 00 00:武技吸取体力 +3.0%[近战]</v>
      </c>
    </row>
    <row r="215" spans="1:4">
      <c r="A215" s="55" t="s">
        <v>453</v>
      </c>
      <c r="B215" s="56" t="s">
        <v>454</v>
      </c>
      <c r="C215" s="61" t="s">
        <v>30</v>
      </c>
      <c r="D215" s="209" t="str">
        <f t="shared" si="5"/>
        <v>F0 44 00 00:箭弹命中可恢复体力 30[近战]</v>
      </c>
    </row>
    <row r="216" spans="1:4">
      <c r="A216" s="55" t="s">
        <v>455</v>
      </c>
      <c r="B216" s="56" t="s">
        <v>456</v>
      </c>
      <c r="C216" s="61" t="s">
        <v>30</v>
      </c>
      <c r="D216" s="209" t="str">
        <f t="shared" si="5"/>
        <v>13 BB 00 00:防御时精力恢复速度 +1.0%[近战]</v>
      </c>
    </row>
    <row r="217" spans="1:4">
      <c r="A217" s="55" t="s">
        <v>457</v>
      </c>
      <c r="B217" s="56" t="s">
        <v>458</v>
      </c>
      <c r="C217" s="61" t="s">
        <v>30</v>
      </c>
      <c r="D217" s="209" t="str">
        <f t="shared" si="5"/>
        <v>00 68 00 00:残心精力恢复量 +0.4%[近战]</v>
      </c>
    </row>
    <row r="218" spans="1:4">
      <c r="A218" s="55" t="s">
        <v>459</v>
      </c>
      <c r="B218" s="205" t="s">
        <v>460</v>
      </c>
      <c r="C218" s="61" t="s">
        <v>30</v>
      </c>
      <c r="D218" s="209" t="str">
        <f t="shared" si="5"/>
        <v>FA 94 00 00:(星)残心精力恢复量 +0.6%[近战]</v>
      </c>
    </row>
    <row r="219" spans="1:4">
      <c r="A219" s="55" t="s">
        <v>461</v>
      </c>
      <c r="B219" s="56" t="s">
        <v>462</v>
      </c>
      <c r="C219" s="61" t="s">
        <v>30</v>
      </c>
      <c r="D219" s="209" t="str">
        <f t="shared" si="5"/>
        <v>4F 14 00 00:精力恢复速度 +1.0%[近战]</v>
      </c>
    </row>
    <row r="220" spans="1:4">
      <c r="A220" s="55" t="s">
        <v>463</v>
      </c>
      <c r="B220" s="205" t="s">
        <v>464</v>
      </c>
      <c r="C220" s="61" t="s">
        <v>30</v>
      </c>
      <c r="D220" s="209" t="str">
        <f t="shared" si="5"/>
        <v>D3 B1 00 00:(星)精力恢复速度 +2.5%[近战]</v>
      </c>
    </row>
    <row r="221" spans="1:4">
      <c r="A221" s="55" t="s">
        <v>465</v>
      </c>
      <c r="B221" s="199" t="s">
        <v>466</v>
      </c>
      <c r="C221" s="61" t="s">
        <v>30</v>
      </c>
      <c r="D221" s="209" t="str">
        <f t="shared" si="5"/>
        <v>43 37 00 00:绝境时赋予精力恢复速度增加(2.5%)[近战]</v>
      </c>
    </row>
    <row r="222" spans="1:4">
      <c r="A222" s="55" t="s">
        <v>467</v>
      </c>
      <c r="B222" s="61" t="s">
        <v>468</v>
      </c>
      <c r="C222" s="61" t="s">
        <v>30</v>
      </c>
      <c r="D222" s="209" t="str">
        <f t="shared" si="5"/>
        <v>26 68 00 00:精力恢复速度上升(无伤) +1.3%[近战]</v>
      </c>
    </row>
    <row r="223" spans="1:4">
      <c r="A223" s="55" t="s">
        <v>469</v>
      </c>
      <c r="B223" s="61" t="s">
        <v>470</v>
      </c>
      <c r="C223" s="61" t="s">
        <v>30</v>
      </c>
      <c r="D223" s="209" t="str">
        <f t="shared" si="5"/>
        <v>F1 9A 00 00:精力恢复速度(绝境) +2.3%[近战]</v>
      </c>
    </row>
    <row r="224" spans="1:4">
      <c r="A224" s="55" t="s">
        <v>471</v>
      </c>
      <c r="B224" s="61" t="s">
        <v>472</v>
      </c>
      <c r="C224" s="61" t="s">
        <v>30</v>
      </c>
      <c r="D224" s="209" t="str">
        <f t="shared" si="5"/>
        <v>F5 EB 00 00:残心初始量 +3[近战]</v>
      </c>
    </row>
    <row r="225" spans="1:4">
      <c r="A225" s="55" t="s">
        <v>473</v>
      </c>
      <c r="B225" s="61" t="s">
        <v>474</v>
      </c>
      <c r="C225" s="61" t="s">
        <v>30</v>
      </c>
      <c r="D225" s="209" t="str">
        <f t="shared" si="5"/>
        <v>90 50 00 00:抗常世 +0.2[近战]</v>
      </c>
    </row>
    <row r="226" spans="1:4">
      <c r="A226" s="55" t="s">
        <v>475</v>
      </c>
      <c r="B226" s="205" t="s">
        <v>476</v>
      </c>
      <c r="C226" s="61" t="s">
        <v>30</v>
      </c>
      <c r="D226" s="209" t="str">
        <f t="shared" si="5"/>
        <v>CC FC 00 00:(星)抗常世 +0.3[近战]</v>
      </c>
    </row>
    <row r="227" spans="1:4">
      <c r="A227" s="55" t="s">
        <v>477</v>
      </c>
      <c r="B227" s="199" t="s">
        <v>478</v>
      </c>
      <c r="C227" s="61" t="s">
        <v>30</v>
      </c>
      <c r="D227" s="209" t="str">
        <f t="shared" si="5"/>
        <v>18 ED 00 00:祓除常世赋予昂灵(+0.5%)[近战]</v>
      </c>
    </row>
    <row r="228" spans="1:4">
      <c r="A228" s="55" t="s">
        <v>479</v>
      </c>
      <c r="B228" s="199" t="s">
        <v>480</v>
      </c>
      <c r="C228" s="61" t="s">
        <v>30</v>
      </c>
      <c r="D228" s="209" t="str">
        <f t="shared" si="5"/>
        <v>9C B6 00 00:吸收精华后赋予昂灵(+0.9%)[近战]</v>
      </c>
    </row>
    <row r="229" spans="1:4">
      <c r="A229" s="55" t="s">
        <v>481</v>
      </c>
      <c r="B229" s="199" t="s">
        <v>482</v>
      </c>
      <c r="C229" s="61" t="s">
        <v>30</v>
      </c>
      <c r="D229" s="209" t="str">
        <f t="shared" si="5"/>
        <v>02 BC 00 00:打倒敌人时赋予昂灵(+0.3%)[近战]</v>
      </c>
    </row>
    <row r="230" spans="1:4">
      <c r="A230" s="55" t="s">
        <v>483</v>
      </c>
      <c r="B230" s="56" t="s">
        <v>484</v>
      </c>
      <c r="C230" s="61" t="s">
        <v>30</v>
      </c>
      <c r="D230" s="209" t="str">
        <f t="shared" si="5"/>
        <v>19 37 00 00:精华槽增加量 +0.7%[近战]</v>
      </c>
    </row>
    <row r="231" spans="1:4">
      <c r="A231" s="55" t="s">
        <v>485</v>
      </c>
      <c r="B231" s="205" t="s">
        <v>486</v>
      </c>
      <c r="C231" s="61" t="s">
        <v>30</v>
      </c>
      <c r="D231" s="209" t="str">
        <f t="shared" si="5"/>
        <v>46 AB 00 00:(星)精华槽增加量 +1.1%[近战]</v>
      </c>
    </row>
    <row r="232" spans="1:4">
      <c r="A232" s="55" t="s">
        <v>487</v>
      </c>
      <c r="B232" s="61" t="s">
        <v>488</v>
      </c>
      <c r="C232" s="61" t="s">
        <v>30</v>
      </c>
      <c r="D232" s="209" t="str">
        <f t="shared" si="5"/>
        <v>7E C0 00 00:使敌人陷入火状态时精华槽增加 D+[近战]</v>
      </c>
    </row>
    <row r="233" spans="1:4">
      <c r="A233" s="55" t="s">
        <v>489</v>
      </c>
      <c r="B233" s="61" t="s">
        <v>490</v>
      </c>
      <c r="C233" s="61" t="s">
        <v>30</v>
      </c>
      <c r="D233" s="209" t="str">
        <f t="shared" si="5"/>
        <v>E3 02 00 00:使敌人陷入水状态时精华槽增加 D+[近战]</v>
      </c>
    </row>
    <row r="234" spans="1:4">
      <c r="A234" s="55" t="s">
        <v>491</v>
      </c>
      <c r="B234" s="61" t="s">
        <v>492</v>
      </c>
      <c r="C234" s="61" t="s">
        <v>30</v>
      </c>
      <c r="D234" s="209" t="str">
        <f t="shared" si="5"/>
        <v>7E 07 00 00:使敌人陷入雷状态时精华槽增加 D+[近战]</v>
      </c>
    </row>
    <row r="235" spans="1:4">
      <c r="A235" s="55" t="s">
        <v>493</v>
      </c>
      <c r="B235" s="61" t="s">
        <v>494</v>
      </c>
      <c r="C235" s="61" t="s">
        <v>30</v>
      </c>
      <c r="D235" s="209" t="str">
        <f t="shared" si="5"/>
        <v>87 8F 00 00:使敌人陷入风状态时精华槽增加 D+[近战]</v>
      </c>
    </row>
    <row r="236" spans="1:4">
      <c r="A236" s="55" t="s">
        <v>495</v>
      </c>
      <c r="B236" s="203" t="s">
        <v>496</v>
      </c>
      <c r="C236" s="61" t="s">
        <v>30</v>
      </c>
      <c r="D236" s="209" t="str">
        <f t="shared" si="5"/>
        <v>26 8B 00 00:(星)机关旋棍[近战]</v>
      </c>
    </row>
    <row r="237" spans="1:4">
      <c r="A237" s="55" t="s">
        <v>497</v>
      </c>
      <c r="B237" s="61" t="s">
        <v>498</v>
      </c>
      <c r="C237" s="61" t="s">
        <v>30</v>
      </c>
      <c r="D237" s="209" t="str">
        <f t="shared" si="5"/>
        <v>11 7C 00 00:(同名固定)弓伤害 +2.0%[近战]</v>
      </c>
    </row>
    <row r="238" spans="1:4">
      <c r="A238" s="55" t="s">
        <v>499</v>
      </c>
      <c r="B238" s="61" t="s">
        <v>500</v>
      </c>
      <c r="C238" s="61" t="s">
        <v>30</v>
      </c>
      <c r="D238" s="209" t="str">
        <f t="shared" si="5"/>
        <v>8A 2C 00 00:(同名固定)赋予火属性 +5～15[近战]</v>
      </c>
    </row>
    <row r="239" spans="1:4">
      <c r="A239" s="55" t="s">
        <v>501</v>
      </c>
      <c r="B239" s="56" t="s">
        <v>502</v>
      </c>
      <c r="C239" s="61" t="s">
        <v>30</v>
      </c>
      <c r="D239" s="209" t="str">
        <f t="shared" si="5"/>
        <v>3B 5C 00 00:赋予火属性 +3[近战]</v>
      </c>
    </row>
    <row r="240" spans="1:4">
      <c r="A240" s="55" t="s">
        <v>503</v>
      </c>
      <c r="B240" s="205" t="s">
        <v>504</v>
      </c>
      <c r="C240" s="61" t="s">
        <v>30</v>
      </c>
      <c r="D240" s="209" t="str">
        <f t="shared" si="5"/>
        <v>41 41 00 00:(星)赋予火属性 +5[近战]</v>
      </c>
    </row>
    <row r="241" spans="1:4">
      <c r="A241" s="55" t="s">
        <v>505</v>
      </c>
      <c r="B241" s="203" t="s">
        <v>506</v>
      </c>
      <c r="C241" s="61" t="s">
        <v>30</v>
      </c>
      <c r="D241" s="209" t="str">
        <f t="shared" si="5"/>
        <v>4A 3C 00 00:(地狱武器)赋予火属性 +10～25[近战]</v>
      </c>
    </row>
    <row r="242" spans="1:4">
      <c r="A242" s="55" t="s">
        <v>507</v>
      </c>
      <c r="B242" s="61" t="s">
        <v>508</v>
      </c>
      <c r="C242" s="61" t="s">
        <v>30</v>
      </c>
      <c r="D242" s="209" t="str">
        <f t="shared" si="5"/>
        <v>04 10 00 00:(同名固定)赋予水属性 +5～15[近战]</v>
      </c>
    </row>
    <row r="243" spans="1:4">
      <c r="A243" s="55" t="s">
        <v>509</v>
      </c>
      <c r="B243" s="56" t="s">
        <v>510</v>
      </c>
      <c r="C243" s="61" t="s">
        <v>30</v>
      </c>
      <c r="D243" s="209" t="str">
        <f t="shared" si="5"/>
        <v>4E 41 00 00:赋予水属性 +3[近战]</v>
      </c>
    </row>
    <row r="244" spans="1:4">
      <c r="A244" s="55" t="s">
        <v>511</v>
      </c>
      <c r="B244" s="205" t="s">
        <v>512</v>
      </c>
      <c r="C244" s="61" t="s">
        <v>30</v>
      </c>
      <c r="D244" s="209" t="str">
        <f t="shared" si="5"/>
        <v>A3 57 00 00:(星)赋予水属性 +5[近战]</v>
      </c>
    </row>
    <row r="245" spans="1:4">
      <c r="A245" s="55" t="s">
        <v>513</v>
      </c>
      <c r="B245" s="203" t="s">
        <v>514</v>
      </c>
      <c r="C245" s="61" t="s">
        <v>30</v>
      </c>
      <c r="D245" s="209" t="str">
        <f t="shared" si="5"/>
        <v>29 21 00 00:(地狱武器)赋予水属性 +10～25[近战]</v>
      </c>
    </row>
    <row r="246" spans="1:4">
      <c r="A246" s="55" t="s">
        <v>515</v>
      </c>
      <c r="B246" s="61" t="s">
        <v>516</v>
      </c>
      <c r="C246" s="61" t="s">
        <v>30</v>
      </c>
      <c r="D246" s="209" t="str">
        <f t="shared" si="5"/>
        <v>58 EA 00 00:(同名固定)赋予雷属性 +5～15[近战]</v>
      </c>
    </row>
    <row r="247" spans="1:4">
      <c r="A247" s="55" t="s">
        <v>517</v>
      </c>
      <c r="B247" s="56" t="s">
        <v>518</v>
      </c>
      <c r="C247" s="61" t="s">
        <v>30</v>
      </c>
      <c r="D247" s="209" t="str">
        <f t="shared" si="5"/>
        <v>8D EC 00 00:赋予雷属性 +3[近战]</v>
      </c>
    </row>
    <row r="248" spans="1:4">
      <c r="A248" s="55" t="s">
        <v>519</v>
      </c>
      <c r="B248" s="205" t="s">
        <v>520</v>
      </c>
      <c r="C248" s="61" t="s">
        <v>30</v>
      </c>
      <c r="D248" s="209" t="str">
        <f t="shared" si="5"/>
        <v>F5 40 00 00:(星)赋予雷属性 +5[近战]</v>
      </c>
    </row>
    <row r="249" spans="1:4">
      <c r="A249" s="55" t="s">
        <v>521</v>
      </c>
      <c r="B249" s="203" t="s">
        <v>522</v>
      </c>
      <c r="C249" s="61" t="s">
        <v>30</v>
      </c>
      <c r="D249" s="209" t="str">
        <f t="shared" si="5"/>
        <v>41 86 00 00:(地狱武器)赋予雷属性 +10～25[近战]</v>
      </c>
    </row>
    <row r="250" spans="1:4">
      <c r="A250" s="55" t="s">
        <v>523</v>
      </c>
      <c r="B250" s="61" t="s">
        <v>524</v>
      </c>
      <c r="C250" s="61" t="s">
        <v>30</v>
      </c>
      <c r="D250" s="209" t="str">
        <f t="shared" si="5"/>
        <v>C1 2F 00 00:(同名固定)赋予风属性 +5～15[近战]</v>
      </c>
    </row>
    <row r="251" spans="1:4">
      <c r="A251" s="55" t="s">
        <v>525</v>
      </c>
      <c r="B251" s="56" t="s">
        <v>526</v>
      </c>
      <c r="C251" s="61" t="s">
        <v>30</v>
      </c>
      <c r="D251" s="209" t="str">
        <f t="shared" si="5"/>
        <v>96 75 00 00:赋予风属性 +3[近战]</v>
      </c>
    </row>
    <row r="252" spans="1:4">
      <c r="A252" s="55" t="s">
        <v>527</v>
      </c>
      <c r="B252" s="203" t="s">
        <v>528</v>
      </c>
      <c r="C252" s="61" t="s">
        <v>30</v>
      </c>
      <c r="D252" s="209" t="str">
        <f t="shared" si="5"/>
        <v>53 3A 00 00:(地狱武器)赋予风属性 +10～25[近战]</v>
      </c>
    </row>
    <row r="253" spans="1:4">
      <c r="A253" s="55" t="s">
        <v>529</v>
      </c>
      <c r="B253" s="56" t="s">
        <v>530</v>
      </c>
      <c r="C253" s="61" t="s">
        <v>30</v>
      </c>
      <c r="D253" s="209" t="str">
        <f t="shared" si="5"/>
        <v>A0 92 00 00:赋予毒效果 +3[近战]</v>
      </c>
    </row>
    <row r="254" spans="1:4">
      <c r="A254" s="55" t="s">
        <v>531</v>
      </c>
      <c r="B254" s="205" t="s">
        <v>532</v>
      </c>
      <c r="C254" s="61" t="s">
        <v>30</v>
      </c>
      <c r="D254" s="209" t="str">
        <f t="shared" si="5"/>
        <v>DC B2 00 00:(星)赋予毒效果 +57[近战]</v>
      </c>
    </row>
    <row r="255" spans="1:4">
      <c r="A255" s="55" t="s">
        <v>533</v>
      </c>
      <c r="B255" s="56" t="s">
        <v>534</v>
      </c>
      <c r="C255" s="61" t="s">
        <v>30</v>
      </c>
      <c r="D255" s="209" t="str">
        <f t="shared" si="5"/>
        <v>CA E7 00 00:赋予麻痹效果 +3[近战]</v>
      </c>
    </row>
    <row r="256" spans="1:4">
      <c r="A256" s="55" t="s">
        <v>535</v>
      </c>
      <c r="B256" s="205" t="s">
        <v>536</v>
      </c>
      <c r="C256" s="61" t="s">
        <v>30</v>
      </c>
      <c r="D256" s="209" t="str">
        <f t="shared" si="5"/>
        <v>3E D0 00 00:(星)赋予麻痹效果 +57[近战]</v>
      </c>
    </row>
    <row r="257" spans="1:4">
      <c r="A257" s="55" t="s">
        <v>537</v>
      </c>
      <c r="B257" s="199" t="s">
        <v>538</v>
      </c>
      <c r="C257" s="61" t="s">
        <v>30</v>
      </c>
      <c r="D257" s="209" t="str">
        <f t="shared" si="5"/>
        <v>F9 00 00 00:火属性伤害 +4.7%[近战]</v>
      </c>
    </row>
    <row r="258" spans="1:4">
      <c r="A258" s="55" t="s">
        <v>539</v>
      </c>
      <c r="B258" s="205" t="s">
        <v>540</v>
      </c>
      <c r="C258" s="61" t="s">
        <v>30</v>
      </c>
      <c r="D258" s="209" t="str">
        <f t="shared" si="5"/>
        <v>AF F3 00 00:(星)火属性伤害 +7.1%[近战]</v>
      </c>
    </row>
    <row r="259" spans="1:4">
      <c r="A259" s="55" t="s">
        <v>541</v>
      </c>
      <c r="B259" s="199" t="s">
        <v>542</v>
      </c>
      <c r="C259" s="61" t="s">
        <v>30</v>
      </c>
      <c r="D259" s="209" t="str">
        <f t="shared" si="5"/>
        <v>42 FB 00 00:水属性伤害 +4.7%[近战]</v>
      </c>
    </row>
    <row r="260" spans="1:4">
      <c r="A260" s="55" t="s">
        <v>543</v>
      </c>
      <c r="B260" s="199" t="s">
        <v>544</v>
      </c>
      <c r="C260" s="61" t="s">
        <v>30</v>
      </c>
      <c r="D260" s="209" t="str">
        <f t="shared" si="5"/>
        <v>4D 38 00 00:雷属性伤害 +4.7%[近战]</v>
      </c>
    </row>
    <row r="261" spans="1:4">
      <c r="A261" s="55" t="s">
        <v>545</v>
      </c>
      <c r="B261" s="56" t="s">
        <v>546</v>
      </c>
      <c r="C261" s="61" t="s">
        <v>30</v>
      </c>
      <c r="D261" s="209" t="str">
        <f t="shared" si="5"/>
        <v>A4 94 00 00:风属性伤害 +4.7%[近战]</v>
      </c>
    </row>
    <row r="262" spans="1:4">
      <c r="A262" s="55" t="s">
        <v>547</v>
      </c>
      <c r="B262" s="56" t="s">
        <v>548</v>
      </c>
      <c r="C262" s="61" t="s">
        <v>30</v>
      </c>
      <c r="D262" s="209" t="str">
        <f>LEFT(A262,11)&amp;":"&amp;B262&amp;C262</f>
        <v>7F 63 00 00:赋予属性的持续时间延长 +20.0%[近战]</v>
      </c>
    </row>
    <row r="263" spans="1:4">
      <c r="A263" s="55" t="s">
        <v>549</v>
      </c>
      <c r="B263" s="56" t="s">
        <v>550</v>
      </c>
      <c r="C263" s="61" t="s">
        <v>30</v>
      </c>
      <c r="D263" s="209" t="str">
        <f t="shared" ref="D263:D326" si="6">LEFT(A263,11)&amp;":"&amp;B263&amp;C263</f>
        <v>BA 8C 00 00:敌人的持续伤害 +3.8%[近战]</v>
      </c>
    </row>
    <row r="264" spans="1:4">
      <c r="A264" s="55" t="s">
        <v>551</v>
      </c>
      <c r="B264" s="56" t="s">
        <v>552</v>
      </c>
      <c r="C264" s="61" t="s">
        <v>30</v>
      </c>
      <c r="D264" s="209" t="str">
        <f t="shared" si="6"/>
        <v>16 F4 00 00:敌人的火状态累计 +8.0%[近战]</v>
      </c>
    </row>
    <row r="265" spans="1:4">
      <c r="A265" s="55" t="s">
        <v>553</v>
      </c>
      <c r="B265" s="56" t="s">
        <v>554</v>
      </c>
      <c r="C265" s="61" t="s">
        <v>30</v>
      </c>
      <c r="D265" s="209" t="str">
        <f t="shared" si="6"/>
        <v>0C 05 00 00:敌人的水状态累计 +8.0%[近战]</v>
      </c>
    </row>
    <row r="266" spans="1:4">
      <c r="A266" s="55" t="s">
        <v>555</v>
      </c>
      <c r="B266" s="56" t="s">
        <v>556</v>
      </c>
      <c r="C266" s="61" t="s">
        <v>30</v>
      </c>
      <c r="D266" s="209" t="str">
        <f t="shared" si="6"/>
        <v>65 7C 00 00:敌人的雷状态累计 +8.0%[近战]</v>
      </c>
    </row>
    <row r="267" spans="1:4">
      <c r="A267" s="55" t="s">
        <v>557</v>
      </c>
      <c r="B267" s="56" t="s">
        <v>558</v>
      </c>
      <c r="C267" s="61" t="s">
        <v>30</v>
      </c>
      <c r="D267" s="209" t="str">
        <f t="shared" si="6"/>
        <v>05 60 00 00:敌人的风状态累计 +8.0%[近战]</v>
      </c>
    </row>
    <row r="268" spans="1:4">
      <c r="A268" s="55" t="s">
        <v>559</v>
      </c>
      <c r="B268" s="61" t="s">
        <v>560</v>
      </c>
      <c r="C268" s="61" t="s">
        <v>30</v>
      </c>
      <c r="D268" s="209" t="str">
        <f t="shared" si="6"/>
        <v>53 49 00 00:(同名固定)敌人的毒状态累计 +1.5%[近战]</v>
      </c>
    </row>
    <row r="269" spans="1:4">
      <c r="A269" s="55" t="s">
        <v>561</v>
      </c>
      <c r="B269" s="56" t="s">
        <v>562</v>
      </c>
      <c r="C269" s="61" t="s">
        <v>30</v>
      </c>
      <c r="D269" s="209" t="str">
        <f t="shared" si="6"/>
        <v>A5 C2 00 00:敌人的毒状态累计 +8.0%[近战]</v>
      </c>
    </row>
    <row r="270" spans="1:4">
      <c r="A270" s="55" t="s">
        <v>563</v>
      </c>
      <c r="B270" s="203" t="s">
        <v>564</v>
      </c>
      <c r="C270" s="61" t="s">
        <v>30</v>
      </c>
      <c r="D270" s="209" t="str">
        <f t="shared" si="6"/>
        <v>AD CA 00 00:(地狱武器)敌人的毒状态累计 +3.0%[近战]</v>
      </c>
    </row>
    <row r="271" spans="1:4">
      <c r="A271" s="55" t="s">
        <v>565</v>
      </c>
      <c r="B271" s="61" t="s">
        <v>566</v>
      </c>
      <c r="C271" s="61" t="s">
        <v>30</v>
      </c>
      <c r="D271" s="209" t="str">
        <f t="shared" si="6"/>
        <v>38 05 00 00:(同名固定)敌人的麻痹状态累计 +1.5%[近战]</v>
      </c>
    </row>
    <row r="272" spans="1:4">
      <c r="A272" s="55" t="s">
        <v>567</v>
      </c>
      <c r="B272" s="56" t="s">
        <v>568</v>
      </c>
      <c r="C272" s="61" t="s">
        <v>30</v>
      </c>
      <c r="D272" s="209" t="str">
        <f t="shared" si="6"/>
        <v>89 15 00 00:敌人的麻痹状态累计 +8.0%[近战]</v>
      </c>
    </row>
    <row r="273" spans="1:4">
      <c r="A273" s="55" t="s">
        <v>569</v>
      </c>
      <c r="B273" s="203" t="s">
        <v>570</v>
      </c>
      <c r="C273" s="61" t="s">
        <v>30</v>
      </c>
      <c r="D273" s="209" t="str">
        <f t="shared" si="6"/>
        <v>6D EE 00 00:(地狱武器)敌人的麻痹状态累计 +3.0%[近战]</v>
      </c>
    </row>
    <row r="274" spans="1:4">
      <c r="A274" s="55" t="s">
        <v>571</v>
      </c>
      <c r="B274" s="56" t="s">
        <v>572</v>
      </c>
      <c r="C274" s="61" t="s">
        <v>30</v>
      </c>
      <c r="D274" s="209" t="str">
        <f t="shared" si="6"/>
        <v>4B 84 00 00:异常状态累计 +5.0%[近战]</v>
      </c>
    </row>
    <row r="275" spans="1:4">
      <c r="A275" s="55" t="s">
        <v>573</v>
      </c>
      <c r="B275" s="205" t="s">
        <v>574</v>
      </c>
      <c r="C275" s="61" t="s">
        <v>30</v>
      </c>
      <c r="D275" s="209" t="str">
        <f t="shared" si="6"/>
        <v>F4 59 00 00:(星)异常状态累计 +7.5%[近战]</v>
      </c>
    </row>
    <row r="276" spans="1:4">
      <c r="A276" s="55" t="s">
        <v>575</v>
      </c>
      <c r="B276" s="205" t="s">
        <v>576</v>
      </c>
      <c r="C276" s="61" t="s">
        <v>30</v>
      </c>
      <c r="D276" s="209" t="str">
        <f t="shared" si="6"/>
        <v>46 33 00 00:(同名固定)赋予双属性(水、雷) +11[近战]</v>
      </c>
    </row>
    <row r="277" spans="1:4">
      <c r="A277" s="55" t="s">
        <v>577</v>
      </c>
      <c r="B277" s="205" t="s">
        <v>578</v>
      </c>
      <c r="C277" s="61" t="s">
        <v>30</v>
      </c>
      <c r="D277" s="209" t="str">
        <f t="shared" si="6"/>
        <v>9C 20 00 00:(同名固定)赋予双属性(雷、火) +7[近战]</v>
      </c>
    </row>
    <row r="278" spans="1:4">
      <c r="A278" s="61" t="s">
        <v>579</v>
      </c>
      <c r="B278" s="61" t="s">
        <v>580</v>
      </c>
      <c r="C278" s="61" t="s">
        <v>581</v>
      </c>
      <c r="D278" s="209" t="str">
        <f t="shared" si="6"/>
        <v>20 4A 00 00:(同名固定)箭弹命中弱点时伤害 +4.5%[远程]</v>
      </c>
    </row>
    <row r="279" spans="1:4">
      <c r="A279" s="55" t="s">
        <v>582</v>
      </c>
      <c r="B279" s="61" t="s">
        <v>214</v>
      </c>
      <c r="C279" s="61" t="s">
        <v>581</v>
      </c>
      <c r="D279" s="209" t="str">
        <f t="shared" si="6"/>
        <v>5D C0 00 00:获得金钱 +1.2%[远程]</v>
      </c>
    </row>
    <row r="280" spans="1:4">
      <c r="A280" s="55" t="s">
        <v>583</v>
      </c>
      <c r="B280" s="56" t="s">
        <v>584</v>
      </c>
      <c r="C280" s="61" t="s">
        <v>581</v>
      </c>
      <c r="D280" s="209" t="str">
        <f t="shared" si="6"/>
        <v>B1 F1 00 00:获得武功 +0.4%[远程]</v>
      </c>
    </row>
    <row r="281" spans="1:4">
      <c r="A281" s="55" t="s">
        <v>585</v>
      </c>
      <c r="B281" s="56" t="s">
        <v>586</v>
      </c>
      <c r="C281" s="61" t="s">
        <v>581</v>
      </c>
      <c r="D281" s="209" t="str">
        <f t="shared" si="6"/>
        <v>6E 87 00 00:打倒敌人时赋予幸运增加(5)[远程]</v>
      </c>
    </row>
    <row r="282" spans="1:4">
      <c r="A282" s="55" t="s">
        <v>587</v>
      </c>
      <c r="B282" s="56" t="s">
        <v>588</v>
      </c>
      <c r="C282" s="61" t="s">
        <v>581</v>
      </c>
      <c r="D282" s="209" t="str">
        <f t="shared" si="6"/>
        <v>15 A8 00 00:幸运(绝境) +3[远程]</v>
      </c>
    </row>
    <row r="283" spans="1:4">
      <c r="A283" s="55" t="s">
        <v>589</v>
      </c>
      <c r="B283" s="56" t="s">
        <v>590</v>
      </c>
      <c r="C283" s="61" t="s">
        <v>581</v>
      </c>
      <c r="D283" s="209" t="str">
        <f t="shared" si="6"/>
        <v>10 BC 00 00:幸运(地狱) +2[远程]</v>
      </c>
    </row>
    <row r="284" spans="1:4">
      <c r="A284" s="55" t="s">
        <v>591</v>
      </c>
      <c r="B284" s="56" t="s">
        <v>592</v>
      </c>
      <c r="C284" s="61" t="s">
        <v>581</v>
      </c>
      <c r="D284" s="209" t="str">
        <f t="shared" si="6"/>
        <v>A8 7D 00 00:吸收精华后赋予幸运增加(5)[远程]</v>
      </c>
    </row>
    <row r="285" spans="1:4">
      <c r="A285" s="55" t="s">
        <v>593</v>
      </c>
      <c r="B285" s="199" t="s">
        <v>228</v>
      </c>
      <c r="C285" s="61" t="s">
        <v>581</v>
      </c>
      <c r="D285" s="209" t="str">
        <f t="shared" si="6"/>
        <v>6C 1F 00 00:幸运反映(精华槽) D+[远程]</v>
      </c>
    </row>
    <row r="286" spans="1:4">
      <c r="A286" s="55" t="s">
        <v>594</v>
      </c>
      <c r="B286" s="205" t="s">
        <v>595</v>
      </c>
      <c r="C286" s="61" t="s">
        <v>581</v>
      </c>
      <c r="D286" s="209" t="str">
        <f t="shared" si="6"/>
        <v>C4 C7 00 00:强攻击获得精华 5[远程]</v>
      </c>
    </row>
    <row r="287" spans="1:4">
      <c r="A287" s="55" t="s">
        <v>596</v>
      </c>
      <c r="B287" s="56" t="s">
        <v>597</v>
      </c>
      <c r="C287" s="61" t="s">
        <v>581</v>
      </c>
      <c r="D287" s="209" t="str">
        <f t="shared" si="6"/>
        <v>7C 63 00 00:获得精华 +0.4%[远程]</v>
      </c>
    </row>
    <row r="288" spans="1:4">
      <c r="A288" s="55" t="s">
        <v>598</v>
      </c>
      <c r="B288" s="61" t="s">
        <v>599</v>
      </c>
      <c r="C288" s="61" t="s">
        <v>581</v>
      </c>
      <c r="D288" s="209" t="str">
        <f t="shared" si="6"/>
        <v>25 65 00 00:获得精华(地狱) +0.5%[远程]</v>
      </c>
    </row>
    <row r="289" spans="1:4">
      <c r="A289" s="55" t="s">
        <v>600</v>
      </c>
      <c r="B289" s="61" t="s">
        <v>601</v>
      </c>
      <c r="C289" s="61" t="s">
        <v>581</v>
      </c>
      <c r="D289" s="209" t="str">
        <f t="shared" si="6"/>
        <v>1A 63 00 00:道具掉落率 +2.0%[远程]</v>
      </c>
    </row>
    <row r="290" spans="1:4">
      <c r="A290" s="55" t="s">
        <v>602</v>
      </c>
      <c r="B290" s="56" t="s">
        <v>603</v>
      </c>
      <c r="C290" s="61" t="s">
        <v>581</v>
      </c>
      <c r="D290" s="209" t="str">
        <f t="shared" si="6"/>
        <v>61 B1 00 00:装备品掉落率 +2.0%[远程]</v>
      </c>
    </row>
    <row r="291" spans="1:4">
      <c r="A291" s="55" t="s">
        <v>604</v>
      </c>
      <c r="B291" s="56" t="s">
        <v>605</v>
      </c>
      <c r="C291" s="61" t="s">
        <v>581</v>
      </c>
      <c r="D291" s="209" t="str">
        <f t="shared" si="6"/>
        <v>9B 58 00 00:魂核掉落率 +2.0%[远程]</v>
      </c>
    </row>
    <row r="292" spans="1:4">
      <c r="A292" s="55" t="s">
        <v>606</v>
      </c>
      <c r="B292" s="56" t="s">
        <v>607</v>
      </c>
      <c r="C292" s="61" t="s">
        <v>581</v>
      </c>
      <c r="D292" s="209" t="str">
        <f t="shared" si="6"/>
        <v>1F 18 00 00:地狱武器掉落率 +2.0%[远程]</v>
      </c>
    </row>
    <row r="293" spans="1:4">
      <c r="A293" s="55" t="s">
        <v>608</v>
      </c>
      <c r="B293" s="56" t="s">
        <v>609</v>
      </c>
      <c r="C293" s="61" t="s">
        <v>581</v>
      </c>
      <c r="D293" s="209" t="str">
        <f t="shared" si="6"/>
        <v>15 86 00 00:幸运 +1[远程]</v>
      </c>
    </row>
    <row r="294" spans="1:4">
      <c r="A294" s="55" t="s">
        <v>610</v>
      </c>
      <c r="B294" s="61" t="s">
        <v>296</v>
      </c>
      <c r="C294" s="61" t="s">
        <v>581</v>
      </c>
      <c r="D294" s="209" t="str">
        <f t="shared" si="6"/>
        <v>D3 0B 00 00:灵力 +1.0[远程]</v>
      </c>
    </row>
    <row r="295" spans="1:4">
      <c r="A295" s="55" t="s">
        <v>611</v>
      </c>
      <c r="B295" s="56" t="s">
        <v>304</v>
      </c>
      <c r="C295" s="61" t="s">
        <v>581</v>
      </c>
      <c r="D295" s="209" t="str">
        <f t="shared" si="6"/>
        <v>AB 9B 00 00:获得精华增加灵力 C[远程]</v>
      </c>
    </row>
    <row r="296" spans="1:4">
      <c r="A296" s="55" t="s">
        <v>612</v>
      </c>
      <c r="B296" s="61" t="s">
        <v>310</v>
      </c>
      <c r="C296" s="61" t="s">
        <v>581</v>
      </c>
      <c r="D296" s="209" t="str">
        <f t="shared" si="6"/>
        <v>A6 C3 00 00:获得精华增加灵力(绝境) B-[远程]</v>
      </c>
    </row>
    <row r="297" spans="1:4">
      <c r="A297" s="55" t="s">
        <v>613</v>
      </c>
      <c r="B297" s="61" t="s">
        <v>312</v>
      </c>
      <c r="C297" s="61" t="s">
        <v>581</v>
      </c>
      <c r="D297" s="209" t="str">
        <f t="shared" si="6"/>
        <v>64 64 00 00:获得精华增加灵力(无伤) C+[远程]</v>
      </c>
    </row>
    <row r="298" spans="1:4">
      <c r="A298" s="55" t="s">
        <v>614</v>
      </c>
      <c r="B298" s="56" t="s">
        <v>330</v>
      </c>
      <c r="C298" s="61" t="s">
        <v>581</v>
      </c>
      <c r="D298" s="209" t="str">
        <f t="shared" si="6"/>
        <v>08 07 00 00:灵力增加量 +0.7%[远程]</v>
      </c>
    </row>
    <row r="299" spans="1:4">
      <c r="A299" s="55" t="s">
        <v>615</v>
      </c>
      <c r="B299" s="61" t="s">
        <v>332</v>
      </c>
      <c r="C299" s="61" t="s">
        <v>581</v>
      </c>
      <c r="D299" s="209" t="str">
        <f t="shared" si="6"/>
        <v>BE A5 00 00:灵力增加量(绝境) +2.1%[远程]</v>
      </c>
    </row>
    <row r="300" spans="1:4">
      <c r="A300" s="55" t="s">
        <v>616</v>
      </c>
      <c r="B300" s="61" t="s">
        <v>334</v>
      </c>
      <c r="C300" s="61" t="s">
        <v>581</v>
      </c>
      <c r="D300" s="209" t="str">
        <f t="shared" si="6"/>
        <v>83 C6 00 00:灵力增加量(无伤) +0.9%[远程]</v>
      </c>
    </row>
    <row r="301" spans="1:4">
      <c r="A301" s="55" t="s">
        <v>617</v>
      </c>
      <c r="B301" s="61" t="s">
        <v>336</v>
      </c>
      <c r="C301" s="61" t="s">
        <v>581</v>
      </c>
      <c r="D301" s="209" t="str">
        <f t="shared" si="6"/>
        <v>BF D7 00 00:灵力增加量(地狱) +0.9%[远程]</v>
      </c>
    </row>
    <row r="302" spans="1:4">
      <c r="A302" s="55" t="s">
        <v>618</v>
      </c>
      <c r="B302" s="61" t="s">
        <v>338</v>
      </c>
      <c r="C302" s="61" t="s">
        <v>581</v>
      </c>
      <c r="D302" s="209" t="str">
        <f t="shared" si="6"/>
        <v>01 D1 00 00:灵力增加量(负面效果时) +0.9%[远程]</v>
      </c>
    </row>
    <row r="303" spans="1:4">
      <c r="A303" s="55" t="s">
        <v>619</v>
      </c>
      <c r="B303" s="61" t="s">
        <v>340</v>
      </c>
      <c r="C303" s="61" t="s">
        <v>581</v>
      </c>
      <c r="D303" s="209" t="str">
        <f t="shared" si="6"/>
        <v>7B 3E 00 00:灵力增加量(正面效果时) +0.8%[远程]</v>
      </c>
    </row>
    <row r="304" spans="1:4">
      <c r="A304" s="55" t="s">
        <v>620</v>
      </c>
      <c r="B304" s="56" t="s">
        <v>621</v>
      </c>
      <c r="C304" s="61" t="s">
        <v>581</v>
      </c>
      <c r="D304" s="209" t="str">
        <f t="shared" si="6"/>
        <v>71 8F 00 00:箭弹或道具命中增加灵力 C[远程]</v>
      </c>
    </row>
    <row r="305" spans="1:4">
      <c r="A305" s="55" t="s">
        <v>622</v>
      </c>
      <c r="B305" s="56" t="s">
        <v>623</v>
      </c>
      <c r="C305" s="61" t="s">
        <v>581</v>
      </c>
      <c r="D305" s="209" t="str">
        <f t="shared" si="6"/>
        <v>DD CE 00 00:箭弹命中增加灵力 C[远程]</v>
      </c>
    </row>
    <row r="306" spans="1:4">
      <c r="A306" s="55" t="s">
        <v>624</v>
      </c>
      <c r="B306" s="56" t="s">
        <v>625</v>
      </c>
      <c r="C306" s="61" t="s">
        <v>581</v>
      </c>
      <c r="D306" s="209" t="str">
        <f t="shared" si="6"/>
        <v>1A EA 00 00:阴阳术精力伤害 +1.9%[远程]</v>
      </c>
    </row>
    <row r="307" spans="1:4">
      <c r="A307" s="55" t="s">
        <v>626</v>
      </c>
      <c r="B307" s="56" t="s">
        <v>627</v>
      </c>
      <c r="C307" s="61" t="s">
        <v>581</v>
      </c>
      <c r="D307" s="209" t="str">
        <f t="shared" si="6"/>
        <v>49 04 00 00:忍术造成的精力伤害 +1.9%[远程]</v>
      </c>
    </row>
    <row r="308" spans="1:4">
      <c r="A308" s="55" t="s">
        <v>628</v>
      </c>
      <c r="B308" s="56" t="s">
        <v>629</v>
      </c>
      <c r="C308" s="61" t="s">
        <v>581</v>
      </c>
      <c r="D308" s="209" t="str">
        <f t="shared" si="6"/>
        <v>07 7E 00 00:弓精力伤害 +10.0%[远程]</v>
      </c>
    </row>
    <row r="309" spans="1:4">
      <c r="A309" s="55" t="s">
        <v>630</v>
      </c>
      <c r="B309" s="56" t="s">
        <v>631</v>
      </c>
      <c r="C309" s="61" t="s">
        <v>581</v>
      </c>
      <c r="D309" s="209" t="str">
        <f t="shared" si="6"/>
        <v>41 03 00 00:火枪精力伤害 +10.0%[远程]</v>
      </c>
    </row>
    <row r="310" spans="1:4">
      <c r="A310" s="55" t="s">
        <v>632</v>
      </c>
      <c r="B310" s="56" t="s">
        <v>633</v>
      </c>
      <c r="C310" s="61" t="s">
        <v>581</v>
      </c>
      <c r="D310" s="209" t="str">
        <f t="shared" si="6"/>
        <v>C4 19 00 00:大炮精力伤害 +10.0%[远程]</v>
      </c>
    </row>
    <row r="311" spans="1:4">
      <c r="A311" s="55" t="s">
        <v>634</v>
      </c>
      <c r="B311" s="199" t="s">
        <v>635</v>
      </c>
      <c r="C311" s="61" t="s">
        <v>581</v>
      </c>
      <c r="D311" s="209" t="str">
        <f t="shared" si="6"/>
        <v>C6 E0 00 00:打倒敌人时赋予自动恢复体力(10)[远程]</v>
      </c>
    </row>
    <row r="312" spans="1:4">
      <c r="A312" s="55" t="s">
        <v>636</v>
      </c>
      <c r="B312" s="61" t="s">
        <v>637</v>
      </c>
      <c r="C312" s="61" t="s">
        <v>581</v>
      </c>
      <c r="D312" s="209" t="str">
        <f t="shared" si="6"/>
        <v>43 02 00 00:箭弹命中弱点可恢复体力 13[远程]</v>
      </c>
    </row>
    <row r="313" spans="1:4">
      <c r="A313" s="55" t="s">
        <v>638</v>
      </c>
      <c r="B313" s="205" t="s">
        <v>639</v>
      </c>
      <c r="C313" s="61" t="s">
        <v>581</v>
      </c>
      <c r="D313" s="209" t="str">
        <f t="shared" si="6"/>
        <v>DB 31 00 00:吸收精华可恢复体力 2[远程]</v>
      </c>
    </row>
    <row r="314" spans="1:4">
      <c r="A314" s="55" t="s">
        <v>640</v>
      </c>
      <c r="B314" s="56" t="s">
        <v>641</v>
      </c>
      <c r="C314" s="61" t="s">
        <v>581</v>
      </c>
      <c r="D314" s="209" t="str">
        <f t="shared" si="6"/>
        <v>9F 55 00 00:箭弹命中可恢复体力 9[远程]</v>
      </c>
    </row>
    <row r="315" spans="1:4">
      <c r="A315" s="55" t="s">
        <v>642</v>
      </c>
      <c r="B315" s="61" t="s">
        <v>468</v>
      </c>
      <c r="C315" s="61" t="s">
        <v>581</v>
      </c>
      <c r="D315" s="209" t="str">
        <f t="shared" si="6"/>
        <v>45 B3 00 00:精力恢复速度上升(无伤) +1.3%[远程]</v>
      </c>
    </row>
    <row r="316" spans="1:4">
      <c r="A316" s="55" t="s">
        <v>643</v>
      </c>
      <c r="B316" s="61" t="s">
        <v>472</v>
      </c>
      <c r="C316" s="61" t="s">
        <v>581</v>
      </c>
      <c r="D316" s="209" t="str">
        <f t="shared" si="6"/>
        <v>E1 CC 00 00:残心初始量 +3[远程]</v>
      </c>
    </row>
    <row r="317" spans="1:4">
      <c r="A317" s="55" t="s">
        <v>644</v>
      </c>
      <c r="B317" s="199" t="s">
        <v>645</v>
      </c>
      <c r="C317" s="61" t="s">
        <v>581</v>
      </c>
      <c r="D317" s="209" t="str">
        <f t="shared" si="6"/>
        <v>40 DA 00 00:打倒敌人时赋予昂灵(+0.2%)[远程]</v>
      </c>
    </row>
    <row r="318" spans="1:4">
      <c r="A318" s="55" t="s">
        <v>646</v>
      </c>
      <c r="B318" s="199" t="s">
        <v>647</v>
      </c>
      <c r="C318" s="61" t="s">
        <v>581</v>
      </c>
      <c r="D318" s="209" t="str">
        <f t="shared" si="6"/>
        <v>AB 99 00 00:祓除常世赋予昂灵(+1.0%)[远程]</v>
      </c>
    </row>
    <row r="319" spans="1:4">
      <c r="A319" s="55" t="s">
        <v>648</v>
      </c>
      <c r="B319" s="199" t="s">
        <v>649</v>
      </c>
      <c r="C319" s="61" t="s">
        <v>581</v>
      </c>
      <c r="D319" s="209" t="str">
        <f t="shared" si="6"/>
        <v>3A C9 00 00:吸收精华后赋予昂灵(+0.5%)[远程]</v>
      </c>
    </row>
    <row r="320" spans="1:4">
      <c r="A320" s="55" t="s">
        <v>650</v>
      </c>
      <c r="B320" s="56" t="s">
        <v>651</v>
      </c>
      <c r="C320" s="61" t="s">
        <v>581</v>
      </c>
      <c r="D320" s="209" t="str">
        <f t="shared" si="6"/>
        <v>E7 FA 00 00:精华槽增加量 +0.4%[远程]</v>
      </c>
    </row>
    <row r="321" spans="1:4">
      <c r="A321" s="55" t="s">
        <v>652</v>
      </c>
      <c r="B321" s="61" t="s">
        <v>653</v>
      </c>
      <c r="C321" s="61" t="s">
        <v>581</v>
      </c>
      <c r="D321" s="209" t="str">
        <f t="shared" si="6"/>
        <v>26 35 00 00:使敌人陷入火状态时精华槽增加 D[远程]</v>
      </c>
    </row>
    <row r="322" spans="1:4">
      <c r="A322" s="55" t="s">
        <v>654</v>
      </c>
      <c r="B322" s="61" t="s">
        <v>655</v>
      </c>
      <c r="C322" s="61" t="s">
        <v>581</v>
      </c>
      <c r="D322" s="209" t="str">
        <f t="shared" si="6"/>
        <v>B8 08 00 00:使敌人陷入水状态时精华槽增加 D[远程]</v>
      </c>
    </row>
    <row r="323" spans="1:4">
      <c r="A323" s="55" t="s">
        <v>656</v>
      </c>
      <c r="B323" s="61" t="s">
        <v>657</v>
      </c>
      <c r="C323" s="61" t="s">
        <v>581</v>
      </c>
      <c r="D323" s="209" t="str">
        <f t="shared" si="6"/>
        <v>45 C4 00 00:使敌人陷入雷状态时精华槽增加 D[远程]</v>
      </c>
    </row>
    <row r="324" spans="1:4">
      <c r="A324" s="55" t="s">
        <v>658</v>
      </c>
      <c r="B324" s="61" t="s">
        <v>659</v>
      </c>
      <c r="C324" s="61" t="s">
        <v>581</v>
      </c>
      <c r="D324" s="209" t="str">
        <f t="shared" si="6"/>
        <v>C5 18 00 00:使敌人陷入风状态时精华槽增加 D[远程]</v>
      </c>
    </row>
    <row r="325" spans="1:4">
      <c r="A325" s="55" t="s">
        <v>660</v>
      </c>
      <c r="B325" s="61" t="s">
        <v>661</v>
      </c>
      <c r="C325" s="61" t="s">
        <v>581</v>
      </c>
      <c r="D325" s="209" t="str">
        <f t="shared" si="6"/>
        <v>D6 EE 00 00:弓伤害 +3.3%[远程]</v>
      </c>
    </row>
    <row r="326" spans="1:4">
      <c r="A326" s="55" t="s">
        <v>662</v>
      </c>
      <c r="B326" s="58" t="s">
        <v>663</v>
      </c>
      <c r="C326" s="61" t="s">
        <v>581</v>
      </c>
      <c r="D326" s="209" t="str">
        <f t="shared" si="6"/>
        <v>0F C8 00 00:(同名固定)火枪伤害 +3.3%[远程]</v>
      </c>
    </row>
    <row r="327" spans="1:4">
      <c r="A327" s="55" t="s">
        <v>664</v>
      </c>
      <c r="B327" s="61" t="s">
        <v>665</v>
      </c>
      <c r="C327" s="61" t="s">
        <v>581</v>
      </c>
      <c r="D327" s="209" t="str">
        <f t="shared" ref="D327:D342" si="7">LEFT(A327,11)&amp;":"&amp;B327&amp;C327</f>
        <v>DB B3 00 00:火枪伤害 +3.3%[远程]</v>
      </c>
    </row>
    <row r="328" spans="1:4">
      <c r="A328" s="55" t="s">
        <v>666</v>
      </c>
      <c r="B328" s="58" t="s">
        <v>667</v>
      </c>
      <c r="C328" s="61" t="s">
        <v>581</v>
      </c>
      <c r="D328" s="209" t="str">
        <f t="shared" si="7"/>
        <v>CE 7A 00 00:(同名固定)大炮伤害 +3.3%[远程]</v>
      </c>
    </row>
    <row r="329" spans="1:4">
      <c r="A329" s="55" t="s">
        <v>668</v>
      </c>
      <c r="B329" s="61" t="s">
        <v>669</v>
      </c>
      <c r="C329" s="61" t="s">
        <v>581</v>
      </c>
      <c r="D329" s="209" t="str">
        <f t="shared" si="7"/>
        <v>FC 07 00 00:大炮伤害 +3.3%[远程]</v>
      </c>
    </row>
    <row r="330" spans="1:4">
      <c r="A330" s="55" t="s">
        <v>670</v>
      </c>
      <c r="B330" s="61" t="s">
        <v>671</v>
      </c>
      <c r="C330" s="61" t="s">
        <v>581</v>
      </c>
      <c r="D330" s="209" t="str">
        <f t="shared" si="7"/>
        <v>99 4E 00 00:(同名固定)远距离伤害 +3.3%[远程]</v>
      </c>
    </row>
    <row r="331" spans="1:4">
      <c r="A331" s="55" t="s">
        <v>672</v>
      </c>
      <c r="B331" s="56" t="s">
        <v>673</v>
      </c>
      <c r="C331" s="61" t="s">
        <v>581</v>
      </c>
      <c r="D331" s="209" t="str">
        <f t="shared" si="7"/>
        <v>D4 01 00 00:远距离伤害 +3.3%[远程]</v>
      </c>
    </row>
    <row r="332" spans="1:4">
      <c r="A332" s="55" t="s">
        <v>674</v>
      </c>
      <c r="B332" s="61" t="s">
        <v>675</v>
      </c>
      <c r="C332" s="61" t="s">
        <v>581</v>
      </c>
      <c r="D332" s="209" t="str">
        <f t="shared" si="7"/>
        <v>B2 4C 00 00:(同名固定)箭弹命中时施加造成伤害减少 +50.0%[远程]</v>
      </c>
    </row>
    <row r="333" spans="1:4">
      <c r="A333" s="55" t="s">
        <v>676</v>
      </c>
      <c r="B333" s="61" t="s">
        <v>677</v>
      </c>
      <c r="C333" s="61" t="s">
        <v>581</v>
      </c>
      <c r="D333" s="209" t="str">
        <f t="shared" si="7"/>
        <v>B9 D1 00 00:(同名固定)对极近距离敌人的弓箭伤害 +3.3%[远程]</v>
      </c>
    </row>
    <row r="334" spans="1:4">
      <c r="A334" s="55" t="s">
        <v>678</v>
      </c>
      <c r="B334" s="61" t="s">
        <v>679</v>
      </c>
      <c r="C334" s="61" t="s">
        <v>581</v>
      </c>
      <c r="D334" s="209" t="str">
        <f t="shared" si="7"/>
        <v>92 EC 00 00:对极近距离敌人的弓箭伤害 +3.3%[远程]</v>
      </c>
    </row>
    <row r="335" spans="1:4">
      <c r="A335" s="55" t="s">
        <v>680</v>
      </c>
      <c r="B335" s="61" t="s">
        <v>681</v>
      </c>
      <c r="C335" s="61" t="s">
        <v>581</v>
      </c>
      <c r="D335" s="209" t="str">
        <f t="shared" si="7"/>
        <v>D2 FC 00 00:对极近距离敌人的火枪伤害 +3.3%[远程]</v>
      </c>
    </row>
    <row r="336" spans="1:4">
      <c r="A336" s="55" t="s">
        <v>682</v>
      </c>
      <c r="B336" s="61" t="s">
        <v>683</v>
      </c>
      <c r="C336" s="61" t="s">
        <v>581</v>
      </c>
      <c r="D336" s="209" t="str">
        <f t="shared" si="7"/>
        <v>D2 86 00 00:(同名固定)对极近距离敌人的大炮伤害 +3.3%[远程]</v>
      </c>
    </row>
    <row r="337" spans="1:4">
      <c r="A337" s="55" t="s">
        <v>684</v>
      </c>
      <c r="B337" s="61" t="s">
        <v>685</v>
      </c>
      <c r="C337" s="61" t="s">
        <v>581</v>
      </c>
      <c r="D337" s="209" t="str">
        <f t="shared" si="7"/>
        <v>31 B1 00 00:对极近距离敌人的大炮伤害 +3.3%[远程]</v>
      </c>
    </row>
    <row r="338" spans="1:4">
      <c r="A338" s="55" t="s">
        <v>686</v>
      </c>
      <c r="B338" s="61" t="s">
        <v>687</v>
      </c>
      <c r="C338" s="61" t="s">
        <v>581</v>
      </c>
      <c r="D338" s="209" t="str">
        <f t="shared" si="7"/>
        <v>9A D0 00 00:(同名固定)箭弹伤害(无伤) +4.0%[远程]</v>
      </c>
    </row>
    <row r="339" spans="1:4">
      <c r="A339" s="55" t="s">
        <v>688</v>
      </c>
      <c r="B339" s="56" t="s">
        <v>689</v>
      </c>
      <c r="C339" s="61" t="s">
        <v>581</v>
      </c>
      <c r="D339" s="209" t="str">
        <f t="shared" si="7"/>
        <v>94 44 00 00:箭弹伤害(无伤) +4.0%[远程]</v>
      </c>
    </row>
    <row r="340" spans="1:4">
      <c r="A340" s="55" t="s">
        <v>690</v>
      </c>
      <c r="B340" s="61" t="s">
        <v>691</v>
      </c>
      <c r="C340" s="61" t="s">
        <v>581</v>
      </c>
      <c r="D340" s="209" t="str">
        <f t="shared" si="7"/>
        <v>DD 56 00 00:(同名固定)自动瞄准要害[远程]</v>
      </c>
    </row>
    <row r="341" spans="1:4">
      <c r="A341" s="55" t="s">
        <v>692</v>
      </c>
      <c r="B341" s="61" t="s">
        <v>693</v>
      </c>
      <c r="C341" s="61" t="s">
        <v>581</v>
      </c>
      <c r="D341" s="209" t="str">
        <f t="shared" si="7"/>
        <v>41 B9 00 00:(同名固定)弓动作速度加快[远程]</v>
      </c>
    </row>
    <row r="342" spans="1:4">
      <c r="A342" s="55" t="s">
        <v>694</v>
      </c>
      <c r="B342" s="199" t="s">
        <v>695</v>
      </c>
      <c r="C342" s="61" t="s">
        <v>581</v>
      </c>
      <c r="D342" s="209" t="str">
        <f t="shared" si="7"/>
        <v>88 00 00 00:(同名固定)火枪动作速度加快[远程]</v>
      </c>
    </row>
    <row r="343" spans="1:4">
      <c r="A343" s="55" t="s">
        <v>696</v>
      </c>
      <c r="B343" s="61" t="s">
        <v>697</v>
      </c>
      <c r="C343" s="61" t="s">
        <v>581</v>
      </c>
      <c r="D343" s="209" t="str">
        <f t="shared" ref="D343:D348" si="8">LEFT(A343,11)&amp;":"&amp;B343&amp;C343</f>
        <v>FF E2 00 00:(同名固定)拿起远距离武器时不会畏惧[远程]</v>
      </c>
    </row>
    <row r="344" spans="1:4">
      <c r="A344" s="55" t="s">
        <v>698</v>
      </c>
      <c r="B344" s="61" t="s">
        <v>699</v>
      </c>
      <c r="C344" s="61" t="s">
        <v>581</v>
      </c>
      <c r="D344" s="209" t="str">
        <f t="shared" si="8"/>
        <v>8C F5 00 00:不易被敌人发现 C-[远程]</v>
      </c>
    </row>
    <row r="345" spans="1:4">
      <c r="A345" s="55" t="s">
        <v>700</v>
      </c>
      <c r="B345" s="56" t="s">
        <v>701</v>
      </c>
      <c r="C345" s="61" t="s">
        <v>581</v>
      </c>
      <c r="D345" s="209" t="str">
        <f t="shared" si="8"/>
        <v>C3 CF 00 00:箭矢持有数量上限 +1[远程]</v>
      </c>
    </row>
    <row r="346" spans="1:4">
      <c r="A346" s="55" t="s">
        <v>702</v>
      </c>
      <c r="B346" s="56" t="s">
        <v>703</v>
      </c>
      <c r="C346" s="61" t="s">
        <v>581</v>
      </c>
      <c r="D346" s="209" t="str">
        <f t="shared" si="8"/>
        <v>64 35 00 00:枪弹持有数量上限 +1[远程]</v>
      </c>
    </row>
    <row r="347" spans="1:4">
      <c r="A347" s="55" t="s">
        <v>704</v>
      </c>
      <c r="B347" s="56" t="s">
        <v>705</v>
      </c>
      <c r="C347" s="61" t="s">
        <v>581</v>
      </c>
      <c r="D347" s="209" t="str">
        <f t="shared" si="8"/>
        <v>7C 12 00 00:炮弹持有数量上限 +1[远程]</v>
      </c>
    </row>
    <row r="348" spans="1:4">
      <c r="A348" s="55" t="s">
        <v>706</v>
      </c>
      <c r="B348" s="58" t="s">
        <v>707</v>
      </c>
      <c r="C348" s="61" t="s">
        <v>581</v>
      </c>
      <c r="D348" s="209" t="str">
        <f t="shared" si="8"/>
        <v>43 6B 00 00:(同名固定)不消耗箭弹 +10.0%[远程]</v>
      </c>
    </row>
    <row r="349" spans="1:4">
      <c r="A349" s="55" t="s">
        <v>708</v>
      </c>
      <c r="B349" s="56" t="s">
        <v>709</v>
      </c>
      <c r="C349" s="61" t="s">
        <v>581</v>
      </c>
      <c r="D349" s="209" t="str">
        <f t="shared" ref="D349:D393" si="9">LEFT(A349,11)&amp;":"&amp;B349&amp;C349</f>
        <v>CB 28 00 00:不消耗箭弹 +7.5%[远程]</v>
      </c>
    </row>
    <row r="350" spans="1:4">
      <c r="A350" s="55" t="s">
        <v>710</v>
      </c>
      <c r="B350" s="56" t="s">
        <v>711</v>
      </c>
      <c r="C350" s="61" t="s">
        <v>581</v>
      </c>
      <c r="D350" s="209" t="str">
        <f t="shared" si="9"/>
        <v>BD 87 00 00:不消耗枪弹与炮弹 +8.0%[远程]</v>
      </c>
    </row>
    <row r="351" spans="1:4">
      <c r="A351" s="55" t="s">
        <v>712</v>
      </c>
      <c r="B351" s="61" t="s">
        <v>713</v>
      </c>
      <c r="C351" s="61" t="s">
        <v>714</v>
      </c>
      <c r="D351" s="209" t="str">
        <f t="shared" si="9"/>
        <v>48 E5 00 00:上段架式攻击伤害 +2.1%[手臂]</v>
      </c>
    </row>
    <row r="352" spans="1:4">
      <c r="A352" s="55" t="s">
        <v>715</v>
      </c>
      <c r="B352" s="61" t="s">
        <v>716</v>
      </c>
      <c r="C352" s="61" t="s">
        <v>714</v>
      </c>
      <c r="D352" s="209" t="str">
        <f t="shared" si="9"/>
        <v>95 4F 00 00:中段架式攻击伤害 +2.1%[手臂]</v>
      </c>
    </row>
    <row r="353" spans="1:4">
      <c r="A353" s="55" t="s">
        <v>717</v>
      </c>
      <c r="B353" s="61" t="s">
        <v>718</v>
      </c>
      <c r="C353" s="61" t="s">
        <v>714</v>
      </c>
      <c r="D353" s="209" t="str">
        <f t="shared" si="9"/>
        <v>9B D3 00 00:下段架式攻击伤害 +2.1%[手臂]</v>
      </c>
    </row>
    <row r="354" spans="1:4">
      <c r="A354" s="55" t="s">
        <v>719</v>
      </c>
      <c r="B354" s="56" t="s">
        <v>720</v>
      </c>
      <c r="C354" s="61" t="s">
        <v>714</v>
      </c>
      <c r="D354" s="209" t="str">
        <f t="shared" si="9"/>
        <v>9A D9 00 00:速攻击伤害 +2.1%[手臂]</v>
      </c>
    </row>
    <row r="355" spans="1:4">
      <c r="A355" s="55" t="s">
        <v>721</v>
      </c>
      <c r="B355" s="205" t="s">
        <v>722</v>
      </c>
      <c r="C355" s="61" t="s">
        <v>723</v>
      </c>
      <c r="D355" s="209" t="str">
        <f t="shared" si="9"/>
        <v>04 E3 00 00:(星)速攻击伤害 +3.2%[头部]</v>
      </c>
    </row>
    <row r="356" spans="1:4">
      <c r="A356" s="55" t="s">
        <v>724</v>
      </c>
      <c r="B356" s="56" t="s">
        <v>725</v>
      </c>
      <c r="C356" s="61" t="s">
        <v>714</v>
      </c>
      <c r="D356" s="209" t="str">
        <f t="shared" si="9"/>
        <v>68 AA 00 00:强攻击伤害 +2.1%[手臂]</v>
      </c>
    </row>
    <row r="357" spans="1:4">
      <c r="A357" s="55" t="s">
        <v>726</v>
      </c>
      <c r="B357" s="56" t="s">
        <v>727</v>
      </c>
      <c r="C357" s="61" t="s">
        <v>714</v>
      </c>
      <c r="D357" s="209" t="str">
        <f t="shared" si="9"/>
        <v>2A AA 00 00:近距离攻击伤害 +1.9%[手臂]</v>
      </c>
    </row>
    <row r="358" spans="1:4">
      <c r="A358" s="55" t="s">
        <v>728</v>
      </c>
      <c r="B358" s="56" t="s">
        <v>729</v>
      </c>
      <c r="C358" s="61" t="s">
        <v>714</v>
      </c>
      <c r="D358" s="209" t="str">
        <f t="shared" si="9"/>
        <v>25 D5 00 00:近距离攻击伤害(绝境) +5.7%[手臂]</v>
      </c>
    </row>
    <row r="359" spans="1:4">
      <c r="A359" s="55" t="s">
        <v>730</v>
      </c>
      <c r="B359" s="56" t="s">
        <v>731</v>
      </c>
      <c r="C359" s="61" t="s">
        <v>714</v>
      </c>
      <c r="D359" s="209" t="str">
        <f t="shared" si="9"/>
        <v>E6 36 00 00:(同名固定)近距离攻击伤害(地狱) +4.9%[手臂]</v>
      </c>
    </row>
    <row r="360" spans="1:4">
      <c r="A360" s="55" t="s">
        <v>732</v>
      </c>
      <c r="B360" s="56" t="s">
        <v>733</v>
      </c>
      <c r="C360" s="61" t="s">
        <v>714</v>
      </c>
      <c r="D360" s="209" t="str">
        <f t="shared" si="9"/>
        <v>7A DA 00 00:近距离攻击伤害(地狱) +2.5%[手臂]</v>
      </c>
    </row>
    <row r="361" spans="1:4">
      <c r="A361" s="55" t="s">
        <v>734</v>
      </c>
      <c r="B361" s="56" t="s">
        <v>70</v>
      </c>
      <c r="C361" s="61" t="s">
        <v>714</v>
      </c>
      <c r="D361" s="209" t="str">
        <f t="shared" si="9"/>
        <v>E1 F6 00 00:对处于火状态敌人的守护灵技伤害 +1.4%[手臂]</v>
      </c>
    </row>
    <row r="362" spans="1:4">
      <c r="A362" s="55" t="s">
        <v>735</v>
      </c>
      <c r="B362" s="56" t="s">
        <v>72</v>
      </c>
      <c r="C362" s="61" t="s">
        <v>714</v>
      </c>
      <c r="D362" s="209" t="str">
        <f t="shared" si="9"/>
        <v>2B 52 00 00:对处于水状态敌人的守护灵技伤害 +1.4%[手臂]</v>
      </c>
    </row>
    <row r="363" spans="1:4">
      <c r="A363" s="55" t="s">
        <v>736</v>
      </c>
      <c r="B363" s="56" t="s">
        <v>74</v>
      </c>
      <c r="C363" s="61" t="s">
        <v>714</v>
      </c>
      <c r="D363" s="209" t="str">
        <f t="shared" si="9"/>
        <v>FC 41 00 00:对处于雷状态敌人的守护灵技伤害 +1.4%[手臂]</v>
      </c>
    </row>
    <row r="364" spans="1:4">
      <c r="A364" s="55" t="s">
        <v>737</v>
      </c>
      <c r="B364" s="56" t="s">
        <v>76</v>
      </c>
      <c r="C364" s="61" t="s">
        <v>714</v>
      </c>
      <c r="D364" s="209" t="str">
        <f t="shared" si="9"/>
        <v>8D 2A 00 00:对处于风状态敌人的守护灵技伤害 +1.4%[手臂]</v>
      </c>
    </row>
    <row r="365" spans="1:4">
      <c r="A365" s="55" t="s">
        <v>738</v>
      </c>
      <c r="B365" s="56" t="s">
        <v>78</v>
      </c>
      <c r="C365" s="61" t="s">
        <v>714</v>
      </c>
      <c r="D365" s="209" t="str">
        <f t="shared" si="9"/>
        <v>9B 06 00 00:对处于毒状态敌人的守护灵技伤害 +1.4%[手臂]</v>
      </c>
    </row>
    <row r="366" spans="1:4">
      <c r="A366" s="55" t="s">
        <v>739</v>
      </c>
      <c r="B366" s="56" t="s">
        <v>80</v>
      </c>
      <c r="C366" s="61" t="s">
        <v>714</v>
      </c>
      <c r="D366" s="209" t="str">
        <f t="shared" si="9"/>
        <v>88 66 00 00:对处于麻痹状态敌人的守护灵技伤害 +7.0%[手臂]</v>
      </c>
    </row>
    <row r="367" spans="1:4">
      <c r="A367" s="55" t="s">
        <v>740</v>
      </c>
      <c r="B367" s="56" t="s">
        <v>741</v>
      </c>
      <c r="C367" s="61" t="s">
        <v>714</v>
      </c>
      <c r="D367" s="209" t="str">
        <f t="shared" si="9"/>
        <v>94 F8 00 00:箭弹命中弱点时伤害 +7.5%[手臂]</v>
      </c>
    </row>
    <row r="368" spans="1:4">
      <c r="A368" s="55" t="s">
        <v>742</v>
      </c>
      <c r="B368" s="56" t="s">
        <v>743</v>
      </c>
      <c r="C368" s="61" t="s">
        <v>714</v>
      </c>
      <c r="D368" s="209" t="str">
        <f t="shared" si="9"/>
        <v>12 52 00 00:地狱武器伤害 +1.9%[手臂]</v>
      </c>
    </row>
    <row r="369" spans="1:4">
      <c r="A369" s="55" t="s">
        <v>744</v>
      </c>
      <c r="B369" s="61" t="s">
        <v>745</v>
      </c>
      <c r="C369" s="61" t="s">
        <v>746</v>
      </c>
      <c r="D369" s="209" t="str">
        <f t="shared" si="9"/>
        <v>59 91 00 00:(同名固定)对无伤敌人造成的近距离伤害 +2.0%[头部/手臂/足部]</v>
      </c>
    </row>
    <row r="370" spans="1:4">
      <c r="A370" s="55" t="s">
        <v>747</v>
      </c>
      <c r="B370" s="61" t="s">
        <v>748</v>
      </c>
      <c r="C370" s="61" t="s">
        <v>749</v>
      </c>
      <c r="D370" s="209" t="str">
        <f t="shared" si="9"/>
        <v>1B 69 00 00:(同名固定)对无伤敌人造成的近距离伤害 +4.0%[身体]</v>
      </c>
    </row>
    <row r="371" spans="1:4">
      <c r="A371" s="55" t="s">
        <v>750</v>
      </c>
      <c r="B371" s="61" t="s">
        <v>751</v>
      </c>
      <c r="C371" s="61" t="s">
        <v>752</v>
      </c>
      <c r="D371" s="209" t="str">
        <f t="shared" si="9"/>
        <v>26 29 00 00:(同名固定)对无伤敌人造成的近距离伤害 +3.0%[腿部]</v>
      </c>
    </row>
    <row r="372" spans="1:4">
      <c r="A372" s="55" t="s">
        <v>753</v>
      </c>
      <c r="B372" s="56" t="s">
        <v>754</v>
      </c>
      <c r="C372" s="61" t="s">
        <v>714</v>
      </c>
      <c r="D372" s="209" t="str">
        <f t="shared" si="9"/>
        <v>4A 81 00 00:对无伤敌人造成的近距离伤害 +3.8%[手臂]</v>
      </c>
    </row>
    <row r="373" spans="1:4">
      <c r="A373" s="55" t="s">
        <v>755</v>
      </c>
      <c r="B373" s="61" t="s">
        <v>756</v>
      </c>
      <c r="C373" s="61" t="s">
        <v>723</v>
      </c>
      <c r="D373" s="209" t="str">
        <f t="shared" si="9"/>
        <v>7E 70 00 00:(同名固定)伤害反映(阴阳术术力) C[头部]</v>
      </c>
    </row>
    <row r="374" spans="1:4">
      <c r="A374" s="55" t="s">
        <v>757</v>
      </c>
      <c r="B374" s="56" t="s">
        <v>758</v>
      </c>
      <c r="C374" s="61" t="s">
        <v>714</v>
      </c>
      <c r="D374" s="209" t="str">
        <f t="shared" si="9"/>
        <v>E6 67 00 00:对精力耗尽敌人的近距离伤害 +2.5%[手臂]</v>
      </c>
    </row>
    <row r="375" spans="1:4">
      <c r="A375" s="55" t="s">
        <v>759</v>
      </c>
      <c r="B375" s="56" t="s">
        <v>760</v>
      </c>
      <c r="C375" s="61" t="s">
        <v>714</v>
      </c>
      <c r="D375" s="209" t="str">
        <f t="shared" si="9"/>
        <v>5F FE 00 00:对攻击中敌人的近距离伤害 +2.3%[手臂]</v>
      </c>
    </row>
    <row r="376" spans="1:4">
      <c r="A376" s="55" t="s">
        <v>761</v>
      </c>
      <c r="B376" s="56" t="s">
        <v>762</v>
      </c>
      <c r="C376" s="61" t="s">
        <v>714</v>
      </c>
      <c r="D376" s="209" t="str">
        <f t="shared" si="9"/>
        <v>FA 8D 00 00:刺击伤害 +2.1%[手臂]</v>
      </c>
    </row>
    <row r="377" spans="1:4">
      <c r="A377" s="55" t="s">
        <v>763</v>
      </c>
      <c r="B377" s="56" t="s">
        <v>764</v>
      </c>
      <c r="C377" s="61" t="s">
        <v>714</v>
      </c>
      <c r="D377" s="209" t="str">
        <f t="shared" si="9"/>
        <v>39 68 00 00:暗杀伤害 +1.9%[手臂]</v>
      </c>
    </row>
    <row r="378" spans="1:4">
      <c r="A378" s="55" t="s">
        <v>765</v>
      </c>
      <c r="B378" s="199" t="s">
        <v>766</v>
      </c>
      <c r="C378" s="61" t="s">
        <v>714</v>
      </c>
      <c r="D378" s="209" t="str">
        <f t="shared" si="9"/>
        <v>EA C5 00 00:打倒敌人时赋予造成伤害增加(2.5%)[手臂]</v>
      </c>
    </row>
    <row r="379" spans="1:4">
      <c r="A379" s="55" t="s">
        <v>767</v>
      </c>
      <c r="B379" s="52" t="s">
        <v>768</v>
      </c>
      <c r="C379" s="61" t="s">
        <v>723</v>
      </c>
      <c r="D379" s="209" t="str">
        <f t="shared" si="9"/>
        <v>04 3B 00 00:(同名固定)祓除常世赋予造成伤害增加(2%)[头部]</v>
      </c>
    </row>
    <row r="380" spans="1:4">
      <c r="A380" s="55" t="s">
        <v>769</v>
      </c>
      <c r="B380" s="199" t="s">
        <v>770</v>
      </c>
      <c r="C380" s="61" t="s">
        <v>714</v>
      </c>
      <c r="D380" s="209" t="str">
        <f t="shared" si="9"/>
        <v>70 1C 00 00:祓除常世赋予造成伤害增加(2.7%)[手臂]</v>
      </c>
    </row>
    <row r="381" spans="1:4">
      <c r="A381" s="55" t="s">
        <v>771</v>
      </c>
      <c r="B381" s="199" t="s">
        <v>772</v>
      </c>
      <c r="C381" s="61" t="s">
        <v>714</v>
      </c>
      <c r="D381" s="209" t="str">
        <f t="shared" si="9"/>
        <v>30 6A 00 00:陷入异常状态时赋予造成伤害增加(2.9%)[手臂]</v>
      </c>
    </row>
    <row r="382" spans="1:4">
      <c r="A382" s="55" t="s">
        <v>773</v>
      </c>
      <c r="B382" s="199" t="s">
        <v>774</v>
      </c>
      <c r="C382" s="61" t="s">
        <v>714</v>
      </c>
      <c r="D382" s="209" t="str">
        <f t="shared" si="9"/>
        <v>2F A6 00 00:吸收精华后赋予造成伤害增加(2.3%)[手臂]</v>
      </c>
    </row>
    <row r="383" spans="1:4">
      <c r="A383" s="55" t="s">
        <v>775</v>
      </c>
      <c r="B383" s="61" t="s">
        <v>776</v>
      </c>
      <c r="C383" s="61" t="s">
        <v>714</v>
      </c>
      <c r="D383" s="209" t="str">
        <f t="shared" si="9"/>
        <v>0B E7 00 00:下段武技伤害 +2.2%[手臂]</v>
      </c>
    </row>
    <row r="384" spans="1:4">
      <c r="A384" s="55" t="s">
        <v>777</v>
      </c>
      <c r="B384" s="199" t="s">
        <v>778</v>
      </c>
      <c r="C384" s="61" t="s">
        <v>714</v>
      </c>
      <c r="D384" s="209" t="str">
        <f t="shared" si="9"/>
        <v>BE 57 00 00:格挡成功时赋予造成伤害增加(2.3%)[手臂]</v>
      </c>
    </row>
    <row r="385" spans="1:4">
      <c r="A385" s="55" t="s">
        <v>779</v>
      </c>
      <c r="B385" s="199" t="s">
        <v>780</v>
      </c>
      <c r="C385" s="61" t="s">
        <v>714</v>
      </c>
      <c r="D385" s="209" t="str">
        <f t="shared" si="9"/>
        <v>3C 7D 00 00:成功识破时造成伤害增加(2.3%)[手臂]</v>
      </c>
    </row>
    <row r="386" spans="1:4">
      <c r="A386" s="55" t="s">
        <v>781</v>
      </c>
      <c r="B386" s="56" t="s">
        <v>782</v>
      </c>
      <c r="C386" s="61" t="s">
        <v>714</v>
      </c>
      <c r="D386" s="209" t="str">
        <f t="shared" si="9"/>
        <v>3E EA 00 00:空中攻击伤害 +2.1%[手臂]</v>
      </c>
    </row>
    <row r="387" spans="1:4">
      <c r="A387" s="55" t="s">
        <v>783</v>
      </c>
      <c r="B387" s="56" t="s">
        <v>784</v>
      </c>
      <c r="C387" s="61" t="s">
        <v>714</v>
      </c>
      <c r="D387" s="209" t="str">
        <f t="shared" si="9"/>
        <v>A8 7E 00 00:追击和近身刺击伤害 +2.3%[手臂]</v>
      </c>
    </row>
    <row r="388" spans="1:4">
      <c r="A388" s="55" t="s">
        <v>785</v>
      </c>
      <c r="B388" s="61" t="s">
        <v>786</v>
      </c>
      <c r="C388" s="61" t="s">
        <v>746</v>
      </c>
      <c r="D388" s="209" t="str">
        <f t="shared" si="9"/>
        <v>97 57 00 00:(同名固定)背后攻击伤害 +2.0%[头部/手臂/足部]</v>
      </c>
    </row>
    <row r="389" spans="1:4">
      <c r="A389" s="55" t="s">
        <v>787</v>
      </c>
      <c r="B389" s="61" t="s">
        <v>788</v>
      </c>
      <c r="C389" s="61" t="s">
        <v>749</v>
      </c>
      <c r="D389" s="209" t="str">
        <f t="shared" si="9"/>
        <v>79 7E 00 00:(同名固定)背后攻击伤害 +4.0%[身体]</v>
      </c>
    </row>
    <row r="390" spans="1:4">
      <c r="A390" s="55" t="s">
        <v>789</v>
      </c>
      <c r="B390" s="61" t="s">
        <v>790</v>
      </c>
      <c r="C390" s="61" t="s">
        <v>752</v>
      </c>
      <c r="D390" s="209" t="str">
        <f t="shared" si="9"/>
        <v>25 A7 00 00:(同名固定)背后攻击伤害 +3.0%[腿部]</v>
      </c>
    </row>
    <row r="391" spans="1:4">
      <c r="A391" s="55" t="s">
        <v>791</v>
      </c>
      <c r="B391" s="56" t="s">
        <v>792</v>
      </c>
      <c r="C391" s="61" t="s">
        <v>793</v>
      </c>
      <c r="D391" s="209" t="str">
        <f t="shared" si="9"/>
        <v>9E DF 00 00:近距离攻击的精力消耗降低 -8.0%[头部/手臂]</v>
      </c>
    </row>
    <row r="392" spans="1:4">
      <c r="A392" s="55" t="s">
        <v>794</v>
      </c>
      <c r="B392" s="61" t="s">
        <v>795</v>
      </c>
      <c r="C392" s="61" t="s">
        <v>793</v>
      </c>
      <c r="D392" s="209" t="str">
        <f t="shared" si="9"/>
        <v>6C F2 00 00:上段架式攻击的精力消耗降低 -8.0%[头部/手臂]</v>
      </c>
    </row>
    <row r="393" spans="1:4">
      <c r="A393" s="55" t="s">
        <v>796</v>
      </c>
      <c r="B393" s="61" t="s">
        <v>797</v>
      </c>
      <c r="C393" s="61" t="s">
        <v>793</v>
      </c>
      <c r="D393" s="209" t="str">
        <f t="shared" si="9"/>
        <v>22 5C 00 00:中段架式攻击的精力消耗降低 -8.0%[头部/手臂]</v>
      </c>
    </row>
    <row r="394" spans="1:4">
      <c r="A394" s="55" t="s">
        <v>798</v>
      </c>
      <c r="B394" s="61" t="s">
        <v>799</v>
      </c>
      <c r="C394" s="61" t="s">
        <v>793</v>
      </c>
      <c r="D394" s="209" t="str">
        <f t="shared" ref="D394:D457" si="10">LEFT(A394,11)&amp;":"&amp;B394&amp;C394</f>
        <v>B9 BB 00 00:下段架式攻击的精力消耗降低 -8.0%[头部/手臂]</v>
      </c>
    </row>
    <row r="395" spans="1:4">
      <c r="A395" s="55" t="s">
        <v>800</v>
      </c>
      <c r="B395" s="56" t="s">
        <v>801</v>
      </c>
      <c r="C395" s="61" t="s">
        <v>793</v>
      </c>
      <c r="D395" s="209" t="str">
        <f t="shared" si="10"/>
        <v>E8 4B 00 00:速攻击精力消耗降低 -8.0%[头部/手臂]</v>
      </c>
    </row>
    <row r="396" spans="1:4">
      <c r="A396" s="55" t="s">
        <v>802</v>
      </c>
      <c r="B396" s="61" t="s">
        <v>803</v>
      </c>
      <c r="C396" s="61" t="s">
        <v>746</v>
      </c>
      <c r="D396" s="209" t="str">
        <f t="shared" si="10"/>
        <v>B4 6D 00 00:(同名固定)强攻击精力消耗降低 -1.0%[头部/手臂/足部]</v>
      </c>
    </row>
    <row r="397" spans="1:4">
      <c r="A397" s="55" t="s">
        <v>804</v>
      </c>
      <c r="B397" s="61" t="s">
        <v>805</v>
      </c>
      <c r="C397" s="61" t="s">
        <v>749</v>
      </c>
      <c r="D397" s="209" t="str">
        <f t="shared" si="10"/>
        <v>13 40 00 00:(同名固定)强攻击精力消耗降低 -2.0%[身体]</v>
      </c>
    </row>
    <row r="398" spans="1:4">
      <c r="A398" s="55" t="s">
        <v>806</v>
      </c>
      <c r="B398" s="61" t="s">
        <v>807</v>
      </c>
      <c r="C398" s="61" t="s">
        <v>752</v>
      </c>
      <c r="D398" s="209" t="str">
        <f t="shared" si="10"/>
        <v>11 A2 00 00:(同名固定)强攻击精力消耗降低 -1.5%[腿部]</v>
      </c>
    </row>
    <row r="399" spans="1:4">
      <c r="A399" s="55" t="s">
        <v>808</v>
      </c>
      <c r="B399" s="56" t="s">
        <v>809</v>
      </c>
      <c r="C399" s="61" t="s">
        <v>793</v>
      </c>
      <c r="D399" s="209" t="str">
        <f t="shared" si="10"/>
        <v>3D 19 00 00:强攻击精力消耗降低 -8.0%[头部/手臂]</v>
      </c>
    </row>
    <row r="400" spans="1:4">
      <c r="A400" s="55" t="s">
        <v>810</v>
      </c>
      <c r="B400" s="56" t="s">
        <v>811</v>
      </c>
      <c r="C400" s="61" t="s">
        <v>793</v>
      </c>
      <c r="D400" s="209" t="str">
        <f t="shared" si="10"/>
        <v>FE 34 00 00:武技精力消耗降低 -8.0%[头部/手臂]</v>
      </c>
    </row>
    <row r="401" spans="1:4">
      <c r="A401" s="55" t="s">
        <v>812</v>
      </c>
      <c r="B401" s="56" t="s">
        <v>813</v>
      </c>
      <c r="C401" s="61" t="s">
        <v>793</v>
      </c>
      <c r="D401" s="209" t="str">
        <f t="shared" si="10"/>
        <v>60 3B 00 00:近距离攻击精力消耗降低(绝境) -8.0%[头部/手臂]</v>
      </c>
    </row>
    <row r="402" spans="1:4">
      <c r="A402" s="55" t="s">
        <v>814</v>
      </c>
      <c r="B402" s="61" t="s">
        <v>815</v>
      </c>
      <c r="C402" s="61" t="s">
        <v>746</v>
      </c>
      <c r="D402" s="209" t="str">
        <f t="shared" si="10"/>
        <v>87 D2 00 00:(同名固定)防御精力消耗降低 -1.0%[头部/手臂/足部]</v>
      </c>
    </row>
    <row r="403" spans="1:4">
      <c r="A403" s="55" t="s">
        <v>816</v>
      </c>
      <c r="B403" s="61" t="s">
        <v>817</v>
      </c>
      <c r="C403" s="61" t="s">
        <v>749</v>
      </c>
      <c r="D403" s="209" t="str">
        <f t="shared" si="10"/>
        <v>A8 CD 00 00:(同名固定)防御精力消耗降低 -2.0%[身体]</v>
      </c>
    </row>
    <row r="404" spans="1:4">
      <c r="A404" s="55" t="s">
        <v>818</v>
      </c>
      <c r="B404" s="61" t="s">
        <v>819</v>
      </c>
      <c r="C404" s="61" t="s">
        <v>752</v>
      </c>
      <c r="D404" s="209" t="str">
        <f t="shared" si="10"/>
        <v>59 9B 00 00:(同名固定)防御精力消耗降低 -1.5%[腿部]</v>
      </c>
    </row>
    <row r="405" spans="1:4">
      <c r="A405" s="55" t="s">
        <v>820</v>
      </c>
      <c r="B405" s="56" t="s">
        <v>821</v>
      </c>
      <c r="C405" s="61" t="s">
        <v>793</v>
      </c>
      <c r="D405" s="209" t="str">
        <f t="shared" si="10"/>
        <v>FB 22 00 00:防御精力消耗降低 -8.0%[头部/手臂]</v>
      </c>
    </row>
    <row r="406" spans="1:4">
      <c r="A406" s="55" t="s">
        <v>822</v>
      </c>
      <c r="B406" s="61" t="s">
        <v>823</v>
      </c>
      <c r="C406" s="61" t="s">
        <v>793</v>
      </c>
      <c r="D406" s="209" t="str">
        <f t="shared" si="10"/>
        <v>52 3C 00 00:上段架式防御精力消耗降低 -8.0%[头部/手臂]</v>
      </c>
    </row>
    <row r="407" spans="1:4">
      <c r="A407" s="55" t="s">
        <v>824</v>
      </c>
      <c r="B407" s="61" t="s">
        <v>825</v>
      </c>
      <c r="C407" s="61" t="s">
        <v>793</v>
      </c>
      <c r="D407" s="209" t="str">
        <f t="shared" si="10"/>
        <v>53 59 00 00:中段架式防御精力消耗降低 -8.0%[头部/手臂]</v>
      </c>
    </row>
    <row r="408" spans="1:4">
      <c r="A408" s="55" t="s">
        <v>826</v>
      </c>
      <c r="B408" s="61" t="s">
        <v>827</v>
      </c>
      <c r="C408" s="61" t="s">
        <v>793</v>
      </c>
      <c r="D408" s="209" t="str">
        <f t="shared" si="10"/>
        <v>9C 3F 00 00:下段架式防御精力消耗降低 -8.0%[头部/手臂]</v>
      </c>
    </row>
    <row r="409" spans="1:4">
      <c r="A409" s="55" t="s">
        <v>828</v>
      </c>
      <c r="B409" s="199" t="s">
        <v>829</v>
      </c>
      <c r="C409" s="61" t="s">
        <v>793</v>
      </c>
      <c r="D409" s="209" t="str">
        <f t="shared" si="10"/>
        <v>B9 D4 00 00:行动精力消耗(负面效果时) -8.0%[头部/手臂]</v>
      </c>
    </row>
    <row r="410" spans="1:4">
      <c r="A410" s="55" t="s">
        <v>830</v>
      </c>
      <c r="B410" s="61" t="s">
        <v>831</v>
      </c>
      <c r="C410" s="61" t="s">
        <v>746</v>
      </c>
      <c r="D410" s="209" t="str">
        <f t="shared" si="10"/>
        <v>9F C1 00 00:(同名固定)精力 +10[头部/手臂/足部]</v>
      </c>
    </row>
    <row r="411" spans="1:4">
      <c r="A411" s="55" t="s">
        <v>832</v>
      </c>
      <c r="B411" s="61" t="s">
        <v>833</v>
      </c>
      <c r="C411" s="61" t="s">
        <v>749</v>
      </c>
      <c r="D411" s="209" t="str">
        <f t="shared" si="10"/>
        <v>EF 1D 00 00:(同名固定)精力 +20[身体]</v>
      </c>
    </row>
    <row r="412" spans="1:4">
      <c r="A412" s="55" t="s">
        <v>834</v>
      </c>
      <c r="B412" s="61" t="s">
        <v>835</v>
      </c>
      <c r="C412" s="61" t="s">
        <v>752</v>
      </c>
      <c r="D412" s="209" t="str">
        <f t="shared" si="10"/>
        <v>32 0A 00 00:(同名固定)精力 +15[腿部]</v>
      </c>
    </row>
    <row r="413" spans="1:4">
      <c r="A413" s="55" t="s">
        <v>836</v>
      </c>
      <c r="B413" s="61" t="s">
        <v>837</v>
      </c>
      <c r="C413" s="61" t="s">
        <v>793</v>
      </c>
      <c r="D413" s="209" t="str">
        <f t="shared" si="10"/>
        <v>A8 85 00 00:上段武技精力 -8.0%[头部/手臂]</v>
      </c>
    </row>
    <row r="414" spans="1:4">
      <c r="A414" s="55" t="s">
        <v>838</v>
      </c>
      <c r="B414" s="61" t="s">
        <v>839</v>
      </c>
      <c r="C414" s="61" t="s">
        <v>793</v>
      </c>
      <c r="D414" s="209" t="str">
        <f t="shared" si="10"/>
        <v>56 40 00 00:中段武技精力 -8.0%[头部/手臂]</v>
      </c>
    </row>
    <row r="415" spans="1:4">
      <c r="A415" s="55" t="s">
        <v>840</v>
      </c>
      <c r="B415" s="61" t="s">
        <v>841</v>
      </c>
      <c r="C415" s="61" t="s">
        <v>793</v>
      </c>
      <c r="D415" s="209" t="str">
        <f t="shared" si="10"/>
        <v>98 F0 00 00:下段武技精力 -8.0%[头部/手臂]</v>
      </c>
    </row>
    <row r="416" spans="1:4">
      <c r="A416" s="55" t="s">
        <v>842</v>
      </c>
      <c r="B416" s="61" t="s">
        <v>843</v>
      </c>
      <c r="C416" s="61" t="s">
        <v>793</v>
      </c>
      <c r="D416" s="209" t="str">
        <f t="shared" si="10"/>
        <v>29 50 00 00:跳跃的精力 -8.0%[头部/手臂]</v>
      </c>
    </row>
    <row r="417" spans="1:4">
      <c r="A417" s="55" t="s">
        <v>844</v>
      </c>
      <c r="B417" s="61" t="s">
        <v>843</v>
      </c>
      <c r="C417" s="61" t="s">
        <v>749</v>
      </c>
      <c r="D417" s="209" t="str">
        <f t="shared" si="10"/>
        <v>0E 0C 00 00:跳跃的精力 -8.0%[身体]</v>
      </c>
    </row>
    <row r="418" spans="1:4">
      <c r="A418" s="55" t="s">
        <v>845</v>
      </c>
      <c r="B418" s="56" t="s">
        <v>846</v>
      </c>
      <c r="C418" s="61" t="s">
        <v>746</v>
      </c>
      <c r="D418" s="209" t="str">
        <f t="shared" si="10"/>
        <v>FB A7 00 00:火抗性 +5[头部/手臂/足部]</v>
      </c>
    </row>
    <row r="419" spans="1:4">
      <c r="A419" s="55" t="s">
        <v>847</v>
      </c>
      <c r="B419" s="56" t="s">
        <v>848</v>
      </c>
      <c r="C419" s="61" t="s">
        <v>749</v>
      </c>
      <c r="D419" s="209" t="str">
        <f t="shared" si="10"/>
        <v>91 AC 00 00:火抗性 +10[身体]</v>
      </c>
    </row>
    <row r="420" spans="1:4">
      <c r="A420" s="55" t="s">
        <v>849</v>
      </c>
      <c r="B420" s="56" t="s">
        <v>850</v>
      </c>
      <c r="C420" s="61" t="s">
        <v>752</v>
      </c>
      <c r="D420" s="209" t="str">
        <f t="shared" si="10"/>
        <v>02 0B 00 00:火抗性 +7[腿部]</v>
      </c>
    </row>
    <row r="421" spans="1:4">
      <c r="A421" s="55" t="s">
        <v>851</v>
      </c>
      <c r="B421" s="56" t="s">
        <v>852</v>
      </c>
      <c r="C421" s="61" t="s">
        <v>746</v>
      </c>
      <c r="D421" s="209" t="str">
        <f t="shared" si="10"/>
        <v>F7 AA 00 00:水抗性 +5[头部/手臂/足部]</v>
      </c>
    </row>
    <row r="422" spans="1:4">
      <c r="A422" s="55" t="s">
        <v>853</v>
      </c>
      <c r="B422" s="56" t="s">
        <v>854</v>
      </c>
      <c r="C422" s="61" t="s">
        <v>749</v>
      </c>
      <c r="D422" s="209" t="str">
        <f t="shared" si="10"/>
        <v>4A 13 00 00:水抗性 +10[身体]</v>
      </c>
    </row>
    <row r="423" spans="1:4">
      <c r="A423" s="55" t="s">
        <v>855</v>
      </c>
      <c r="B423" s="56" t="s">
        <v>856</v>
      </c>
      <c r="C423" s="61" t="s">
        <v>752</v>
      </c>
      <c r="D423" s="209" t="str">
        <f t="shared" si="10"/>
        <v>E9 0F 00 00:水抗性 +7[腿部]</v>
      </c>
    </row>
    <row r="424" spans="1:4">
      <c r="A424" s="55" t="s">
        <v>857</v>
      </c>
      <c r="B424" s="56" t="s">
        <v>858</v>
      </c>
      <c r="C424" s="61" t="s">
        <v>746</v>
      </c>
      <c r="D424" s="209" t="str">
        <f t="shared" si="10"/>
        <v>C9 14 00 00:雷抗性 +5[头部/手臂/足部]</v>
      </c>
    </row>
    <row r="425" spans="1:4">
      <c r="A425" s="55" t="s">
        <v>859</v>
      </c>
      <c r="B425" s="56" t="s">
        <v>860</v>
      </c>
      <c r="C425" s="61" t="s">
        <v>749</v>
      </c>
      <c r="D425" s="209" t="str">
        <f t="shared" si="10"/>
        <v>59 2F 00 00:雷抗性 +10[身体]</v>
      </c>
    </row>
    <row r="426" spans="1:4">
      <c r="A426" s="55" t="s">
        <v>861</v>
      </c>
      <c r="B426" s="56" t="s">
        <v>862</v>
      </c>
      <c r="C426" s="61" t="s">
        <v>752</v>
      </c>
      <c r="D426" s="209" t="str">
        <f t="shared" si="10"/>
        <v>8D E0 00 00:雷抗性 +7[腿部]</v>
      </c>
    </row>
    <row r="427" spans="1:4">
      <c r="A427" s="55" t="s">
        <v>863</v>
      </c>
      <c r="B427" s="56" t="s">
        <v>864</v>
      </c>
      <c r="C427" s="61" t="s">
        <v>746</v>
      </c>
      <c r="D427" s="209" t="str">
        <f t="shared" si="10"/>
        <v>87 CE 00 00:风抗性 +5[头部/手臂/足部]</v>
      </c>
    </row>
    <row r="428" spans="1:4">
      <c r="A428" s="55" t="s">
        <v>865</v>
      </c>
      <c r="B428" s="56" t="s">
        <v>866</v>
      </c>
      <c r="C428" s="61" t="s">
        <v>749</v>
      </c>
      <c r="D428" s="209" t="str">
        <f t="shared" si="10"/>
        <v>F2 56 00 00:风抗性 +10[身体]</v>
      </c>
    </row>
    <row r="429" spans="1:4">
      <c r="A429" s="55" t="s">
        <v>867</v>
      </c>
      <c r="B429" s="56" t="s">
        <v>868</v>
      </c>
      <c r="C429" s="61" t="s">
        <v>752</v>
      </c>
      <c r="D429" s="209" t="str">
        <f t="shared" si="10"/>
        <v>9A BE 00 00:风抗性 +7[腿部]</v>
      </c>
    </row>
    <row r="430" spans="1:4">
      <c r="A430" s="55" t="s">
        <v>869</v>
      </c>
      <c r="B430" s="61" t="s">
        <v>870</v>
      </c>
      <c r="C430" s="61" t="s">
        <v>723</v>
      </c>
      <c r="D430" s="209" t="str">
        <f t="shared" si="10"/>
        <v>48 34 00 00:(同名固定)防御时的属性攻击伤害降低 +8[头部]</v>
      </c>
    </row>
    <row r="431" spans="1:4">
      <c r="A431" s="55" t="s">
        <v>871</v>
      </c>
      <c r="B431" s="56" t="s">
        <v>872</v>
      </c>
      <c r="C431" s="61" t="s">
        <v>746</v>
      </c>
      <c r="D431" s="209" t="str">
        <f t="shared" si="10"/>
        <v>47 80 00 00:防御时的属性攻击伤害降低 +8[头部/手臂/足部]</v>
      </c>
    </row>
    <row r="432" spans="1:4">
      <c r="A432" s="55" t="s">
        <v>873</v>
      </c>
      <c r="B432" s="56" t="s">
        <v>874</v>
      </c>
      <c r="C432" s="61" t="s">
        <v>749</v>
      </c>
      <c r="D432" s="209" t="str">
        <f t="shared" si="10"/>
        <v>FB 72 00 00:防御时的属性攻击伤害降低 +17[身体]</v>
      </c>
    </row>
    <row r="433" spans="1:4">
      <c r="A433" s="55" t="s">
        <v>875</v>
      </c>
      <c r="B433" s="56" t="s">
        <v>876</v>
      </c>
      <c r="C433" s="61" t="s">
        <v>752</v>
      </c>
      <c r="D433" s="209" t="str">
        <f t="shared" si="10"/>
        <v>B0 C3 00 00:防御时的属性攻击伤害降低 +13[腿部]</v>
      </c>
    </row>
    <row r="434" spans="1:4">
      <c r="A434" s="55" t="s">
        <v>877</v>
      </c>
      <c r="B434" s="61" t="s">
        <v>878</v>
      </c>
      <c r="C434" s="61" t="s">
        <v>723</v>
      </c>
      <c r="D434" s="209" t="str">
        <f t="shared" si="10"/>
        <v>BA A4 00 00:(同名固定)持续性伤害不会导致死亡[头部]</v>
      </c>
    </row>
    <row r="435" spans="1:4">
      <c r="A435" s="55" t="s">
        <v>879</v>
      </c>
      <c r="B435" s="61" t="s">
        <v>880</v>
      </c>
      <c r="C435" s="61" t="s">
        <v>746</v>
      </c>
      <c r="D435" s="209" t="str">
        <f t="shared" si="10"/>
        <v>62 37 00 00:(同名固定)属性攻击伤害降低 +5[头部/手臂/足部]</v>
      </c>
    </row>
    <row r="436" spans="1:4">
      <c r="A436" s="55" t="s">
        <v>881</v>
      </c>
      <c r="B436" s="61" t="s">
        <v>882</v>
      </c>
      <c r="C436" s="61" t="s">
        <v>749</v>
      </c>
      <c r="D436" s="209" t="str">
        <f t="shared" si="10"/>
        <v>85 E7 00 00:(同名固定)属性攻击伤害降低 +11[身体]</v>
      </c>
    </row>
    <row r="437" spans="1:4">
      <c r="A437" s="55" t="s">
        <v>883</v>
      </c>
      <c r="B437" s="61" t="s">
        <v>884</v>
      </c>
      <c r="C437" s="61" t="s">
        <v>752</v>
      </c>
      <c r="D437" s="209" t="str">
        <f t="shared" si="10"/>
        <v>FF E6 00 00:(同名固定)属性攻击伤害降低 +8[腿部]</v>
      </c>
    </row>
    <row r="438" spans="1:4">
      <c r="A438" s="55" t="s">
        <v>885</v>
      </c>
      <c r="B438" s="56" t="s">
        <v>886</v>
      </c>
      <c r="C438" s="61" t="s">
        <v>746</v>
      </c>
      <c r="D438" s="209" t="str">
        <f t="shared" si="10"/>
        <v>B7 E5 00 00:属性攻击伤害降低 +2[头部/手臂/足部]</v>
      </c>
    </row>
    <row r="439" spans="1:4">
      <c r="A439" s="55" t="s">
        <v>887</v>
      </c>
      <c r="B439" s="56" t="s">
        <v>888</v>
      </c>
      <c r="C439" s="61" t="s">
        <v>749</v>
      </c>
      <c r="D439" s="209" t="str">
        <f t="shared" si="10"/>
        <v>D3 70 00 00:属性攻击伤害降低 +5[身体]</v>
      </c>
    </row>
    <row r="440" spans="1:4">
      <c r="A440" s="55" t="s">
        <v>889</v>
      </c>
      <c r="B440" s="56" t="s">
        <v>890</v>
      </c>
      <c r="C440" s="61" t="s">
        <v>752</v>
      </c>
      <c r="D440" s="209" t="str">
        <f t="shared" si="10"/>
        <v>EE 1C 00 00:属性攻击伤害降低 +3[腿部]</v>
      </c>
    </row>
    <row r="441" spans="1:4">
      <c r="A441" s="55" t="s">
        <v>891</v>
      </c>
      <c r="B441" s="61" t="s">
        <v>892</v>
      </c>
      <c r="C441" s="61" t="s">
        <v>723</v>
      </c>
      <c r="D441" s="209" t="str">
        <f t="shared" si="10"/>
        <v>D0 3A 00 00:(同名固定)火属性伤害降低 +5[头部]</v>
      </c>
    </row>
    <row r="442" spans="1:4">
      <c r="A442" s="55" t="s">
        <v>893</v>
      </c>
      <c r="B442" s="56" t="s">
        <v>894</v>
      </c>
      <c r="C442" s="61" t="s">
        <v>746</v>
      </c>
      <c r="D442" s="209" t="str">
        <f t="shared" si="10"/>
        <v>96 EC 00 00:火属性伤害降低 +5[头部/手臂/足部]</v>
      </c>
    </row>
    <row r="443" spans="1:4">
      <c r="A443" s="55" t="s">
        <v>895</v>
      </c>
      <c r="B443" s="56" t="s">
        <v>896</v>
      </c>
      <c r="C443" s="61" t="s">
        <v>749</v>
      </c>
      <c r="D443" s="209" t="str">
        <f t="shared" si="10"/>
        <v>E2 5F 00 00:火属性伤害降低 +10[身体]</v>
      </c>
    </row>
    <row r="444" spans="1:4">
      <c r="A444" s="55" t="s">
        <v>897</v>
      </c>
      <c r="B444" s="56" t="s">
        <v>898</v>
      </c>
      <c r="C444" s="61" t="s">
        <v>752</v>
      </c>
      <c r="D444" s="209" t="str">
        <f t="shared" si="10"/>
        <v>EC CF 00 00:火属性伤害降低 +7[腿部]</v>
      </c>
    </row>
    <row r="445" spans="1:4">
      <c r="A445" s="55" t="s">
        <v>899</v>
      </c>
      <c r="B445" s="56" t="s">
        <v>900</v>
      </c>
      <c r="C445" s="61" t="s">
        <v>746</v>
      </c>
      <c r="D445" s="209" t="str">
        <f t="shared" si="10"/>
        <v>2A 11 00 00:水属性伤害降低 +5[头部/手臂/足部]</v>
      </c>
    </row>
    <row r="446" spans="1:4">
      <c r="A446" s="55" t="s">
        <v>901</v>
      </c>
      <c r="B446" s="56" t="s">
        <v>902</v>
      </c>
      <c r="C446" s="61" t="s">
        <v>749</v>
      </c>
      <c r="D446" s="209" t="str">
        <f t="shared" si="10"/>
        <v>4E 70 00 00:水属性伤害降低 +10[身体]</v>
      </c>
    </row>
    <row r="447" spans="1:4">
      <c r="A447" s="55" t="s">
        <v>903</v>
      </c>
      <c r="B447" s="56" t="s">
        <v>904</v>
      </c>
      <c r="C447" s="61" t="s">
        <v>752</v>
      </c>
      <c r="D447" s="209" t="str">
        <f t="shared" si="10"/>
        <v>23 B3 00 00:水属性伤害降低 +7[腿部]</v>
      </c>
    </row>
    <row r="448" spans="1:4">
      <c r="A448" s="55" t="s">
        <v>905</v>
      </c>
      <c r="B448" s="56" t="s">
        <v>906</v>
      </c>
      <c r="C448" s="61" t="s">
        <v>746</v>
      </c>
      <c r="D448" s="209" t="str">
        <f t="shared" si="10"/>
        <v>2C 2F 00 00:雷属性伤害降低 +5[头部/手臂/足部]</v>
      </c>
    </row>
    <row r="449" spans="1:4">
      <c r="A449" s="55" t="s">
        <v>907</v>
      </c>
      <c r="B449" s="56" t="s">
        <v>908</v>
      </c>
      <c r="C449" s="61" t="s">
        <v>749</v>
      </c>
      <c r="D449" s="209" t="str">
        <f t="shared" si="10"/>
        <v>65 23 00 00:雷属性伤害降低 +10[身体]</v>
      </c>
    </row>
    <row r="450" spans="1:4">
      <c r="A450" s="55" t="s">
        <v>909</v>
      </c>
      <c r="B450" s="56" t="s">
        <v>910</v>
      </c>
      <c r="C450" s="61" t="s">
        <v>752</v>
      </c>
      <c r="D450" s="209" t="str">
        <f t="shared" si="10"/>
        <v>18 1C 00 00:雷属性伤害降低 +7[腿部]</v>
      </c>
    </row>
    <row r="451" spans="1:4">
      <c r="A451" s="55" t="s">
        <v>911</v>
      </c>
      <c r="B451" s="56" t="s">
        <v>912</v>
      </c>
      <c r="C451" s="61" t="s">
        <v>746</v>
      </c>
      <c r="D451" s="209" t="str">
        <f t="shared" si="10"/>
        <v>38 9D 00 00:风属性伤害降低 +5[头部/手臂/足部]</v>
      </c>
    </row>
    <row r="452" spans="1:4">
      <c r="A452" s="55" t="s">
        <v>913</v>
      </c>
      <c r="B452" s="56" t="s">
        <v>914</v>
      </c>
      <c r="C452" s="61" t="s">
        <v>749</v>
      </c>
      <c r="D452" s="209" t="str">
        <f t="shared" si="10"/>
        <v>49 B7 00 00:风属性伤害降低 +10[身体]</v>
      </c>
    </row>
    <row r="453" spans="1:4">
      <c r="A453" s="55" t="s">
        <v>915</v>
      </c>
      <c r="B453" s="56" t="s">
        <v>916</v>
      </c>
      <c r="C453" s="61" t="s">
        <v>752</v>
      </c>
      <c r="D453" s="209" t="str">
        <f t="shared" si="10"/>
        <v>11 22 00 00:风属性伤害降低 +7[腿部]</v>
      </c>
    </row>
    <row r="454" spans="1:4">
      <c r="A454" s="55" t="s">
        <v>917</v>
      </c>
      <c r="B454" s="205" t="s">
        <v>918</v>
      </c>
      <c r="C454" s="61" t="s">
        <v>919</v>
      </c>
      <c r="D454" s="209" t="str">
        <f t="shared" si="10"/>
        <v>0B C4 00 00:(星)风属性伤害降低 +15[头部/身体/手臂/腿部/足部]</v>
      </c>
    </row>
    <row r="455" spans="1:4">
      <c r="A455" s="55" t="s">
        <v>920</v>
      </c>
      <c r="B455" s="56" t="s">
        <v>921</v>
      </c>
      <c r="C455" s="61" t="s">
        <v>746</v>
      </c>
      <c r="D455" s="209" t="str">
        <f t="shared" si="10"/>
        <v>A0 3F 00 00:毒抗性 +5[头部/手臂/足部]</v>
      </c>
    </row>
    <row r="456" spans="1:4">
      <c r="A456" s="55" t="s">
        <v>922</v>
      </c>
      <c r="B456" s="56" t="s">
        <v>923</v>
      </c>
      <c r="C456" s="61" t="s">
        <v>749</v>
      </c>
      <c r="D456" s="209" t="str">
        <f t="shared" si="10"/>
        <v>84 25 00 00:毒抗性 +10[身体]</v>
      </c>
    </row>
    <row r="457" spans="1:4">
      <c r="A457" s="55" t="s">
        <v>924</v>
      </c>
      <c r="B457" s="56" t="s">
        <v>925</v>
      </c>
      <c r="C457" s="61" t="s">
        <v>752</v>
      </c>
      <c r="D457" s="209" t="str">
        <f t="shared" si="10"/>
        <v>A8 7B 00 00:毒抗性 +7[腿部]</v>
      </c>
    </row>
    <row r="458" spans="1:4">
      <c r="A458" s="55" t="s">
        <v>926</v>
      </c>
      <c r="B458" s="56" t="s">
        <v>927</v>
      </c>
      <c r="C458" s="61" t="s">
        <v>746</v>
      </c>
      <c r="D458" s="209" t="str">
        <f t="shared" ref="D458:D521" si="11">LEFT(A458,11)&amp;":"&amp;B458&amp;C458</f>
        <v>18 D5 00 00:麻痹抗性 +5[头部/手臂/足部]</v>
      </c>
    </row>
    <row r="459" spans="1:4">
      <c r="A459" s="55" t="s">
        <v>928</v>
      </c>
      <c r="B459" s="56" t="s">
        <v>929</v>
      </c>
      <c r="C459" s="61" t="s">
        <v>749</v>
      </c>
      <c r="D459" s="209" t="str">
        <f t="shared" si="11"/>
        <v>13 5C 00 00:麻痹抗性 +10[身体]</v>
      </c>
    </row>
    <row r="460" spans="1:4">
      <c r="A460" s="55" t="s">
        <v>930</v>
      </c>
      <c r="B460" s="56" t="s">
        <v>931</v>
      </c>
      <c r="C460" s="61" t="s">
        <v>752</v>
      </c>
      <c r="D460" s="209" t="str">
        <f t="shared" si="11"/>
        <v>FE DD 00 00:麻痹毒抗性 +7[腿部]</v>
      </c>
    </row>
    <row r="461" spans="1:4">
      <c r="A461" s="55" t="s">
        <v>932</v>
      </c>
      <c r="B461" s="56" t="s">
        <v>933</v>
      </c>
      <c r="C461" s="61" t="s">
        <v>746</v>
      </c>
      <c r="D461" s="209" t="str">
        <f t="shared" si="11"/>
        <v>B1 54 00 00:中毒时持续承受伤害降低 -1.5%[头部/手臂/足部]</v>
      </c>
    </row>
    <row r="462" spans="1:4">
      <c r="A462" s="55" t="s">
        <v>934</v>
      </c>
      <c r="B462" s="56" t="s">
        <v>935</v>
      </c>
      <c r="C462" s="61" t="s">
        <v>749</v>
      </c>
      <c r="D462" s="209" t="str">
        <f t="shared" si="11"/>
        <v>2E D2 00 00:中毒时持续承受伤害降低 -3.1%[身体]</v>
      </c>
    </row>
    <row r="463" spans="1:4">
      <c r="A463" s="55" t="s">
        <v>936</v>
      </c>
      <c r="B463" s="56" t="s">
        <v>937</v>
      </c>
      <c r="C463" s="61" t="s">
        <v>752</v>
      </c>
      <c r="D463" s="209" t="str">
        <f t="shared" si="11"/>
        <v>AC 66 00 00:中毒时持续承受伤害降低 -2.4%[腿部]</v>
      </c>
    </row>
    <row r="464" spans="1:4">
      <c r="A464" s="55" t="s">
        <v>938</v>
      </c>
      <c r="B464" s="56" t="s">
        <v>939</v>
      </c>
      <c r="C464" s="61" t="s">
        <v>746</v>
      </c>
      <c r="D464" s="209" t="str">
        <f t="shared" si="11"/>
        <v>29 83 00 00:着火时持续承受伤害降低 -1.5%[头部/手臂/足部]</v>
      </c>
    </row>
    <row r="465" spans="1:4">
      <c r="A465" s="55" t="s">
        <v>940</v>
      </c>
      <c r="B465" s="56" t="s">
        <v>941</v>
      </c>
      <c r="C465" s="61" t="s">
        <v>749</v>
      </c>
      <c r="D465" s="209" t="str">
        <f t="shared" si="11"/>
        <v>42 6C 00 00:着火时持续承受伤害降低 -3.1%[身体]</v>
      </c>
    </row>
    <row r="466" spans="1:4">
      <c r="A466" s="55" t="s">
        <v>942</v>
      </c>
      <c r="B466" s="56" t="s">
        <v>943</v>
      </c>
      <c r="C466" s="61" t="s">
        <v>752</v>
      </c>
      <c r="D466" s="209" t="str">
        <f t="shared" si="11"/>
        <v>1D 65 00 00:着火时持续承受伤害降低 -2.4%[腿部]</v>
      </c>
    </row>
    <row r="467" spans="1:4">
      <c r="A467" s="55" t="s">
        <v>944</v>
      </c>
      <c r="B467" s="61" t="s">
        <v>945</v>
      </c>
      <c r="C467" s="61" t="s">
        <v>746</v>
      </c>
      <c r="D467" s="209" t="str">
        <f t="shared" si="11"/>
        <v>D0 41 00 00:(同名固定)获得金钱 +1.2%[头部/手臂/足部]</v>
      </c>
    </row>
    <row r="468" spans="1:4">
      <c r="A468" s="55" t="s">
        <v>946</v>
      </c>
      <c r="B468" s="61" t="s">
        <v>947</v>
      </c>
      <c r="C468" s="61" t="s">
        <v>749</v>
      </c>
      <c r="D468" s="209" t="str">
        <f t="shared" si="11"/>
        <v>12 D0 00 00:(同名固定)获得金钱 +2.4%[身体]</v>
      </c>
    </row>
    <row r="469" spans="1:4">
      <c r="A469" s="55" t="s">
        <v>948</v>
      </c>
      <c r="B469" s="61" t="s">
        <v>949</v>
      </c>
      <c r="C469" s="61" t="s">
        <v>752</v>
      </c>
      <c r="D469" s="209" t="str">
        <f t="shared" si="11"/>
        <v>2D 31 00 00:(同名固定)获得金钱 +1.8%[腿部]</v>
      </c>
    </row>
    <row r="470" spans="1:4">
      <c r="A470" s="55" t="s">
        <v>950</v>
      </c>
      <c r="B470" s="61" t="s">
        <v>214</v>
      </c>
      <c r="C470" s="61" t="s">
        <v>746</v>
      </c>
      <c r="D470" s="209" t="str">
        <f t="shared" si="11"/>
        <v>A7 FF 00 00:获得金钱 +1.2%[头部/手臂/足部]</v>
      </c>
    </row>
    <row r="471" spans="1:4">
      <c r="A471" s="55" t="s">
        <v>951</v>
      </c>
      <c r="B471" s="61" t="s">
        <v>952</v>
      </c>
      <c r="C471" s="61" t="s">
        <v>749</v>
      </c>
      <c r="D471" s="209" t="str">
        <f t="shared" si="11"/>
        <v>3B 50 00 00:获得金钱 +2.4%[身体]</v>
      </c>
    </row>
    <row r="472" spans="1:4">
      <c r="A472" s="55" t="s">
        <v>953</v>
      </c>
      <c r="B472" s="61" t="s">
        <v>954</v>
      </c>
      <c r="C472" s="61" t="s">
        <v>752</v>
      </c>
      <c r="D472" s="209" t="str">
        <f t="shared" si="11"/>
        <v>7D A2 00 00:获得金钱 +1.8%[腿部]</v>
      </c>
    </row>
    <row r="473" spans="1:4">
      <c r="A473" s="55" t="s">
        <v>955</v>
      </c>
      <c r="B473" s="205" t="s">
        <v>216</v>
      </c>
      <c r="C473" s="61" t="s">
        <v>746</v>
      </c>
      <c r="D473" s="209" t="str">
        <f t="shared" si="11"/>
        <v>FF EC 00 00:(星)获得金钱 +1.8%[头部/手臂/足部]</v>
      </c>
    </row>
    <row r="474" spans="1:4">
      <c r="A474" s="55" t="s">
        <v>956</v>
      </c>
      <c r="B474" s="56" t="s">
        <v>218</v>
      </c>
      <c r="C474" s="61" t="s">
        <v>746</v>
      </c>
      <c r="D474" s="209" t="str">
        <f t="shared" si="11"/>
        <v>34 C4 00 00:获得武功 +0.8%[头部/手臂/足部]</v>
      </c>
    </row>
    <row r="475" spans="1:4">
      <c r="A475" s="55" t="s">
        <v>957</v>
      </c>
      <c r="B475" s="61" t="s">
        <v>958</v>
      </c>
      <c r="C475" s="61" t="s">
        <v>749</v>
      </c>
      <c r="D475" s="209" t="str">
        <f t="shared" si="11"/>
        <v>4B 0F 00 00:获得武功 +1.6%[身体]</v>
      </c>
    </row>
    <row r="476" spans="1:4">
      <c r="A476" s="55" t="s">
        <v>959</v>
      </c>
      <c r="B476" s="56" t="s">
        <v>960</v>
      </c>
      <c r="C476" s="61" t="s">
        <v>752</v>
      </c>
      <c r="D476" s="209" t="str">
        <f t="shared" si="11"/>
        <v>57 DE 00 00:获得武功 +1.2%[腿部]</v>
      </c>
    </row>
    <row r="477" spans="1:4">
      <c r="A477" s="55" t="s">
        <v>961</v>
      </c>
      <c r="B477" s="56" t="s">
        <v>220</v>
      </c>
      <c r="C477" s="61" t="s">
        <v>746</v>
      </c>
      <c r="D477" s="209" t="str">
        <f t="shared" si="11"/>
        <v>0E 7F 00 00:打倒敌人时赋予幸运增加(11)[头部/手臂/足部]</v>
      </c>
    </row>
    <row r="478" spans="1:4">
      <c r="A478" s="55" t="s">
        <v>962</v>
      </c>
      <c r="B478" s="56" t="s">
        <v>963</v>
      </c>
      <c r="C478" s="61" t="s">
        <v>749</v>
      </c>
      <c r="D478" s="209" t="str">
        <f t="shared" si="11"/>
        <v>4E 2C 00 00:打倒敌人时赋予幸运增加(21)[身体]</v>
      </c>
    </row>
    <row r="479" spans="1:4">
      <c r="A479" s="55" t="s">
        <v>964</v>
      </c>
      <c r="B479" s="56" t="s">
        <v>965</v>
      </c>
      <c r="C479" s="61" t="s">
        <v>752</v>
      </c>
      <c r="D479" s="209" t="str">
        <f t="shared" si="11"/>
        <v>40 F9 00 00:打倒敌人时赋予幸运增加(16)[腿部]</v>
      </c>
    </row>
    <row r="480" spans="1:4">
      <c r="A480" s="55" t="s">
        <v>966</v>
      </c>
      <c r="B480" s="56" t="s">
        <v>967</v>
      </c>
      <c r="C480" s="61" t="s">
        <v>746</v>
      </c>
      <c r="D480" s="209" t="str">
        <f t="shared" si="11"/>
        <v>AC 89 00 00:幸运(绝境) +4[头部/手臂/足部]</v>
      </c>
    </row>
    <row r="481" spans="1:4">
      <c r="A481" s="55" t="s">
        <v>968</v>
      </c>
      <c r="B481" s="56" t="s">
        <v>969</v>
      </c>
      <c r="C481" s="61" t="s">
        <v>749</v>
      </c>
      <c r="D481" s="209" t="str">
        <f t="shared" si="11"/>
        <v>B4 DD 00 00:幸运(绝境) +8[身体]</v>
      </c>
    </row>
    <row r="482" spans="1:4">
      <c r="A482" s="55" t="s">
        <v>970</v>
      </c>
      <c r="B482" s="56" t="s">
        <v>971</v>
      </c>
      <c r="C482" s="61" t="s">
        <v>752</v>
      </c>
      <c r="D482" s="209" t="str">
        <f t="shared" si="11"/>
        <v>83 AD 00 00:幸运(绝境) +6[腿部]</v>
      </c>
    </row>
    <row r="483" spans="1:4">
      <c r="A483" s="55" t="s">
        <v>972</v>
      </c>
      <c r="B483" s="56" t="s">
        <v>590</v>
      </c>
      <c r="C483" s="61" t="s">
        <v>746</v>
      </c>
      <c r="D483" s="209" t="str">
        <f t="shared" si="11"/>
        <v>82 9A 00 00:幸运(地狱) +2[头部/手臂/足部]</v>
      </c>
    </row>
    <row r="484" spans="1:4">
      <c r="A484" s="55" t="s">
        <v>973</v>
      </c>
      <c r="B484" s="61" t="s">
        <v>974</v>
      </c>
      <c r="C484" s="61" t="s">
        <v>749</v>
      </c>
      <c r="D484" s="209" t="str">
        <f t="shared" si="11"/>
        <v>C6 83 00 00:幸运(地狱) +5[身体]</v>
      </c>
    </row>
    <row r="485" spans="1:4">
      <c r="A485" s="55" t="s">
        <v>975</v>
      </c>
      <c r="B485" s="56" t="s">
        <v>976</v>
      </c>
      <c r="C485" s="61" t="s">
        <v>752</v>
      </c>
      <c r="D485" s="209" t="str">
        <f t="shared" si="11"/>
        <v>C3 A5 00 00:幸运(地狱) +4[腿部]</v>
      </c>
    </row>
    <row r="486" spans="1:4">
      <c r="A486" s="55" t="s">
        <v>977</v>
      </c>
      <c r="B486" s="56" t="s">
        <v>226</v>
      </c>
      <c r="C486" s="61" t="s">
        <v>746</v>
      </c>
      <c r="D486" s="209" t="str">
        <f t="shared" si="11"/>
        <v>F3 1B 00 00:吸收精华后赋予幸运增加(9)[头部/手臂/足部]</v>
      </c>
    </row>
    <row r="487" spans="1:4">
      <c r="A487" s="55" t="s">
        <v>978</v>
      </c>
      <c r="B487" s="56" t="s">
        <v>979</v>
      </c>
      <c r="C487" s="61" t="s">
        <v>749</v>
      </c>
      <c r="D487" s="209" t="str">
        <f t="shared" si="11"/>
        <v>71 14 00 00:吸收精华后赋予幸运增加(18)[身体]</v>
      </c>
    </row>
    <row r="488" spans="1:4">
      <c r="A488" s="55" t="s">
        <v>980</v>
      </c>
      <c r="B488" s="56" t="s">
        <v>981</v>
      </c>
      <c r="C488" s="61" t="s">
        <v>752</v>
      </c>
      <c r="D488" s="209" t="str">
        <f t="shared" si="11"/>
        <v>20 D8 00 00:吸收精华后赋予幸运增加(13)[腿部]</v>
      </c>
    </row>
    <row r="489" spans="1:4">
      <c r="A489" s="55" t="s">
        <v>982</v>
      </c>
      <c r="B489" s="199" t="s">
        <v>228</v>
      </c>
      <c r="C489" s="61" t="s">
        <v>746</v>
      </c>
      <c r="D489" s="209" t="str">
        <f t="shared" si="11"/>
        <v>4B D8 00 00:幸运反映(精华槽) D+[头部/手臂/足部]</v>
      </c>
    </row>
    <row r="490" spans="1:4">
      <c r="A490" s="55" t="s">
        <v>983</v>
      </c>
      <c r="B490" s="199" t="s">
        <v>228</v>
      </c>
      <c r="C490" s="61" t="s">
        <v>749</v>
      </c>
      <c r="D490" s="209" t="str">
        <f t="shared" si="11"/>
        <v>BF 4F 00 00:幸运反映(精华槽) D+[身体]</v>
      </c>
    </row>
    <row r="491" spans="1:4">
      <c r="A491" s="55" t="s">
        <v>984</v>
      </c>
      <c r="B491" s="199" t="s">
        <v>228</v>
      </c>
      <c r="C491" s="61" t="s">
        <v>752</v>
      </c>
      <c r="D491" s="209" t="str">
        <f t="shared" si="11"/>
        <v>0B C6 00 00:幸运反映(精华槽) D+[腿部]</v>
      </c>
    </row>
    <row r="492" spans="1:4">
      <c r="A492" s="55" t="s">
        <v>985</v>
      </c>
      <c r="B492" s="205" t="s">
        <v>230</v>
      </c>
      <c r="C492" s="61" t="s">
        <v>746</v>
      </c>
      <c r="D492" s="209" t="str">
        <f t="shared" si="11"/>
        <v>E7 41 00 00:强攻击获得精华 9[头部/手臂/足部]</v>
      </c>
    </row>
    <row r="493" spans="1:4">
      <c r="A493" s="55" t="s">
        <v>986</v>
      </c>
      <c r="B493" s="205" t="s">
        <v>987</v>
      </c>
      <c r="C493" s="61" t="s">
        <v>749</v>
      </c>
      <c r="D493" s="209" t="str">
        <f t="shared" si="11"/>
        <v>A1 BA 00 00:强攻击获得精华 18[身体]</v>
      </c>
    </row>
    <row r="494" spans="1:4">
      <c r="A494" s="55" t="s">
        <v>988</v>
      </c>
      <c r="B494" s="205" t="s">
        <v>989</v>
      </c>
      <c r="C494" s="61" t="s">
        <v>752</v>
      </c>
      <c r="D494" s="209" t="str">
        <f t="shared" si="11"/>
        <v>C7 A9 00 00:强攻击获得精华 13[腿部]</v>
      </c>
    </row>
    <row r="495" spans="1:4">
      <c r="A495" s="55" t="s">
        <v>990</v>
      </c>
      <c r="B495" s="61" t="s">
        <v>991</v>
      </c>
      <c r="C495" s="61" t="s">
        <v>746</v>
      </c>
      <c r="D495" s="209" t="str">
        <f t="shared" si="11"/>
        <v>A7 D9 00 00:(同名固定)获得精华 +0.8%[头部/手臂/足部]</v>
      </c>
    </row>
    <row r="496" spans="1:4">
      <c r="A496" s="55" t="s">
        <v>992</v>
      </c>
      <c r="B496" s="61" t="s">
        <v>993</v>
      </c>
      <c r="C496" s="61" t="s">
        <v>749</v>
      </c>
      <c r="D496" s="209" t="str">
        <f t="shared" si="11"/>
        <v>91 31 00 00:(同名固定)获得精华 +1.6%[身体]</v>
      </c>
    </row>
    <row r="497" spans="1:4">
      <c r="A497" s="55" t="s">
        <v>994</v>
      </c>
      <c r="B497" s="61" t="s">
        <v>995</v>
      </c>
      <c r="C497" s="61" t="s">
        <v>752</v>
      </c>
      <c r="D497" s="209" t="str">
        <f t="shared" si="11"/>
        <v>20 A9 00 00:(同名固定)获得精华 +1.2%[腿部]</v>
      </c>
    </row>
    <row r="498" spans="1:4">
      <c r="A498" s="55" t="s">
        <v>996</v>
      </c>
      <c r="B498" s="56" t="s">
        <v>232</v>
      </c>
      <c r="C498" s="61" t="s">
        <v>746</v>
      </c>
      <c r="D498" s="209" t="str">
        <f t="shared" si="11"/>
        <v>DE 95 00 00:获得精华 +0.8%[头部/手臂/足部]</v>
      </c>
    </row>
    <row r="499" spans="1:4">
      <c r="A499" s="55" t="s">
        <v>997</v>
      </c>
      <c r="B499" s="61" t="s">
        <v>998</v>
      </c>
      <c r="C499" s="61" t="s">
        <v>749</v>
      </c>
      <c r="D499" s="209" t="str">
        <f t="shared" si="11"/>
        <v>D1 56 00 00:获得精华 +1.6%[身体]</v>
      </c>
    </row>
    <row r="500" spans="1:4">
      <c r="A500" s="55" t="s">
        <v>999</v>
      </c>
      <c r="B500" s="56" t="s">
        <v>1000</v>
      </c>
      <c r="C500" s="61" t="s">
        <v>752</v>
      </c>
      <c r="D500" s="209" t="str">
        <f t="shared" si="11"/>
        <v>B5 22 00 00:获得精华 +1.2%[腿部]</v>
      </c>
    </row>
    <row r="501" spans="1:4">
      <c r="A501" s="55" t="s">
        <v>1001</v>
      </c>
      <c r="B501" s="205" t="s">
        <v>1002</v>
      </c>
      <c r="C501" s="61" t="s">
        <v>749</v>
      </c>
      <c r="D501" s="209" t="str">
        <f t="shared" si="11"/>
        <v>45 7D 00 00:(星)获得精华 +2.4%[身体]</v>
      </c>
    </row>
    <row r="502" spans="1:4">
      <c r="A502" s="55" t="s">
        <v>1003</v>
      </c>
      <c r="B502" s="61" t="s">
        <v>236</v>
      </c>
      <c r="C502" s="61" t="s">
        <v>746</v>
      </c>
      <c r="D502" s="209" t="str">
        <f t="shared" si="11"/>
        <v>74 CC 00 00:获得精华(地狱) +1.1%[头部/手臂/足部]</v>
      </c>
    </row>
    <row r="503" spans="1:4">
      <c r="A503" s="55" t="s">
        <v>1004</v>
      </c>
      <c r="B503" s="61" t="s">
        <v>1005</v>
      </c>
      <c r="C503" s="61" t="s">
        <v>749</v>
      </c>
      <c r="D503" s="209" t="str">
        <f t="shared" si="11"/>
        <v>BA FC 00 00:获得精华(地狱) +2.1%[身体]</v>
      </c>
    </row>
    <row r="504" spans="1:4">
      <c r="A504" s="55" t="s">
        <v>1006</v>
      </c>
      <c r="B504" s="61" t="s">
        <v>1007</v>
      </c>
      <c r="C504" s="61" t="s">
        <v>752</v>
      </c>
      <c r="D504" s="209" t="str">
        <f t="shared" si="11"/>
        <v>59 D4 00 00:获得精华(地狱) +1.5%[腿部]</v>
      </c>
    </row>
    <row r="505" spans="1:4">
      <c r="A505" s="55" t="s">
        <v>1008</v>
      </c>
      <c r="B505" s="61" t="s">
        <v>238</v>
      </c>
      <c r="C505" s="61" t="s">
        <v>746</v>
      </c>
      <c r="D505" s="209" t="str">
        <f t="shared" si="11"/>
        <v>DD 17 00 00:道具掉落率 +4.0%[头部/手臂/足部]</v>
      </c>
    </row>
    <row r="506" spans="1:4">
      <c r="A506" s="55" t="s">
        <v>1009</v>
      </c>
      <c r="B506" s="61" t="s">
        <v>1010</v>
      </c>
      <c r="C506" s="61" t="s">
        <v>749</v>
      </c>
      <c r="D506" s="209" t="str">
        <f t="shared" si="11"/>
        <v>1F 21 00 00:道具掉落率 +8.0%[身体]</v>
      </c>
    </row>
    <row r="507" spans="1:4">
      <c r="A507" s="55" t="s">
        <v>1011</v>
      </c>
      <c r="B507" s="61" t="s">
        <v>1012</v>
      </c>
      <c r="C507" s="61" t="s">
        <v>752</v>
      </c>
      <c r="D507" s="209" t="str">
        <f t="shared" si="11"/>
        <v>A7 91 00 00:道具掉落率 +6.0%[腿部]</v>
      </c>
    </row>
    <row r="508" spans="1:4">
      <c r="A508" s="55" t="s">
        <v>1013</v>
      </c>
      <c r="B508" s="205" t="s">
        <v>240</v>
      </c>
      <c r="C508" s="61" t="s">
        <v>746</v>
      </c>
      <c r="D508" s="209" t="str">
        <f t="shared" si="11"/>
        <v>16 78 00 00:(星)道具掉落率 +6.0%[头部/手臂/足部]</v>
      </c>
    </row>
    <row r="509" spans="1:4">
      <c r="A509" s="55" t="s">
        <v>1014</v>
      </c>
      <c r="B509" s="61" t="s">
        <v>1015</v>
      </c>
      <c r="C509" s="61" t="s">
        <v>746</v>
      </c>
      <c r="D509" s="209" t="str">
        <f t="shared" si="11"/>
        <v>97 4D 00 00:(同名固定)装备品掉落率 +0.8%[头部/手臂/足部]</v>
      </c>
    </row>
    <row r="510" spans="1:4">
      <c r="A510" s="55" t="s">
        <v>1016</v>
      </c>
      <c r="B510" s="61" t="s">
        <v>1017</v>
      </c>
      <c r="C510" s="61" t="s">
        <v>749</v>
      </c>
      <c r="D510" s="209" t="str">
        <f t="shared" si="11"/>
        <v>20 A8 00 00:(同名固定)装备品掉落率 +1.6%[身体]</v>
      </c>
    </row>
    <row r="511" spans="1:4">
      <c r="A511" s="55" t="s">
        <v>1018</v>
      </c>
      <c r="B511" s="61" t="s">
        <v>1019</v>
      </c>
      <c r="C511" s="61" t="s">
        <v>752</v>
      </c>
      <c r="D511" s="209" t="str">
        <f t="shared" si="11"/>
        <v>76 59 00 00:(同名固定)装备品掉落率 +1.2%[腿部]</v>
      </c>
    </row>
    <row r="512" spans="1:4">
      <c r="A512" s="55" t="s">
        <v>1020</v>
      </c>
      <c r="B512" s="56" t="s">
        <v>242</v>
      </c>
      <c r="C512" s="61" t="s">
        <v>746</v>
      </c>
      <c r="D512" s="209" t="str">
        <f t="shared" si="11"/>
        <v>F5 8D 00 00:装备品掉落率 +4.0%[头部/手臂/足部]</v>
      </c>
    </row>
    <row r="513" spans="1:4">
      <c r="A513" s="55" t="s">
        <v>1021</v>
      </c>
      <c r="B513" s="61" t="s">
        <v>1022</v>
      </c>
      <c r="C513" s="61" t="s">
        <v>749</v>
      </c>
      <c r="D513" s="209" t="str">
        <f t="shared" si="11"/>
        <v>78 E7 00 00:装备品掉落率 +8.0%[身体]</v>
      </c>
    </row>
    <row r="514" spans="1:4">
      <c r="A514" s="55" t="s">
        <v>1023</v>
      </c>
      <c r="B514" s="56" t="s">
        <v>1024</v>
      </c>
      <c r="C514" s="61" t="s">
        <v>752</v>
      </c>
      <c r="D514" s="209" t="str">
        <f t="shared" si="11"/>
        <v>ED 32 00 00:装备品掉落率 +6.0%[腿部]</v>
      </c>
    </row>
    <row r="515" spans="1:4">
      <c r="A515" s="55" t="s">
        <v>1025</v>
      </c>
      <c r="B515" s="205" t="s">
        <v>244</v>
      </c>
      <c r="C515" s="61" t="s">
        <v>746</v>
      </c>
      <c r="D515" s="209" t="str">
        <f t="shared" si="11"/>
        <v>1F 00 00 00:(星)装备品掉落率 +6.0%[头部/手臂/足部]</v>
      </c>
    </row>
    <row r="516" spans="1:4">
      <c r="A516" s="55" t="s">
        <v>1026</v>
      </c>
      <c r="B516" s="56" t="s">
        <v>246</v>
      </c>
      <c r="C516" s="61" t="s">
        <v>746</v>
      </c>
      <c r="D516" s="209" t="str">
        <f t="shared" si="11"/>
        <v>25 C9 00 00:魂核掉落率 +4.0%[头部/手臂/足部]</v>
      </c>
    </row>
    <row r="517" spans="1:4">
      <c r="A517" s="55" t="s">
        <v>1027</v>
      </c>
      <c r="B517" s="61" t="s">
        <v>1028</v>
      </c>
      <c r="C517" s="61" t="s">
        <v>749</v>
      </c>
      <c r="D517" s="209" t="str">
        <f t="shared" si="11"/>
        <v>FB FB 00 00:魂核掉落率 +8.0%[身体]</v>
      </c>
    </row>
    <row r="518" spans="1:4">
      <c r="A518" s="55" t="s">
        <v>1029</v>
      </c>
      <c r="B518" s="56" t="s">
        <v>1030</v>
      </c>
      <c r="C518" s="61" t="s">
        <v>752</v>
      </c>
      <c r="D518" s="209" t="str">
        <f t="shared" si="11"/>
        <v>97 E9 00 00:魂核掉落率 +6.0%[腿部]</v>
      </c>
    </row>
    <row r="519" spans="1:4">
      <c r="A519" s="55" t="s">
        <v>1031</v>
      </c>
      <c r="B519" s="56" t="s">
        <v>256</v>
      </c>
      <c r="C519" s="61" t="s">
        <v>746</v>
      </c>
      <c r="D519" s="209" t="str">
        <f t="shared" si="11"/>
        <v>9F BD 00 00:幸运 +2[头部/手臂/足部]</v>
      </c>
    </row>
    <row r="520" spans="1:4">
      <c r="A520" s="55" t="s">
        <v>1032</v>
      </c>
      <c r="B520" s="61" t="s">
        <v>1033</v>
      </c>
      <c r="C520" s="61" t="s">
        <v>749</v>
      </c>
      <c r="D520" s="209" t="str">
        <f t="shared" si="11"/>
        <v>6B B5 00 00:幸运 +4[身体]</v>
      </c>
    </row>
    <row r="521" spans="1:4">
      <c r="A521" s="55" t="s">
        <v>1034</v>
      </c>
      <c r="B521" s="56" t="s">
        <v>1035</v>
      </c>
      <c r="C521" s="61" t="s">
        <v>752</v>
      </c>
      <c r="D521" s="209" t="str">
        <f t="shared" si="11"/>
        <v>D0 54 00 00:幸运 +3[腿部]</v>
      </c>
    </row>
    <row r="522" spans="1:4">
      <c r="A522" s="55" t="s">
        <v>1036</v>
      </c>
      <c r="B522" s="61" t="s">
        <v>1037</v>
      </c>
      <c r="C522" s="61" t="s">
        <v>723</v>
      </c>
      <c r="D522" s="209" t="str">
        <f t="shared" ref="D522:D585" si="12">LEFT(A522,11)&amp;":"&amp;B522&amp;C522</f>
        <v>2D 60 00 00:(同名固定)幸运 +8[头部]</v>
      </c>
    </row>
    <row r="523" spans="1:4">
      <c r="A523" s="55" t="s">
        <v>1038</v>
      </c>
      <c r="B523" s="205" t="s">
        <v>258</v>
      </c>
      <c r="C523" s="61" t="s">
        <v>746</v>
      </c>
      <c r="D523" s="209" t="str">
        <f t="shared" si="12"/>
        <v>2F 2C 00 00:(星)幸运 +12[头部/手臂/足部]</v>
      </c>
    </row>
    <row r="524" spans="1:4">
      <c r="A524" s="55" t="s">
        <v>1039</v>
      </c>
      <c r="B524" s="205" t="s">
        <v>1040</v>
      </c>
      <c r="C524" s="61" t="s">
        <v>752</v>
      </c>
      <c r="D524" s="209" t="str">
        <f t="shared" si="12"/>
        <v>82 E9 00 00:(星)幸运 +18[腿部]</v>
      </c>
    </row>
    <row r="525" spans="1:4">
      <c r="A525" s="55" t="s">
        <v>1041</v>
      </c>
      <c r="B525" s="61" t="s">
        <v>1042</v>
      </c>
      <c r="C525" s="61" t="s">
        <v>723</v>
      </c>
      <c r="D525" s="209" t="str">
        <f t="shared" si="12"/>
        <v>0A 45 00 00:(同名固定)感应敌人[头部]</v>
      </c>
    </row>
    <row r="526" spans="1:4">
      <c r="A526" s="55" t="s">
        <v>1043</v>
      </c>
      <c r="B526" s="61" t="s">
        <v>1044</v>
      </c>
      <c r="C526" s="61" t="s">
        <v>723</v>
      </c>
      <c r="D526" s="209" t="str">
        <f t="shared" si="12"/>
        <v>A4 A6 00 00:(同名固定)感应宝物[头部]</v>
      </c>
    </row>
    <row r="527" spans="1:4">
      <c r="A527" s="55" t="s">
        <v>1045</v>
      </c>
      <c r="B527" s="61" t="s">
        <v>1046</v>
      </c>
      <c r="C527" s="61" t="s">
        <v>723</v>
      </c>
      <c r="D527" s="209" t="str">
        <f t="shared" si="12"/>
        <v>04 71 00 00:(同名固定)感应木灵[头部]</v>
      </c>
    </row>
    <row r="528" spans="1:4">
      <c r="A528" s="55" t="s">
        <v>1047</v>
      </c>
      <c r="B528" s="56" t="s">
        <v>1048</v>
      </c>
      <c r="C528" s="61" t="s">
        <v>746</v>
      </c>
      <c r="D528" s="209" t="str">
        <f t="shared" si="12"/>
        <v>D3 50 00 00:背后攻击灵力增加量 +1.7%[头部/手臂/足部]</v>
      </c>
    </row>
    <row r="529" spans="1:4">
      <c r="A529" s="55" t="s">
        <v>1049</v>
      </c>
      <c r="B529" s="199" t="s">
        <v>1050</v>
      </c>
      <c r="C529" s="61" t="s">
        <v>746</v>
      </c>
      <c r="D529" s="209" t="str">
        <f t="shared" si="12"/>
        <v>33 E7 00 00:造成火属性伤害时增加灵力 D+[头部/手臂/足部]</v>
      </c>
    </row>
    <row r="530" spans="1:4">
      <c r="A530" s="55" t="s">
        <v>1051</v>
      </c>
      <c r="B530" s="199" t="s">
        <v>1052</v>
      </c>
      <c r="C530" s="61" t="s">
        <v>746</v>
      </c>
      <c r="D530" s="209" t="str">
        <f t="shared" si="12"/>
        <v>2E 16 00 00:造成水属性伤害时增加灵力 D+[头部/手臂/足部]</v>
      </c>
    </row>
    <row r="531" spans="1:4">
      <c r="A531" s="55" t="s">
        <v>1053</v>
      </c>
      <c r="B531" s="199" t="s">
        <v>1054</v>
      </c>
      <c r="C531" s="61" t="s">
        <v>746</v>
      </c>
      <c r="D531" s="209" t="str">
        <f t="shared" si="12"/>
        <v>46 2A 00 00:造成雷属性伤害时增加灵力 D+[头部/手臂/足部]</v>
      </c>
    </row>
    <row r="532" spans="1:4">
      <c r="A532" s="55" t="s">
        <v>1055</v>
      </c>
      <c r="B532" s="199" t="s">
        <v>1056</v>
      </c>
      <c r="C532" s="61" t="s">
        <v>746</v>
      </c>
      <c r="D532" s="209" t="str">
        <f t="shared" si="12"/>
        <v>A6 0A 00 00:造成风属性伤害时增加灵力 D+[头部/手臂/足部]</v>
      </c>
    </row>
    <row r="533" spans="1:4">
      <c r="A533" s="55" t="s">
        <v>1057</v>
      </c>
      <c r="B533" s="61" t="s">
        <v>1058</v>
      </c>
      <c r="C533" s="61" t="s">
        <v>746</v>
      </c>
      <c r="D533" s="209" t="str">
        <f t="shared" si="12"/>
        <v>E1 E6 00 00:使敌人陷入火状态时增加灵力 D+[头部/手臂/足部]</v>
      </c>
    </row>
    <row r="534" spans="1:4">
      <c r="A534" s="55" t="s">
        <v>1059</v>
      </c>
      <c r="B534" s="61" t="s">
        <v>1060</v>
      </c>
      <c r="C534" s="61" t="s">
        <v>746</v>
      </c>
      <c r="D534" s="209" t="str">
        <f t="shared" si="12"/>
        <v>B4 8A 00 00:使敌人陷入水状态时增加灵力 D+[头部/手臂/足部]</v>
      </c>
    </row>
    <row r="535" spans="1:4">
      <c r="A535" s="55" t="s">
        <v>1061</v>
      </c>
      <c r="B535" s="61" t="s">
        <v>1062</v>
      </c>
      <c r="C535" s="61" t="s">
        <v>746</v>
      </c>
      <c r="D535" s="209" t="str">
        <f t="shared" si="12"/>
        <v>DB F3 00 00:使敌人陷入雷状态时增加灵力 D+[头部/手臂/足部]</v>
      </c>
    </row>
    <row r="536" spans="1:4">
      <c r="A536" s="55" t="s">
        <v>1063</v>
      </c>
      <c r="B536" s="61" t="s">
        <v>1064</v>
      </c>
      <c r="C536" s="61" t="s">
        <v>746</v>
      </c>
      <c r="D536" s="209" t="str">
        <f t="shared" si="12"/>
        <v>48 3E 00 00:使敌人陷入风状态时增加灵力 D+[头部/手臂/足部]</v>
      </c>
    </row>
    <row r="537" spans="1:4">
      <c r="A537" s="55" t="s">
        <v>1065</v>
      </c>
      <c r="B537" s="61" t="s">
        <v>1066</v>
      </c>
      <c r="C537" s="61" t="s">
        <v>746</v>
      </c>
      <c r="D537" s="209" t="str">
        <f t="shared" si="12"/>
        <v>D1 80 00 00:使敌人陷入毒状态时增加灵力 D+[头部/手臂/足部]</v>
      </c>
    </row>
    <row r="538" spans="1:4">
      <c r="A538" s="55" t="s">
        <v>1067</v>
      </c>
      <c r="B538" s="61" t="s">
        <v>1068</v>
      </c>
      <c r="C538" s="61" t="s">
        <v>746</v>
      </c>
      <c r="D538" s="209" t="str">
        <f t="shared" si="12"/>
        <v>6F 3A 00 00:使敌人陷入麻痹状态时增加灵力 D+[头部/手臂/足部]</v>
      </c>
    </row>
    <row r="539" spans="1:4">
      <c r="A539" s="55" t="s">
        <v>1069</v>
      </c>
      <c r="B539" s="56" t="s">
        <v>1070</v>
      </c>
      <c r="C539" s="61" t="s">
        <v>746</v>
      </c>
      <c r="D539" s="209" t="str">
        <f t="shared" si="12"/>
        <v>13 82 00 00:使敌人陷入异常状态时增加灵力 D+[头部/手臂/足部]</v>
      </c>
    </row>
    <row r="540" spans="1:4">
      <c r="A540" s="55" t="s">
        <v>1071</v>
      </c>
      <c r="B540" s="61" t="s">
        <v>1072</v>
      </c>
      <c r="C540" s="61" t="s">
        <v>723</v>
      </c>
      <c r="D540" s="209" t="str">
        <f t="shared" si="12"/>
        <v>25 3E 00 00:(同名固定)强攻击灵力增加量 +1.5%[头部]</v>
      </c>
    </row>
    <row r="541" spans="1:4">
      <c r="A541" s="55" t="s">
        <v>1073</v>
      </c>
      <c r="B541" s="61" t="s">
        <v>1074</v>
      </c>
      <c r="C541" s="61" t="s">
        <v>746</v>
      </c>
      <c r="D541" s="209" t="str">
        <f t="shared" si="12"/>
        <v>56 7E 00 00:灵力 +2.0[头部/手臂/足部]</v>
      </c>
    </row>
    <row r="542" spans="1:4">
      <c r="A542" s="55" t="s">
        <v>1075</v>
      </c>
      <c r="B542" s="61" t="s">
        <v>1074</v>
      </c>
      <c r="C542" s="61" t="s">
        <v>749</v>
      </c>
      <c r="D542" s="209" t="str">
        <f t="shared" si="12"/>
        <v>B0 ED 00 00:灵力 +2.0[身体]</v>
      </c>
    </row>
    <row r="543" spans="1:4">
      <c r="A543" s="55" t="s">
        <v>1076</v>
      </c>
      <c r="B543" s="61" t="s">
        <v>296</v>
      </c>
      <c r="C543" s="61" t="s">
        <v>752</v>
      </c>
      <c r="D543" s="209" t="str">
        <f t="shared" si="12"/>
        <v>5D CC 00 00:灵力 +1.0[腿部]</v>
      </c>
    </row>
    <row r="544" spans="1:4">
      <c r="A544" s="55" t="s">
        <v>1077</v>
      </c>
      <c r="B544" s="205" t="s">
        <v>1078</v>
      </c>
      <c r="C544" s="61" t="s">
        <v>746</v>
      </c>
      <c r="D544" s="209" t="str">
        <f t="shared" si="12"/>
        <v>5A 37 00 00:(星)灵力 +6.0[头部/手臂/足部]</v>
      </c>
    </row>
    <row r="545" spans="1:4">
      <c r="A545" s="55" t="s">
        <v>1079</v>
      </c>
      <c r="B545" s="205" t="s">
        <v>1080</v>
      </c>
      <c r="C545" s="61" t="s">
        <v>749</v>
      </c>
      <c r="D545" s="209" t="str">
        <f t="shared" si="12"/>
        <v>E8 33 00 00:(星)灵力 +5.0[身体]</v>
      </c>
    </row>
    <row r="546" spans="1:4">
      <c r="A546" s="55" t="s">
        <v>1081</v>
      </c>
      <c r="B546" s="56" t="s">
        <v>304</v>
      </c>
      <c r="C546" s="61" t="s">
        <v>746</v>
      </c>
      <c r="D546" s="209" t="str">
        <f t="shared" si="12"/>
        <v>10 66 00 00:获得精华增加灵力 C[头部/手臂/足部]</v>
      </c>
    </row>
    <row r="547" spans="1:4">
      <c r="A547" s="55" t="s">
        <v>1082</v>
      </c>
      <c r="B547" s="56" t="s">
        <v>304</v>
      </c>
      <c r="C547" s="61" t="s">
        <v>749</v>
      </c>
      <c r="D547" s="209" t="str">
        <f t="shared" si="12"/>
        <v>88 BE 00 00:获得精华增加灵力 C[身体]</v>
      </c>
    </row>
    <row r="548" spans="1:4">
      <c r="A548" s="55" t="s">
        <v>1083</v>
      </c>
      <c r="B548" s="56" t="s">
        <v>304</v>
      </c>
      <c r="C548" s="61" t="s">
        <v>752</v>
      </c>
      <c r="D548" s="209" t="str">
        <f t="shared" si="12"/>
        <v>5E 8B 00 00:获得精华增加灵力 C[腿部]</v>
      </c>
    </row>
    <row r="549" spans="1:4">
      <c r="A549" s="55" t="s">
        <v>1084</v>
      </c>
      <c r="B549" s="205" t="s">
        <v>306</v>
      </c>
      <c r="C549" s="61" t="s">
        <v>749</v>
      </c>
      <c r="D549" s="209" t="str">
        <f t="shared" si="12"/>
        <v>85 06 00 00:(星)获得精华增加灵力 B[身体]</v>
      </c>
    </row>
    <row r="550" spans="1:4">
      <c r="A550" s="55" t="s">
        <v>1085</v>
      </c>
      <c r="B550" s="61" t="s">
        <v>310</v>
      </c>
      <c r="C550" s="61" t="s">
        <v>746</v>
      </c>
      <c r="D550" s="209" t="str">
        <f t="shared" si="12"/>
        <v>59 82 00 00:获得精华增加灵力(绝境) B-[头部/手臂/足部]</v>
      </c>
    </row>
    <row r="551" spans="1:4">
      <c r="A551" s="55" t="s">
        <v>1086</v>
      </c>
      <c r="B551" s="61" t="s">
        <v>310</v>
      </c>
      <c r="C551" s="61" t="s">
        <v>749</v>
      </c>
      <c r="D551" s="209" t="str">
        <f t="shared" si="12"/>
        <v>7F 48 00 00:获得精华增加灵力(绝境) B-[身体]</v>
      </c>
    </row>
    <row r="552" spans="1:4">
      <c r="A552" s="55" t="s">
        <v>1087</v>
      </c>
      <c r="B552" s="61" t="s">
        <v>310</v>
      </c>
      <c r="C552" s="61" t="s">
        <v>752</v>
      </c>
      <c r="D552" s="209" t="str">
        <f t="shared" si="12"/>
        <v>04 3F 00 00:获得精华增加灵力(绝境) B-[腿部]</v>
      </c>
    </row>
    <row r="553" spans="1:4">
      <c r="A553" s="55" t="s">
        <v>1088</v>
      </c>
      <c r="B553" s="61" t="s">
        <v>312</v>
      </c>
      <c r="C553" s="61" t="s">
        <v>746</v>
      </c>
      <c r="D553" s="209" t="str">
        <f t="shared" si="12"/>
        <v>8B 4E 00 00:获得精华增加灵力(无伤) C+[头部/手臂/足部]</v>
      </c>
    </row>
    <row r="554" spans="1:4">
      <c r="A554" s="55" t="s">
        <v>1089</v>
      </c>
      <c r="B554" s="61" t="s">
        <v>312</v>
      </c>
      <c r="C554" s="61" t="s">
        <v>749</v>
      </c>
      <c r="D554" s="209" t="str">
        <f t="shared" si="12"/>
        <v>55 C5 00 00:获得精华增加灵力(无伤) C+[身体]</v>
      </c>
    </row>
    <row r="555" spans="1:4">
      <c r="A555" s="55" t="s">
        <v>1090</v>
      </c>
      <c r="B555" s="61" t="s">
        <v>312</v>
      </c>
      <c r="C555" s="61" t="s">
        <v>752</v>
      </c>
      <c r="D555" s="209" t="str">
        <f t="shared" si="12"/>
        <v>C2 3E 00 00:获得精华增加灵力(无伤) C+[腿部]</v>
      </c>
    </row>
    <row r="556" spans="1:4">
      <c r="A556" s="55" t="s">
        <v>1091</v>
      </c>
      <c r="B556" s="56" t="s">
        <v>314</v>
      </c>
      <c r="C556" s="61" t="s">
        <v>714</v>
      </c>
      <c r="D556" s="209" t="str">
        <f t="shared" si="12"/>
        <v>0C 86 00 00:攻击处于麻痹状态的敌人增加灵力 AAA+[手臂]</v>
      </c>
    </row>
    <row r="557" spans="1:4">
      <c r="A557" s="55" t="s">
        <v>1092</v>
      </c>
      <c r="B557" s="56" t="s">
        <v>316</v>
      </c>
      <c r="C557" s="61" t="s">
        <v>714</v>
      </c>
      <c r="D557" s="209" t="str">
        <f t="shared" si="12"/>
        <v>C0 77 00 00:攻击处于毒状态的敌人增加灵力 C+[手臂]</v>
      </c>
    </row>
    <row r="558" spans="1:4">
      <c r="A558" s="55" t="s">
        <v>1093</v>
      </c>
      <c r="B558" s="56" t="s">
        <v>318</v>
      </c>
      <c r="C558" s="61" t="s">
        <v>714</v>
      </c>
      <c r="D558" s="209" t="str">
        <f t="shared" si="12"/>
        <v>FB 81 00 00:攻击处于火状态的敌人增加灵力 C+[手臂]</v>
      </c>
    </row>
    <row r="559" spans="1:4">
      <c r="A559" s="55" t="s">
        <v>1094</v>
      </c>
      <c r="B559" s="56" t="s">
        <v>320</v>
      </c>
      <c r="C559" s="61" t="s">
        <v>714</v>
      </c>
      <c r="D559" s="209" t="str">
        <f t="shared" si="12"/>
        <v>93 B5 00 00:攻击处于水状态的敌人增加灵力 C+[手臂]</v>
      </c>
    </row>
    <row r="560" spans="1:4">
      <c r="A560" s="55" t="s">
        <v>1095</v>
      </c>
      <c r="B560" s="56" t="s">
        <v>322</v>
      </c>
      <c r="C560" s="61" t="s">
        <v>714</v>
      </c>
      <c r="D560" s="209" t="str">
        <f t="shared" si="12"/>
        <v>D3 38 00 00:攻击处于雷状态的敌人增加灵力 C+[手臂]</v>
      </c>
    </row>
    <row r="561" spans="1:4">
      <c r="A561" s="55" t="s">
        <v>1096</v>
      </c>
      <c r="B561" s="56" t="s">
        <v>324</v>
      </c>
      <c r="C561" s="61" t="s">
        <v>714</v>
      </c>
      <c r="D561" s="209" t="str">
        <f t="shared" si="12"/>
        <v>DB B4 00 00:攻击处于风状态的敌人增加灵力 C+[手臂]</v>
      </c>
    </row>
    <row r="562" spans="1:4">
      <c r="A562" s="55" t="s">
        <v>1097</v>
      </c>
      <c r="B562" s="56" t="s">
        <v>326</v>
      </c>
      <c r="C562" s="61" t="s">
        <v>714</v>
      </c>
      <c r="D562" s="209" t="str">
        <f t="shared" si="12"/>
        <v>F7 72 00 00:追击和近身刺击增加灵力(C+)[手臂]</v>
      </c>
    </row>
    <row r="563" spans="1:4">
      <c r="A563" s="55" t="s">
        <v>1098</v>
      </c>
      <c r="B563" s="61" t="s">
        <v>1099</v>
      </c>
      <c r="C563" s="61" t="s">
        <v>723</v>
      </c>
      <c r="D563" s="209" t="str">
        <f t="shared" si="12"/>
        <v>DE 26 00 00:(同名固定)灵力增加量 +1.4%[头部]</v>
      </c>
    </row>
    <row r="564" spans="1:4">
      <c r="A564" s="55" t="s">
        <v>1100</v>
      </c>
      <c r="B564" s="56" t="s">
        <v>1101</v>
      </c>
      <c r="C564" s="61" t="s">
        <v>746</v>
      </c>
      <c r="D564" s="209" t="str">
        <f t="shared" si="12"/>
        <v>4D 32 00 00:灵力增加量 +1.4%[头部/手臂/足部]</v>
      </c>
    </row>
    <row r="565" spans="1:4">
      <c r="A565" s="55" t="s">
        <v>1102</v>
      </c>
      <c r="B565" s="61" t="s">
        <v>1103</v>
      </c>
      <c r="C565" s="61" t="s">
        <v>749</v>
      </c>
      <c r="D565" s="209" t="str">
        <f t="shared" si="12"/>
        <v>EE D4 00 00:灵力增加量 +1.0%[身体]</v>
      </c>
    </row>
    <row r="566" spans="1:4">
      <c r="A566" s="55" t="s">
        <v>1104</v>
      </c>
      <c r="B566" s="56" t="s">
        <v>1103</v>
      </c>
      <c r="C566" s="61" t="s">
        <v>752</v>
      </c>
      <c r="D566" s="209" t="str">
        <f t="shared" si="12"/>
        <v>D4 2B 00 00:灵力增加量 +1.0%[腿部]</v>
      </c>
    </row>
    <row r="567" spans="1:4">
      <c r="A567" s="55" t="s">
        <v>1105</v>
      </c>
      <c r="B567" s="205" t="s">
        <v>1106</v>
      </c>
      <c r="C567" s="61" t="s">
        <v>746</v>
      </c>
      <c r="D567" s="209" t="str">
        <f t="shared" si="12"/>
        <v>F4 38 00 00:(星)灵力增加量 +2.1%[头部/手臂/足部]</v>
      </c>
    </row>
    <row r="568" spans="1:4">
      <c r="A568" s="55" t="s">
        <v>1107</v>
      </c>
      <c r="B568" s="61" t="s">
        <v>1108</v>
      </c>
      <c r="C568" s="61" t="s">
        <v>746</v>
      </c>
      <c r="D568" s="209" t="str">
        <f t="shared" si="12"/>
        <v>98 60 00 00:灵力增加量(绝境) +4.1%[头部/手臂/足部]</v>
      </c>
    </row>
    <row r="569" spans="1:4">
      <c r="A569" s="55" t="s">
        <v>1109</v>
      </c>
      <c r="B569" s="61" t="s">
        <v>1110</v>
      </c>
      <c r="C569" s="61" t="s">
        <v>749</v>
      </c>
      <c r="D569" s="209" t="str">
        <f t="shared" si="12"/>
        <v>0B D1 00 00:灵力增加量(绝境) +3.0%[身体]</v>
      </c>
    </row>
    <row r="570" spans="1:4">
      <c r="A570" s="55" t="s">
        <v>1111</v>
      </c>
      <c r="B570" s="61" t="s">
        <v>1110</v>
      </c>
      <c r="C570" s="61" t="s">
        <v>752</v>
      </c>
      <c r="D570" s="209" t="str">
        <f t="shared" si="12"/>
        <v>4F C0 00 00:灵力增加量(绝境) +3.0%[腿部]</v>
      </c>
    </row>
    <row r="571" spans="1:4">
      <c r="A571" s="55" t="s">
        <v>1112</v>
      </c>
      <c r="B571" s="61" t="s">
        <v>1113</v>
      </c>
      <c r="C571" s="61" t="s">
        <v>746</v>
      </c>
      <c r="D571" s="209" t="str">
        <f t="shared" si="12"/>
        <v>9A 2B 00 00:灵力增加量(无伤) +1.7%[头部/手臂/足部]</v>
      </c>
    </row>
    <row r="572" spans="1:4">
      <c r="A572" s="55" t="s">
        <v>1114</v>
      </c>
      <c r="B572" s="61" t="s">
        <v>1115</v>
      </c>
      <c r="C572" s="61" t="s">
        <v>749</v>
      </c>
      <c r="D572" s="209" t="str">
        <f t="shared" si="12"/>
        <v>C6 2D 00 00:灵力增加量(无伤) +1.2%[身体]</v>
      </c>
    </row>
    <row r="573" spans="1:4">
      <c r="A573" s="55" t="s">
        <v>1116</v>
      </c>
      <c r="B573" s="61" t="s">
        <v>1115</v>
      </c>
      <c r="C573" s="61" t="s">
        <v>752</v>
      </c>
      <c r="D573" s="209" t="str">
        <f t="shared" si="12"/>
        <v>1A A4 00 00:灵力增加量(无伤) +1.2%[腿部]</v>
      </c>
    </row>
    <row r="574" spans="1:4">
      <c r="A574" s="55" t="s">
        <v>1117</v>
      </c>
      <c r="B574" s="61" t="s">
        <v>1118</v>
      </c>
      <c r="C574" s="61" t="s">
        <v>746</v>
      </c>
      <c r="D574" s="209" t="str">
        <f t="shared" si="12"/>
        <v>EE 05 00 00:灵力增加量(地狱) +1.8%[头部/手臂/足部]</v>
      </c>
    </row>
    <row r="575" spans="1:4">
      <c r="A575" s="55" t="s">
        <v>1119</v>
      </c>
      <c r="B575" s="61" t="s">
        <v>1120</v>
      </c>
      <c r="C575" s="61" t="s">
        <v>749</v>
      </c>
      <c r="D575" s="209" t="str">
        <f t="shared" si="12"/>
        <v>D5 0D 00 00:灵力增加量(地狱) +1.3%[身体]</v>
      </c>
    </row>
    <row r="576" spans="1:4">
      <c r="A576" s="55" t="s">
        <v>1121</v>
      </c>
      <c r="B576" s="61" t="s">
        <v>1120</v>
      </c>
      <c r="C576" s="61" t="s">
        <v>752</v>
      </c>
      <c r="D576" s="209" t="str">
        <f t="shared" si="12"/>
        <v>2D 92 00 00:灵力增加量(地狱) +1.3%[腿部]</v>
      </c>
    </row>
    <row r="577" spans="1:4">
      <c r="A577" s="55" t="s">
        <v>1122</v>
      </c>
      <c r="B577" s="61" t="s">
        <v>1123</v>
      </c>
      <c r="C577" s="61" t="s">
        <v>746</v>
      </c>
      <c r="D577" s="209" t="str">
        <f t="shared" si="12"/>
        <v>8D 6D 00 00:灵力增加量(负面效果时) +1.8%[头部/手臂/足部]</v>
      </c>
    </row>
    <row r="578" spans="1:4">
      <c r="A578" s="55" t="s">
        <v>1124</v>
      </c>
      <c r="B578" s="61" t="s">
        <v>1125</v>
      </c>
      <c r="C578" s="61" t="s">
        <v>749</v>
      </c>
      <c r="D578" s="209" t="str">
        <f t="shared" si="12"/>
        <v>C8 04 00 00:灵力增加量(负面效果时) +1.3%[身体]</v>
      </c>
    </row>
    <row r="579" spans="1:4">
      <c r="A579" s="55" t="s">
        <v>1126</v>
      </c>
      <c r="B579" s="61" t="s">
        <v>1125</v>
      </c>
      <c r="C579" s="61" t="s">
        <v>752</v>
      </c>
      <c r="D579" s="209" t="str">
        <f t="shared" si="12"/>
        <v>27 A2 00 00:灵力增加量(负面效果时) +1.3%[腿部]</v>
      </c>
    </row>
    <row r="580" spans="1:4">
      <c r="A580" s="55" t="s">
        <v>1127</v>
      </c>
      <c r="B580" s="61" t="s">
        <v>1128</v>
      </c>
      <c r="C580" s="61" t="s">
        <v>746</v>
      </c>
      <c r="D580" s="209" t="str">
        <f t="shared" si="12"/>
        <v>2C 18 00 00:灵力增加量(正面效果时) +1.5%[头部/手臂/足部]</v>
      </c>
    </row>
    <row r="581" spans="1:4">
      <c r="A581" s="55" t="s">
        <v>1129</v>
      </c>
      <c r="B581" s="61" t="s">
        <v>1130</v>
      </c>
      <c r="C581" s="61" t="s">
        <v>749</v>
      </c>
      <c r="D581" s="209" t="str">
        <f t="shared" si="12"/>
        <v>FD A8 00 00:灵力增加量(正面效果时) +1.1%[身体]</v>
      </c>
    </row>
    <row r="582" spans="1:4">
      <c r="A582" s="55" t="s">
        <v>1131</v>
      </c>
      <c r="B582" s="61" t="s">
        <v>1130</v>
      </c>
      <c r="C582" s="61" t="s">
        <v>752</v>
      </c>
      <c r="D582" s="209" t="str">
        <f t="shared" si="12"/>
        <v>F4 9F 00 00:灵力增加量(正面效果时) +1.1%[腿部]</v>
      </c>
    </row>
    <row r="583" spans="1:4">
      <c r="A583" s="55" t="s">
        <v>1132</v>
      </c>
      <c r="B583" s="56" t="s">
        <v>1133</v>
      </c>
      <c r="C583" s="61" t="s">
        <v>746</v>
      </c>
      <c r="D583" s="209" t="str">
        <f t="shared" si="12"/>
        <v>F7 AD 00 00:祓除常世增加灵力 +4[头部/手臂/足部]</v>
      </c>
    </row>
    <row r="584" spans="1:4">
      <c r="A584" s="55" t="s">
        <v>1134</v>
      </c>
      <c r="B584" s="61" t="s">
        <v>1133</v>
      </c>
      <c r="C584" s="61" t="s">
        <v>749</v>
      </c>
      <c r="D584" s="209" t="str">
        <f t="shared" si="12"/>
        <v>E6 EB 00 00:祓除常世增加灵力 +4[身体]</v>
      </c>
    </row>
    <row r="585" spans="1:4">
      <c r="A585" s="55" t="s">
        <v>1135</v>
      </c>
      <c r="B585" s="56" t="s">
        <v>1133</v>
      </c>
      <c r="C585" s="61" t="s">
        <v>752</v>
      </c>
      <c r="D585" s="209" t="str">
        <f t="shared" si="12"/>
        <v>BC 79 00 00:祓除常世增加灵力 +4[腿部]</v>
      </c>
    </row>
    <row r="586" spans="1:4">
      <c r="A586" s="55" t="s">
        <v>1136</v>
      </c>
      <c r="B586" s="61" t="s">
        <v>1137</v>
      </c>
      <c r="C586" s="61" t="s">
        <v>723</v>
      </c>
      <c r="D586" s="209" t="str">
        <f t="shared" ref="D586:D649" si="13">LEFT(A586,11)&amp;":"&amp;B586&amp;C586</f>
        <v>7C 7D 00 00:(同名固定)承受伤害增加灵力 C-[头部]</v>
      </c>
    </row>
    <row r="587" spans="1:4">
      <c r="A587" s="55" t="s">
        <v>1138</v>
      </c>
      <c r="B587" s="56" t="s">
        <v>342</v>
      </c>
      <c r="C587" s="61" t="s">
        <v>746</v>
      </c>
      <c r="D587" s="209" t="str">
        <f t="shared" si="13"/>
        <v>83 FB 00 00:承受伤害增加灵力 C[头部/手臂/足部]</v>
      </c>
    </row>
    <row r="588" spans="1:4">
      <c r="A588" s="55" t="s">
        <v>1139</v>
      </c>
      <c r="B588" s="61" t="s">
        <v>342</v>
      </c>
      <c r="C588" s="61" t="s">
        <v>749</v>
      </c>
      <c r="D588" s="209" t="str">
        <f t="shared" si="13"/>
        <v>22 CD 00 00:承受伤害增加灵力 C[身体]</v>
      </c>
    </row>
    <row r="589" spans="1:4">
      <c r="A589" s="55" t="s">
        <v>1140</v>
      </c>
      <c r="B589" s="56" t="s">
        <v>342</v>
      </c>
      <c r="C589" s="61" t="s">
        <v>752</v>
      </c>
      <c r="D589" s="209" t="str">
        <f t="shared" si="13"/>
        <v>48 2F 00 00:承受伤害增加灵力 C[腿部]</v>
      </c>
    </row>
    <row r="590" spans="1:4">
      <c r="A590" s="55" t="s">
        <v>1141</v>
      </c>
      <c r="B590" s="56" t="s">
        <v>1142</v>
      </c>
      <c r="C590" s="61" t="s">
        <v>746</v>
      </c>
      <c r="D590" s="209" t="str">
        <f t="shared" si="13"/>
        <v>5E 2C 00 00:格挡可增加灵力 +4[头部/手臂/足部]</v>
      </c>
    </row>
    <row r="591" spans="1:4">
      <c r="A591" s="55" t="s">
        <v>1143</v>
      </c>
      <c r="B591" s="61" t="s">
        <v>1142</v>
      </c>
      <c r="C591" s="61" t="s">
        <v>749</v>
      </c>
      <c r="D591" s="209" t="str">
        <f t="shared" si="13"/>
        <v>19 C7 00 00:格挡可增加灵力 +4[身体]</v>
      </c>
    </row>
    <row r="592" spans="1:4">
      <c r="A592" s="55" t="s">
        <v>1144</v>
      </c>
      <c r="B592" s="56" t="s">
        <v>1142</v>
      </c>
      <c r="C592" s="61" t="s">
        <v>752</v>
      </c>
      <c r="D592" s="209" t="str">
        <f t="shared" si="13"/>
        <v>A7 99 00 00:格挡可增加灵力 +4[腿部]</v>
      </c>
    </row>
    <row r="593" spans="1:4">
      <c r="A593" s="55" t="s">
        <v>1145</v>
      </c>
      <c r="B593" s="56" t="s">
        <v>1146</v>
      </c>
      <c r="C593" s="61" t="s">
        <v>746</v>
      </c>
      <c r="D593" s="209" t="str">
        <f t="shared" si="13"/>
        <v>6F 44 00 00:识破可增加灵力 +4[头部/手臂/足部]</v>
      </c>
    </row>
    <row r="594" spans="1:4">
      <c r="A594" s="55" t="s">
        <v>1147</v>
      </c>
      <c r="B594" s="61" t="s">
        <v>1146</v>
      </c>
      <c r="C594" s="61" t="s">
        <v>749</v>
      </c>
      <c r="D594" s="209" t="str">
        <f t="shared" si="13"/>
        <v>BE 73 00 00:识破可增加灵力 +4[身体]</v>
      </c>
    </row>
    <row r="595" spans="1:4">
      <c r="A595" s="55" t="s">
        <v>1148</v>
      </c>
      <c r="B595" s="56" t="s">
        <v>1146</v>
      </c>
      <c r="C595" s="61" t="s">
        <v>752</v>
      </c>
      <c r="D595" s="209" t="str">
        <f t="shared" si="13"/>
        <v>BD D4 00 00:识破可增加灵力 +4[腿部]</v>
      </c>
    </row>
    <row r="596" spans="1:4">
      <c r="A596" s="55" t="s">
        <v>1149</v>
      </c>
      <c r="B596" s="61" t="s">
        <v>1150</v>
      </c>
      <c r="C596" s="61" t="s">
        <v>723</v>
      </c>
      <c r="D596" s="209" t="str">
        <f t="shared" si="13"/>
        <v>86 D7 00 00:(同名固定)以守护灵技打倒敌人可回收灵力 +4.0%[头部]</v>
      </c>
    </row>
    <row r="597" spans="1:4">
      <c r="A597" s="55" t="s">
        <v>1151</v>
      </c>
      <c r="B597" s="199" t="s">
        <v>346</v>
      </c>
      <c r="C597" s="61" t="s">
        <v>714</v>
      </c>
      <c r="D597" s="209" t="str">
        <f t="shared" si="13"/>
        <v>9A 15 00 00:追击与近身刺击赋予昂神(B)[手臂]</v>
      </c>
    </row>
    <row r="598" spans="1:4">
      <c r="A598" s="55" t="s">
        <v>1152</v>
      </c>
      <c r="B598" s="61" t="s">
        <v>1153</v>
      </c>
      <c r="C598" s="61" t="s">
        <v>746</v>
      </c>
      <c r="D598" s="209" t="str">
        <f t="shared" si="13"/>
        <v>FD 3E 00 00:(同名固定)阴阳术 术力 +10[头部/手臂/足部]</v>
      </c>
    </row>
    <row r="599" spans="1:4">
      <c r="A599" s="55" t="s">
        <v>1154</v>
      </c>
      <c r="B599" s="61" t="s">
        <v>1155</v>
      </c>
      <c r="C599" s="61" t="s">
        <v>749</v>
      </c>
      <c r="D599" s="209" t="str">
        <f t="shared" si="13"/>
        <v>7C 15 00 00:(同名固定)阴阳术 术力 +20[身体]</v>
      </c>
    </row>
    <row r="600" spans="1:4">
      <c r="A600" s="55" t="s">
        <v>1156</v>
      </c>
      <c r="B600" s="61" t="s">
        <v>1157</v>
      </c>
      <c r="C600" s="61" t="s">
        <v>752</v>
      </c>
      <c r="D600" s="209" t="str">
        <f t="shared" si="13"/>
        <v>F9 5F 00 00:(同名固定)阴阳术 术力 +15[腿部]</v>
      </c>
    </row>
    <row r="601" spans="1:4">
      <c r="A601" s="55" t="s">
        <v>1158</v>
      </c>
      <c r="B601" s="61" t="s">
        <v>1159</v>
      </c>
      <c r="C601" s="61" t="s">
        <v>746</v>
      </c>
      <c r="D601" s="209" t="str">
        <f t="shared" si="13"/>
        <v>37 28 00 00:(同名固定)负面效果持续时间缩短 -2.0%[头部/手臂/足部]</v>
      </c>
    </row>
    <row r="602" spans="1:4">
      <c r="A602" s="55" t="s">
        <v>1160</v>
      </c>
      <c r="B602" s="61" t="s">
        <v>1161</v>
      </c>
      <c r="C602" s="61" t="s">
        <v>749</v>
      </c>
      <c r="D602" s="209" t="str">
        <f t="shared" si="13"/>
        <v>F5 17 00 00:(同名固定)负面效果持续时间缩短 -4.0%[身体]</v>
      </c>
    </row>
    <row r="603" spans="1:4">
      <c r="A603" s="55" t="s">
        <v>1162</v>
      </c>
      <c r="B603" s="61" t="s">
        <v>1163</v>
      </c>
      <c r="C603" s="61" t="s">
        <v>752</v>
      </c>
      <c r="D603" s="209" t="str">
        <f t="shared" si="13"/>
        <v>09 21 00 00:(同名固定)负面效果持续时间缩短 -3.0%[腿部]</v>
      </c>
    </row>
    <row r="604" spans="1:4">
      <c r="A604" s="55" t="s">
        <v>1164</v>
      </c>
      <c r="B604" s="199" t="s">
        <v>1165</v>
      </c>
      <c r="C604" s="61" t="s">
        <v>746</v>
      </c>
      <c r="D604" s="209" t="str">
        <f t="shared" si="13"/>
        <v>78 06 00 00:绝境时赋予承受伤害减少(2.5%)[头部/手臂/足部]</v>
      </c>
    </row>
    <row r="605" spans="1:4">
      <c r="A605" s="55" t="s">
        <v>1166</v>
      </c>
      <c r="B605" s="199" t="s">
        <v>1167</v>
      </c>
      <c r="C605" s="61" t="s">
        <v>749</v>
      </c>
      <c r="D605" s="209" t="str">
        <f t="shared" si="13"/>
        <v>38 3E 00 00:绝境时赋予承受伤害减少(5.4%)[身体]</v>
      </c>
    </row>
    <row r="606" spans="1:4">
      <c r="A606" s="55" t="s">
        <v>1168</v>
      </c>
      <c r="B606" s="199" t="s">
        <v>1169</v>
      </c>
      <c r="C606" s="61" t="s">
        <v>752</v>
      </c>
      <c r="D606" s="209" t="str">
        <f t="shared" si="13"/>
        <v>50 9F 00 00:绝境时赋予承受伤害减少(4.2%)[腿部]</v>
      </c>
    </row>
    <row r="607" spans="1:4">
      <c r="A607" s="55" t="s">
        <v>1170</v>
      </c>
      <c r="B607" s="199" t="s">
        <v>1171</v>
      </c>
      <c r="C607" s="61" t="s">
        <v>746</v>
      </c>
      <c r="D607" s="209" t="str">
        <f t="shared" si="13"/>
        <v>A7 6E 00 00:恢复体力赋予承受伤害减少(1.0%)[头部/手臂/足部]</v>
      </c>
    </row>
    <row r="608" spans="1:4">
      <c r="A608" s="55" t="s">
        <v>1172</v>
      </c>
      <c r="B608" s="199" t="s">
        <v>1173</v>
      </c>
      <c r="C608" s="61" t="s">
        <v>749</v>
      </c>
      <c r="D608" s="209" t="str">
        <f t="shared" si="13"/>
        <v>3C 65 00 00:恢复体力赋予承受伤害减少(2.2%)[身体]</v>
      </c>
    </row>
    <row r="609" spans="1:4">
      <c r="A609" s="55" t="s">
        <v>1174</v>
      </c>
      <c r="B609" s="199" t="s">
        <v>1175</v>
      </c>
      <c r="C609" s="61" t="s">
        <v>752</v>
      </c>
      <c r="D609" s="209" t="str">
        <f t="shared" si="13"/>
        <v>AC 99 00 00:恢复体力赋予承受伤害减少(1.7%)[腿部]</v>
      </c>
    </row>
    <row r="610" spans="1:4">
      <c r="A610" s="55" t="s">
        <v>1176</v>
      </c>
      <c r="B610" s="61" t="s">
        <v>1177</v>
      </c>
      <c r="C610" s="61" t="s">
        <v>723</v>
      </c>
      <c r="D610" s="209" t="str">
        <f t="shared" si="13"/>
        <v>0C AF 00 00:(同名固定)打倒敌人时赋予承受伤害减少(1.0%)[头部]</v>
      </c>
    </row>
    <row r="611" spans="1:4">
      <c r="A611" s="55" t="s">
        <v>1178</v>
      </c>
      <c r="B611" s="199" t="s">
        <v>1179</v>
      </c>
      <c r="C611" s="61" t="s">
        <v>746</v>
      </c>
      <c r="D611" s="209" t="str">
        <f t="shared" si="13"/>
        <v>2B A4 00 00:打倒敌人时赋予承受伤害减少(1.0%)[头部/手臂/足部]</v>
      </c>
    </row>
    <row r="612" spans="1:4">
      <c r="A612" s="55" t="s">
        <v>1180</v>
      </c>
      <c r="B612" s="199" t="s">
        <v>1181</v>
      </c>
      <c r="C612" s="61" t="s">
        <v>749</v>
      </c>
      <c r="D612" s="209" t="str">
        <f t="shared" si="13"/>
        <v>79 75 00 00:打倒敌人时赋予承受伤害减少(2.2%)[身体]</v>
      </c>
    </row>
    <row r="613" spans="1:4">
      <c r="A613" s="55" t="s">
        <v>1182</v>
      </c>
      <c r="B613" s="199" t="s">
        <v>1183</v>
      </c>
      <c r="C613" s="61" t="s">
        <v>752</v>
      </c>
      <c r="D613" s="209" t="str">
        <f t="shared" si="13"/>
        <v>1F AF 00 00:打倒敌人时赋予承受伤害减少(1.7%)[腿部]</v>
      </c>
    </row>
    <row r="614" spans="1:4">
      <c r="A614" s="55" t="s">
        <v>1184</v>
      </c>
      <c r="B614" s="56" t="s">
        <v>1185</v>
      </c>
      <c r="C614" s="61" t="s">
        <v>746</v>
      </c>
      <c r="D614" s="209" t="str">
        <f t="shared" si="13"/>
        <v>F0 CD 00 00:防御反映(精华槽) D+[头部/手臂/足部]</v>
      </c>
    </row>
    <row r="615" spans="1:4">
      <c r="A615" s="55" t="s">
        <v>1186</v>
      </c>
      <c r="B615" s="56" t="s">
        <v>1185</v>
      </c>
      <c r="C615" s="61" t="s">
        <v>749</v>
      </c>
      <c r="D615" s="209" t="str">
        <f t="shared" si="13"/>
        <v>92 3C 00 00:防御反映(精华槽) D+[身体]</v>
      </c>
    </row>
    <row r="616" spans="1:4">
      <c r="A616" s="55" t="s">
        <v>1187</v>
      </c>
      <c r="B616" s="56" t="s">
        <v>1185</v>
      </c>
      <c r="C616" s="61" t="s">
        <v>752</v>
      </c>
      <c r="D616" s="209" t="str">
        <f t="shared" si="13"/>
        <v>53 1F 00 00:防御反映(精华槽) D+[腿部]</v>
      </c>
    </row>
    <row r="617" spans="1:4">
      <c r="A617" s="55" t="s">
        <v>1188</v>
      </c>
      <c r="B617" s="199" t="s">
        <v>1189</v>
      </c>
      <c r="C617" s="61" t="s">
        <v>746</v>
      </c>
      <c r="D617" s="209" t="str">
        <f t="shared" si="13"/>
        <v>07 33 00 00:陷入异常状态时赋予承受伤害减少(1.1%)[头部/手臂/足部]</v>
      </c>
    </row>
    <row r="618" spans="1:4">
      <c r="A618" s="55" t="s">
        <v>1190</v>
      </c>
      <c r="B618" s="199" t="s">
        <v>1191</v>
      </c>
      <c r="C618" s="61" t="s">
        <v>749</v>
      </c>
      <c r="D618" s="209" t="str">
        <f t="shared" si="13"/>
        <v>99 CF 00 00:陷入异常状态时赋予承受伤害减少(2.3%)[身体]</v>
      </c>
    </row>
    <row r="619" spans="1:4">
      <c r="A619" s="55" t="s">
        <v>1192</v>
      </c>
      <c r="B619" s="199" t="s">
        <v>1193</v>
      </c>
      <c r="C619" s="61" t="s">
        <v>752</v>
      </c>
      <c r="D619" s="209" t="str">
        <f t="shared" si="13"/>
        <v>43 93 00 00:陷入异常状态时赋予承受伤害减少(1.8%)[腿部]</v>
      </c>
    </row>
    <row r="620" spans="1:4">
      <c r="A620" s="55" t="s">
        <v>1194</v>
      </c>
      <c r="B620" s="199" t="s">
        <v>1195</v>
      </c>
      <c r="C620" s="61" t="s">
        <v>746</v>
      </c>
      <c r="D620" s="209" t="str">
        <f t="shared" si="13"/>
        <v>D6 42 00 00:祓除常世赋予承受伤害减少(1.1%)[头部/手臂/足部]</v>
      </c>
    </row>
    <row r="621" spans="1:4">
      <c r="A621" s="55" t="s">
        <v>1196</v>
      </c>
      <c r="B621" s="199" t="s">
        <v>1197</v>
      </c>
      <c r="C621" s="61" t="s">
        <v>749</v>
      </c>
      <c r="D621" s="209" t="str">
        <f t="shared" si="13"/>
        <v>CC 66 00 00:祓除常世赋予承受伤害减少(2.4%)[身体]</v>
      </c>
    </row>
    <row r="622" spans="1:4">
      <c r="A622" s="55" t="s">
        <v>1198</v>
      </c>
      <c r="B622" s="199" t="s">
        <v>1199</v>
      </c>
      <c r="C622" s="61" t="s">
        <v>752</v>
      </c>
      <c r="D622" s="209" t="str">
        <f t="shared" si="13"/>
        <v>0F 86 00 00:祓除常世赋予承受伤害减少(1.8%)[腿部]</v>
      </c>
    </row>
    <row r="623" spans="1:4">
      <c r="A623" s="55" t="s">
        <v>1200</v>
      </c>
      <c r="B623" s="199" t="s">
        <v>1201</v>
      </c>
      <c r="C623" s="61" t="s">
        <v>746</v>
      </c>
      <c r="D623" s="209" t="str">
        <f t="shared" si="13"/>
        <v>2D 69 00 00:吸收精华后赋予承受伤害减少(1.0%)[头部/手臂/足部]</v>
      </c>
    </row>
    <row r="624" spans="1:4">
      <c r="A624" s="55" t="s">
        <v>1202</v>
      </c>
      <c r="B624" s="199" t="s">
        <v>1203</v>
      </c>
      <c r="C624" s="61" t="s">
        <v>749</v>
      </c>
      <c r="D624" s="209" t="str">
        <f t="shared" si="13"/>
        <v>15 52 00 00:吸收精华后赋予承受伤害减少(2.0%)[身体]</v>
      </c>
    </row>
    <row r="625" spans="1:4">
      <c r="A625" s="55" t="s">
        <v>1204</v>
      </c>
      <c r="B625" s="199" t="s">
        <v>1205</v>
      </c>
      <c r="C625" s="61" t="s">
        <v>752</v>
      </c>
      <c r="D625" s="209" t="str">
        <f t="shared" si="13"/>
        <v>81 4E 00 00:吸收精华后赋予承受伤害减少(1.6%)[腿部]</v>
      </c>
    </row>
    <row r="626" spans="1:4">
      <c r="A626" s="55" t="s">
        <v>1206</v>
      </c>
      <c r="B626" s="61" t="s">
        <v>1207</v>
      </c>
      <c r="C626" s="61" t="s">
        <v>746</v>
      </c>
      <c r="D626" s="209" t="str">
        <f t="shared" si="13"/>
        <v>B9 75 00 00:(同名固定)承受的伤害降低(攻击动作期间) -2.0%[头部/手臂/足部]</v>
      </c>
    </row>
    <row r="627" spans="1:4">
      <c r="A627" s="55" t="s">
        <v>1208</v>
      </c>
      <c r="B627" s="61" t="s">
        <v>1209</v>
      </c>
      <c r="C627" s="61" t="s">
        <v>749</v>
      </c>
      <c r="D627" s="209" t="str">
        <f t="shared" si="13"/>
        <v>6A AC 00 00:(同名固定)承受的伤害降低(攻击动作期间) -4.0%[身体]</v>
      </c>
    </row>
    <row r="628" spans="1:4">
      <c r="A628" s="55" t="s">
        <v>1210</v>
      </c>
      <c r="B628" s="61" t="s">
        <v>1211</v>
      </c>
      <c r="C628" s="61" t="s">
        <v>752</v>
      </c>
      <c r="D628" s="209" t="str">
        <f t="shared" si="13"/>
        <v>B3 83 00 00:(同名固定)承受的伤害降低(攻击动作期间) -3.0%[腿部]</v>
      </c>
    </row>
    <row r="629" spans="1:4">
      <c r="A629" s="55" t="s">
        <v>1212</v>
      </c>
      <c r="B629" s="61" t="s">
        <v>1213</v>
      </c>
      <c r="C629" s="61" t="s">
        <v>723</v>
      </c>
      <c r="D629" s="209" t="str">
        <f t="shared" si="13"/>
        <v>BF 9C 00 00:(同名固定)承受的伤害减半(无伤状态) 2.0%[头部]</v>
      </c>
    </row>
    <row r="630" spans="1:4">
      <c r="A630" s="55" t="s">
        <v>1214</v>
      </c>
      <c r="B630" s="61" t="s">
        <v>1215</v>
      </c>
      <c r="C630" s="61" t="s">
        <v>746</v>
      </c>
      <c r="D630" s="209" t="str">
        <f t="shared" si="13"/>
        <v>2B 44 00 00:防御力 +4[头部/手臂/足部]</v>
      </c>
    </row>
    <row r="631" spans="1:4">
      <c r="A631" s="55" t="s">
        <v>1216</v>
      </c>
      <c r="B631" s="199" t="s">
        <v>1217</v>
      </c>
      <c r="C631" s="61" t="s">
        <v>749</v>
      </c>
      <c r="D631" s="209" t="str">
        <f t="shared" si="13"/>
        <v>00 57 00 00:防御力 +9[身体]</v>
      </c>
    </row>
    <row r="632" spans="1:4">
      <c r="A632" s="55" t="s">
        <v>1218</v>
      </c>
      <c r="B632" s="56" t="s">
        <v>1219</v>
      </c>
      <c r="C632" s="61" t="s">
        <v>752</v>
      </c>
      <c r="D632" s="209" t="str">
        <f t="shared" si="13"/>
        <v>03 C4 00 00:防御力 +6[腿部]</v>
      </c>
    </row>
    <row r="633" spans="1:4">
      <c r="A633" s="55" t="s">
        <v>1220</v>
      </c>
      <c r="B633" s="205" t="s">
        <v>1221</v>
      </c>
      <c r="C633" s="61" t="s">
        <v>746</v>
      </c>
      <c r="D633" s="209" t="str">
        <f t="shared" si="13"/>
        <v>C9 D7 00 00:(星)防御力 +7[头部/手臂/足部]</v>
      </c>
    </row>
    <row r="634" spans="1:4">
      <c r="A634" s="55" t="s">
        <v>1222</v>
      </c>
      <c r="B634" s="205" t="s">
        <v>1223</v>
      </c>
      <c r="C634" s="61" t="s">
        <v>749</v>
      </c>
      <c r="D634" s="209" t="str">
        <f t="shared" si="13"/>
        <v>2A 6D 00 00:(星)防御力 +11[身体]</v>
      </c>
    </row>
    <row r="635" spans="1:4">
      <c r="A635" s="55" t="s">
        <v>1224</v>
      </c>
      <c r="B635" s="205" t="s">
        <v>1225</v>
      </c>
      <c r="C635" s="61" t="s">
        <v>752</v>
      </c>
      <c r="D635" s="209" t="str">
        <f t="shared" si="13"/>
        <v>8B FA 00 00:(星)防御力 +9[腿部]</v>
      </c>
    </row>
    <row r="636" spans="1:4">
      <c r="A636" s="55" t="s">
        <v>1226</v>
      </c>
      <c r="B636" s="61" t="s">
        <v>1227</v>
      </c>
      <c r="C636" s="61" t="s">
        <v>746</v>
      </c>
      <c r="D636" s="209" t="str">
        <f t="shared" si="13"/>
        <v>D2 F2 00 00:防御性能 +4[头部/手臂/足部]</v>
      </c>
    </row>
    <row r="637" spans="1:4">
      <c r="A637" s="55" t="s">
        <v>1228</v>
      </c>
      <c r="B637" s="199" t="s">
        <v>1229</v>
      </c>
      <c r="C637" s="61" t="s">
        <v>749</v>
      </c>
      <c r="D637" s="209" t="str">
        <f t="shared" si="13"/>
        <v>BA 23 00 00:防御性能 +9[身体]</v>
      </c>
    </row>
    <row r="638" spans="1:4">
      <c r="A638" s="55" t="s">
        <v>1230</v>
      </c>
      <c r="B638" s="56" t="s">
        <v>1231</v>
      </c>
      <c r="C638" s="61" t="s">
        <v>752</v>
      </c>
      <c r="D638" s="209" t="str">
        <f t="shared" si="13"/>
        <v>EE BD 00 00:防御性能 +6[腿部]</v>
      </c>
    </row>
    <row r="639" spans="1:4">
      <c r="A639" s="55" t="s">
        <v>1232</v>
      </c>
      <c r="B639" s="61" t="s">
        <v>1233</v>
      </c>
      <c r="C639" s="61" t="s">
        <v>746</v>
      </c>
      <c r="D639" s="209" t="str">
        <f t="shared" si="13"/>
        <v>36 55 00 00:坚忍度 +8[头部/手臂/足部]</v>
      </c>
    </row>
    <row r="640" spans="1:4">
      <c r="A640" s="55" t="s">
        <v>1234</v>
      </c>
      <c r="B640" s="199" t="s">
        <v>1235</v>
      </c>
      <c r="C640" s="61" t="s">
        <v>749</v>
      </c>
      <c r="D640" s="209" t="str">
        <f t="shared" si="13"/>
        <v>2C BA 00 00:坚忍度 +12[身体]</v>
      </c>
    </row>
    <row r="641" spans="1:4">
      <c r="A641" s="55" t="s">
        <v>1236</v>
      </c>
      <c r="B641" s="56" t="s">
        <v>1237</v>
      </c>
      <c r="C641" s="61" t="s">
        <v>752</v>
      </c>
      <c r="D641" s="209" t="str">
        <f t="shared" si="13"/>
        <v>C2 CB 00 00:坚忍度 +11[腿部]</v>
      </c>
    </row>
    <row r="642" spans="1:4">
      <c r="A642" s="55" t="s">
        <v>1238</v>
      </c>
      <c r="B642" s="205" t="s">
        <v>1239</v>
      </c>
      <c r="C642" s="61" t="s">
        <v>746</v>
      </c>
      <c r="D642" s="209" t="str">
        <f t="shared" si="13"/>
        <v>82 1B 00 00:(星)坚忍度 +12[头部/手臂/足部]</v>
      </c>
    </row>
    <row r="643" spans="1:4">
      <c r="A643" s="55" t="s">
        <v>1240</v>
      </c>
      <c r="B643" s="61" t="s">
        <v>1241</v>
      </c>
      <c r="C643" s="61" t="s">
        <v>746</v>
      </c>
      <c r="D643" s="209" t="str">
        <f t="shared" si="13"/>
        <v>EE AC 00 00:(同名固定)承受的远距离伤害降低 -0.9%[头部/手臂/足部]</v>
      </c>
    </row>
    <row r="644" spans="1:4">
      <c r="A644" s="55" t="s">
        <v>1242</v>
      </c>
      <c r="B644" s="61" t="s">
        <v>1243</v>
      </c>
      <c r="C644" s="61" t="s">
        <v>749</v>
      </c>
      <c r="D644" s="209" t="str">
        <f t="shared" si="13"/>
        <v>A5 60 00 00:(同名固定)承受的远距离伤害降低 -2.0%[身体]</v>
      </c>
    </row>
    <row r="645" spans="1:4">
      <c r="A645" s="55" t="s">
        <v>1244</v>
      </c>
      <c r="B645" s="61" t="s">
        <v>1245</v>
      </c>
      <c r="C645" s="61" t="s">
        <v>752</v>
      </c>
      <c r="D645" s="209" t="str">
        <f t="shared" si="13"/>
        <v>14 B5 00 00:(同名固定)承受的远距离伤害降低 -1.5%[腿部]</v>
      </c>
    </row>
    <row r="646" spans="1:4">
      <c r="A646" s="55" t="s">
        <v>1246</v>
      </c>
      <c r="B646" s="56" t="s">
        <v>1247</v>
      </c>
      <c r="C646" s="61" t="s">
        <v>746</v>
      </c>
      <c r="D646" s="209" t="str">
        <f t="shared" si="13"/>
        <v>52 EE 00 00:承受的远距离伤害降低 -0.9%[头部/手臂/足部]</v>
      </c>
    </row>
    <row r="647" spans="1:4">
      <c r="A647" s="55" t="s">
        <v>1248</v>
      </c>
      <c r="B647" s="56" t="s">
        <v>1249</v>
      </c>
      <c r="C647" s="61" t="s">
        <v>749</v>
      </c>
      <c r="D647" s="209" t="str">
        <f t="shared" si="13"/>
        <v>71 7F 00 00:承受的远距离伤害降低 -2.0%[身体]</v>
      </c>
    </row>
    <row r="648" spans="1:4">
      <c r="A648" s="55" t="s">
        <v>1250</v>
      </c>
      <c r="B648" s="56" t="s">
        <v>1251</v>
      </c>
      <c r="C648" s="61" t="s">
        <v>752</v>
      </c>
      <c r="D648" s="209" t="str">
        <f t="shared" si="13"/>
        <v>E6 2C 00 00:承受的远距离伤害降低 -1.5%[腿部]</v>
      </c>
    </row>
    <row r="649" spans="1:4">
      <c r="A649" s="55" t="s">
        <v>1252</v>
      </c>
      <c r="B649" s="61" t="s">
        <v>1253</v>
      </c>
      <c r="C649" s="61" t="s">
        <v>746</v>
      </c>
      <c r="D649" s="209" t="str">
        <f t="shared" si="13"/>
        <v>69 90 00 00:(同名固定)被攻击时承受的伤害降低(绝境) -3.4%[头部/手臂/足部]</v>
      </c>
    </row>
    <row r="650" spans="1:4">
      <c r="A650" s="55" t="s">
        <v>1254</v>
      </c>
      <c r="B650" s="61" t="s">
        <v>1255</v>
      </c>
      <c r="C650" s="61" t="s">
        <v>749</v>
      </c>
      <c r="D650" s="209" t="str">
        <f t="shared" ref="D650:D713" si="14">LEFT(A650,11)&amp;":"&amp;B650&amp;C650</f>
        <v>9E A5 00 00:(同名固定)被攻击时承受的伤害降低(绝境) -7.4%[身体]</v>
      </c>
    </row>
    <row r="651" spans="1:4">
      <c r="A651" s="55" t="s">
        <v>1256</v>
      </c>
      <c r="B651" s="61" t="s">
        <v>1257</v>
      </c>
      <c r="C651" s="61" t="s">
        <v>752</v>
      </c>
      <c r="D651" s="209" t="str">
        <f t="shared" si="14"/>
        <v>15 54 00 00:(同名固定)被攻击时承受的伤害降低(绝境) -5.7%[腿部]</v>
      </c>
    </row>
    <row r="652" spans="1:4">
      <c r="A652" s="55" t="s">
        <v>1258</v>
      </c>
      <c r="B652" s="56" t="s">
        <v>1259</v>
      </c>
      <c r="C652" s="61" t="s">
        <v>746</v>
      </c>
      <c r="D652" s="209" t="str">
        <f t="shared" si="14"/>
        <v>99 BB 00 00:被攻击时承受的伤害降低(绝境) -3.4%[头部/手臂/足部]</v>
      </c>
    </row>
    <row r="653" spans="1:4">
      <c r="A653" s="55" t="s">
        <v>1260</v>
      </c>
      <c r="B653" s="56" t="s">
        <v>1261</v>
      </c>
      <c r="C653" s="61" t="s">
        <v>749</v>
      </c>
      <c r="D653" s="209" t="str">
        <f t="shared" si="14"/>
        <v>77 73 00 00:被攻击时承受的伤害降低(绝境) -7.4%[身体]</v>
      </c>
    </row>
    <row r="654" spans="1:4">
      <c r="A654" s="55" t="s">
        <v>1262</v>
      </c>
      <c r="B654" s="56" t="s">
        <v>1263</v>
      </c>
      <c r="C654" s="61" t="s">
        <v>752</v>
      </c>
      <c r="D654" s="209" t="str">
        <f t="shared" si="14"/>
        <v>98 B3 00 00:被攻击时承受的伤害降低(绝境) -5.7%[腿部]</v>
      </c>
    </row>
    <row r="655" spans="1:4">
      <c r="A655" s="55" t="s">
        <v>1264</v>
      </c>
      <c r="B655" s="56" t="s">
        <v>1265</v>
      </c>
      <c r="C655" s="61" t="s">
        <v>746</v>
      </c>
      <c r="D655" s="209" t="str">
        <f t="shared" si="14"/>
        <v>1D 87 00 00:防御反映(体) D+[头部/手臂/足部]</v>
      </c>
    </row>
    <row r="656" spans="1:4">
      <c r="A656" s="55" t="s">
        <v>1266</v>
      </c>
      <c r="B656" s="199" t="s">
        <v>1265</v>
      </c>
      <c r="C656" s="61" t="s">
        <v>749</v>
      </c>
      <c r="D656" s="209" t="str">
        <f t="shared" si="14"/>
        <v>D0 9E 00 00:防御反映(体) D+[身体]</v>
      </c>
    </row>
    <row r="657" spans="1:4">
      <c r="A657" s="55" t="s">
        <v>1267</v>
      </c>
      <c r="B657" s="56" t="s">
        <v>1265</v>
      </c>
      <c r="C657" s="61" t="s">
        <v>752</v>
      </c>
      <c r="D657" s="209" t="str">
        <f t="shared" si="14"/>
        <v>26 3A 00 00:防御反映(体) D+[腿部]</v>
      </c>
    </row>
    <row r="658" spans="1:4">
      <c r="A658" s="55" t="s">
        <v>1268</v>
      </c>
      <c r="B658" s="56" t="s">
        <v>1269</v>
      </c>
      <c r="C658" s="61" t="s">
        <v>746</v>
      </c>
      <c r="D658" s="209" t="str">
        <f t="shared" si="14"/>
        <v>11 18 00 00:防御反映(心) D+[头部/手臂/足部]</v>
      </c>
    </row>
    <row r="659" spans="1:4">
      <c r="A659" s="55" t="s">
        <v>1270</v>
      </c>
      <c r="B659" s="199" t="s">
        <v>1269</v>
      </c>
      <c r="C659" s="61" t="s">
        <v>749</v>
      </c>
      <c r="D659" s="209" t="str">
        <f t="shared" si="14"/>
        <v>D8 38 00 00:防御反映(心) D+[身体]</v>
      </c>
    </row>
    <row r="660" spans="1:4">
      <c r="A660" s="55" t="s">
        <v>1271</v>
      </c>
      <c r="B660" s="56" t="s">
        <v>1269</v>
      </c>
      <c r="C660" s="61" t="s">
        <v>752</v>
      </c>
      <c r="D660" s="209" t="str">
        <f t="shared" si="14"/>
        <v>A0 14 00 00:防御反映(心) D+[腿部]</v>
      </c>
    </row>
    <row r="661" spans="1:4">
      <c r="A661" s="55" t="s">
        <v>1272</v>
      </c>
      <c r="B661" s="56" t="s">
        <v>1273</v>
      </c>
      <c r="C661" s="61" t="s">
        <v>746</v>
      </c>
      <c r="D661" s="209" t="str">
        <f t="shared" si="14"/>
        <v>34 C2 00 00:防御反映(刚) D+[头部/手臂/足部]</v>
      </c>
    </row>
    <row r="662" spans="1:4">
      <c r="A662" s="55"/>
      <c r="B662" s="199" t="s">
        <v>1273</v>
      </c>
      <c r="C662" s="61" t="s">
        <v>749</v>
      </c>
      <c r="D662" s="209" t="str">
        <f t="shared" si="14"/>
        <v>:防御反映(刚) D+[身体]</v>
      </c>
    </row>
    <row r="663" spans="1:4">
      <c r="A663" s="55"/>
      <c r="B663" s="56" t="s">
        <v>1273</v>
      </c>
      <c r="C663" s="61" t="s">
        <v>752</v>
      </c>
      <c r="D663" s="209" t="str">
        <f t="shared" si="14"/>
        <v>:防御反映(刚) D+[腿部]</v>
      </c>
    </row>
    <row r="664" spans="1:4">
      <c r="A664" s="55" t="s">
        <v>1274</v>
      </c>
      <c r="B664" s="56" t="s">
        <v>1275</v>
      </c>
      <c r="C664" s="61" t="s">
        <v>746</v>
      </c>
      <c r="D664" s="209" t="str">
        <f t="shared" si="14"/>
        <v>46 EE 00 00:防御反映(武) D+[头部/手臂/足部]</v>
      </c>
    </row>
    <row r="665" spans="1:4">
      <c r="A665" s="55" t="s">
        <v>1274</v>
      </c>
      <c r="B665" s="199" t="s">
        <v>1275</v>
      </c>
      <c r="C665" s="61" t="s">
        <v>749</v>
      </c>
      <c r="D665" s="209" t="str">
        <f t="shared" si="14"/>
        <v>46 EE 00 00:防御反映(武) D+[身体]</v>
      </c>
    </row>
    <row r="666" spans="1:4">
      <c r="A666" s="55" t="s">
        <v>1276</v>
      </c>
      <c r="B666" s="56" t="s">
        <v>1275</v>
      </c>
      <c r="C666" s="61" t="s">
        <v>752</v>
      </c>
      <c r="D666" s="209" t="str">
        <f t="shared" si="14"/>
        <v>A0 BE 00 00:防御反映(武) D+[腿部]</v>
      </c>
    </row>
    <row r="667" spans="1:4">
      <c r="A667" s="55" t="s">
        <v>1277</v>
      </c>
      <c r="B667" s="56" t="s">
        <v>1278</v>
      </c>
      <c r="C667" s="61" t="s">
        <v>746</v>
      </c>
      <c r="D667" s="209" t="str">
        <f t="shared" si="14"/>
        <v>37 20 00 00:防御反映(技) D+[头部/手臂/足部]</v>
      </c>
    </row>
    <row r="668" spans="1:4">
      <c r="A668" s="55" t="s">
        <v>1279</v>
      </c>
      <c r="B668" s="199" t="s">
        <v>1278</v>
      </c>
      <c r="C668" s="61" t="s">
        <v>749</v>
      </c>
      <c r="D668" s="209" t="str">
        <f t="shared" si="14"/>
        <v>CF FA 00 00:防御反映(技) D+[身体]</v>
      </c>
    </row>
    <row r="669" spans="1:4">
      <c r="A669" s="55" t="s">
        <v>1280</v>
      </c>
      <c r="B669" s="56" t="s">
        <v>1278</v>
      </c>
      <c r="C669" s="61" t="s">
        <v>752</v>
      </c>
      <c r="D669" s="209" t="str">
        <f t="shared" si="14"/>
        <v>61 90 00 00:防御反映(技) D+[腿部]</v>
      </c>
    </row>
    <row r="670" spans="1:4">
      <c r="A670" s="55" t="s">
        <v>1281</v>
      </c>
      <c r="B670" s="56" t="s">
        <v>1282</v>
      </c>
      <c r="C670" s="61" t="s">
        <v>746</v>
      </c>
      <c r="D670" s="209" t="str">
        <f t="shared" si="14"/>
        <v>45 BB 00 00:防御反映(智) D+[头部/手臂/足部]</v>
      </c>
    </row>
    <row r="671" spans="1:4">
      <c r="A671" s="55" t="s">
        <v>1283</v>
      </c>
      <c r="B671" s="199" t="s">
        <v>1282</v>
      </c>
      <c r="C671" s="61" t="s">
        <v>749</v>
      </c>
      <c r="D671" s="209" t="str">
        <f t="shared" si="14"/>
        <v>51 CD 00 00:防御反映(智) D+[身体]</v>
      </c>
    </row>
    <row r="672" spans="1:4">
      <c r="A672" s="55"/>
      <c r="B672" s="56" t="s">
        <v>1282</v>
      </c>
      <c r="C672" s="61" t="s">
        <v>752</v>
      </c>
      <c r="D672" s="209" t="str">
        <f t="shared" si="14"/>
        <v>:防御反映(智) D+[腿部]</v>
      </c>
    </row>
    <row r="673" spans="1:4">
      <c r="A673" s="55" t="s">
        <v>1284</v>
      </c>
      <c r="B673" s="56" t="s">
        <v>1285</v>
      </c>
      <c r="C673" s="61" t="s">
        <v>746</v>
      </c>
      <c r="D673" s="209" t="str">
        <f t="shared" si="14"/>
        <v>E1 07 00 00:对防御力反映(咒) D+[头部/手臂/足部]</v>
      </c>
    </row>
    <row r="674" spans="1:4">
      <c r="A674" s="55" t="s">
        <v>1286</v>
      </c>
      <c r="B674" s="199" t="s">
        <v>1285</v>
      </c>
      <c r="C674" s="61" t="s">
        <v>749</v>
      </c>
      <c r="D674" s="209" t="str">
        <f t="shared" si="14"/>
        <v>4D C2 00 00:对防御力反映(咒) D+[身体]</v>
      </c>
    </row>
    <row r="675" spans="1:4">
      <c r="A675" s="55" t="s">
        <v>1287</v>
      </c>
      <c r="B675" s="56" t="s">
        <v>1285</v>
      </c>
      <c r="C675" s="61" t="s">
        <v>752</v>
      </c>
      <c r="D675" s="209" t="str">
        <f t="shared" si="14"/>
        <v>37 E7 00 00:对防御力反映(咒) D+[腿部]</v>
      </c>
    </row>
    <row r="676" spans="1:4">
      <c r="A676" s="55" t="s">
        <v>1288</v>
      </c>
      <c r="B676" s="56" t="s">
        <v>1289</v>
      </c>
      <c r="C676" s="61" t="s">
        <v>746</v>
      </c>
      <c r="D676" s="209" t="str">
        <f t="shared" si="14"/>
        <v>4C DB 00 00:空中承受的伤害 -1.3%[头部/手臂/足部]</v>
      </c>
    </row>
    <row r="677" spans="1:4">
      <c r="A677" s="55" t="s">
        <v>1290</v>
      </c>
      <c r="B677" s="61" t="s">
        <v>1291</v>
      </c>
      <c r="C677" s="61" t="s">
        <v>749</v>
      </c>
      <c r="D677" s="209" t="str">
        <f t="shared" si="14"/>
        <v>D5 7B 00 00:空中承受的伤害 -2.7%[身体]</v>
      </c>
    </row>
    <row r="678" spans="1:4">
      <c r="A678" s="55" t="s">
        <v>1292</v>
      </c>
      <c r="B678" s="56" t="s">
        <v>1293</v>
      </c>
      <c r="C678" s="61" t="s">
        <v>752</v>
      </c>
      <c r="D678" s="209" t="str">
        <f t="shared" si="14"/>
        <v>81 41 00 00:空中承受的伤害 -2.1%[腿部]</v>
      </c>
    </row>
    <row r="679" spans="1:4">
      <c r="A679" s="55" t="s">
        <v>1294</v>
      </c>
      <c r="B679" s="61" t="s">
        <v>1295</v>
      </c>
      <c r="C679" s="61" t="s">
        <v>723</v>
      </c>
      <c r="D679" s="209" t="str">
        <f t="shared" si="14"/>
        <v>E0 55 00 00:(同名固定)被攻击时承受的伤害降低 -1.2%[头部]</v>
      </c>
    </row>
    <row r="680" spans="1:4">
      <c r="A680" s="55" t="s">
        <v>1296</v>
      </c>
      <c r="B680" s="56" t="s">
        <v>1297</v>
      </c>
      <c r="C680" s="61" t="s">
        <v>746</v>
      </c>
      <c r="D680" s="209" t="str">
        <f t="shared" si="14"/>
        <v>BE DB 00 00:被攻击时承受的伤害降低 -1.2%[头部/手臂/足部]</v>
      </c>
    </row>
    <row r="681" spans="1:4">
      <c r="A681" s="55" t="s">
        <v>1298</v>
      </c>
      <c r="B681" s="61" t="s">
        <v>1299</v>
      </c>
      <c r="C681" s="61" t="s">
        <v>749</v>
      </c>
      <c r="D681" s="209" t="str">
        <f t="shared" si="14"/>
        <v>F5 4E 00 00:被攻击时承受的伤害降低 -2.5%[身体]</v>
      </c>
    </row>
    <row r="682" spans="1:4">
      <c r="A682" s="55" t="s">
        <v>1300</v>
      </c>
      <c r="B682" s="56" t="s">
        <v>1301</v>
      </c>
      <c r="C682" s="61" t="s">
        <v>752</v>
      </c>
      <c r="D682" s="209" t="str">
        <f t="shared" si="14"/>
        <v>4C BB 00 00:被攻击时承受的伤害降低 -1.9%[腿部]</v>
      </c>
    </row>
    <row r="683" spans="1:4">
      <c r="A683" s="55" t="s">
        <v>1302</v>
      </c>
      <c r="B683" s="61" t="s">
        <v>1303</v>
      </c>
      <c r="C683" s="61" t="s">
        <v>723</v>
      </c>
      <c r="D683" s="209" t="str">
        <f t="shared" si="14"/>
        <v>D3 1C 00 00:(同名固定)使用药品时赋予承受伤害减少(2.0%)[头部]</v>
      </c>
    </row>
    <row r="684" spans="1:4">
      <c r="A684" s="55" t="s">
        <v>1304</v>
      </c>
      <c r="B684" s="56" t="s">
        <v>1305</v>
      </c>
      <c r="C684" s="61" t="s">
        <v>752</v>
      </c>
      <c r="D684" s="209" t="str">
        <f t="shared" si="14"/>
        <v>66 A1 00 00:(同名固定)近距离攻击精力伤害(地狱) +1.5%[腿部]</v>
      </c>
    </row>
    <row r="685" spans="1:4">
      <c r="A685" s="55" t="s">
        <v>1306</v>
      </c>
      <c r="B685" s="61" t="s">
        <v>1307</v>
      </c>
      <c r="C685" s="61" t="s">
        <v>746</v>
      </c>
      <c r="D685" s="209" t="str">
        <f t="shared" si="14"/>
        <v>D3 BF 00 00:(同名固定)打倒敌人时赋予自动恢复体力(17)[头部/手臂/足部]</v>
      </c>
    </row>
    <row r="686" spans="1:4">
      <c r="A686" s="55" t="s">
        <v>1308</v>
      </c>
      <c r="B686" s="61" t="s">
        <v>1309</v>
      </c>
      <c r="C686" s="61" t="s">
        <v>749</v>
      </c>
      <c r="D686" s="209" t="str">
        <f t="shared" si="14"/>
        <v>A7 23 00 00:(同名固定)打倒敌人时赋予自动恢复体力(33)[身体]</v>
      </c>
    </row>
    <row r="687" spans="1:4">
      <c r="A687" s="55" t="s">
        <v>1310</v>
      </c>
      <c r="B687" s="61" t="s">
        <v>1311</v>
      </c>
      <c r="C687" s="61" t="s">
        <v>752</v>
      </c>
      <c r="D687" s="209" t="str">
        <f t="shared" si="14"/>
        <v>67 AA 00 00:(同名固定)打倒敌人时赋予自动恢复体力(27)[腿部]</v>
      </c>
    </row>
    <row r="688" spans="1:4">
      <c r="A688" s="55" t="s">
        <v>1312</v>
      </c>
      <c r="B688" s="199" t="s">
        <v>1313</v>
      </c>
      <c r="C688" s="61" t="s">
        <v>746</v>
      </c>
      <c r="D688" s="209" t="str">
        <f t="shared" si="14"/>
        <v>B6 AD 00 00:格挡成功时赋予自动恢复体力(16)[头部/手臂/足部]</v>
      </c>
    </row>
    <row r="689" spans="1:4">
      <c r="A689" s="55" t="s">
        <v>1314</v>
      </c>
      <c r="B689" s="199" t="s">
        <v>438</v>
      </c>
      <c r="C689" s="61" t="s">
        <v>749</v>
      </c>
      <c r="D689" s="209" t="str">
        <f t="shared" si="14"/>
        <v>8E E4 00 00:格挡成功时赋予自动恢复体力(31)[身体]</v>
      </c>
    </row>
    <row r="690" spans="1:4">
      <c r="A690" s="55" t="s">
        <v>1315</v>
      </c>
      <c r="B690" s="199" t="s">
        <v>1316</v>
      </c>
      <c r="C690" s="61" t="s">
        <v>752</v>
      </c>
      <c r="D690" s="209" t="str">
        <f t="shared" si="14"/>
        <v>D6 9B 00 00:格挡成功时赋予自动恢复体力(25)[腿部]</v>
      </c>
    </row>
    <row r="691" spans="1:4">
      <c r="A691" s="55" t="s">
        <v>1317</v>
      </c>
      <c r="B691" s="199" t="s">
        <v>1318</v>
      </c>
      <c r="C691" s="61" t="s">
        <v>746</v>
      </c>
      <c r="D691" s="209" t="str">
        <f t="shared" si="14"/>
        <v>8F 4E 00 00:成功识破时自动恢复体力(16)[头部/手臂/足部]</v>
      </c>
    </row>
    <row r="692" spans="1:4">
      <c r="A692" s="55" t="s">
        <v>1319</v>
      </c>
      <c r="B692" s="199" t="s">
        <v>440</v>
      </c>
      <c r="C692" s="61" t="s">
        <v>749</v>
      </c>
      <c r="D692" s="209" t="str">
        <f t="shared" si="14"/>
        <v>86 63 00 00:成功识破时自动恢复体力(31)[身体]</v>
      </c>
    </row>
    <row r="693" spans="1:4">
      <c r="A693" s="55" t="s">
        <v>1320</v>
      </c>
      <c r="B693" s="199" t="s">
        <v>1321</v>
      </c>
      <c r="C693" s="61" t="s">
        <v>752</v>
      </c>
      <c r="D693" s="209" t="str">
        <f t="shared" si="14"/>
        <v>4E 6C 00 00:成功识破时自动恢复体力(25)[腿部]</v>
      </c>
    </row>
    <row r="694" spans="1:4">
      <c r="A694" s="55" t="s">
        <v>1322</v>
      </c>
      <c r="B694" s="61" t="s">
        <v>1323</v>
      </c>
      <c r="C694" s="61" t="s">
        <v>723</v>
      </c>
      <c r="D694" s="209" t="str">
        <f t="shared" si="14"/>
        <v>10 B7 00 00:(同名固定)追击和近身刺击可恢复体力 7[头部]</v>
      </c>
    </row>
    <row r="695" spans="1:4">
      <c r="A695" s="55" t="s">
        <v>1324</v>
      </c>
      <c r="B695" s="61" t="s">
        <v>1325</v>
      </c>
      <c r="C695" s="61" t="s">
        <v>746</v>
      </c>
      <c r="D695" s="209" t="str">
        <f t="shared" si="14"/>
        <v>46 9F 00 00:祓除常世可恢复体力 17[头部/手臂/足部]</v>
      </c>
    </row>
    <row r="696" spans="1:4">
      <c r="A696" s="55" t="s">
        <v>1326</v>
      </c>
      <c r="B696" s="61" t="s">
        <v>1327</v>
      </c>
      <c r="C696" s="61" t="s">
        <v>749</v>
      </c>
      <c r="D696" s="209" t="str">
        <f t="shared" si="14"/>
        <v>57 A1 00 00:祓除常世可恢复体力 33[身体]</v>
      </c>
    </row>
    <row r="697" spans="1:4">
      <c r="A697" s="55" t="s">
        <v>1328</v>
      </c>
      <c r="B697" s="61" t="s">
        <v>1329</v>
      </c>
      <c r="C697" s="61" t="s">
        <v>752</v>
      </c>
      <c r="D697" s="209" t="str">
        <f t="shared" si="14"/>
        <v>03 78 00 00:祓除常世可恢复体力 26[腿部]</v>
      </c>
    </row>
    <row r="698" spans="1:4">
      <c r="A698" s="55" t="s">
        <v>1330</v>
      </c>
      <c r="B698" s="205" t="s">
        <v>1331</v>
      </c>
      <c r="C698" s="61" t="s">
        <v>746</v>
      </c>
      <c r="D698" s="209" t="str">
        <f t="shared" si="14"/>
        <v>D2 AF 00 00:吸收精华可恢复体力 3[头部/手臂/足部]</v>
      </c>
    </row>
    <row r="699" spans="1:4">
      <c r="A699" s="55" t="s">
        <v>1332</v>
      </c>
      <c r="B699" s="205" t="s">
        <v>448</v>
      </c>
      <c r="C699" s="61" t="s">
        <v>749</v>
      </c>
      <c r="D699" s="209" t="str">
        <f t="shared" si="14"/>
        <v>23 35 00 00:吸收精华可恢复体力 6[身体]</v>
      </c>
    </row>
    <row r="700" spans="1:4">
      <c r="A700" s="55" t="s">
        <v>1333</v>
      </c>
      <c r="B700" s="205" t="s">
        <v>1331</v>
      </c>
      <c r="C700" s="61" t="s">
        <v>752</v>
      </c>
      <c r="D700" s="209" t="str">
        <f t="shared" si="14"/>
        <v>E0 D5 00 00:吸收精华可恢复体力 3[腿部]</v>
      </c>
    </row>
    <row r="701" spans="1:4">
      <c r="A701" s="55" t="s">
        <v>1334</v>
      </c>
      <c r="B701" s="61" t="s">
        <v>1335</v>
      </c>
      <c r="C701" s="61" t="s">
        <v>723</v>
      </c>
      <c r="D701" s="209" t="str">
        <f t="shared" si="14"/>
        <v>5B 98 00 00:(同名固定)绝境时赋予自动恢复体力(42)[头部]</v>
      </c>
    </row>
    <row r="702" spans="1:4">
      <c r="A702" s="55" t="s">
        <v>1336</v>
      </c>
      <c r="B702" s="56" t="s">
        <v>1337</v>
      </c>
      <c r="C702" s="61" t="s">
        <v>1338</v>
      </c>
      <c r="D702" s="209" t="str">
        <f t="shared" si="14"/>
        <v>E1 00 00 00:(同名固定)体力恢复量(地狱) +6.0%[足部]</v>
      </c>
    </row>
    <row r="703" spans="1:4">
      <c r="A703" s="55" t="s">
        <v>1339</v>
      </c>
      <c r="B703" s="61" t="s">
        <v>1340</v>
      </c>
      <c r="C703" s="61" t="s">
        <v>723</v>
      </c>
      <c r="D703" s="209" t="str">
        <f t="shared" si="14"/>
        <v>DA 24 00 00:(同名固定)以近距离攻击打倒敌人时恢复自己和我方体力 18[头部]</v>
      </c>
    </row>
    <row r="704" spans="1:4">
      <c r="A704" s="55" t="s">
        <v>1341</v>
      </c>
      <c r="B704" s="56" t="s">
        <v>1342</v>
      </c>
      <c r="C704" s="61" t="s">
        <v>746</v>
      </c>
      <c r="D704" s="209" t="str">
        <f t="shared" si="14"/>
        <v>C3 09 00 00:箭弹命中可恢复体力 15[头部/手臂/足部]</v>
      </c>
    </row>
    <row r="705" spans="1:4">
      <c r="A705" s="55" t="s">
        <v>1343</v>
      </c>
      <c r="B705" s="56" t="s">
        <v>454</v>
      </c>
      <c r="C705" s="61" t="s">
        <v>749</v>
      </c>
      <c r="D705" s="209" t="str">
        <f t="shared" si="14"/>
        <v>21 EE 00 00:箭弹命中可恢复体力 30[身体]</v>
      </c>
    </row>
    <row r="706" spans="1:4">
      <c r="A706" s="55" t="s">
        <v>1344</v>
      </c>
      <c r="B706" s="56" t="s">
        <v>1345</v>
      </c>
      <c r="C706" s="61" t="s">
        <v>752</v>
      </c>
      <c r="D706" s="209" t="str">
        <f t="shared" si="14"/>
        <v>0A 0C 00 00:箭弹命中可恢复体力 24[腿部]</v>
      </c>
    </row>
    <row r="707" spans="1:4">
      <c r="A707" s="55" t="s">
        <v>1346</v>
      </c>
      <c r="B707" s="61" t="s">
        <v>1347</v>
      </c>
      <c r="C707" s="61" t="s">
        <v>746</v>
      </c>
      <c r="D707" s="209" t="str">
        <f t="shared" si="14"/>
        <v>4B F9 00 00:体力 +25[头部/手臂/足部]</v>
      </c>
    </row>
    <row r="708" spans="1:4">
      <c r="A708" s="55" t="s">
        <v>1348</v>
      </c>
      <c r="B708" s="61" t="s">
        <v>1349</v>
      </c>
      <c r="C708" s="61" t="s">
        <v>749</v>
      </c>
      <c r="D708" s="209" t="str">
        <f t="shared" si="14"/>
        <v>E7 08 00 00:体力 +50[身体]</v>
      </c>
    </row>
    <row r="709" spans="1:4">
      <c r="A709" s="55" t="s">
        <v>1350</v>
      </c>
      <c r="B709" s="61" t="s">
        <v>1351</v>
      </c>
      <c r="C709" s="61" t="s">
        <v>752</v>
      </c>
      <c r="D709" s="209" t="str">
        <f t="shared" si="14"/>
        <v>B1 C9 00 00:体力 +38[腿部]</v>
      </c>
    </row>
    <row r="710" spans="1:4">
      <c r="A710" s="55" t="s">
        <v>1352</v>
      </c>
      <c r="B710" s="205" t="s">
        <v>1353</v>
      </c>
      <c r="C710" s="61" t="s">
        <v>746</v>
      </c>
      <c r="D710" s="209" t="str">
        <f t="shared" si="14"/>
        <v>97 B4 00 00:(星)体力 +38[头部/手臂/足部]</v>
      </c>
    </row>
    <row r="711" spans="1:4">
      <c r="A711" s="55" t="s">
        <v>1354</v>
      </c>
      <c r="B711" s="205" t="s">
        <v>1355</v>
      </c>
      <c r="C711" s="61" t="s">
        <v>749</v>
      </c>
      <c r="D711" s="209" t="str">
        <f t="shared" si="14"/>
        <v>91 2C 00 00:(星)体力 +75[身体]</v>
      </c>
    </row>
    <row r="712" spans="1:4">
      <c r="A712" s="55" t="s">
        <v>1356</v>
      </c>
      <c r="B712" s="56" t="s">
        <v>1357</v>
      </c>
      <c r="C712" s="61" t="s">
        <v>746</v>
      </c>
      <c r="D712" s="209" t="str">
        <f t="shared" si="14"/>
        <v>81 88 00 00:防御时精力恢复速度 +2.3%[头部/手臂/足部]</v>
      </c>
    </row>
    <row r="713" spans="1:4">
      <c r="A713" s="55" t="s">
        <v>1358</v>
      </c>
      <c r="B713" s="56" t="s">
        <v>1359</v>
      </c>
      <c r="C713" s="61" t="s">
        <v>749</v>
      </c>
      <c r="D713" s="209" t="str">
        <f t="shared" si="14"/>
        <v>FF CF 00 00:防御时精力恢复速度 +3.0%[身体]</v>
      </c>
    </row>
    <row r="714" spans="1:4">
      <c r="A714" s="55" t="s">
        <v>1360</v>
      </c>
      <c r="B714" s="56" t="s">
        <v>1357</v>
      </c>
      <c r="C714" s="61" t="s">
        <v>752</v>
      </c>
      <c r="D714" s="209" t="str">
        <f t="shared" ref="D714:D777" si="15">LEFT(A714,11)&amp;":"&amp;B714&amp;C714</f>
        <v>8D 6F 00 00:防御时精力恢复速度 +2.3%[腿部]</v>
      </c>
    </row>
    <row r="715" spans="1:4">
      <c r="A715" s="55" t="s">
        <v>1361</v>
      </c>
      <c r="B715" s="56" t="s">
        <v>1362</v>
      </c>
      <c r="C715" s="61" t="s">
        <v>746</v>
      </c>
      <c r="D715" s="209" t="str">
        <f t="shared" si="15"/>
        <v>1A F4 00 00:残心精力恢复量 +1.0%[头部/手臂/足部]</v>
      </c>
    </row>
    <row r="716" spans="1:4">
      <c r="A716" s="55" t="s">
        <v>1363</v>
      </c>
      <c r="B716" s="56" t="s">
        <v>1364</v>
      </c>
      <c r="C716" s="61" t="s">
        <v>749</v>
      </c>
      <c r="D716" s="209" t="str">
        <f t="shared" si="15"/>
        <v>1D F3 00 00:残心精力恢复量 +1.3%[身体]</v>
      </c>
    </row>
    <row r="717" spans="1:4">
      <c r="A717" s="55" t="s">
        <v>1365</v>
      </c>
      <c r="B717" s="56" t="s">
        <v>1362</v>
      </c>
      <c r="C717" s="61" t="s">
        <v>752</v>
      </c>
      <c r="D717" s="209" t="str">
        <f t="shared" si="15"/>
        <v>63 78 00 00:残心精力恢复量 +1.0%[腿部]</v>
      </c>
    </row>
    <row r="718" spans="1:4">
      <c r="A718" s="55" t="s">
        <v>1366</v>
      </c>
      <c r="B718" s="205" t="s">
        <v>1367</v>
      </c>
      <c r="C718" s="61" t="s">
        <v>746</v>
      </c>
      <c r="D718" s="209" t="str">
        <f t="shared" si="15"/>
        <v>A4 E3 00 00:(星)残心精力恢复量 +1.5%[头部/手臂/足部]</v>
      </c>
    </row>
    <row r="719" spans="1:4">
      <c r="A719" s="55" t="s">
        <v>1368</v>
      </c>
      <c r="B719" s="56" t="s">
        <v>1369</v>
      </c>
      <c r="C719" s="61" t="s">
        <v>746</v>
      </c>
      <c r="D719" s="209" t="str">
        <f t="shared" si="15"/>
        <v>F5 03 00 00:精力恢复速度 +2.3%[头部/手臂/足部]</v>
      </c>
    </row>
    <row r="720" spans="1:4">
      <c r="A720" s="55" t="s">
        <v>1370</v>
      </c>
      <c r="B720" s="56" t="s">
        <v>1371</v>
      </c>
      <c r="C720" s="61" t="s">
        <v>749</v>
      </c>
      <c r="D720" s="209" t="str">
        <f t="shared" si="15"/>
        <v>21 16 00 00:精力恢复速度 +3.0%[身体]</v>
      </c>
    </row>
    <row r="721" spans="1:4">
      <c r="A721" s="55" t="s">
        <v>1372</v>
      </c>
      <c r="B721" s="56" t="s">
        <v>1369</v>
      </c>
      <c r="C721" s="61" t="s">
        <v>752</v>
      </c>
      <c r="D721" s="209" t="str">
        <f t="shared" si="15"/>
        <v>DD 8B 00 00:精力恢复速度 +2.3%[腿部]</v>
      </c>
    </row>
    <row r="722" spans="1:4">
      <c r="A722" s="55" t="s">
        <v>1373</v>
      </c>
      <c r="B722" s="205" t="s">
        <v>1374</v>
      </c>
      <c r="C722" s="61" t="s">
        <v>746</v>
      </c>
      <c r="D722" s="209" t="str">
        <f t="shared" si="15"/>
        <v>51 B6 00 00:(星)精力恢复速度 +3.5%[头部/手臂/足部]</v>
      </c>
    </row>
    <row r="723" spans="1:4">
      <c r="A723" s="55" t="s">
        <v>1375</v>
      </c>
      <c r="B723" s="205" t="s">
        <v>1376</v>
      </c>
      <c r="C723" s="61" t="s">
        <v>749</v>
      </c>
      <c r="D723" s="209" t="str">
        <f t="shared" si="15"/>
        <v>F9 62 00 00:(星)精力恢复速度 +4.5%[身体]</v>
      </c>
    </row>
    <row r="724" spans="1:4">
      <c r="A724" s="55" t="s">
        <v>1377</v>
      </c>
      <c r="B724" s="199" t="s">
        <v>1378</v>
      </c>
      <c r="C724" s="61" t="s">
        <v>746</v>
      </c>
      <c r="D724" s="209" t="str">
        <f t="shared" si="15"/>
        <v>7C 61 00 00:绝境时赋予精力恢复速度增加(7.4%)[头部/手臂/足部]</v>
      </c>
    </row>
    <row r="725" spans="1:4">
      <c r="A725" s="55" t="s">
        <v>1379</v>
      </c>
      <c r="B725" s="199" t="s">
        <v>1380</v>
      </c>
      <c r="C725" s="61" t="s">
        <v>749</v>
      </c>
      <c r="D725" s="209" t="str">
        <f t="shared" si="15"/>
        <v>0E 25 00 00:绝境时赋予精力恢复速度增加(9.8%)[身体]</v>
      </c>
    </row>
    <row r="726" spans="1:4">
      <c r="A726" s="55" t="s">
        <v>1381</v>
      </c>
      <c r="B726" s="199" t="s">
        <v>1378</v>
      </c>
      <c r="C726" s="61" t="s">
        <v>752</v>
      </c>
      <c r="D726" s="209" t="str">
        <f t="shared" si="15"/>
        <v>08 5D 00 00:绝境时赋予精力恢复速度增加(7.4%)[腿部]</v>
      </c>
    </row>
    <row r="727" spans="1:4">
      <c r="A727" s="55" t="s">
        <v>1382</v>
      </c>
      <c r="B727" s="61" t="s">
        <v>1383</v>
      </c>
      <c r="C727" s="61" t="s">
        <v>746</v>
      </c>
      <c r="D727" s="209" t="str">
        <f t="shared" si="15"/>
        <v>3D 53 00 00:(同名固定)精力恢复速度上升(无伤) +2.7%[头部/手臂/足部]</v>
      </c>
    </row>
    <row r="728" spans="1:4">
      <c r="A728" s="55" t="s">
        <v>1384</v>
      </c>
      <c r="B728" s="61" t="s">
        <v>1385</v>
      </c>
      <c r="C728" s="61" t="s">
        <v>749</v>
      </c>
      <c r="D728" s="209" t="str">
        <f t="shared" si="15"/>
        <v>89 61 00 00:(同名固定)精力恢复速度上升(无伤) +3.6%[身体]</v>
      </c>
    </row>
    <row r="729" spans="1:4">
      <c r="A729" s="55" t="s">
        <v>1386</v>
      </c>
      <c r="B729" s="61" t="s">
        <v>1383</v>
      </c>
      <c r="C729" s="61" t="s">
        <v>752</v>
      </c>
      <c r="D729" s="209" t="str">
        <f t="shared" si="15"/>
        <v>06 BB 00 00:(同名固定)精力恢复速度上升(无伤) +2.7%[腿部]</v>
      </c>
    </row>
    <row r="730" spans="1:4">
      <c r="A730" s="55" t="s">
        <v>1387</v>
      </c>
      <c r="B730" s="61" t="s">
        <v>1388</v>
      </c>
      <c r="C730" s="61" t="s">
        <v>746</v>
      </c>
      <c r="D730" s="209" t="str">
        <f t="shared" si="15"/>
        <v>6E D8 00 00:精力恢复速度上升(无伤) +2.7%[头部/手臂/足部]</v>
      </c>
    </row>
    <row r="731" spans="1:4">
      <c r="A731" s="55" t="s">
        <v>1389</v>
      </c>
      <c r="B731" s="61" t="s">
        <v>1390</v>
      </c>
      <c r="C731" s="61" t="s">
        <v>749</v>
      </c>
      <c r="D731" s="209" t="str">
        <f t="shared" si="15"/>
        <v>92 06 00 00:精力恢复速度上升(无伤) +3.6%[身体]</v>
      </c>
    </row>
    <row r="732" spans="1:4">
      <c r="A732" s="55" t="s">
        <v>1391</v>
      </c>
      <c r="B732" s="61" t="s">
        <v>1388</v>
      </c>
      <c r="C732" s="61" t="s">
        <v>752</v>
      </c>
      <c r="D732" s="209" t="str">
        <f t="shared" si="15"/>
        <v>69 A3 00 00:精力恢复速度上升(无伤) +2.7%[腿部]</v>
      </c>
    </row>
    <row r="733" spans="1:4">
      <c r="A733" s="55" t="s">
        <v>1392</v>
      </c>
      <c r="B733" s="61" t="s">
        <v>1393</v>
      </c>
      <c r="C733" s="61" t="s">
        <v>746</v>
      </c>
      <c r="D733" s="209" t="str">
        <f t="shared" si="15"/>
        <v>17 7A 00 00:精力恢复速度(绝境) +6.7%[头部/手臂/足部]</v>
      </c>
    </row>
    <row r="734" spans="1:4">
      <c r="A734" s="55" t="s">
        <v>1394</v>
      </c>
      <c r="B734" s="61" t="s">
        <v>1395</v>
      </c>
      <c r="C734" s="61" t="s">
        <v>749</v>
      </c>
      <c r="D734" s="209" t="str">
        <f t="shared" si="15"/>
        <v>41 0A 00 00:精力恢复速度(绝境) +8.9%[身体]</v>
      </c>
    </row>
    <row r="735" spans="1:4">
      <c r="A735" s="55" t="s">
        <v>1396</v>
      </c>
      <c r="B735" s="61" t="s">
        <v>1393</v>
      </c>
      <c r="C735" s="61" t="s">
        <v>752</v>
      </c>
      <c r="D735" s="209" t="str">
        <f t="shared" si="15"/>
        <v>7F 31 00 00:精力恢复速度(绝境) +6.7%[腿部]</v>
      </c>
    </row>
    <row r="736" spans="1:4">
      <c r="A736" s="55" t="s">
        <v>1397</v>
      </c>
      <c r="B736" s="61" t="s">
        <v>1398</v>
      </c>
      <c r="C736" s="61" t="s">
        <v>746</v>
      </c>
      <c r="D736" s="209" t="str">
        <f t="shared" si="15"/>
        <v>F8 49 00 00:残心初始量 +9[头部/手臂/足部]</v>
      </c>
    </row>
    <row r="737" spans="1:4">
      <c r="A737" s="55" t="s">
        <v>1399</v>
      </c>
      <c r="B737" s="61" t="s">
        <v>1400</v>
      </c>
      <c r="C737" s="61" t="s">
        <v>749</v>
      </c>
      <c r="D737" s="209" t="str">
        <f t="shared" si="15"/>
        <v>93 DC 00 00:残心初始量 +12[身体]</v>
      </c>
    </row>
    <row r="738" spans="1:4">
      <c r="A738" s="55" t="s">
        <v>1401</v>
      </c>
      <c r="B738" s="61" t="s">
        <v>1398</v>
      </c>
      <c r="C738" s="61" t="s">
        <v>752</v>
      </c>
      <c r="D738" s="209" t="str">
        <f t="shared" si="15"/>
        <v>CF C3 00 00:残心初始量 +9[腿部]</v>
      </c>
    </row>
    <row r="739" spans="1:4">
      <c r="A739" s="55" t="s">
        <v>1402</v>
      </c>
      <c r="B739" s="205" t="s">
        <v>1403</v>
      </c>
      <c r="C739" s="61" t="s">
        <v>746</v>
      </c>
      <c r="D739" s="209" t="str">
        <f t="shared" si="15"/>
        <v>DD 20 00 00:(星)残心初始量 +14[头部/手臂/足部]</v>
      </c>
    </row>
    <row r="740" spans="1:4">
      <c r="A740" s="55" t="s">
        <v>1404</v>
      </c>
      <c r="B740" s="61" t="s">
        <v>1405</v>
      </c>
      <c r="C740" s="61" t="s">
        <v>723</v>
      </c>
      <c r="D740" s="209" t="str">
        <f t="shared" si="15"/>
        <v>6D FB 00 00:(同名固定)抗常世 +0.4[头部]</v>
      </c>
    </row>
    <row r="741" spans="1:4">
      <c r="A741" s="55" t="s">
        <v>1406</v>
      </c>
      <c r="B741" s="61" t="s">
        <v>1407</v>
      </c>
      <c r="C741" s="61" t="s">
        <v>746</v>
      </c>
      <c r="D741" s="209" t="str">
        <f t="shared" si="15"/>
        <v>04 63 00 00:抗常世 +0.4[头部/手臂/足部]</v>
      </c>
    </row>
    <row r="742" spans="1:4">
      <c r="A742" s="55" t="s">
        <v>1408</v>
      </c>
      <c r="B742" s="61" t="s">
        <v>1409</v>
      </c>
      <c r="C742" s="61" t="s">
        <v>749</v>
      </c>
      <c r="D742" s="209" t="str">
        <f t="shared" si="15"/>
        <v>14 21 00 00:抗常世 +0.5[身体]</v>
      </c>
    </row>
    <row r="743" spans="1:4">
      <c r="A743" s="55" t="s">
        <v>1410</v>
      </c>
      <c r="B743" s="61" t="s">
        <v>1407</v>
      </c>
      <c r="C743" s="61" t="s">
        <v>752</v>
      </c>
      <c r="D743" s="209" t="str">
        <f t="shared" si="15"/>
        <v>72 12 00 00:抗常世 +0.4[腿部]</v>
      </c>
    </row>
    <row r="744" spans="1:4">
      <c r="A744" s="55" t="s">
        <v>1411</v>
      </c>
      <c r="B744" s="199" t="s">
        <v>1412</v>
      </c>
      <c r="C744" s="61" t="s">
        <v>746</v>
      </c>
      <c r="D744" s="209" t="str">
        <f t="shared" si="15"/>
        <v>F1 5D 00 00:陷入异常状态时赋予昂灵(+0.3%)[头部/手臂/足部]</v>
      </c>
    </row>
    <row r="745" spans="1:4">
      <c r="A745" s="55" t="s">
        <v>1413</v>
      </c>
      <c r="B745" s="199" t="s">
        <v>1414</v>
      </c>
      <c r="C745" s="61" t="s">
        <v>749</v>
      </c>
      <c r="D745" s="209" t="str">
        <f t="shared" si="15"/>
        <v>F5 9A 00 00:陷入异常状态时赋予昂灵(+0.6%)[身体]</v>
      </c>
    </row>
    <row r="746" spans="1:4">
      <c r="A746" s="55" t="s">
        <v>1415</v>
      </c>
      <c r="B746" s="199" t="s">
        <v>1416</v>
      </c>
      <c r="C746" s="61" t="s">
        <v>752</v>
      </c>
      <c r="D746" s="209" t="str">
        <f t="shared" si="15"/>
        <v>2D 0A 00 00:陷入异常状态时赋予昂灵(+0.4%)[腿部]</v>
      </c>
    </row>
    <row r="747" spans="1:4">
      <c r="A747" s="55" t="s">
        <v>1417</v>
      </c>
      <c r="B747" s="199" t="s">
        <v>1418</v>
      </c>
      <c r="C747" s="61" t="s">
        <v>746</v>
      </c>
      <c r="D747" s="209" t="str">
        <f t="shared" si="15"/>
        <v>F1 47 00 00:格挡成功时赋予昂灵(+0.3%)[头部/手臂/足部]</v>
      </c>
    </row>
    <row r="748" spans="1:4">
      <c r="A748" s="55" t="s">
        <v>1419</v>
      </c>
      <c r="B748" s="199" t="s">
        <v>1420</v>
      </c>
      <c r="C748" s="61" t="s">
        <v>749</v>
      </c>
      <c r="D748" s="209" t="str">
        <f t="shared" si="15"/>
        <v>24 3C 00 00:格挡成功时赋予昂灵(+0.6%)[身体]</v>
      </c>
    </row>
    <row r="749" spans="1:4">
      <c r="A749" s="55" t="s">
        <v>1421</v>
      </c>
      <c r="B749" s="199" t="s">
        <v>1422</v>
      </c>
      <c r="C749" s="61" t="s">
        <v>752</v>
      </c>
      <c r="D749" s="209" t="str">
        <f t="shared" si="15"/>
        <v>83 27 00 00:格挡成功时赋予昂灵(+0.4%)[腿部]</v>
      </c>
    </row>
    <row r="750" spans="1:4">
      <c r="A750" s="55" t="s">
        <v>1423</v>
      </c>
      <c r="B750" s="199" t="s">
        <v>1424</v>
      </c>
      <c r="C750" s="61" t="s">
        <v>746</v>
      </c>
      <c r="D750" s="209" t="str">
        <f t="shared" si="15"/>
        <v>6A B0 00 00:成功识破时昂灵(+0.3%)[头部/手臂/足部]</v>
      </c>
    </row>
    <row r="751" spans="1:4">
      <c r="A751" s="55" t="s">
        <v>1425</v>
      </c>
      <c r="B751" s="199" t="s">
        <v>1426</v>
      </c>
      <c r="C751" s="61" t="s">
        <v>749</v>
      </c>
      <c r="D751" s="209" t="str">
        <f t="shared" si="15"/>
        <v>F9 1B 00 00:成功识破时昂灵(+0.6%)[身体]</v>
      </c>
    </row>
    <row r="752" spans="1:4">
      <c r="A752" s="55" t="s">
        <v>1427</v>
      </c>
      <c r="B752" s="199" t="s">
        <v>1428</v>
      </c>
      <c r="C752" s="61" t="s">
        <v>752</v>
      </c>
      <c r="D752" s="209" t="str">
        <f t="shared" si="15"/>
        <v>69 67 00 00:成功识破时昂灵(+0.4%)[腿部]</v>
      </c>
    </row>
    <row r="753" spans="1:4">
      <c r="A753" s="55" t="s">
        <v>1429</v>
      </c>
      <c r="B753" s="199" t="s">
        <v>1430</v>
      </c>
      <c r="C753" s="61" t="s">
        <v>746</v>
      </c>
      <c r="D753" s="209" t="str">
        <f t="shared" si="15"/>
        <v>CB 61 00 00:绝境时赋予昂灵(+0.5%)[头部/手臂/足部]</v>
      </c>
    </row>
    <row r="754" spans="1:4">
      <c r="A754" s="55" t="s">
        <v>1431</v>
      </c>
      <c r="B754" s="199" t="s">
        <v>1432</v>
      </c>
      <c r="C754" s="61" t="s">
        <v>749</v>
      </c>
      <c r="D754" s="209" t="str">
        <f t="shared" si="15"/>
        <v>68 55 00 00:绝境时赋予昂灵(+1.0%)[身体]</v>
      </c>
    </row>
    <row r="755" spans="1:4">
      <c r="A755" s="55" t="s">
        <v>1433</v>
      </c>
      <c r="B755" s="199" t="s">
        <v>1434</v>
      </c>
      <c r="C755" s="61" t="s">
        <v>752</v>
      </c>
      <c r="D755" s="209" t="str">
        <f t="shared" si="15"/>
        <v>4A B3 00 00:绝境时赋予昂灵(+0.6%)[腿部]</v>
      </c>
    </row>
    <row r="756" spans="1:4">
      <c r="A756" s="55" t="s">
        <v>1435</v>
      </c>
      <c r="B756" s="199" t="s">
        <v>478</v>
      </c>
      <c r="C756" s="61" t="s">
        <v>746</v>
      </c>
      <c r="D756" s="209" t="str">
        <f t="shared" si="15"/>
        <v>F3 B6 00 00:祓除常世赋予昂灵(+0.5%)[头部/手臂/足部]</v>
      </c>
    </row>
    <row r="757" spans="1:4">
      <c r="A757" s="55" t="s">
        <v>1436</v>
      </c>
      <c r="B757" s="199" t="s">
        <v>647</v>
      </c>
      <c r="C757" s="61" t="s">
        <v>749</v>
      </c>
      <c r="D757" s="209" t="str">
        <f t="shared" si="15"/>
        <v>5C 9F 00 00:祓除常世赋予昂灵(+1.0%)[身体]</v>
      </c>
    </row>
    <row r="758" spans="1:4">
      <c r="A758" s="55" t="s">
        <v>1437</v>
      </c>
      <c r="B758" s="199" t="s">
        <v>1438</v>
      </c>
      <c r="C758" s="61" t="s">
        <v>752</v>
      </c>
      <c r="D758" s="209" t="str">
        <f t="shared" si="15"/>
        <v>85 43 00 00:祓除常世赋予昂灵(+0.6%)[腿部]</v>
      </c>
    </row>
    <row r="759" spans="1:4">
      <c r="A759" s="55" t="s">
        <v>1439</v>
      </c>
      <c r="B759" s="199" t="s">
        <v>480</v>
      </c>
      <c r="C759" s="61" t="s">
        <v>746</v>
      </c>
      <c r="D759" s="209" t="str">
        <f t="shared" si="15"/>
        <v>41 C3 00 00:吸收精华后赋予昂灵(+0.9%)[头部/手臂/足部]</v>
      </c>
    </row>
    <row r="760" spans="1:4">
      <c r="A760" s="55" t="s">
        <v>1440</v>
      </c>
      <c r="B760" s="199" t="s">
        <v>1441</v>
      </c>
      <c r="C760" s="61" t="s">
        <v>749</v>
      </c>
      <c r="D760" s="209" t="str">
        <f t="shared" si="15"/>
        <v>5F 08 00 00:吸收精华后赋予昂灵(+1.7%)[身体]</v>
      </c>
    </row>
    <row r="761" spans="1:4">
      <c r="A761" s="55" t="s">
        <v>1442</v>
      </c>
      <c r="B761" s="199" t="s">
        <v>1443</v>
      </c>
      <c r="C761" s="61" t="s">
        <v>752</v>
      </c>
      <c r="D761" s="209" t="str">
        <f t="shared" si="15"/>
        <v>E4 87 00 00:吸收精华后赋予昂灵(+1.3%)[腿部]</v>
      </c>
    </row>
    <row r="762" spans="1:4">
      <c r="A762" s="55" t="s">
        <v>1444</v>
      </c>
      <c r="B762" s="56" t="s">
        <v>484</v>
      </c>
      <c r="C762" s="61" t="s">
        <v>746</v>
      </c>
      <c r="D762" s="209" t="str">
        <f t="shared" si="15"/>
        <v>40 F2 00 00:精华槽增加量 +0.7%[头部/手臂/足部]</v>
      </c>
    </row>
    <row r="763" spans="1:4">
      <c r="A763" s="55" t="s">
        <v>1445</v>
      </c>
      <c r="B763" s="56" t="s">
        <v>1446</v>
      </c>
      <c r="C763" s="61" t="s">
        <v>749</v>
      </c>
      <c r="D763" s="209" t="str">
        <f t="shared" si="15"/>
        <v>95 0E 00 00:精华槽增加量 +1.4%[身体]</v>
      </c>
    </row>
    <row r="764" spans="1:4">
      <c r="A764" s="55" t="s">
        <v>1447</v>
      </c>
      <c r="B764" s="56" t="s">
        <v>1448</v>
      </c>
      <c r="C764" s="61" t="s">
        <v>752</v>
      </c>
      <c r="D764" s="209" t="str">
        <f t="shared" si="15"/>
        <v>14 45 00 00:精华槽增加量 +1.1%[腿部]</v>
      </c>
    </row>
    <row r="765" spans="1:4">
      <c r="A765" s="55" t="s">
        <v>1449</v>
      </c>
      <c r="B765" s="205" t="s">
        <v>486</v>
      </c>
      <c r="C765" s="61" t="s">
        <v>746</v>
      </c>
      <c r="D765" s="209" t="str">
        <f t="shared" si="15"/>
        <v>FB 35 00 00:(星)精华槽增加量 +1.1%[头部/手臂/足部]</v>
      </c>
    </row>
    <row r="766" spans="1:4">
      <c r="A766" s="55" t="s">
        <v>1450</v>
      </c>
      <c r="B766" s="205" t="s">
        <v>1451</v>
      </c>
      <c r="C766" s="61" t="s">
        <v>752</v>
      </c>
      <c r="D766" s="209" t="str">
        <f t="shared" si="15"/>
        <v>46 85 00 00:(星)精华槽增加量 +1.7%[腿部]</v>
      </c>
    </row>
    <row r="767" spans="1:4">
      <c r="A767" s="55" t="s">
        <v>1452</v>
      </c>
      <c r="B767" s="205" t="s">
        <v>1453</v>
      </c>
      <c r="C767" s="61" t="s">
        <v>723</v>
      </c>
      <c r="D767" s="209" t="str">
        <f t="shared" si="15"/>
        <v>40 6A 00 00:(星)九十九化身持续时间延长 +3.8%[头部]</v>
      </c>
    </row>
    <row r="768" spans="1:4">
      <c r="A768" s="55" t="s">
        <v>1454</v>
      </c>
      <c r="B768" s="61" t="s">
        <v>1455</v>
      </c>
      <c r="C768" s="61" t="s">
        <v>749</v>
      </c>
      <c r="D768" s="209" t="str">
        <f t="shared" si="15"/>
        <v>86 28 00 00:九十九化身持续时间延长 +3.0%[身体]</v>
      </c>
    </row>
    <row r="769" spans="1:4">
      <c r="A769" s="55" t="s">
        <v>1456</v>
      </c>
      <c r="B769" s="61" t="s">
        <v>1457</v>
      </c>
      <c r="C769" s="61" t="s">
        <v>746</v>
      </c>
      <c r="D769" s="209" t="str">
        <f t="shared" si="15"/>
        <v>99 A2 00 00:(同名固定)忍术槽增加量 +1.5%[头部/手臂/足部]</v>
      </c>
    </row>
    <row r="770" spans="1:4">
      <c r="A770" s="55" t="s">
        <v>1458</v>
      </c>
      <c r="B770" s="61" t="s">
        <v>1459</v>
      </c>
      <c r="C770" s="61" t="s">
        <v>749</v>
      </c>
      <c r="D770" s="209" t="str">
        <f t="shared" si="15"/>
        <v>B9 EA 00 00:(同名固定)忍术槽增加量 +3.0%[身体]</v>
      </c>
    </row>
    <row r="771" spans="1:4">
      <c r="A771" s="55" t="s">
        <v>1460</v>
      </c>
      <c r="B771" s="61" t="s">
        <v>1461</v>
      </c>
      <c r="C771" s="61" t="s">
        <v>752</v>
      </c>
      <c r="D771" s="209" t="str">
        <f t="shared" si="15"/>
        <v>C1 8A 00 00:(同名固定)忍术槽增加量 +2.0%[腿部]</v>
      </c>
    </row>
    <row r="772" spans="1:4">
      <c r="A772" s="55" t="s">
        <v>1462</v>
      </c>
      <c r="B772" s="61" t="s">
        <v>498</v>
      </c>
      <c r="C772" s="61" t="s">
        <v>746</v>
      </c>
      <c r="D772" s="209" t="str">
        <f t="shared" si="15"/>
        <v>5A AC 00 00:(同名固定)弓伤害 +2.0%[头部/手臂/足部]</v>
      </c>
    </row>
    <row r="773" spans="1:4">
      <c r="A773" s="55" t="s">
        <v>1463</v>
      </c>
      <c r="B773" s="61" t="s">
        <v>1464</v>
      </c>
      <c r="C773" s="61" t="s">
        <v>749</v>
      </c>
      <c r="D773" s="209" t="str">
        <f t="shared" si="15"/>
        <v>D6 7E 00 00:(同名固定)弓伤害 +4.0%[身体]</v>
      </c>
    </row>
    <row r="774" spans="1:4">
      <c r="A774" s="55" t="s">
        <v>1465</v>
      </c>
      <c r="B774" s="61" t="s">
        <v>1466</v>
      </c>
      <c r="C774" s="61" t="s">
        <v>752</v>
      </c>
      <c r="D774" s="209" t="str">
        <f t="shared" si="15"/>
        <v>0C 40 00 00:(同名固定)弓伤害 +3.0%[腿部]</v>
      </c>
    </row>
    <row r="775" spans="1:4">
      <c r="A775" s="55" t="s">
        <v>1467</v>
      </c>
      <c r="B775" s="61" t="s">
        <v>1468</v>
      </c>
      <c r="C775" s="61" t="s">
        <v>746</v>
      </c>
      <c r="D775" s="209" t="str">
        <f t="shared" si="15"/>
        <v>D3 D8 00 00:(同名固定)不易被敌人发现 D+[头部/手臂/足部]</v>
      </c>
    </row>
    <row r="776" spans="1:4">
      <c r="A776" s="55" t="s">
        <v>1469</v>
      </c>
      <c r="B776" s="61" t="s">
        <v>1468</v>
      </c>
      <c r="C776" s="61" t="s">
        <v>749</v>
      </c>
      <c r="D776" s="209" t="str">
        <f t="shared" si="15"/>
        <v>B4 25 00 00:(同名固定)不易被敌人发现 D+[身体]</v>
      </c>
    </row>
    <row r="777" spans="1:4">
      <c r="A777" s="55" t="s">
        <v>1470</v>
      </c>
      <c r="B777" s="61" t="s">
        <v>1468</v>
      </c>
      <c r="C777" s="61" t="s">
        <v>752</v>
      </c>
      <c r="D777" s="209" t="str">
        <f t="shared" si="15"/>
        <v>9B 83 00 00:(同名固定)不易被敌人发现 D+[腿部]</v>
      </c>
    </row>
    <row r="778" spans="1:4">
      <c r="A778" s="55" t="s">
        <v>1471</v>
      </c>
      <c r="B778" s="61" t="s">
        <v>1472</v>
      </c>
      <c r="C778" s="61" t="s">
        <v>723</v>
      </c>
      <c r="D778" s="209" t="str">
        <f t="shared" ref="D778:D841" si="16">LEFT(A778,11)&amp;":"&amp;B778&amp;C778</f>
        <v>4C 01 00 00:(同名固定)箭弹命中时召唤千千古[头部]</v>
      </c>
    </row>
    <row r="779" spans="1:4">
      <c r="A779" s="55" t="s">
        <v>1473</v>
      </c>
      <c r="B779" s="199" t="s">
        <v>1474</v>
      </c>
      <c r="C779" s="61" t="s">
        <v>746</v>
      </c>
      <c r="D779" s="209" t="str">
        <f t="shared" si="16"/>
        <v>0A BF 00 00:格挡成功时赋予移动速度上升(1.1%)[头部/手臂/足部]</v>
      </c>
    </row>
    <row r="780" spans="1:4">
      <c r="A780" s="55" t="s">
        <v>1475</v>
      </c>
      <c r="B780" s="199" t="s">
        <v>1476</v>
      </c>
      <c r="C780" s="61" t="s">
        <v>749</v>
      </c>
      <c r="D780" s="209" t="str">
        <f t="shared" si="16"/>
        <v>1A B2 00 00:格挡成功时赋予移动速度上升(2.2%)[身体]</v>
      </c>
    </row>
    <row r="781" spans="1:4">
      <c r="A781" s="55" t="s">
        <v>1477</v>
      </c>
      <c r="B781" s="199" t="s">
        <v>1478</v>
      </c>
      <c r="C781" s="61" t="s">
        <v>752</v>
      </c>
      <c r="D781" s="209" t="str">
        <f t="shared" si="16"/>
        <v>E9 07 00 00:格挡成功时赋予移动速度上升(3.3%)[腿部]</v>
      </c>
    </row>
    <row r="782" spans="1:4">
      <c r="A782" s="55" t="s">
        <v>1479</v>
      </c>
      <c r="B782" s="199" t="s">
        <v>1480</v>
      </c>
      <c r="C782" s="61" t="s">
        <v>746</v>
      </c>
      <c r="D782" s="209" t="str">
        <f t="shared" si="16"/>
        <v>CB 2E 00 00:成功识破时移动速度上升(1.1%)[头部/手臂/足部]</v>
      </c>
    </row>
    <row r="783" spans="1:4">
      <c r="A783" s="55" t="s">
        <v>1481</v>
      </c>
      <c r="B783" s="199" t="s">
        <v>1482</v>
      </c>
      <c r="C783" s="61" t="s">
        <v>749</v>
      </c>
      <c r="D783" s="209" t="str">
        <f t="shared" si="16"/>
        <v>01 10 00 00:成功识破时移动速度上升(2.2%)[身体]</v>
      </c>
    </row>
    <row r="784" spans="1:4">
      <c r="A784" s="55" t="s">
        <v>1483</v>
      </c>
      <c r="B784" s="199" t="s">
        <v>1484</v>
      </c>
      <c r="C784" s="61" t="s">
        <v>752</v>
      </c>
      <c r="D784" s="209" t="str">
        <f t="shared" si="16"/>
        <v>8A 0C 00 00:成功识破时移动速度上升(3.3%)[腿部]</v>
      </c>
    </row>
    <row r="785" spans="1:4">
      <c r="A785" s="55" t="s">
        <v>1485</v>
      </c>
      <c r="B785" s="61" t="s">
        <v>1486</v>
      </c>
      <c r="C785" s="61" t="s">
        <v>746</v>
      </c>
      <c r="D785" s="209" t="str">
        <f t="shared" si="16"/>
        <v>FB 6F 00 00:(同名固定)闪避动作精力消耗降低 -1.0%[头部/手臂/足部]</v>
      </c>
    </row>
    <row r="786" spans="1:4">
      <c r="A786" s="55" t="s">
        <v>1487</v>
      </c>
      <c r="B786" s="61" t="s">
        <v>1488</v>
      </c>
      <c r="C786" s="61" t="s">
        <v>749</v>
      </c>
      <c r="D786" s="209" t="str">
        <f t="shared" si="16"/>
        <v>E9 FA 00 00:(同名固定)闪避动作精力消耗降低 -2.0%[身体]</v>
      </c>
    </row>
    <row r="787" spans="1:4">
      <c r="A787" s="55" t="s">
        <v>1489</v>
      </c>
      <c r="B787" s="61" t="s">
        <v>1490</v>
      </c>
      <c r="C787" s="61" t="s">
        <v>752</v>
      </c>
      <c r="D787" s="209" t="str">
        <f t="shared" si="16"/>
        <v>7F 18 00 00:(同名固定)闪避动作精力消耗降低 -3.0%[腿部]</v>
      </c>
    </row>
    <row r="788" spans="1:4">
      <c r="A788" s="55" t="s">
        <v>1491</v>
      </c>
      <c r="B788" s="56" t="s">
        <v>1492</v>
      </c>
      <c r="C788" s="61" t="s">
        <v>746</v>
      </c>
      <c r="D788" s="209" t="str">
        <f t="shared" si="16"/>
        <v>89 6E 00 00:闪避动作精力消耗降低 -1.0%[头部/手臂/足部]</v>
      </c>
    </row>
    <row r="789" spans="1:4">
      <c r="A789" s="55" t="s">
        <v>1493</v>
      </c>
      <c r="B789" s="56" t="s">
        <v>1494</v>
      </c>
      <c r="C789" s="61" t="s">
        <v>749</v>
      </c>
      <c r="D789" s="209" t="str">
        <f t="shared" si="16"/>
        <v>29 76 00 00:闪避动作精力消耗降低 -2.0%[身体]</v>
      </c>
    </row>
    <row r="790" spans="1:4">
      <c r="A790" s="55" t="s">
        <v>1495</v>
      </c>
      <c r="B790" s="56" t="s">
        <v>1496</v>
      </c>
      <c r="C790" s="61" t="s">
        <v>752</v>
      </c>
      <c r="D790" s="209" t="str">
        <f t="shared" si="16"/>
        <v>98 EF 00 00:闪避动作精力消耗降低 -3.0%[腿部]</v>
      </c>
    </row>
    <row r="791" spans="1:4">
      <c r="A791" s="55" t="s">
        <v>1497</v>
      </c>
      <c r="B791" s="205" t="s">
        <v>1498</v>
      </c>
      <c r="C791" s="61" t="s">
        <v>749</v>
      </c>
      <c r="D791" s="209" t="str">
        <f t="shared" si="16"/>
        <v>B4 E7 00 00:(星)闪避动作精力消耗降低 -3.0%[身体]</v>
      </c>
    </row>
    <row r="792" spans="1:4">
      <c r="A792" s="55" t="s">
        <v>1499</v>
      </c>
      <c r="B792" s="61" t="s">
        <v>1500</v>
      </c>
      <c r="C792" s="61" t="s">
        <v>746</v>
      </c>
      <c r="D792" s="209" t="str">
        <f t="shared" si="16"/>
        <v>B5 E1 00 00:闪避动作精力消耗降低(绝境) -3.0%[头部/手臂/足部]</v>
      </c>
    </row>
    <row r="793" spans="1:4">
      <c r="A793" s="55" t="s">
        <v>1501</v>
      </c>
      <c r="B793" s="61" t="s">
        <v>1502</v>
      </c>
      <c r="C793" s="61" t="s">
        <v>749</v>
      </c>
      <c r="D793" s="209" t="str">
        <f t="shared" si="16"/>
        <v>49 6B 00 00:闪避动作精力消耗降低(绝境) -6.0%[身体]</v>
      </c>
    </row>
    <row r="794" spans="1:4">
      <c r="A794" s="55" t="s">
        <v>1503</v>
      </c>
      <c r="B794" s="61" t="s">
        <v>1504</v>
      </c>
      <c r="C794" s="61" t="s">
        <v>752</v>
      </c>
      <c r="D794" s="209" t="str">
        <f t="shared" si="16"/>
        <v>63 CE 00 00:闪避动作精力消耗降低(绝境) -9.0%[腿部]</v>
      </c>
    </row>
    <row r="795" spans="1:4">
      <c r="A795" s="55" t="s">
        <v>1505</v>
      </c>
      <c r="B795" s="61" t="s">
        <v>1506</v>
      </c>
      <c r="C795" s="61" t="s">
        <v>746</v>
      </c>
      <c r="D795" s="209" t="str">
        <f t="shared" si="16"/>
        <v>B8 6E 00 00:绝境赋予移动速度上升(3.3%)[头部/手臂/足部]</v>
      </c>
    </row>
    <row r="796" spans="1:4">
      <c r="A796" s="55" t="s">
        <v>1507</v>
      </c>
      <c r="B796" s="61" t="s">
        <v>1508</v>
      </c>
      <c r="C796" s="61" t="s">
        <v>749</v>
      </c>
      <c r="D796" s="209" t="str">
        <f t="shared" si="16"/>
        <v>FC 4C 00 00:绝境赋予移动速度上升(6.6%)[身体]</v>
      </c>
    </row>
    <row r="797" spans="1:4">
      <c r="A797" s="55" t="s">
        <v>1509</v>
      </c>
      <c r="B797" s="61" t="s">
        <v>1510</v>
      </c>
      <c r="C797" s="61" t="s">
        <v>752</v>
      </c>
      <c r="D797" s="209" t="str">
        <f t="shared" si="16"/>
        <v>36 95 00 00:绝境赋予移动速度上升(9.9%)[腿部]</v>
      </c>
    </row>
    <row r="798" spans="1:4">
      <c r="A798" s="55" t="s">
        <v>1511</v>
      </c>
      <c r="B798" s="61" t="s">
        <v>1512</v>
      </c>
      <c r="C798" s="61" t="s">
        <v>746</v>
      </c>
      <c r="D798" s="209" t="str">
        <f t="shared" si="16"/>
        <v>DC E3 00 00:打倒敌人时赋予移动速度上升(1.4%)[头部/手臂/足部]</v>
      </c>
    </row>
    <row r="799" spans="1:4">
      <c r="A799" s="55" t="s">
        <v>1513</v>
      </c>
      <c r="B799" s="61" t="s">
        <v>1514</v>
      </c>
      <c r="C799" s="61" t="s">
        <v>749</v>
      </c>
      <c r="D799" s="209" t="str">
        <f t="shared" si="16"/>
        <v>3A FA 00 00:打倒敌人时赋予移动速度上升(2.7%)[身体]</v>
      </c>
    </row>
    <row r="800" spans="1:4">
      <c r="A800" s="55" t="s">
        <v>1515</v>
      </c>
      <c r="B800" s="61" t="s">
        <v>1516</v>
      </c>
      <c r="C800" s="61" t="s">
        <v>752</v>
      </c>
      <c r="D800" s="209" t="str">
        <f t="shared" si="16"/>
        <v>5B 2B 00 00:打倒敌人时赋予移动速度上升(4.0%)[腿部]</v>
      </c>
    </row>
    <row r="801" spans="1:4">
      <c r="A801" s="55" t="s">
        <v>1517</v>
      </c>
      <c r="B801" s="61" t="s">
        <v>1518</v>
      </c>
      <c r="C801" s="61" t="s">
        <v>746</v>
      </c>
      <c r="D801" s="209" t="str">
        <f t="shared" si="16"/>
        <v>C5 43 00 00:(同名固定)冲刺精力消耗降低 -4.0%[头部/手臂/足部]</v>
      </c>
    </row>
    <row r="802" spans="1:4">
      <c r="A802" s="55" t="s">
        <v>1519</v>
      </c>
      <c r="B802" s="61" t="s">
        <v>1520</v>
      </c>
      <c r="C802" s="61" t="s">
        <v>749</v>
      </c>
      <c r="D802" s="209" t="str">
        <f t="shared" si="16"/>
        <v>6E F8 00 00:(同名固定)冲刺精力消耗降低 -8.0%[身体]</v>
      </c>
    </row>
    <row r="803" spans="1:4">
      <c r="A803" s="55" t="s">
        <v>1521</v>
      </c>
      <c r="B803" s="61" t="s">
        <v>1522</v>
      </c>
      <c r="C803" s="61" t="s">
        <v>752</v>
      </c>
      <c r="D803" s="209" t="str">
        <f t="shared" si="16"/>
        <v>13 19 00 00:(同名固定)冲刺精力消耗降低 -5.0%[腿部]</v>
      </c>
    </row>
    <row r="804" spans="1:4">
      <c r="A804" s="55" t="s">
        <v>1523</v>
      </c>
      <c r="B804" s="56" t="s">
        <v>1524</v>
      </c>
      <c r="C804" s="61" t="s">
        <v>746</v>
      </c>
      <c r="D804" s="209" t="str">
        <f t="shared" si="16"/>
        <v>46 4E 00 00:祓除常世赋予移动速度上升(1.5%)[头部/手臂/足部]</v>
      </c>
    </row>
    <row r="805" spans="1:4">
      <c r="A805" s="55" t="s">
        <v>1525</v>
      </c>
      <c r="B805" s="56" t="s">
        <v>1526</v>
      </c>
      <c r="C805" s="61" t="s">
        <v>749</v>
      </c>
      <c r="D805" s="209" t="str">
        <f t="shared" si="16"/>
        <v>A3 C5 00 00:祓除常世赋予移动速度上升(2.9%)[身体]</v>
      </c>
    </row>
    <row r="806" spans="1:4">
      <c r="A806" s="55" t="s">
        <v>1527</v>
      </c>
      <c r="B806" s="56" t="s">
        <v>1528</v>
      </c>
      <c r="C806" s="61" t="s">
        <v>752</v>
      </c>
      <c r="D806" s="209" t="str">
        <f t="shared" si="16"/>
        <v>DE 5F 00 00:祓除常世赋予移动速度上升(4.3%)[腿部]</v>
      </c>
    </row>
    <row r="807" spans="1:4">
      <c r="A807" s="55" t="s">
        <v>1529</v>
      </c>
      <c r="B807" s="61" t="s">
        <v>1530</v>
      </c>
      <c r="C807" s="61" t="s">
        <v>746</v>
      </c>
      <c r="D807" s="209" t="str">
        <f t="shared" si="16"/>
        <v>87 08 00 00:陷入异常状态时赋予移动速度上升(1.6%)[头部/手臂/足部]</v>
      </c>
    </row>
    <row r="808" spans="1:4">
      <c r="A808" s="55" t="s">
        <v>1531</v>
      </c>
      <c r="B808" s="61" t="s">
        <v>1532</v>
      </c>
      <c r="C808" s="61" t="s">
        <v>749</v>
      </c>
      <c r="D808" s="209" t="str">
        <f t="shared" si="16"/>
        <v>46 52 00 00:陷入异常状态时赋予移动速度上升(3.1%)[身体]</v>
      </c>
    </row>
    <row r="809" spans="1:4">
      <c r="A809" s="55" t="s">
        <v>1533</v>
      </c>
      <c r="B809" s="61" t="s">
        <v>1534</v>
      </c>
      <c r="C809" s="61" t="s">
        <v>752</v>
      </c>
      <c r="D809" s="209" t="str">
        <f t="shared" si="16"/>
        <v>EF 06 00 00:陷入异常状态时赋予移动速度上升(4.7%)[腿部]</v>
      </c>
    </row>
    <row r="810" spans="1:4">
      <c r="A810" s="55" t="s">
        <v>1535</v>
      </c>
      <c r="B810" s="56" t="s">
        <v>1536</v>
      </c>
      <c r="C810" s="61" t="s">
        <v>746</v>
      </c>
      <c r="D810" s="209" t="str">
        <f t="shared" si="16"/>
        <v>A4 87 00 00:吸收精华后赋予移动速度上升(1.1%)[头部/手臂/足部]</v>
      </c>
    </row>
    <row r="811" spans="1:4">
      <c r="A811" s="55" t="s">
        <v>1537</v>
      </c>
      <c r="B811" s="56" t="s">
        <v>1538</v>
      </c>
      <c r="C811" s="61" t="s">
        <v>749</v>
      </c>
      <c r="D811" s="209" t="str">
        <f t="shared" si="16"/>
        <v>CB CF 00 00:吸收精华后赋予移动速度上升(2.2%)[身体]</v>
      </c>
    </row>
    <row r="812" spans="1:4">
      <c r="A812" s="55" t="s">
        <v>1539</v>
      </c>
      <c r="B812" s="56" t="s">
        <v>1540</v>
      </c>
      <c r="C812" s="61" t="s">
        <v>752</v>
      </c>
      <c r="D812" s="209" t="str">
        <f t="shared" si="16"/>
        <v>CE 2D 00 00:吸收精华后赋予移动速度上升(3.3%)[腿部]</v>
      </c>
    </row>
    <row r="813" spans="1:4">
      <c r="A813" s="55" t="s">
        <v>1541</v>
      </c>
      <c r="B813" s="56" t="s">
        <v>1542</v>
      </c>
      <c r="C813" s="61" t="s">
        <v>746</v>
      </c>
      <c r="D813" s="209" t="str">
        <f t="shared" si="16"/>
        <v>A7 F0 00 00:精力受到攻击降至50%以下时赋予移动速度上升(1.4%)[头部/手臂/足部]</v>
      </c>
    </row>
    <row r="814" spans="1:4">
      <c r="A814" s="55" t="s">
        <v>1543</v>
      </c>
      <c r="B814" s="56" t="s">
        <v>1544</v>
      </c>
      <c r="C814" s="61" t="s">
        <v>749</v>
      </c>
      <c r="D814" s="209" t="str">
        <f t="shared" si="16"/>
        <v>8F 0C 00 00:精力受到攻击降至50%以下时赋予移动速度上升(2.8%)[身体]</v>
      </c>
    </row>
    <row r="815" spans="1:4">
      <c r="A815" s="55" t="s">
        <v>1545</v>
      </c>
      <c r="B815" s="56" t="s">
        <v>1546</v>
      </c>
      <c r="C815" s="61" t="s">
        <v>752</v>
      </c>
      <c r="D815" s="209" t="str">
        <f t="shared" si="16"/>
        <v>F9 CC 00 00:精力受到攻击降至50%以下时赋予移动速度上升(4.2%)[腿部]</v>
      </c>
    </row>
    <row r="816" spans="1:4">
      <c r="A816" s="55" t="s">
        <v>1547</v>
      </c>
      <c r="B816" s="56" t="s">
        <v>1548</v>
      </c>
      <c r="C816" s="61" t="s">
        <v>746</v>
      </c>
      <c r="D816" s="209" t="str">
        <f t="shared" si="16"/>
        <v>95 99 00 00:阴阳术命中赋予移动速度上升（1.4%）[头部/手臂/足部]</v>
      </c>
    </row>
    <row r="817" spans="1:4">
      <c r="A817" s="55" t="s">
        <v>1549</v>
      </c>
      <c r="B817" s="56" t="s">
        <v>1550</v>
      </c>
      <c r="C817" s="61" t="s">
        <v>749</v>
      </c>
      <c r="D817" s="209" t="str">
        <f t="shared" si="16"/>
        <v>60 80 00 00:阴阳术命中赋予移动速度上升（2.7%）[身体]</v>
      </c>
    </row>
    <row r="818" spans="1:4">
      <c r="A818" s="55" t="s">
        <v>1551</v>
      </c>
      <c r="B818" s="56" t="s">
        <v>1552</v>
      </c>
      <c r="C818" s="61" t="s">
        <v>752</v>
      </c>
      <c r="D818" s="209" t="str">
        <f t="shared" si="16"/>
        <v>F9 DD 00 00:阴阳术命中赋予移动速度上升（4.0%）[腿部]</v>
      </c>
    </row>
    <row r="819" spans="1:4">
      <c r="A819" s="55" t="s">
        <v>1553</v>
      </c>
      <c r="B819" s="56" t="s">
        <v>1554</v>
      </c>
      <c r="C819" s="61" t="s">
        <v>746</v>
      </c>
      <c r="D819" s="209" t="str">
        <f t="shared" si="16"/>
        <v>2D 43 00 00:忍术命中赋予移动速度上升（1.4%）[头部/手臂/足部]</v>
      </c>
    </row>
    <row r="820" spans="1:4">
      <c r="A820" s="55" t="s">
        <v>1555</v>
      </c>
      <c r="B820" s="56" t="s">
        <v>1556</v>
      </c>
      <c r="C820" s="61" t="s">
        <v>749</v>
      </c>
      <c r="D820" s="209" t="str">
        <f t="shared" si="16"/>
        <v>AF 88 00 00:忍术命中赋予移动速度上升（2.7%）[身体]</v>
      </c>
    </row>
    <row r="821" spans="1:4">
      <c r="A821" s="55" t="s">
        <v>1557</v>
      </c>
      <c r="B821" s="56" t="s">
        <v>1558</v>
      </c>
      <c r="C821" s="61" t="s">
        <v>752</v>
      </c>
      <c r="D821" s="209" t="str">
        <f t="shared" si="16"/>
        <v>86 87 00 00:忍术命中赋予移动速度上升（4.0%）[腿部]</v>
      </c>
    </row>
    <row r="822" spans="1:4">
      <c r="A822" s="55" t="s">
        <v>1559</v>
      </c>
      <c r="B822" s="56" t="s">
        <v>1560</v>
      </c>
      <c r="C822" s="61" t="s">
        <v>746</v>
      </c>
      <c r="D822" s="209" t="str">
        <f t="shared" si="16"/>
        <v>F7 DC 00 00:恢复体力赋予移动速度上升（1.4%）[头部/手臂/足部]</v>
      </c>
    </row>
    <row r="823" spans="1:4">
      <c r="A823" s="55" t="s">
        <v>1561</v>
      </c>
      <c r="B823" s="56" t="s">
        <v>1562</v>
      </c>
      <c r="C823" s="61" t="s">
        <v>749</v>
      </c>
      <c r="D823" s="209" t="str">
        <f t="shared" si="16"/>
        <v>94 52 00 00:恢复体力赋予移动速度上升（2.7%）[身体]</v>
      </c>
    </row>
    <row r="824" spans="1:4">
      <c r="A824" s="55" t="s">
        <v>1563</v>
      </c>
      <c r="B824" s="56" t="s">
        <v>1564</v>
      </c>
      <c r="C824" s="61" t="s">
        <v>752</v>
      </c>
      <c r="D824" s="209" t="str">
        <f t="shared" si="16"/>
        <v>CD 75 00 00:恢复体力赋予移动速度上升（4.0%）[腿部]</v>
      </c>
    </row>
    <row r="825" spans="1:4">
      <c r="A825" s="55" t="s">
        <v>1565</v>
      </c>
      <c r="B825" s="56" t="s">
        <v>1566</v>
      </c>
      <c r="C825" s="61" t="s">
        <v>723</v>
      </c>
      <c r="D825" s="209" t="str">
        <f t="shared" si="16"/>
        <v>BB 6C 00 00:(同名固定)火属性伤害 +4.4%[头部]</v>
      </c>
    </row>
    <row r="826" spans="1:4">
      <c r="A826" s="55" t="s">
        <v>1567</v>
      </c>
      <c r="B826" s="56" t="s">
        <v>1568</v>
      </c>
      <c r="C826" s="61" t="s">
        <v>723</v>
      </c>
      <c r="D826" s="209" t="str">
        <f t="shared" si="16"/>
        <v>E8 91 00 00:(同名固定)敌人的水状态累计 +3.5%[头部]</v>
      </c>
    </row>
    <row r="827" spans="1:4">
      <c r="A827" s="55" t="s">
        <v>1569</v>
      </c>
      <c r="B827" s="61" t="s">
        <v>1570</v>
      </c>
      <c r="C827" s="61" t="s">
        <v>723</v>
      </c>
      <c r="D827" s="209" t="str">
        <f t="shared" si="16"/>
        <v>F1 55 00 00:(同名固定)对处于毒状态敌人的近距离伤害 +2.0%[头部]</v>
      </c>
    </row>
    <row r="828" spans="1:4">
      <c r="A828" s="55" t="s">
        <v>1571</v>
      </c>
      <c r="B828" s="61" t="s">
        <v>1572</v>
      </c>
      <c r="C828" s="61" t="s">
        <v>1573</v>
      </c>
      <c r="D828" s="209" t="str">
        <f t="shared" si="16"/>
        <v>32 0B 00 00:(同名固定)守护灵技的伤害 +20.0%[饰品]</v>
      </c>
    </row>
    <row r="829" spans="1:4">
      <c r="A829" s="55" t="s">
        <v>1574</v>
      </c>
      <c r="B829" s="61" t="s">
        <v>1575</v>
      </c>
      <c r="C829" s="61" t="s">
        <v>1573</v>
      </c>
      <c r="D829" s="209" t="str">
        <f t="shared" si="16"/>
        <v>E6 22 00 00:(同名固定)近距离攻击的精力消耗降低 -4.5%[饰品]</v>
      </c>
    </row>
    <row r="830" spans="1:4">
      <c r="A830" s="55" t="s">
        <v>1576</v>
      </c>
      <c r="B830" s="61" t="s">
        <v>833</v>
      </c>
      <c r="C830" s="61" t="s">
        <v>1573</v>
      </c>
      <c r="D830" s="209" t="str">
        <f t="shared" si="16"/>
        <v>96 AA 00 00:(同名固定)精力 +20[饰品]</v>
      </c>
    </row>
    <row r="831" spans="1:4">
      <c r="A831" s="55" t="s">
        <v>1577</v>
      </c>
      <c r="B831" s="56" t="s">
        <v>848</v>
      </c>
      <c r="C831" s="61" t="s">
        <v>1573</v>
      </c>
      <c r="D831" s="209" t="str">
        <f t="shared" si="16"/>
        <v>6B 64 00 00:火抗性 +10[饰品]</v>
      </c>
    </row>
    <row r="832" spans="1:4">
      <c r="A832" s="55" t="s">
        <v>1578</v>
      </c>
      <c r="B832" s="205" t="s">
        <v>1579</v>
      </c>
      <c r="C832" s="61" t="s">
        <v>1573</v>
      </c>
      <c r="D832" s="209" t="str">
        <f t="shared" si="16"/>
        <v>61 F9 00 00:(星)火抗性 +12[饰品]</v>
      </c>
    </row>
    <row r="833" spans="1:4">
      <c r="A833" s="55" t="s">
        <v>1580</v>
      </c>
      <c r="B833" s="56" t="s">
        <v>854</v>
      </c>
      <c r="C833" s="61" t="s">
        <v>1573</v>
      </c>
      <c r="D833" s="209" t="str">
        <f t="shared" si="16"/>
        <v>00 A5 00 00:水抗性 +10[饰品]</v>
      </c>
    </row>
    <row r="834" spans="1:4">
      <c r="A834" s="55" t="s">
        <v>1581</v>
      </c>
      <c r="B834" s="205" t="s">
        <v>1582</v>
      </c>
      <c r="C834" s="61" t="s">
        <v>1573</v>
      </c>
      <c r="D834" s="209" t="str">
        <f t="shared" si="16"/>
        <v>AC A0 00 00:(星)水抗性 +12[饰品]</v>
      </c>
    </row>
    <row r="835" spans="1:4">
      <c r="A835" s="55" t="s">
        <v>1583</v>
      </c>
      <c r="B835" s="56" t="s">
        <v>860</v>
      </c>
      <c r="C835" s="61" t="s">
        <v>1573</v>
      </c>
      <c r="D835" s="209" t="str">
        <f t="shared" si="16"/>
        <v>1E A3 00 00:雷抗性 +10[饰品]</v>
      </c>
    </row>
    <row r="836" spans="1:4">
      <c r="A836" s="55" t="s">
        <v>1584</v>
      </c>
      <c r="B836" s="205" t="s">
        <v>1585</v>
      </c>
      <c r="C836" s="61" t="s">
        <v>1573</v>
      </c>
      <c r="D836" s="209" t="str">
        <f t="shared" si="16"/>
        <v>DE 80 00 00:(星)雷抗性 +12[饰品]</v>
      </c>
    </row>
    <row r="837" spans="1:4">
      <c r="A837" s="55" t="s">
        <v>1586</v>
      </c>
      <c r="B837" s="56" t="s">
        <v>866</v>
      </c>
      <c r="C837" s="61" t="s">
        <v>1573</v>
      </c>
      <c r="D837" s="209" t="str">
        <f t="shared" si="16"/>
        <v>CF 9C 00 00:风抗性 +10[饰品]</v>
      </c>
    </row>
    <row r="838" spans="1:4">
      <c r="A838" s="55" t="s">
        <v>1587</v>
      </c>
      <c r="B838" s="56" t="s">
        <v>1588</v>
      </c>
      <c r="C838" s="61" t="s">
        <v>1573</v>
      </c>
      <c r="D838" s="209" t="str">
        <f t="shared" si="16"/>
        <v>E9 35 00 00:防御时的属性攻击伤害降低 +15[饰品]</v>
      </c>
    </row>
    <row r="839" spans="1:4">
      <c r="A839" s="55" t="s">
        <v>1589</v>
      </c>
      <c r="B839" s="61" t="s">
        <v>884</v>
      </c>
      <c r="C839" s="61" t="s">
        <v>1573</v>
      </c>
      <c r="D839" s="209" t="str">
        <f t="shared" si="16"/>
        <v>ED 39 00 00:(同名固定)属性攻击伤害降低 +8[饰品]</v>
      </c>
    </row>
    <row r="840" spans="1:4">
      <c r="A840" s="55" t="s">
        <v>1590</v>
      </c>
      <c r="B840" s="56" t="s">
        <v>888</v>
      </c>
      <c r="C840" s="61" t="s">
        <v>1573</v>
      </c>
      <c r="D840" s="209" t="str">
        <f t="shared" si="16"/>
        <v>37 BB 00 00:属性攻击伤害降低 +5[饰品]</v>
      </c>
    </row>
    <row r="841" spans="1:4">
      <c r="A841" s="55" t="s">
        <v>1591</v>
      </c>
      <c r="B841" s="61" t="s">
        <v>1592</v>
      </c>
      <c r="C841" s="61" t="s">
        <v>1573</v>
      </c>
      <c r="D841" s="209" t="str">
        <f t="shared" si="16"/>
        <v>59 D5 00 00:(同名固定)火属性伤害降低 +15[饰品]</v>
      </c>
    </row>
    <row r="842" spans="1:4">
      <c r="A842" s="55" t="s">
        <v>1593</v>
      </c>
      <c r="B842" s="56" t="s">
        <v>896</v>
      </c>
      <c r="C842" s="61" t="s">
        <v>1573</v>
      </c>
      <c r="D842" s="209" t="str">
        <f>LEFT(A842,11)&amp;":"&amp;B842&amp;C842</f>
        <v>64 5D 00 00:火属性伤害降低 +10[饰品]</v>
      </c>
    </row>
    <row r="843" spans="1:4">
      <c r="A843" s="55" t="s">
        <v>1594</v>
      </c>
      <c r="B843" s="205" t="s">
        <v>1595</v>
      </c>
      <c r="C843" s="61" t="s">
        <v>1573</v>
      </c>
      <c r="D843" s="209" t="str">
        <f t="shared" ref="D843:D868" si="17">LEFT(A843,11)&amp;":"&amp;B843&amp;C843</f>
        <v>DA E6 00 00:(星)火属性伤害降低 +15[饰品]</v>
      </c>
    </row>
    <row r="844" spans="1:4">
      <c r="A844" s="55" t="s">
        <v>1596</v>
      </c>
      <c r="B844" s="61" t="s">
        <v>1597</v>
      </c>
      <c r="C844" s="61" t="s">
        <v>1573</v>
      </c>
      <c r="D844" s="209" t="str">
        <f t="shared" si="17"/>
        <v>74 FA 00 00:(同名固定)水属性伤害降低 +15[饰品]</v>
      </c>
    </row>
    <row r="845" spans="1:4">
      <c r="A845" s="55" t="s">
        <v>1598</v>
      </c>
      <c r="B845" s="56" t="s">
        <v>902</v>
      </c>
      <c r="C845" s="61" t="s">
        <v>1573</v>
      </c>
      <c r="D845" s="209" t="str">
        <f t="shared" si="17"/>
        <v>86 B7 00 00:水属性伤害降低 +10[饰品]</v>
      </c>
    </row>
    <row r="846" spans="1:4">
      <c r="A846" s="55" t="s">
        <v>1599</v>
      </c>
      <c r="B846" s="205" t="s">
        <v>1600</v>
      </c>
      <c r="C846" s="61" t="s">
        <v>1573</v>
      </c>
      <c r="D846" s="209" t="str">
        <f t="shared" si="17"/>
        <v>CE C1 00 00:(星)水属性伤害降低 +15[饰品]</v>
      </c>
    </row>
    <row r="847" spans="1:4">
      <c r="A847" s="55" t="s">
        <v>1601</v>
      </c>
      <c r="B847" s="61" t="s">
        <v>1602</v>
      </c>
      <c r="C847" s="61" t="s">
        <v>1573</v>
      </c>
      <c r="D847" s="209" t="str">
        <f t="shared" si="17"/>
        <v>36 AF 00 00:(同名固定)雷属性伤害降低 +15[饰品]</v>
      </c>
    </row>
    <row r="848" spans="1:4">
      <c r="A848" s="55" t="s">
        <v>1603</v>
      </c>
      <c r="B848" s="56" t="s">
        <v>908</v>
      </c>
      <c r="C848" s="61" t="s">
        <v>1573</v>
      </c>
      <c r="D848" s="209" t="str">
        <f t="shared" si="17"/>
        <v>4E 56 00 00:雷属性伤害降低 +10[饰品]</v>
      </c>
    </row>
    <row r="849" spans="1:4">
      <c r="A849" s="55" t="s">
        <v>1604</v>
      </c>
      <c r="B849" s="61" t="s">
        <v>1605</v>
      </c>
      <c r="C849" s="61" t="s">
        <v>1573</v>
      </c>
      <c r="D849" s="209" t="str">
        <f t="shared" si="17"/>
        <v>3B A6 00 00:(同名固定)风属性伤害降低 +15[饰品]</v>
      </c>
    </row>
    <row r="850" spans="1:4">
      <c r="A850" s="55" t="s">
        <v>1606</v>
      </c>
      <c r="B850" s="56" t="s">
        <v>914</v>
      </c>
      <c r="C850" s="61" t="s">
        <v>1573</v>
      </c>
      <c r="D850" s="209" t="str">
        <f t="shared" si="17"/>
        <v>37 F9 00 00:风属性伤害降低 +10[饰品]</v>
      </c>
    </row>
    <row r="851" spans="1:4">
      <c r="A851" s="55" t="s">
        <v>1607</v>
      </c>
      <c r="B851" s="205" t="s">
        <v>918</v>
      </c>
      <c r="C851" s="61" t="s">
        <v>1573</v>
      </c>
      <c r="D851" s="209" t="str">
        <f t="shared" si="17"/>
        <v>CE 85 00 00:(星)风属性伤害降低 +15[饰品]</v>
      </c>
    </row>
    <row r="852" spans="1:4">
      <c r="A852" s="55" t="s">
        <v>1608</v>
      </c>
      <c r="B852" s="61" t="s">
        <v>1609</v>
      </c>
      <c r="C852" s="61" t="s">
        <v>1573</v>
      </c>
      <c r="D852" s="209" t="str">
        <f t="shared" si="17"/>
        <v>32 3E 00 00:(同名固定)毒抗性 +15[饰品]</v>
      </c>
    </row>
    <row r="853" spans="1:4">
      <c r="A853" s="55" t="s">
        <v>1610</v>
      </c>
      <c r="B853" s="56" t="s">
        <v>923</v>
      </c>
      <c r="C853" s="61" t="s">
        <v>1573</v>
      </c>
      <c r="D853" s="209" t="str">
        <f t="shared" si="17"/>
        <v>00 35 00 00:毒抗性 +10[饰品]</v>
      </c>
    </row>
    <row r="854" spans="1:4">
      <c r="A854" s="55" t="s">
        <v>1611</v>
      </c>
      <c r="B854" s="61" t="s">
        <v>1612</v>
      </c>
      <c r="C854" s="61" t="s">
        <v>1573</v>
      </c>
      <c r="D854" s="209" t="str">
        <f t="shared" si="17"/>
        <v>A2 03 00 00:(同名固定)麻痹抗性 +15[饰品]</v>
      </c>
    </row>
    <row r="855" spans="1:4">
      <c r="A855" s="55" t="s">
        <v>1613</v>
      </c>
      <c r="B855" s="56" t="s">
        <v>929</v>
      </c>
      <c r="C855" s="61" t="s">
        <v>1573</v>
      </c>
      <c r="D855" s="209" t="str">
        <f t="shared" si="17"/>
        <v>24 3A 00 00:麻痹抗性 +10[饰品]</v>
      </c>
    </row>
    <row r="856" spans="1:4">
      <c r="A856" s="55" t="s">
        <v>1614</v>
      </c>
      <c r="B856" s="205" t="s">
        <v>1615</v>
      </c>
      <c r="C856" s="61" t="s">
        <v>1573</v>
      </c>
      <c r="D856" s="209" t="str">
        <f t="shared" si="17"/>
        <v>70 48 00 00:(星)麻痹抗性 +15[饰品]</v>
      </c>
    </row>
    <row r="857" spans="1:4">
      <c r="A857" s="55" t="s">
        <v>1616</v>
      </c>
      <c r="B857" s="56" t="s">
        <v>1617</v>
      </c>
      <c r="C857" s="61" t="s">
        <v>1573</v>
      </c>
      <c r="D857" s="209" t="str">
        <f t="shared" si="17"/>
        <v>E6 B4 00 00:中毒时持续承受伤害降低 -10.0%[饰品]</v>
      </c>
    </row>
    <row r="858" spans="1:4">
      <c r="A858" s="55" t="s">
        <v>1618</v>
      </c>
      <c r="B858" s="56" t="s">
        <v>1619</v>
      </c>
      <c r="C858" s="61" t="s">
        <v>1573</v>
      </c>
      <c r="D858" s="209" t="str">
        <f t="shared" si="17"/>
        <v>5C BD 00 00:着火时持续承受伤害降低 -10.0%[饰品]</v>
      </c>
    </row>
    <row r="859" spans="1:4">
      <c r="A859" s="55" t="s">
        <v>1620</v>
      </c>
      <c r="B859" s="61" t="s">
        <v>1621</v>
      </c>
      <c r="C859" s="61" t="s">
        <v>1573</v>
      </c>
      <c r="D859" s="209" t="str">
        <f t="shared" si="17"/>
        <v>EE 82 00 00:(同名固定)异常状态抗性 +10[饰品]</v>
      </c>
    </row>
    <row r="860" spans="1:4">
      <c r="A860" s="55" t="s">
        <v>1622</v>
      </c>
      <c r="B860" s="61" t="s">
        <v>1623</v>
      </c>
      <c r="C860" s="61" t="s">
        <v>1573</v>
      </c>
      <c r="D860" s="209" t="str">
        <f t="shared" si="17"/>
        <v>37 21 00 00:(同名固定)获得金钱 +3.1%[饰品]</v>
      </c>
    </row>
    <row r="861" spans="1:4">
      <c r="A861" s="55" t="s">
        <v>1624</v>
      </c>
      <c r="B861" s="61" t="s">
        <v>1625</v>
      </c>
      <c r="C861" s="61" t="s">
        <v>1573</v>
      </c>
      <c r="D861" s="209" t="str">
        <f t="shared" si="17"/>
        <v>F0 4C 00 00:获得金钱 +3.1%[饰品]</v>
      </c>
    </row>
    <row r="862" spans="1:4">
      <c r="A862" s="55" t="s">
        <v>1626</v>
      </c>
      <c r="B862" s="56" t="s">
        <v>1627</v>
      </c>
      <c r="C862" s="61" t="s">
        <v>1573</v>
      </c>
      <c r="D862" s="209" t="str">
        <f t="shared" si="17"/>
        <v>AA 64 00 00:获得武功 +3.1%[饰品]</v>
      </c>
    </row>
    <row r="863" spans="1:4">
      <c r="A863" s="55" t="s">
        <v>1628</v>
      </c>
      <c r="B863" s="56" t="s">
        <v>1629</v>
      </c>
      <c r="C863" s="61" t="s">
        <v>1573</v>
      </c>
      <c r="D863" s="209" t="str">
        <f t="shared" si="17"/>
        <v>B3 37 00 00:打倒敌人时赋予幸运增加(41)[饰品]</v>
      </c>
    </row>
    <row r="864" spans="1:4">
      <c r="A864" s="55" t="s">
        <v>1630</v>
      </c>
      <c r="B864" s="56" t="s">
        <v>1631</v>
      </c>
      <c r="C864" s="61" t="s">
        <v>1573</v>
      </c>
      <c r="D864" s="209" t="str">
        <f t="shared" si="17"/>
        <v>A0 FA 00 00:幸运(绝境) +15[饰品]</v>
      </c>
    </row>
    <row r="865" spans="1:4">
      <c r="A865" s="55" t="s">
        <v>1632</v>
      </c>
      <c r="B865" s="56" t="s">
        <v>1633</v>
      </c>
      <c r="C865" s="61" t="s">
        <v>1573</v>
      </c>
      <c r="D865" s="209" t="str">
        <f t="shared" si="17"/>
        <v>96 78 00 00:幸运(地狱) +10[饰品]</v>
      </c>
    </row>
    <row r="866" spans="1:4">
      <c r="A866" s="55" t="s">
        <v>1634</v>
      </c>
      <c r="B866" s="56" t="s">
        <v>1635</v>
      </c>
      <c r="C866" s="61" t="s">
        <v>1573</v>
      </c>
      <c r="D866" s="209" t="str">
        <f t="shared" si="17"/>
        <v>0B A6 00 00:吸收精华后赋予幸运增加(34)[饰品]</v>
      </c>
    </row>
    <row r="867" spans="1:4">
      <c r="A867" s="55" t="s">
        <v>1636</v>
      </c>
      <c r="B867" s="199" t="s">
        <v>228</v>
      </c>
      <c r="C867" s="61" t="s">
        <v>1573</v>
      </c>
      <c r="D867" s="209" t="str">
        <f t="shared" si="17"/>
        <v>B2 C7 00 00:幸运反映(精华槽) D+[饰品]</v>
      </c>
    </row>
    <row r="868" spans="1:4">
      <c r="A868" s="55" t="s">
        <v>1637</v>
      </c>
      <c r="B868" s="205" t="s">
        <v>1638</v>
      </c>
      <c r="C868" s="61" t="s">
        <v>1573</v>
      </c>
      <c r="D868" s="209" t="str">
        <f t="shared" si="17"/>
        <v>FF 8E 00 00:强攻击获得精华 34[饰品]</v>
      </c>
    </row>
    <row r="869" spans="1:4">
      <c r="A869" s="55" t="s">
        <v>1639</v>
      </c>
      <c r="B869" s="205" t="s">
        <v>1640</v>
      </c>
      <c r="C869" s="61" t="s">
        <v>1573</v>
      </c>
      <c r="D869" s="209" t="str">
        <f t="shared" ref="D869:D877" si="18">LEFT(A869,11)&amp;":"&amp;B869&amp;C869</f>
        <v>D7 6F 00 00:(同名固定)获得精华 +1.8%[饰品]</v>
      </c>
    </row>
    <row r="870" spans="1:4">
      <c r="A870" s="55" t="s">
        <v>1641</v>
      </c>
      <c r="B870" s="56" t="s">
        <v>1642</v>
      </c>
      <c r="C870" s="61" t="s">
        <v>1573</v>
      </c>
      <c r="D870" s="209" t="str">
        <f t="shared" si="18"/>
        <v>3A 51 00 00:获得精华 +3.1%[饰品]</v>
      </c>
    </row>
    <row r="871" spans="1:4">
      <c r="A871" s="55" t="s">
        <v>1643</v>
      </c>
      <c r="B871" s="61" t="s">
        <v>1644</v>
      </c>
      <c r="C871" s="61" t="s">
        <v>1573</v>
      </c>
      <c r="D871" s="209" t="str">
        <f t="shared" si="18"/>
        <v>7E 03 00 00:获得精华(地狱) +4.0%[饰品]</v>
      </c>
    </row>
    <row r="872" spans="1:4">
      <c r="A872" s="55" t="s">
        <v>1645</v>
      </c>
      <c r="B872" s="61" t="s">
        <v>1646</v>
      </c>
      <c r="C872" s="61" t="s">
        <v>1573</v>
      </c>
      <c r="D872" s="209" t="str">
        <f t="shared" si="18"/>
        <v>FA 70 00 00:(同名固定)道具掉落率 +3.1%[饰品]</v>
      </c>
    </row>
    <row r="873" spans="1:4">
      <c r="A873" s="55" t="s">
        <v>1647</v>
      </c>
      <c r="B873" s="61" t="s">
        <v>1648</v>
      </c>
      <c r="C873" s="61" t="s">
        <v>1573</v>
      </c>
      <c r="D873" s="209" t="str">
        <f t="shared" si="18"/>
        <v>A2 9F 00 00:道具掉落率 +10.0%[饰品]</v>
      </c>
    </row>
    <row r="874" spans="1:4">
      <c r="A874" s="55" t="s">
        <v>1649</v>
      </c>
      <c r="B874" s="61" t="s">
        <v>1650</v>
      </c>
      <c r="C874" s="61" t="s">
        <v>1573</v>
      </c>
      <c r="D874" s="209" t="str">
        <f t="shared" si="18"/>
        <v>34 A9 00 00:(同名固定)装备品掉落率 +3.1%[饰品]</v>
      </c>
    </row>
    <row r="875" spans="1:4">
      <c r="A875" s="55" t="s">
        <v>1651</v>
      </c>
      <c r="B875" s="56" t="s">
        <v>1652</v>
      </c>
      <c r="C875" s="61" t="s">
        <v>1573</v>
      </c>
      <c r="D875" s="209" t="str">
        <f t="shared" si="18"/>
        <v>48 5C 00 00:装备品掉落率 +10.0%[饰品]</v>
      </c>
    </row>
    <row r="876" spans="1:4">
      <c r="A876" s="55" t="s">
        <v>1653</v>
      </c>
      <c r="B876" s="61" t="s">
        <v>1654</v>
      </c>
      <c r="C876" s="61" t="s">
        <v>1573</v>
      </c>
      <c r="D876" s="209" t="str">
        <f t="shared" si="18"/>
        <v>A1 F7 00 00:(同名固定)魂核掉落率 +4.5%[饰品]</v>
      </c>
    </row>
    <row r="877" spans="1:4">
      <c r="A877" s="55" t="s">
        <v>1655</v>
      </c>
      <c r="B877" s="56" t="s">
        <v>1656</v>
      </c>
      <c r="C877" s="61" t="s">
        <v>1573</v>
      </c>
      <c r="D877" s="209" t="str">
        <f t="shared" si="18"/>
        <v>F4 94 00 00:魂核掉落率 +10.0%[饰品]</v>
      </c>
    </row>
    <row r="878" spans="1:4">
      <c r="A878" s="55" t="s">
        <v>1657</v>
      </c>
      <c r="B878" s="56" t="s">
        <v>250</v>
      </c>
      <c r="C878" s="61" t="s">
        <v>1573</v>
      </c>
      <c r="D878" s="209" t="str">
        <f t="shared" ref="D877:D919" si="19">LEFT(A878,11)&amp;":"&amp;B878&amp;C878</f>
        <v>5D EF 00 00:地狱武器掉落率 +4.0%[饰品]</v>
      </c>
    </row>
    <row r="879" spans="1:4">
      <c r="A879" s="55" t="s">
        <v>1658</v>
      </c>
      <c r="B879" s="56" t="s">
        <v>1659</v>
      </c>
      <c r="C879" s="61" t="s">
        <v>1573</v>
      </c>
      <c r="D879" s="209" t="str">
        <f t="shared" si="19"/>
        <v>EC BD 00 00:幸运 +7[饰品]</v>
      </c>
    </row>
    <row r="880" spans="1:4">
      <c r="A880" s="55" t="s">
        <v>1660</v>
      </c>
      <c r="B880" s="61" t="s">
        <v>1661</v>
      </c>
      <c r="C880" s="61" t="s">
        <v>1573</v>
      </c>
      <c r="D880" s="209" t="str">
        <f t="shared" si="19"/>
        <v>20 D0 00 00:(同名固定)感应精华[饰品]</v>
      </c>
    </row>
    <row r="881" spans="1:4">
      <c r="A881" s="55" t="s">
        <v>1662</v>
      </c>
      <c r="B881" s="56" t="s">
        <v>1663</v>
      </c>
      <c r="C881" s="61" t="s">
        <v>1573</v>
      </c>
      <c r="D881" s="209" t="str">
        <f t="shared" si="19"/>
        <v>46 BA 00 00:仙药掉落率 +8.0%[饰品]</v>
      </c>
    </row>
    <row r="882" spans="1:4">
      <c r="A882" s="55" t="s">
        <v>1664</v>
      </c>
      <c r="B882" s="56" t="s">
        <v>1048</v>
      </c>
      <c r="C882" s="61" t="s">
        <v>1573</v>
      </c>
      <c r="D882" s="209" t="str">
        <f t="shared" si="19"/>
        <v>7B 24 00 00:背后攻击灵力增加量 +1.7%[饰品]</v>
      </c>
    </row>
    <row r="883" spans="1:4">
      <c r="A883" s="55" t="s">
        <v>1665</v>
      </c>
      <c r="B883" s="61" t="s">
        <v>1666</v>
      </c>
      <c r="C883" s="61" t="s">
        <v>1573</v>
      </c>
      <c r="D883" s="209" t="str">
        <f t="shared" si="19"/>
        <v>2B C6 00 00:(同名固定)造成火属性伤害时增加灵力 B[饰品]</v>
      </c>
    </row>
    <row r="884" spans="1:4">
      <c r="A884" s="55"/>
      <c r="B884" s="199" t="s">
        <v>1667</v>
      </c>
      <c r="C884" s="61" t="s">
        <v>1573</v>
      </c>
      <c r="D884" s="209" t="str">
        <f t="shared" si="19"/>
        <v>:造成火属性伤害时增加灵力 C-[饰品]</v>
      </c>
    </row>
    <row r="885" spans="1:4">
      <c r="A885" s="55" t="s">
        <v>1668</v>
      </c>
      <c r="B885" s="199" t="s">
        <v>1669</v>
      </c>
      <c r="C885" s="61" t="s">
        <v>1573</v>
      </c>
      <c r="D885" s="209" t="str">
        <f t="shared" si="19"/>
        <v>5F B2 00 00:造成水属性伤害时增加灵力 C-[饰品]</v>
      </c>
    </row>
    <row r="886" spans="1:4">
      <c r="A886" s="55" t="s">
        <v>1670</v>
      </c>
      <c r="B886" s="199" t="s">
        <v>1671</v>
      </c>
      <c r="C886" s="61" t="s">
        <v>1573</v>
      </c>
      <c r="D886" s="209" t="str">
        <f t="shared" si="19"/>
        <v>E9 C3 00 00:造成雷属性伤害时增加灵力 C-[饰品]</v>
      </c>
    </row>
    <row r="887" spans="1:4">
      <c r="A887" s="55" t="s">
        <v>1672</v>
      </c>
      <c r="B887" s="199" t="s">
        <v>1673</v>
      </c>
      <c r="C887" s="61" t="s">
        <v>1573</v>
      </c>
      <c r="D887" s="209" t="str">
        <f t="shared" si="19"/>
        <v>E6 04 00 00:造成风属性伤害时增加灵力 C-[饰品]</v>
      </c>
    </row>
    <row r="888" spans="1:4">
      <c r="A888" s="55"/>
      <c r="B888" s="61" t="s">
        <v>1674</v>
      </c>
      <c r="C888" s="61" t="s">
        <v>1573</v>
      </c>
      <c r="D888" s="209" t="str">
        <f t="shared" si="19"/>
        <v>:使敌人陷入火状态时增加灵力 C-[饰品]</v>
      </c>
    </row>
    <row r="889" spans="1:4">
      <c r="A889" s="55" t="s">
        <v>1675</v>
      </c>
      <c r="B889" s="61" t="s">
        <v>1676</v>
      </c>
      <c r="C889" s="61" t="s">
        <v>1573</v>
      </c>
      <c r="D889" s="209" t="str">
        <f t="shared" si="19"/>
        <v>AA B7 00 00:使敌人陷入水状态时增加灵力 C-[饰品]</v>
      </c>
    </row>
    <row r="890" spans="1:4">
      <c r="A890" s="55"/>
      <c r="B890" s="61" t="s">
        <v>1677</v>
      </c>
      <c r="C890" s="61" t="s">
        <v>1573</v>
      </c>
      <c r="D890" s="209" t="str">
        <f t="shared" si="19"/>
        <v>:使敌人陷入雷状态时增加灵力 C-[饰品]</v>
      </c>
    </row>
    <row r="891" spans="1:4">
      <c r="A891" s="55" t="s">
        <v>1678</v>
      </c>
      <c r="B891" s="61" t="s">
        <v>1679</v>
      </c>
      <c r="C891" s="61" t="s">
        <v>1573</v>
      </c>
      <c r="D891" s="209" t="str">
        <f t="shared" si="19"/>
        <v>94 E2 00 00:使敌人陷入风状态时增加灵力 C-[饰品]</v>
      </c>
    </row>
    <row r="892" spans="1:4">
      <c r="A892" s="55" t="s">
        <v>1680</v>
      </c>
      <c r="B892" s="61" t="s">
        <v>1681</v>
      </c>
      <c r="C892" s="61" t="s">
        <v>1573</v>
      </c>
      <c r="D892" s="209" t="str">
        <f t="shared" si="19"/>
        <v>C5 59 00 00:使敌人陷入毒状态时增加灵力 C-[饰品]</v>
      </c>
    </row>
    <row r="893" spans="1:4">
      <c r="A893" s="55" t="s">
        <v>1682</v>
      </c>
      <c r="B893" s="61" t="s">
        <v>1683</v>
      </c>
      <c r="C893" s="61" t="s">
        <v>1573</v>
      </c>
      <c r="D893" s="209" t="str">
        <f t="shared" si="19"/>
        <v>50 35 00 00:使敌人陷入麻痹状态时增加灵力 C-[饰品]</v>
      </c>
    </row>
    <row r="894" spans="1:4">
      <c r="A894" s="55" t="s">
        <v>1684</v>
      </c>
      <c r="B894" s="56" t="s">
        <v>1685</v>
      </c>
      <c r="C894" s="61" t="s">
        <v>1573</v>
      </c>
      <c r="D894" s="209" t="str">
        <f t="shared" si="19"/>
        <v>05 AC 00 00:使敌人陷入异常状态时增加灵力 C-[饰品]</v>
      </c>
    </row>
    <row r="895" spans="1:4">
      <c r="A895" s="55" t="s">
        <v>1686</v>
      </c>
      <c r="B895" s="56" t="s">
        <v>1687</v>
      </c>
      <c r="C895" s="61" t="s">
        <v>1573</v>
      </c>
      <c r="D895" s="209" t="str">
        <f t="shared" si="19"/>
        <v>9F 81 00 00:近距离攻击的灵力增加量 +1.4%[饰品]</v>
      </c>
    </row>
    <row r="896" spans="1:4">
      <c r="A896" s="55" t="s">
        <v>1688</v>
      </c>
      <c r="B896" s="56" t="s">
        <v>1689</v>
      </c>
      <c r="C896" s="61" t="s">
        <v>1573</v>
      </c>
      <c r="D896" s="209" t="str">
        <f t="shared" si="19"/>
        <v>32 15 00 00:强攻击灵力增加量 +1.5%[饰品]</v>
      </c>
    </row>
    <row r="897" spans="1:4">
      <c r="A897" s="55" t="s">
        <v>1690</v>
      </c>
      <c r="B897" s="56" t="s">
        <v>1691</v>
      </c>
      <c r="C897" s="61" t="s">
        <v>1573</v>
      </c>
      <c r="D897" s="209" t="str">
        <f t="shared" si="19"/>
        <v>CC 86 00 00:武技灵力增加量 +1.5%[饰品]</v>
      </c>
    </row>
    <row r="898" spans="1:4">
      <c r="A898" s="55" t="s">
        <v>1692</v>
      </c>
      <c r="B898" s="61" t="s">
        <v>1693</v>
      </c>
      <c r="C898" s="61" t="s">
        <v>1573</v>
      </c>
      <c r="D898" s="209" t="str">
        <f t="shared" si="19"/>
        <v>2B 64 00 00:(同名固定)灵力 +4.0[饰品]</v>
      </c>
    </row>
    <row r="899" spans="1:4">
      <c r="A899" s="55" t="s">
        <v>1694</v>
      </c>
      <c r="B899" s="56" t="s">
        <v>1074</v>
      </c>
      <c r="C899" s="61" t="s">
        <v>1573</v>
      </c>
      <c r="D899" s="209" t="str">
        <f t="shared" si="19"/>
        <v>0F 71 00 00:灵力 +2.0[饰品]</v>
      </c>
    </row>
    <row r="900" spans="1:4">
      <c r="A900" s="55" t="s">
        <v>1695</v>
      </c>
      <c r="B900" s="61" t="s">
        <v>1696</v>
      </c>
      <c r="C900" s="61" t="s">
        <v>1573</v>
      </c>
      <c r="D900" s="209" t="str">
        <f t="shared" si="19"/>
        <v>2A 95 00 00:(同名固定)获得精华增加灵力 B[饰品]</v>
      </c>
    </row>
    <row r="901" spans="1:4">
      <c r="A901" s="55" t="s">
        <v>1697</v>
      </c>
      <c r="B901" s="56" t="s">
        <v>304</v>
      </c>
      <c r="C901" s="61" t="s">
        <v>1573</v>
      </c>
      <c r="D901" s="209" t="str">
        <f t="shared" si="19"/>
        <v>CC 48 00 00:获得精华增加灵力 C[饰品]</v>
      </c>
    </row>
    <row r="902" spans="1:4">
      <c r="A902" s="55" t="s">
        <v>1698</v>
      </c>
      <c r="B902" s="61" t="s">
        <v>310</v>
      </c>
      <c r="C902" s="61" t="s">
        <v>1573</v>
      </c>
      <c r="D902" s="209" t="str">
        <f t="shared" si="19"/>
        <v>C7 71 00 00:获得精华增加灵力(绝境) B-[饰品]</v>
      </c>
    </row>
    <row r="903" spans="1:4">
      <c r="A903" s="55" t="s">
        <v>1699</v>
      </c>
      <c r="B903" s="61" t="s">
        <v>312</v>
      </c>
      <c r="C903" s="61" t="s">
        <v>1573</v>
      </c>
      <c r="D903" s="209" t="str">
        <f t="shared" si="19"/>
        <v>1D 7C 00 00:获得精华增加灵力(无伤) C+[饰品]</v>
      </c>
    </row>
    <row r="904" spans="1:4">
      <c r="A904" s="55"/>
      <c r="B904" s="56" t="s">
        <v>314</v>
      </c>
      <c r="C904" s="61" t="s">
        <v>1573</v>
      </c>
      <c r="D904" s="209" t="str">
        <f t="shared" si="19"/>
        <v>:攻击处于麻痹状态的敌人增加灵力 AAA+[饰品]</v>
      </c>
    </row>
    <row r="905" spans="1:4">
      <c r="A905" s="55" t="s">
        <v>1700</v>
      </c>
      <c r="B905" s="56" t="s">
        <v>316</v>
      </c>
      <c r="C905" s="61" t="s">
        <v>1573</v>
      </c>
      <c r="D905" s="209" t="str">
        <f t="shared" si="19"/>
        <v>19 BC 00 00:攻击处于毒状态的敌人增加灵力 C+[饰品]</v>
      </c>
    </row>
    <row r="906" spans="1:4">
      <c r="A906" s="55" t="s">
        <v>1701</v>
      </c>
      <c r="B906" s="56" t="s">
        <v>318</v>
      </c>
      <c r="C906" s="61" t="s">
        <v>1573</v>
      </c>
      <c r="D906" s="209" t="str">
        <f t="shared" si="19"/>
        <v>6A 13 00 00:攻击处于火状态的敌人增加灵力 C+[饰品]</v>
      </c>
    </row>
    <row r="907" spans="1:4">
      <c r="A907" s="55" t="s">
        <v>1702</v>
      </c>
      <c r="B907" s="56" t="s">
        <v>320</v>
      </c>
      <c r="C907" s="61" t="s">
        <v>1573</v>
      </c>
      <c r="D907" s="209" t="str">
        <f t="shared" si="19"/>
        <v>F5 45 00 00:攻击处于水状态的敌人增加灵力 C+[饰品]</v>
      </c>
    </row>
    <row r="908" spans="1:4">
      <c r="A908" s="55" t="s">
        <v>1703</v>
      </c>
      <c r="B908" s="56" t="s">
        <v>322</v>
      </c>
      <c r="C908" s="61" t="s">
        <v>1573</v>
      </c>
      <c r="D908" s="209" t="str">
        <f t="shared" si="19"/>
        <v>47 6E 00 00:攻击处于雷状态的敌人增加灵力 C+[饰品]</v>
      </c>
    </row>
    <row r="909" spans="1:4">
      <c r="A909" s="55"/>
      <c r="B909" s="56" t="s">
        <v>324</v>
      </c>
      <c r="C909" s="61" t="s">
        <v>1573</v>
      </c>
      <c r="D909" s="209" t="str">
        <f t="shared" si="19"/>
        <v>:攻击处于风状态的敌人增加灵力 C+[饰品]</v>
      </c>
    </row>
    <row r="910" spans="1:4">
      <c r="A910" s="55" t="s">
        <v>1704</v>
      </c>
      <c r="B910" s="56" t="s">
        <v>326</v>
      </c>
      <c r="C910" s="61" t="s">
        <v>1573</v>
      </c>
      <c r="D910" s="209" t="str">
        <f t="shared" si="19"/>
        <v>B5 F1 00 00:追击和近身刺击增加灵力(C+)[饰品]</v>
      </c>
    </row>
    <row r="911" spans="1:4">
      <c r="A911" s="55" t="s">
        <v>1705</v>
      </c>
      <c r="B911" s="61" t="s">
        <v>1099</v>
      </c>
      <c r="C911" s="61" t="s">
        <v>1573</v>
      </c>
      <c r="D911" s="209" t="str">
        <f t="shared" si="19"/>
        <v>11 99 00 00:(同名固定)灵力增加量 +1.4%[饰品]</v>
      </c>
    </row>
    <row r="912" spans="1:4">
      <c r="A912" s="55" t="s">
        <v>1706</v>
      </c>
      <c r="B912" s="56" t="s">
        <v>1101</v>
      </c>
      <c r="C912" s="61" t="s">
        <v>1573</v>
      </c>
      <c r="D912" s="209" t="str">
        <f t="shared" si="19"/>
        <v>08 00 00 00:灵力增加量 +1.4%[饰品]</v>
      </c>
    </row>
    <row r="913" spans="1:4">
      <c r="A913" s="55" t="s">
        <v>1707</v>
      </c>
      <c r="B913" s="61" t="s">
        <v>1708</v>
      </c>
      <c r="C913" s="61" t="s">
        <v>1573</v>
      </c>
      <c r="D913" s="209" t="str">
        <f t="shared" si="19"/>
        <v>87 EC 00 00:(同名固定)灵力增加量(绝境) +4.1%[饰品]</v>
      </c>
    </row>
    <row r="914" spans="1:4">
      <c r="A914" s="55" t="s">
        <v>1709</v>
      </c>
      <c r="B914" s="61" t="s">
        <v>1108</v>
      </c>
      <c r="C914" s="61" t="s">
        <v>1573</v>
      </c>
      <c r="D914" s="209" t="str">
        <f t="shared" si="19"/>
        <v>2A 94 00 00:灵力增加量(绝境) +4.1%[饰品]</v>
      </c>
    </row>
    <row r="915" spans="1:4">
      <c r="A915" s="55" t="s">
        <v>1710</v>
      </c>
      <c r="B915" s="61" t="s">
        <v>1711</v>
      </c>
      <c r="C915" s="61" t="s">
        <v>1573</v>
      </c>
      <c r="D915" s="209" t="str">
        <f t="shared" si="19"/>
        <v>2F 5B 00 00:(同名固定)灵力增加量(无伤) +1.7%[饰品]</v>
      </c>
    </row>
    <row r="916" spans="1:4">
      <c r="A916" s="55" t="s">
        <v>1712</v>
      </c>
      <c r="B916" s="61" t="s">
        <v>1113</v>
      </c>
      <c r="C916" s="61" t="s">
        <v>1573</v>
      </c>
      <c r="D916" s="209" t="str">
        <f t="shared" si="19"/>
        <v>89 64 00 00:灵力增加量(无伤) +1.7%[饰品]</v>
      </c>
    </row>
    <row r="917" spans="1:4">
      <c r="A917" s="55" t="s">
        <v>1713</v>
      </c>
      <c r="B917" s="61" t="s">
        <v>1118</v>
      </c>
      <c r="C917" s="61" t="s">
        <v>1573</v>
      </c>
      <c r="D917" s="209" t="str">
        <f t="shared" si="19"/>
        <v>17 BC 00 00:灵力增加量(地狱) +1.8%[饰品]</v>
      </c>
    </row>
    <row r="918" spans="1:4">
      <c r="A918" s="55" t="s">
        <v>1714</v>
      </c>
      <c r="B918" s="61" t="s">
        <v>1123</v>
      </c>
      <c r="C918" s="61" t="s">
        <v>1573</v>
      </c>
      <c r="D918" s="209" t="str">
        <f t="shared" si="19"/>
        <v>B1 4C 00 00:灵力增加量(负面效果时) +1.8%[饰品]</v>
      </c>
    </row>
    <row r="919" spans="1:4">
      <c r="A919" s="55" t="s">
        <v>1715</v>
      </c>
      <c r="B919" s="61" t="s">
        <v>1128</v>
      </c>
      <c r="C919" s="61" t="s">
        <v>1573</v>
      </c>
      <c r="D919" s="209" t="str">
        <f t="shared" si="19"/>
        <v>C6 98 00 00:灵力增加量(正面效果时) +1.5%[饰品]</v>
      </c>
    </row>
    <row r="920" spans="1:4">
      <c r="A920" s="55" t="s">
        <v>1716</v>
      </c>
      <c r="B920" s="56" t="s">
        <v>1717</v>
      </c>
      <c r="C920" s="61" t="s">
        <v>1573</v>
      </c>
      <c r="D920" s="209" t="str">
        <f t="shared" ref="D920:D926" si="20">LEFT(A920,11)&amp;":"&amp;B920&amp;C920</f>
        <v>FD 8C 00 00:忍术命中增加灵力 C[饰品]</v>
      </c>
    </row>
    <row r="921" spans="1:4">
      <c r="A921" s="55" t="s">
        <v>1718</v>
      </c>
      <c r="B921" s="56" t="s">
        <v>1719</v>
      </c>
      <c r="C921" s="61" t="s">
        <v>1573</v>
      </c>
      <c r="D921" s="209" t="str">
        <f t="shared" si="20"/>
        <v>C7 67 00 00:阴阳术命中增加灵力 C[饰品]</v>
      </c>
    </row>
    <row r="922" spans="1:4">
      <c r="A922" s="55" t="s">
        <v>1720</v>
      </c>
      <c r="B922" s="56" t="s">
        <v>1133</v>
      </c>
      <c r="C922" s="61" t="s">
        <v>1573</v>
      </c>
      <c r="D922" s="209" t="str">
        <f t="shared" si="20"/>
        <v>75 9B 00 00:祓除常世增加灵力 +4[饰品]</v>
      </c>
    </row>
    <row r="923" spans="1:4">
      <c r="A923" s="55" t="s">
        <v>1721</v>
      </c>
      <c r="B923" s="61" t="s">
        <v>1722</v>
      </c>
      <c r="C923" s="61" t="s">
        <v>1573</v>
      </c>
      <c r="D923" s="209" t="str">
        <f t="shared" si="20"/>
        <v>97 8B 00 00:(同名固定)使用仙药时增加灵力 +14[饰品]</v>
      </c>
    </row>
    <row r="924" spans="1:4">
      <c r="A924" s="55" t="s">
        <v>1723</v>
      </c>
      <c r="B924" s="56" t="s">
        <v>1724</v>
      </c>
      <c r="C924" s="61" t="s">
        <v>1573</v>
      </c>
      <c r="D924" s="209" t="str">
        <f t="shared" si="20"/>
        <v>7B B7 00 00:使用仙药时增加灵力 +15[饰品]</v>
      </c>
    </row>
    <row r="925" spans="1:4">
      <c r="A925" s="55" t="s">
        <v>1725</v>
      </c>
      <c r="B925" s="61" t="s">
        <v>1726</v>
      </c>
      <c r="C925" s="61" t="s">
        <v>1573</v>
      </c>
      <c r="D925" s="209" t="str">
        <f t="shared" si="20"/>
        <v>5B D4 00 00:(同名固定)格挡可增加灵力 +10[饰品]</v>
      </c>
    </row>
    <row r="926" spans="1:4">
      <c r="A926" s="55" t="s">
        <v>1727</v>
      </c>
      <c r="B926" s="61" t="s">
        <v>1728</v>
      </c>
      <c r="C926" s="61" t="s">
        <v>1573</v>
      </c>
      <c r="D926" s="209" t="str">
        <f t="shared" si="20"/>
        <v>FD B3 00 00:(同名固定)识破可增加灵力 +10[饰品]</v>
      </c>
    </row>
    <row r="927" spans="1:4">
      <c r="A927" s="55" t="s">
        <v>1729</v>
      </c>
      <c r="B927" s="61" t="s">
        <v>1730</v>
      </c>
      <c r="C927" s="61" t="s">
        <v>1573</v>
      </c>
      <c r="D927" s="209" t="str">
        <f t="shared" ref="D927:D975" si="21">LEFT(A927,11)&amp;":"&amp;B927&amp;C927</f>
        <v>E8 CB 00 00:(同名固定)格挡可增加灵力 +14[饰品]</v>
      </c>
    </row>
    <row r="928" spans="1:4">
      <c r="A928" s="55" t="s">
        <v>1731</v>
      </c>
      <c r="B928" s="61" t="s">
        <v>1732</v>
      </c>
      <c r="C928" s="61" t="s">
        <v>1573</v>
      </c>
      <c r="D928" s="209" t="str">
        <f t="shared" si="21"/>
        <v>53 8B 00 00:(同名固定)识破可增加灵力 +14[饰品]</v>
      </c>
    </row>
    <row r="929" spans="1:4">
      <c r="A929" s="55" t="s">
        <v>1733</v>
      </c>
      <c r="B929" s="56" t="s">
        <v>1734</v>
      </c>
      <c r="C929" s="61" t="s">
        <v>1573</v>
      </c>
      <c r="D929" s="209" t="str">
        <f t="shared" si="21"/>
        <v>43 CC 00 00:以守护灵技打倒敌人可回收灵力 +0.9%[饰品]</v>
      </c>
    </row>
    <row r="930" spans="1:4">
      <c r="A930" s="55" t="s">
        <v>1735</v>
      </c>
      <c r="B930" s="56" t="s">
        <v>1736</v>
      </c>
      <c r="C930" s="61" t="s">
        <v>1573</v>
      </c>
      <c r="D930" s="209" t="str">
        <f t="shared" si="21"/>
        <v>03 F2 00 00:守护灵技灵力消耗减少 -1.5%[饰品]</v>
      </c>
    </row>
    <row r="931" spans="1:4">
      <c r="A931" s="55" t="s">
        <v>1737</v>
      </c>
      <c r="B931" s="56" t="s">
        <v>1738</v>
      </c>
      <c r="C931" s="61" t="s">
        <v>1573</v>
      </c>
      <c r="D931" s="209" t="str">
        <f t="shared" si="21"/>
        <v>EE 2E 00 00:身处常世时恢复体力(33)[饰品]</v>
      </c>
    </row>
    <row r="932" spans="1:4">
      <c r="A932" s="55" t="s">
        <v>1739</v>
      </c>
      <c r="B932" s="56" t="s">
        <v>1740</v>
      </c>
      <c r="C932" s="61" t="s">
        <v>1573</v>
      </c>
      <c r="D932" s="209" t="str">
        <f t="shared" si="21"/>
        <v>FB FC 00 00:不消耗御神水 10.0%[饰品]</v>
      </c>
    </row>
    <row r="933" spans="1:4">
      <c r="A933" s="55" t="s">
        <v>1741</v>
      </c>
      <c r="B933" s="61" t="s">
        <v>1742</v>
      </c>
      <c r="C933" s="61" t="s">
        <v>1573</v>
      </c>
      <c r="D933" s="209" t="str">
        <f t="shared" si="21"/>
        <v>5D C4 00 00:(同名固定)不消耗仙药 +5.0%[饰品]</v>
      </c>
    </row>
    <row r="934" spans="1:4">
      <c r="A934" s="55" t="s">
        <v>1743</v>
      </c>
      <c r="B934" s="56" t="s">
        <v>1744</v>
      </c>
      <c r="C934" s="61" t="s">
        <v>1573</v>
      </c>
      <c r="D934" s="209" t="str">
        <f t="shared" si="21"/>
        <v>5A AB 00 00:不消耗仙药 +8.0%[饰品]</v>
      </c>
    </row>
    <row r="935" spans="1:4">
      <c r="A935" s="55" t="s">
        <v>1745</v>
      </c>
      <c r="B935" s="205" t="s">
        <v>1746</v>
      </c>
      <c r="C935" s="61" t="s">
        <v>1573</v>
      </c>
      <c r="D935" s="209" t="str">
        <f t="shared" si="21"/>
        <v>6D 93 00 00:(星)不消耗仙药 +12.0%[饰品]</v>
      </c>
    </row>
    <row r="936" spans="1:4">
      <c r="A936" s="55" t="s">
        <v>1747</v>
      </c>
      <c r="B936" s="56" t="s">
        <v>1748</v>
      </c>
      <c r="C936" s="61" t="s">
        <v>1573</v>
      </c>
      <c r="D936" s="209" t="str">
        <f t="shared" si="21"/>
        <v>ED 23 00 00:爱用度增加量 +8.0%[饰品]</v>
      </c>
    </row>
    <row r="937" spans="1:4">
      <c r="A937" s="55" t="s">
        <v>1749</v>
      </c>
      <c r="B937" s="61" t="s">
        <v>1750</v>
      </c>
      <c r="C937" s="61" t="s">
        <v>1573</v>
      </c>
      <c r="D937" s="209" t="str">
        <f t="shared" si="21"/>
        <v>D8 DE 00 00:(同名固定)死亡时自动回收刀冢 +20.0%[饰品]</v>
      </c>
    </row>
    <row r="938" spans="1:4">
      <c r="A938" s="55" t="s">
        <v>1751</v>
      </c>
      <c r="B938" s="56" t="s">
        <v>1752</v>
      </c>
      <c r="C938" s="61" t="s">
        <v>1573</v>
      </c>
      <c r="D938" s="209" t="str">
        <f t="shared" si="21"/>
        <v>42 41 00 00:死亡时自动回收刀冢 +8.0%[饰品]</v>
      </c>
    </row>
    <row r="939" spans="1:4">
      <c r="A939" s="55" t="s">
        <v>1753</v>
      </c>
      <c r="B939" s="56" t="s">
        <v>1754</v>
      </c>
      <c r="C939" s="61" t="s">
        <v>1573</v>
      </c>
      <c r="D939" s="209" t="str">
        <f t="shared" si="21"/>
        <v>62 2E 00 00:死亡时自动回收一部分精华 +10.0%[饰品]</v>
      </c>
    </row>
    <row r="940" spans="1:4">
      <c r="A940" s="55" t="s">
        <v>1755</v>
      </c>
      <c r="B940" s="61" t="s">
        <v>1155</v>
      </c>
      <c r="C940" s="61" t="s">
        <v>1573</v>
      </c>
      <c r="D940" s="209" t="str">
        <f t="shared" si="21"/>
        <v>13 6B 00 00:(同名固定)阴阳术 术力 +20[饰品]</v>
      </c>
    </row>
    <row r="941" spans="1:4">
      <c r="A941" s="55" t="s">
        <v>1756</v>
      </c>
      <c r="B941" s="203" t="s">
        <v>1757</v>
      </c>
      <c r="C941" s="61" t="s">
        <v>1573</v>
      </c>
      <c r="D941" s="209" t="str">
        <f t="shared" si="21"/>
        <v>D4 53 00 00:(同名固定)组合效果的所需装备数 -1[饰品]</v>
      </c>
    </row>
    <row r="942" spans="1:4">
      <c r="A942" s="55" t="s">
        <v>1758</v>
      </c>
      <c r="B942" s="61" t="s">
        <v>1759</v>
      </c>
      <c r="C942" s="61" t="s">
        <v>1573</v>
      </c>
      <c r="D942" s="209" t="str">
        <f t="shared" si="21"/>
        <v>32 50 00 00:(同名固定)防御力 +10[饰品]</v>
      </c>
    </row>
    <row r="943" spans="1:4">
      <c r="A943" s="55" t="s">
        <v>1760</v>
      </c>
      <c r="B943" s="61" t="s">
        <v>1761</v>
      </c>
      <c r="C943" s="61" t="s">
        <v>1573</v>
      </c>
      <c r="D943" s="209" t="str">
        <f t="shared" si="21"/>
        <v>3D E1 00 00:(同名固定)承受的远距离伤害降低 -1.2%[饰品]</v>
      </c>
    </row>
    <row r="944" spans="1:4">
      <c r="A944" s="55" t="s">
        <v>1762</v>
      </c>
      <c r="B944" s="56" t="s">
        <v>418</v>
      </c>
      <c r="C944" s="61" t="s">
        <v>1573</v>
      </c>
      <c r="D944" s="209" t="str">
        <f t="shared" si="21"/>
        <v>96 71 00 00:近距离攻击打倒敌人时恢复体力 30[饰品]</v>
      </c>
    </row>
    <row r="945" spans="1:4">
      <c r="A945" s="55" t="s">
        <v>1763</v>
      </c>
      <c r="B945" s="199" t="s">
        <v>420</v>
      </c>
      <c r="C945" s="61" t="s">
        <v>1573</v>
      </c>
      <c r="D945" s="209" t="str">
        <f t="shared" si="21"/>
        <v>4A ED 00 00:打倒敌人时赋予自动恢复体力(33)[饰品]</v>
      </c>
    </row>
    <row r="946" spans="1:4">
      <c r="A946" s="55" t="s">
        <v>1764</v>
      </c>
      <c r="B946" s="61" t="s">
        <v>422</v>
      </c>
      <c r="C946" s="61" t="s">
        <v>1573</v>
      </c>
      <c r="D946" s="209" t="str">
        <f t="shared" si="21"/>
        <v>9A 5A 00 00:造成火属性伤害时吸取体力 C[饰品]</v>
      </c>
    </row>
    <row r="947" spans="1:4">
      <c r="A947" s="55" t="s">
        <v>1765</v>
      </c>
      <c r="B947" s="61" t="s">
        <v>426</v>
      </c>
      <c r="C947" s="61" t="s">
        <v>1573</v>
      </c>
      <c r="D947" s="209" t="str">
        <f t="shared" si="21"/>
        <v>22 05 00 00:造成水属性伤害时吸取体力 C[饰品]</v>
      </c>
    </row>
    <row r="948" spans="1:4">
      <c r="A948" s="55" t="s">
        <v>1766</v>
      </c>
      <c r="B948" s="61" t="s">
        <v>428</v>
      </c>
      <c r="C948" s="61" t="s">
        <v>1573</v>
      </c>
      <c r="D948" s="209" t="str">
        <f t="shared" si="21"/>
        <v>37 0A 00 00:造成雷属性伤害时吸取体力 C[饰品]</v>
      </c>
    </row>
    <row r="949" spans="1:4">
      <c r="A949" s="55" t="s">
        <v>1767</v>
      </c>
      <c r="B949" s="61" t="s">
        <v>430</v>
      </c>
      <c r="C949" s="61" t="s">
        <v>1573</v>
      </c>
      <c r="D949" s="209" t="str">
        <f t="shared" si="21"/>
        <v>0E 64 00 00:造成风属性伤害时吸取体力 C[饰品]</v>
      </c>
    </row>
    <row r="950" spans="1:4">
      <c r="A950" s="55" t="s">
        <v>1768</v>
      </c>
      <c r="B950" s="199" t="s">
        <v>438</v>
      </c>
      <c r="C950" s="61" t="s">
        <v>1573</v>
      </c>
      <c r="D950" s="209" t="str">
        <f t="shared" si="21"/>
        <v>AB 97 00 00:格挡成功时赋予自动恢复体力(31)[饰品]</v>
      </c>
    </row>
    <row r="951" spans="1:4">
      <c r="A951" s="55" t="s">
        <v>1769</v>
      </c>
      <c r="B951" s="199" t="s">
        <v>440</v>
      </c>
      <c r="C951" s="61" t="s">
        <v>1573</v>
      </c>
      <c r="D951" s="209" t="str">
        <f t="shared" si="21"/>
        <v>44 0B 00 00:成功识破时自动恢复体力(31)[饰品]</v>
      </c>
    </row>
    <row r="952" spans="1:4">
      <c r="A952" s="55" t="s">
        <v>1770</v>
      </c>
      <c r="B952" s="56" t="s">
        <v>442</v>
      </c>
      <c r="C952" s="61" t="s">
        <v>1573</v>
      </c>
      <c r="D952" s="209" t="str">
        <f t="shared" si="21"/>
        <v>C4 8A 00 00:追击和近身刺击可恢复体力 30[饰品]</v>
      </c>
    </row>
    <row r="953" spans="1:4">
      <c r="A953" s="55" t="s">
        <v>1771</v>
      </c>
      <c r="B953" s="199" t="s">
        <v>1772</v>
      </c>
      <c r="C953" s="61" t="s">
        <v>1573</v>
      </c>
      <c r="D953" s="209" t="str">
        <f t="shared" si="21"/>
        <v>24 FB 00 00:获得魂核时恢复体力 50[饰品]</v>
      </c>
    </row>
    <row r="954" spans="1:4">
      <c r="A954" s="55" t="s">
        <v>1773</v>
      </c>
      <c r="B954" s="61" t="s">
        <v>1327</v>
      </c>
      <c r="C954" s="61" t="s">
        <v>1573</v>
      </c>
      <c r="D954" s="209" t="str">
        <f t="shared" si="21"/>
        <v>71 03 00 00:祓除常世可恢复体力 33[饰品]</v>
      </c>
    </row>
    <row r="955" spans="1:4">
      <c r="A955" s="55" t="s">
        <v>1774</v>
      </c>
      <c r="B955" s="61" t="s">
        <v>444</v>
      </c>
      <c r="C955" s="61" t="s">
        <v>1573</v>
      </c>
      <c r="D955" s="209" t="str">
        <f t="shared" si="21"/>
        <v>DA 9E 00 00:箭弹命中弱点可恢复体力 42[饰品]</v>
      </c>
    </row>
    <row r="956" spans="1:4">
      <c r="A956" s="55" t="s">
        <v>1775</v>
      </c>
      <c r="B956" s="61" t="s">
        <v>1776</v>
      </c>
      <c r="C956" s="61" t="s">
        <v>1573</v>
      </c>
      <c r="D956" s="209" t="str">
        <f t="shared" si="21"/>
        <v>C2 9E 00 00:(同名固定)吸收精华可恢复体力 4[饰品]</v>
      </c>
    </row>
    <row r="957" spans="1:4">
      <c r="A957" s="55" t="s">
        <v>1777</v>
      </c>
      <c r="B957" s="205" t="s">
        <v>448</v>
      </c>
      <c r="C957" s="61" t="s">
        <v>1573</v>
      </c>
      <c r="D957" s="209" t="str">
        <f t="shared" si="21"/>
        <v>E9 03 00 00:吸收精华可恢复体力 6[饰品]</v>
      </c>
    </row>
    <row r="958" spans="1:4">
      <c r="A958" s="55" t="s">
        <v>1778</v>
      </c>
      <c r="B958" s="61" t="s">
        <v>1779</v>
      </c>
      <c r="C958" s="61" t="s">
        <v>1573</v>
      </c>
      <c r="D958" s="209" t="str">
        <f t="shared" si="21"/>
        <v>56 64 00 00:(同名固定)药物恢复体力效果 +2.8%[饰品]</v>
      </c>
    </row>
    <row r="959" spans="1:4">
      <c r="A959" s="55" t="s">
        <v>1780</v>
      </c>
      <c r="B959" s="205" t="s">
        <v>1781</v>
      </c>
      <c r="C959" s="61" t="s">
        <v>1573</v>
      </c>
      <c r="D959" s="209" t="str">
        <f t="shared" si="21"/>
        <v>C1 AA 00 00:(同名固定)体力恢复量 +2.5%[饰品]</v>
      </c>
    </row>
    <row r="960" spans="1:4">
      <c r="A960" s="55" t="s">
        <v>1782</v>
      </c>
      <c r="B960" s="56" t="s">
        <v>454</v>
      </c>
      <c r="C960" s="61" t="s">
        <v>1573</v>
      </c>
      <c r="D960" s="209" t="str">
        <f t="shared" si="21"/>
        <v>72 A0 00 00:箭弹命中可恢复体力 30[饰品]</v>
      </c>
    </row>
    <row r="961" spans="1:4">
      <c r="A961" s="55"/>
      <c r="B961" s="56" t="s">
        <v>1783</v>
      </c>
      <c r="C961" s="61" t="s">
        <v>1573</v>
      </c>
      <c r="D961" s="209" t="str">
        <f t="shared" si="21"/>
        <v>:忍术伤害吸取体力[饰品]</v>
      </c>
    </row>
    <row r="962" spans="1:4">
      <c r="A962" s="55" t="s">
        <v>1784</v>
      </c>
      <c r="B962" s="56" t="s">
        <v>1785</v>
      </c>
      <c r="C962" s="61" t="s">
        <v>1573</v>
      </c>
      <c r="D962" s="209" t="str">
        <f t="shared" si="21"/>
        <v>FE 85 00 00:阴阳术伤害吸取体力 B-[饰品]</v>
      </c>
    </row>
    <row r="963" spans="1:4">
      <c r="A963" s="55" t="s">
        <v>1786</v>
      </c>
      <c r="B963" s="61" t="s">
        <v>1787</v>
      </c>
      <c r="C963" s="61" t="s">
        <v>1573</v>
      </c>
      <c r="D963" s="209" t="str">
        <f t="shared" si="21"/>
        <v>3E CB 00 00:(同名固定)体力 +25[饰品]</v>
      </c>
    </row>
    <row r="964" spans="1:4">
      <c r="A964" s="55" t="s">
        <v>1788</v>
      </c>
      <c r="B964" s="61" t="s">
        <v>1347</v>
      </c>
      <c r="C964" s="61" t="s">
        <v>1573</v>
      </c>
      <c r="D964" s="209" t="str">
        <f t="shared" si="21"/>
        <v>19 6F 00 00:体力 +25[饰品]</v>
      </c>
    </row>
    <row r="965" spans="1:4">
      <c r="A965" s="55" t="s">
        <v>1789</v>
      </c>
      <c r="B965" s="205" t="s">
        <v>1353</v>
      </c>
      <c r="C965" s="61" t="s">
        <v>1573</v>
      </c>
      <c r="D965" s="209" t="str">
        <f t="shared" si="21"/>
        <v>F7 CF 00 00:(星)体力 +38[饰品]</v>
      </c>
    </row>
    <row r="966" spans="1:4">
      <c r="A966" s="55" t="s">
        <v>1790</v>
      </c>
      <c r="B966" s="56" t="s">
        <v>1359</v>
      </c>
      <c r="C966" s="61" t="s">
        <v>1573</v>
      </c>
      <c r="D966" s="209" t="str">
        <f t="shared" si="21"/>
        <v>50 E4 00 00:防御时精力恢复速度 +3.0%[饰品]</v>
      </c>
    </row>
    <row r="967" spans="1:4">
      <c r="A967" s="55" t="s">
        <v>1791</v>
      </c>
      <c r="B967" s="61" t="s">
        <v>1792</v>
      </c>
      <c r="C967" s="61" t="s">
        <v>1573</v>
      </c>
      <c r="D967" s="209" t="str">
        <f t="shared" si="21"/>
        <v>BA 2A 00 00:(同名固定)精力恢复速度 +3.0%[饰品]</v>
      </c>
    </row>
    <row r="968" spans="1:4">
      <c r="A968" s="55" t="s">
        <v>1793</v>
      </c>
      <c r="B968" s="56" t="s">
        <v>1371</v>
      </c>
      <c r="C968" s="61" t="s">
        <v>1573</v>
      </c>
      <c r="D968" s="209" t="str">
        <f t="shared" si="21"/>
        <v>04 2C 00 00:精力恢复速度 +3.0%[饰品]</v>
      </c>
    </row>
    <row r="969" spans="1:4">
      <c r="A969" s="55" t="s">
        <v>1794</v>
      </c>
      <c r="B969" s="56" t="s">
        <v>1364</v>
      </c>
      <c r="C969" s="61" t="s">
        <v>1573</v>
      </c>
      <c r="D969" s="209" t="str">
        <f t="shared" si="21"/>
        <v>32 7F 00 00:残心精力恢复量 +1.3%[饰品]</v>
      </c>
    </row>
    <row r="970" spans="1:4">
      <c r="A970" s="55" t="s">
        <v>1795</v>
      </c>
      <c r="B970" s="205" t="s">
        <v>1376</v>
      </c>
      <c r="C970" s="61" t="s">
        <v>1573</v>
      </c>
      <c r="D970" s="209" t="str">
        <f t="shared" si="21"/>
        <v>AB DD 00 00:(星)精力恢复速度 +4.5%[饰品]</v>
      </c>
    </row>
    <row r="971" spans="1:4">
      <c r="A971" s="55" t="s">
        <v>1796</v>
      </c>
      <c r="B971" s="199" t="s">
        <v>1380</v>
      </c>
      <c r="C971" s="61" t="s">
        <v>1573</v>
      </c>
      <c r="D971" s="209" t="str">
        <f t="shared" si="21"/>
        <v>B1 00 00 00:绝境时赋予精力恢复速度增加(9.8%)[饰品]</v>
      </c>
    </row>
    <row r="972" spans="1:4">
      <c r="A972" s="55" t="s">
        <v>1797</v>
      </c>
      <c r="B972" s="61" t="s">
        <v>1385</v>
      </c>
      <c r="C972" s="61" t="s">
        <v>1573</v>
      </c>
      <c r="D972" s="209" t="str">
        <f t="shared" si="21"/>
        <v>B1 3C 00 00:(同名固定)精力恢复速度上升(无伤) +3.6%[饰品]</v>
      </c>
    </row>
    <row r="973" spans="1:4">
      <c r="A973" s="55" t="s">
        <v>1798</v>
      </c>
      <c r="B973" s="61" t="s">
        <v>1390</v>
      </c>
      <c r="C973" s="61" t="s">
        <v>1573</v>
      </c>
      <c r="D973" s="209" t="str">
        <f t="shared" si="21"/>
        <v>3F 3F 00 00:精力恢复速度上升(无伤) +3.6%[饰品]</v>
      </c>
    </row>
    <row r="974" spans="1:4">
      <c r="A974" s="55" t="s">
        <v>1799</v>
      </c>
      <c r="B974" s="61" t="s">
        <v>1800</v>
      </c>
      <c r="C974" s="61" t="s">
        <v>1573</v>
      </c>
      <c r="D974" s="209" t="str">
        <f t="shared" si="21"/>
        <v>5D 70 00 00:(同名固定)精力恢复速度(绝境) +8.9%[饰品]</v>
      </c>
    </row>
    <row r="975" spans="1:4">
      <c r="A975" s="55" t="s">
        <v>1801</v>
      </c>
      <c r="B975" s="61" t="s">
        <v>1395</v>
      </c>
      <c r="C975" s="61" t="s">
        <v>1573</v>
      </c>
      <c r="D975" s="209" t="str">
        <f t="shared" si="21"/>
        <v>8A A4 00 00:精力恢复速度(绝境) +8.9%[饰品]</v>
      </c>
    </row>
    <row r="976" spans="1:4">
      <c r="A976" s="55" t="s">
        <v>1802</v>
      </c>
      <c r="B976" s="61" t="s">
        <v>1400</v>
      </c>
      <c r="C976" s="61" t="s">
        <v>1573</v>
      </c>
      <c r="D976" s="209" t="str">
        <f t="shared" ref="D976:D1039" si="22">LEFT(A976,11)&amp;":"&amp;B976&amp;C976</f>
        <v>6E 02 00 00:残心初始量 +12[饰品]</v>
      </c>
    </row>
    <row r="977" spans="1:4">
      <c r="A977" s="55" t="s">
        <v>1803</v>
      </c>
      <c r="B977" s="61" t="s">
        <v>1409</v>
      </c>
      <c r="C977" s="61" t="s">
        <v>1573</v>
      </c>
      <c r="D977" s="209" t="str">
        <f t="shared" si="22"/>
        <v>5B FC 00 00:抗常世 +0.5[饰品]</v>
      </c>
    </row>
    <row r="978" spans="1:4">
      <c r="A978" s="55" t="s">
        <v>1804</v>
      </c>
      <c r="B978" s="199" t="s">
        <v>1805</v>
      </c>
      <c r="C978" s="61" t="s">
        <v>1573</v>
      </c>
      <c r="D978" s="209" t="str">
        <f t="shared" si="22"/>
        <v>F3 25 00 00:打倒敌人时赋予昂灵(+0.8%)[饰品]</v>
      </c>
    </row>
    <row r="979" spans="1:4">
      <c r="A979" s="55" t="s">
        <v>1806</v>
      </c>
      <c r="B979" s="199" t="s">
        <v>1414</v>
      </c>
      <c r="C979" s="61" t="s">
        <v>1573</v>
      </c>
      <c r="D979" s="209" t="str">
        <f t="shared" si="22"/>
        <v>0D D3 00 00:陷入异常状态时赋予昂灵(+0.6%)[饰品]</v>
      </c>
    </row>
    <row r="980" spans="1:4">
      <c r="A980" s="55" t="s">
        <v>1807</v>
      </c>
      <c r="B980" s="199" t="s">
        <v>1420</v>
      </c>
      <c r="C980" s="61" t="s">
        <v>1573</v>
      </c>
      <c r="D980" s="209" t="str">
        <f t="shared" si="22"/>
        <v>6A 8D 00 00:格挡成功时赋予昂灵(+0.6%)[饰品]</v>
      </c>
    </row>
    <row r="981" spans="1:4">
      <c r="A981" s="55" t="s">
        <v>1808</v>
      </c>
      <c r="B981" s="199" t="s">
        <v>1426</v>
      </c>
      <c r="C981" s="61" t="s">
        <v>1573</v>
      </c>
      <c r="D981" s="209" t="str">
        <f t="shared" si="22"/>
        <v>9F 71 00 00:成功识破时昂灵(+0.6%)[饰品]</v>
      </c>
    </row>
    <row r="982" spans="1:4">
      <c r="A982" s="55" t="s">
        <v>1809</v>
      </c>
      <c r="B982" s="199" t="s">
        <v>1810</v>
      </c>
      <c r="C982" s="61" t="s">
        <v>1573</v>
      </c>
      <c r="D982" s="209" t="str">
        <f t="shared" si="22"/>
        <v>97 A2 00 00:绝境时赋予昂灵(+0.8%)[饰品]</v>
      </c>
    </row>
    <row r="983" spans="1:4">
      <c r="A983" s="55" t="s">
        <v>1811</v>
      </c>
      <c r="B983" s="199" t="s">
        <v>1812</v>
      </c>
      <c r="C983" s="61" t="s">
        <v>1573</v>
      </c>
      <c r="D983" s="209" t="str">
        <f t="shared" si="22"/>
        <v>D2 C4 00 00:祓除常世赋予昂灵(+0.8%)[饰品]</v>
      </c>
    </row>
    <row r="984" spans="1:4">
      <c r="A984" s="55" t="s">
        <v>1813</v>
      </c>
      <c r="B984" s="199" t="s">
        <v>1441</v>
      </c>
      <c r="C984" s="61" t="s">
        <v>1573</v>
      </c>
      <c r="D984" s="209" t="str">
        <f t="shared" si="22"/>
        <v>BC 29 00 00:吸收精华后赋予昂灵(+1.7%)[饰品]</v>
      </c>
    </row>
    <row r="985" spans="1:4">
      <c r="A985" s="55" t="s">
        <v>1814</v>
      </c>
      <c r="B985" s="61" t="s">
        <v>1815</v>
      </c>
      <c r="C985" s="61" t="s">
        <v>1573</v>
      </c>
      <c r="D985" s="209" t="str">
        <f t="shared" si="22"/>
        <v>23 C0 00 00:(同名固定)精华槽增加量 +1.4%[饰品]</v>
      </c>
    </row>
    <row r="986" spans="1:4">
      <c r="A986" s="55" t="s">
        <v>1816</v>
      </c>
      <c r="B986" s="56" t="s">
        <v>1446</v>
      </c>
      <c r="C986" s="61" t="s">
        <v>1573</v>
      </c>
      <c r="D986" s="209" t="str">
        <f t="shared" si="22"/>
        <v>B5 EE 00 00:精华槽增加量 +1.4%[饰品]</v>
      </c>
    </row>
    <row r="987" spans="1:4">
      <c r="A987" s="55" t="s">
        <v>1817</v>
      </c>
      <c r="B987" s="199" t="s">
        <v>1818</v>
      </c>
      <c r="C987" s="61" t="s">
        <v>1573</v>
      </c>
      <c r="D987" s="209" t="str">
        <f t="shared" si="22"/>
        <v>BA 44 00 00:阴阳术命中赋予昂灵(+0.5%)[饰品]</v>
      </c>
    </row>
    <row r="988" spans="1:4">
      <c r="A988" s="55" t="s">
        <v>1819</v>
      </c>
      <c r="B988" s="199" t="s">
        <v>1820</v>
      </c>
      <c r="C988" s="61" t="s">
        <v>1573</v>
      </c>
      <c r="D988" s="209" t="str">
        <f t="shared" si="22"/>
        <v>33 B2 00 00:使用阴阳术时赋予昂灵(+0.5%)[饰品]</v>
      </c>
    </row>
    <row r="989" spans="1:4">
      <c r="A989" s="55" t="s">
        <v>1821</v>
      </c>
      <c r="B989" s="61" t="s">
        <v>488</v>
      </c>
      <c r="C989" s="61" t="s">
        <v>1573</v>
      </c>
      <c r="D989" s="209" t="str">
        <f t="shared" si="22"/>
        <v>20 D7 00 00:使敌人陷入火状态时精华槽增加 D+[饰品]</v>
      </c>
    </row>
    <row r="990" spans="1:4">
      <c r="A990" s="55" t="s">
        <v>1822</v>
      </c>
      <c r="B990" s="61" t="s">
        <v>490</v>
      </c>
      <c r="C990" s="61" t="s">
        <v>1573</v>
      </c>
      <c r="D990" s="209" t="str">
        <f t="shared" si="22"/>
        <v>A8 37 00 00:使敌人陷入水状态时精华槽增加 D+[饰品]</v>
      </c>
    </row>
    <row r="991" spans="1:4">
      <c r="A991" s="55" t="s">
        <v>1823</v>
      </c>
      <c r="B991" s="61" t="s">
        <v>492</v>
      </c>
      <c r="C991" s="61" t="s">
        <v>1573</v>
      </c>
      <c r="D991" s="209" t="str">
        <f t="shared" si="22"/>
        <v>01 E4 00 00:使敌人陷入雷状态时精华槽增加 D+[饰品]</v>
      </c>
    </row>
    <row r="992" spans="1:4">
      <c r="A992" s="55" t="s">
        <v>1824</v>
      </c>
      <c r="B992" s="61" t="s">
        <v>494</v>
      </c>
      <c r="C992" s="61" t="s">
        <v>1573</v>
      </c>
      <c r="D992" s="209" t="str">
        <f t="shared" si="22"/>
        <v>75 F5 00 00:使敌人陷入风状态时精华槽增加 D+[饰品]</v>
      </c>
    </row>
    <row r="993" spans="1:4">
      <c r="A993" s="61" t="s">
        <v>1825</v>
      </c>
      <c r="B993" s="199" t="s">
        <v>1455</v>
      </c>
      <c r="C993" s="61" t="s">
        <v>1573</v>
      </c>
      <c r="D993" s="209" t="str">
        <f t="shared" si="22"/>
        <v>FB 12 00 00:九十九化身持续时间延长 +3.0%[饰品]</v>
      </c>
    </row>
    <row r="994" spans="1:4">
      <c r="A994" s="61" t="s">
        <v>1826</v>
      </c>
      <c r="B994" s="61" t="s">
        <v>1827</v>
      </c>
      <c r="C994" s="61" t="s">
        <v>1573</v>
      </c>
      <c r="D994" s="209" t="str">
        <f t="shared" si="22"/>
        <v>E8 35 00 00:埋火计量槽增加量 +12.0%[饰品]</v>
      </c>
    </row>
    <row r="995" spans="1:4">
      <c r="A995" s="55" t="s">
        <v>1828</v>
      </c>
      <c r="B995" s="56" t="s">
        <v>1829</v>
      </c>
      <c r="C995" s="61" t="s">
        <v>1573</v>
      </c>
      <c r="D995" s="209" t="str">
        <f t="shared" si="22"/>
        <v>36 74 00 00:火药弹计量槽增加量 +12.0%[饰品]</v>
      </c>
    </row>
    <row r="996" spans="1:4">
      <c r="A996" s="61" t="s">
        <v>1830</v>
      </c>
      <c r="B996" s="199" t="s">
        <v>1831</v>
      </c>
      <c r="C996" s="61" t="s">
        <v>1573</v>
      </c>
      <c r="D996" s="209" t="str">
        <f t="shared" si="22"/>
        <v>A3 9F 00 00:焙烙弹计量槽增加量 +12.0%[饰品]</v>
      </c>
    </row>
    <row r="997" spans="1:4">
      <c r="A997" s="55" t="s">
        <v>1832</v>
      </c>
      <c r="B997" s="205" t="s">
        <v>1833</v>
      </c>
      <c r="C997" s="61" t="s">
        <v>1573</v>
      </c>
      <c r="D997" s="209" t="str">
        <f t="shared" si="22"/>
        <v>6C 55 00 00:大焙烙弹计量槽增加量 +12.0%[饰品]</v>
      </c>
    </row>
    <row r="998" spans="1:4">
      <c r="A998" s="61" t="s">
        <v>1834</v>
      </c>
      <c r="B998" s="56" t="s">
        <v>1835</v>
      </c>
      <c r="C998" s="61" t="s">
        <v>1573</v>
      </c>
      <c r="D998" s="209" t="str">
        <f t="shared" si="22"/>
        <v>A7 49 00 00:埋火·地胆计量槽增加量 +12.0%[饰品]</v>
      </c>
    </row>
    <row r="999" spans="1:4">
      <c r="A999" s="55" t="s">
        <v>1836</v>
      </c>
      <c r="B999" s="56" t="s">
        <v>1837</v>
      </c>
      <c r="C999" s="61" t="s">
        <v>1573</v>
      </c>
      <c r="D999" s="209" t="str">
        <f t="shared" si="22"/>
        <v>93 97 00 00:埋火·水母计量槽增加量 +12.0%[饰品]</v>
      </c>
    </row>
    <row r="1000" spans="1:4">
      <c r="A1000" s="61" t="s">
        <v>1838</v>
      </c>
      <c r="B1000" s="56" t="s">
        <v>1839</v>
      </c>
      <c r="C1000" s="61" t="s">
        <v>1573</v>
      </c>
      <c r="D1000" s="209" t="str">
        <f t="shared" si="22"/>
        <v>E2 89 00 00:埋火· 秽土计量槽增加量 +12.0%[饰品]</v>
      </c>
    </row>
    <row r="1001" spans="1:4">
      <c r="A1001" s="55" t="s">
        <v>1840</v>
      </c>
      <c r="B1001" s="56" t="s">
        <v>1841</v>
      </c>
      <c r="C1001" s="61" t="s">
        <v>1573</v>
      </c>
      <c r="D1001" s="209" t="str">
        <f t="shared" si="22"/>
        <v>66 F7 00 00:喷火计量槽增加量 +12.0%[饰品]</v>
      </c>
    </row>
    <row r="1002" spans="1:4">
      <c r="A1002" s="55" t="s">
        <v>1842</v>
      </c>
      <c r="B1002" s="61" t="s">
        <v>1843</v>
      </c>
      <c r="C1002" s="61" t="s">
        <v>1573</v>
      </c>
      <c r="D1002" s="209" t="str">
        <f t="shared" si="22"/>
        <v>64 E3 00 00:怪火计量槽增加量 +12.0%[饰品]</v>
      </c>
    </row>
    <row r="1003" spans="1:4">
      <c r="A1003" s="55" t="s">
        <v>1844</v>
      </c>
      <c r="B1003" s="56" t="s">
        <v>1845</v>
      </c>
      <c r="C1003" s="61" t="s">
        <v>1573</v>
      </c>
      <c r="D1003" s="209" t="str">
        <f t="shared" si="22"/>
        <v>C2 EA 00 00:怪水计量槽增加量 +12.0%[饰品]</v>
      </c>
    </row>
    <row r="1004" spans="1:4">
      <c r="A1004" s="55" t="s">
        <v>1846</v>
      </c>
      <c r="B1004" s="56" t="s">
        <v>1847</v>
      </c>
      <c r="C1004" s="61" t="s">
        <v>1573</v>
      </c>
      <c r="D1004" s="209" t="str">
        <f t="shared" si="22"/>
        <v>65 08 00 00:怪雷计量槽增加量 +12.0%[饰品]</v>
      </c>
    </row>
    <row r="1005" spans="1:4">
      <c r="A1005" s="55" t="s">
        <v>1848</v>
      </c>
      <c r="B1005" s="56" t="s">
        <v>1849</v>
      </c>
      <c r="C1005" s="61" t="s">
        <v>1573</v>
      </c>
      <c r="D1005" s="209" t="str">
        <f t="shared" si="22"/>
        <v>AF 23 00 00:怪风计量槽增加量 +12.0%[饰品]</v>
      </c>
    </row>
    <row r="1006" spans="1:4">
      <c r="A1006" s="61" t="s">
        <v>1850</v>
      </c>
      <c r="B1006" s="205" t="s">
        <v>1851</v>
      </c>
      <c r="C1006" s="61" t="s">
        <v>1573</v>
      </c>
      <c r="D1006" s="209" t="str">
        <f t="shared" si="22"/>
        <v>51 66 00 00:猛炎祸计量槽增加量 +12.0%[饰品]</v>
      </c>
    </row>
    <row r="1007" spans="1:4">
      <c r="A1007" s="61" t="s">
        <v>1852</v>
      </c>
      <c r="B1007" s="205" t="s">
        <v>1853</v>
      </c>
      <c r="C1007" s="61" t="s">
        <v>1573</v>
      </c>
      <c r="D1007" s="209" t="str">
        <f t="shared" si="22"/>
        <v>C4 D7 00 00:冰蚀祸计量槽增加量 +12.0%[饰品]</v>
      </c>
    </row>
    <row r="1008" spans="1:4">
      <c r="A1008" s="61" t="s">
        <v>1854</v>
      </c>
      <c r="B1008" s="205" t="s">
        <v>1855</v>
      </c>
      <c r="C1008" s="61" t="s">
        <v>1573</v>
      </c>
      <c r="D1008" s="209" t="str">
        <f t="shared" si="22"/>
        <v>90 38 00 00:雷电祸计量槽增加量 +12.0%[饰品]</v>
      </c>
    </row>
    <row r="1009" spans="1:4">
      <c r="A1009" s="61" t="s">
        <v>1856</v>
      </c>
      <c r="B1009" s="205" t="s">
        <v>1857</v>
      </c>
      <c r="C1009" s="61" t="s">
        <v>1573</v>
      </c>
      <c r="D1009" s="209" t="str">
        <f t="shared" si="22"/>
        <v>EA A6 00 00:暴风祸计量槽增加量 +12.0%[饰品]</v>
      </c>
    </row>
    <row r="1010" spans="1:4">
      <c r="A1010" s="55" t="s">
        <v>1858</v>
      </c>
      <c r="B1010" s="61" t="s">
        <v>1859</v>
      </c>
      <c r="C1010" s="61" t="s">
        <v>1573</v>
      </c>
      <c r="D1010" s="209" t="str">
        <f t="shared" si="22"/>
        <v>72 6B 00 00:手里剑计量槽增加量 +12.0%[饰品]</v>
      </c>
    </row>
    <row r="1011" spans="1:4">
      <c r="A1011" s="55" t="s">
        <v>1860</v>
      </c>
      <c r="B1011" s="199" t="s">
        <v>1861</v>
      </c>
      <c r="C1011" s="61" t="s">
        <v>1573</v>
      </c>
      <c r="D1011" s="209" t="str">
        <f t="shared" si="22"/>
        <v>C7 66 00 00:毒手里剑计量槽增加量 +12.0%[饰品]</v>
      </c>
    </row>
    <row r="1012" spans="1:4">
      <c r="A1012" s="55" t="s">
        <v>1862</v>
      </c>
      <c r="B1012" s="199" t="s">
        <v>1863</v>
      </c>
      <c r="C1012" s="61" t="s">
        <v>1573</v>
      </c>
      <c r="D1012" s="209" t="str">
        <f t="shared" si="22"/>
        <v>6A 51 00 00:麻痹手里剑计量槽增加量 +12.0%[饰品]</v>
      </c>
    </row>
    <row r="1013" spans="1:4">
      <c r="A1013" s="55" t="s">
        <v>1864</v>
      </c>
      <c r="B1013" s="199" t="s">
        <v>1865</v>
      </c>
      <c r="C1013" s="61" t="s">
        <v>1573</v>
      </c>
      <c r="D1013" s="209" t="str">
        <f t="shared" si="22"/>
        <v>14 20 00 00:火药镖计量槽增加量 +12.0%[饰品]</v>
      </c>
    </row>
    <row r="1014" spans="1:4">
      <c r="A1014" s="55" t="s">
        <v>1866</v>
      </c>
      <c r="B1014" s="199" t="s">
        <v>1867</v>
      </c>
      <c r="C1014" s="61" t="s">
        <v>1573</v>
      </c>
      <c r="D1014" s="209" t="str">
        <f t="shared" si="22"/>
        <v>F8 BB 00 00:风车手里剑计量槽增加量 +12.0%[饰品]</v>
      </c>
    </row>
    <row r="1015" spans="1:4">
      <c r="A1015" s="55" t="s">
        <v>1868</v>
      </c>
      <c r="B1015" s="61" t="s">
        <v>1869</v>
      </c>
      <c r="C1015" s="61" t="s">
        <v>1573</v>
      </c>
      <c r="D1015" s="209" t="str">
        <f t="shared" si="22"/>
        <v>64 82 00 00:苦无计量槽增加量 +12.0%[饰品]</v>
      </c>
    </row>
    <row r="1016" spans="1:4">
      <c r="A1016" s="61" t="s">
        <v>1870</v>
      </c>
      <c r="B1016" s="199" t="s">
        <v>1871</v>
      </c>
      <c r="C1016" s="61" t="s">
        <v>1573</v>
      </c>
      <c r="D1016" s="209" t="str">
        <f t="shared" si="22"/>
        <v>35 79 00 00:散弹苦无计量槽增加量 +12.0%[饰品]</v>
      </c>
    </row>
    <row r="1017" spans="1:4">
      <c r="A1017" s="55" t="s">
        <v>1872</v>
      </c>
      <c r="B1017" s="56" t="s">
        <v>1873</v>
      </c>
      <c r="C1017" s="61" t="s">
        <v>1573</v>
      </c>
      <c r="D1017" s="209" t="str">
        <f t="shared" si="22"/>
        <v>F4 47 00 00:撒菱计量槽增加量 +12.0%[饰品]</v>
      </c>
    </row>
    <row r="1018" spans="1:4">
      <c r="A1018" s="61" t="s">
        <v>1874</v>
      </c>
      <c r="B1018" s="199" t="s">
        <v>1875</v>
      </c>
      <c r="C1018" s="61" t="s">
        <v>1573</v>
      </c>
      <c r="D1018" s="209" t="str">
        <f t="shared" si="22"/>
        <v>44 AA 00 00:菱钉弹计量槽增加量 +12.0%[饰品]</v>
      </c>
    </row>
    <row r="1019" spans="1:4">
      <c r="A1019" s="61" t="s">
        <v>1876</v>
      </c>
      <c r="B1019" s="199" t="s">
        <v>1877</v>
      </c>
      <c r="C1019" s="61" t="s">
        <v>1573</v>
      </c>
      <c r="D1019" s="209" t="str">
        <f t="shared" si="22"/>
        <v>DE AC 00 00:盲目弹计量槽增加量 +12.0%[饰品]</v>
      </c>
    </row>
    <row r="1020" spans="1:4">
      <c r="A1020" s="55" t="s">
        <v>1878</v>
      </c>
      <c r="B1020" s="56" t="s">
        <v>1879</v>
      </c>
      <c r="C1020" s="61" t="s">
        <v>1573</v>
      </c>
      <c r="D1020" s="209" t="str">
        <f t="shared" si="22"/>
        <v>4C 6D 00 00:闪电一足计量槽增加量 +12.0%[饰品]</v>
      </c>
    </row>
    <row r="1021" spans="1:4">
      <c r="A1021" s="61" t="s">
        <v>1880</v>
      </c>
      <c r="B1021" s="56" t="s">
        <v>1881</v>
      </c>
      <c r="C1021" s="61" t="s">
        <v>1573</v>
      </c>
      <c r="D1021" s="209" t="str">
        <f t="shared" si="22"/>
        <v>0F 72 00 00:雉子跳跃计量槽增加量 +12.0%[饰品]</v>
      </c>
    </row>
    <row r="1022" spans="1:4">
      <c r="A1022" s="61" t="s">
        <v>1882</v>
      </c>
      <c r="B1022" s="199" t="s">
        <v>1883</v>
      </c>
      <c r="C1022" s="61" t="s">
        <v>1573</v>
      </c>
      <c r="D1022" s="209" t="str">
        <f t="shared" si="22"/>
        <v>97 FD 00 00:棘猫变身计量槽增加量 +12.0%[饰品]</v>
      </c>
    </row>
    <row r="1023" spans="1:4">
      <c r="A1023" s="61" t="s">
        <v>1884</v>
      </c>
      <c r="B1023" s="199" t="s">
        <v>1885</v>
      </c>
      <c r="C1023" s="61" t="s">
        <v>1573</v>
      </c>
      <c r="D1023" s="209" t="str">
        <f t="shared" si="22"/>
        <v>83 F2 00 00:巨猫变身计量槽增加量 +12.0%[饰品]</v>
      </c>
    </row>
    <row r="1024" spans="1:4">
      <c r="A1024" s="61" t="s">
        <v>1886</v>
      </c>
      <c r="B1024" s="205" t="s">
        <v>1887</v>
      </c>
      <c r="C1024" s="61" t="s">
        <v>1573</v>
      </c>
      <c r="D1024" s="209" t="str">
        <f t="shared" si="22"/>
        <v>35 3D 00 00:缝影计量槽增加量 +12.0%[饰品]</v>
      </c>
    </row>
    <row r="1025" spans="1:4">
      <c r="A1025" s="61" t="s">
        <v>1888</v>
      </c>
      <c r="B1025" s="56" t="s">
        <v>1889</v>
      </c>
      <c r="C1025" s="61" t="s">
        <v>1573</v>
      </c>
      <c r="D1025" s="209" t="str">
        <f t="shared" si="22"/>
        <v>03 45 00 00:土墙计量槽增加量 +12.0%[饰品]</v>
      </c>
    </row>
    <row r="1026" spans="1:4">
      <c r="A1026" s="61" t="s">
        <v>1890</v>
      </c>
      <c r="B1026" s="56" t="s">
        <v>1891</v>
      </c>
      <c r="C1026" s="61" t="s">
        <v>1573</v>
      </c>
      <c r="D1026" s="209" t="str">
        <f t="shared" si="22"/>
        <v>1B B8 00 00:毒雾计量槽增加量 +12.0%[饰品]</v>
      </c>
    </row>
    <row r="1027" spans="1:4">
      <c r="A1027" s="55" t="s">
        <v>1892</v>
      </c>
      <c r="B1027" s="199" t="s">
        <v>1893</v>
      </c>
      <c r="C1027" s="61" t="s">
        <v>1573</v>
      </c>
      <c r="D1027" s="209" t="str">
        <f t="shared" si="22"/>
        <v>B6 A4 00 00:震地术计量槽增加量 +12.0%[饰品]</v>
      </c>
    </row>
    <row r="1028" spans="1:4">
      <c r="A1028" s="55" t="s">
        <v>1894</v>
      </c>
      <c r="B1028" s="205" t="s">
        <v>1895</v>
      </c>
      <c r="C1028" s="61" t="s">
        <v>1573</v>
      </c>
      <c r="D1028" s="209" t="str">
        <f t="shared" si="22"/>
        <v>8A 49 00 00:土遁计量槽增加量 +12.0%[饰品]</v>
      </c>
    </row>
    <row r="1029" spans="1:4">
      <c r="A1029" s="61" t="s">
        <v>1896</v>
      </c>
      <c r="B1029" s="199" t="s">
        <v>1897</v>
      </c>
      <c r="C1029" s="61" t="s">
        <v>1573</v>
      </c>
      <c r="D1029" s="209" t="str">
        <f t="shared" si="22"/>
        <v>14 85 00 00:空蝉计量槽增加量 +12.0%[饰品]</v>
      </c>
    </row>
    <row r="1030" spans="1:4">
      <c r="A1030" s="61" t="s">
        <v>1898</v>
      </c>
      <c r="B1030" s="205" t="s">
        <v>1899</v>
      </c>
      <c r="C1030" s="61" t="s">
        <v>1573</v>
      </c>
      <c r="D1030" s="209" t="str">
        <f t="shared" si="22"/>
        <v>44 69 00 00:影分身计量槽增加量 +12.0%[饰品]</v>
      </c>
    </row>
    <row r="1031" spans="1:4">
      <c r="A1031" s="61" t="s">
        <v>1900</v>
      </c>
      <c r="B1031" s="61" t="s">
        <v>1901</v>
      </c>
      <c r="C1031" s="61" t="s">
        <v>1573</v>
      </c>
      <c r="D1031" s="209" t="str">
        <f t="shared" si="22"/>
        <v>44 74 00 00:埋火造成的伤害 +10.0%[饰品]</v>
      </c>
    </row>
    <row r="1032" spans="1:4">
      <c r="A1032" s="61" t="s">
        <v>1902</v>
      </c>
      <c r="B1032" s="56" t="s">
        <v>1903</v>
      </c>
      <c r="C1032" s="61" t="s">
        <v>1573</v>
      </c>
      <c r="D1032" s="209" t="str">
        <f t="shared" si="22"/>
        <v>72 25 00 00:火药弹造成的伤害 +10.0%[饰品]</v>
      </c>
    </row>
    <row r="1033" spans="1:4">
      <c r="A1033" s="52" t="s">
        <v>1904</v>
      </c>
      <c r="B1033" s="199" t="s">
        <v>1905</v>
      </c>
      <c r="C1033" s="61" t="s">
        <v>1573</v>
      </c>
      <c r="D1033" s="209" t="str">
        <f t="shared" si="22"/>
        <v>EB 1A 00 00:焙烙弹造成的伤害 +10.0%[饰品]</v>
      </c>
    </row>
    <row r="1034" spans="1:4">
      <c r="A1034" s="61" t="s">
        <v>1906</v>
      </c>
      <c r="B1034" s="205" t="s">
        <v>1907</v>
      </c>
      <c r="C1034" s="61" t="s">
        <v>1573</v>
      </c>
      <c r="D1034" s="209" t="str">
        <f t="shared" si="22"/>
        <v>19 2F 00 00:大焙烙弹造成的伤害 +10.0%[饰品]</v>
      </c>
    </row>
    <row r="1035" spans="1:4">
      <c r="A1035" s="55" t="s">
        <v>1908</v>
      </c>
      <c r="B1035" s="56" t="s">
        <v>1909</v>
      </c>
      <c r="C1035" s="61" t="s">
        <v>1573</v>
      </c>
      <c r="D1035" s="209" t="str">
        <f t="shared" si="22"/>
        <v>4C D9 00 00:喷火造成的伤害 +10.0%[饰品]</v>
      </c>
    </row>
    <row r="1036" spans="1:4">
      <c r="A1036" s="55" t="s">
        <v>1910</v>
      </c>
      <c r="B1036" s="61" t="s">
        <v>1911</v>
      </c>
      <c r="C1036" s="61" t="s">
        <v>1573</v>
      </c>
      <c r="D1036" s="209" t="str">
        <f t="shared" si="22"/>
        <v>08 45 00 00:怪火造成的伤害 +10.0%[饰品]</v>
      </c>
    </row>
    <row r="1037" spans="1:4">
      <c r="A1037" s="55" t="s">
        <v>1912</v>
      </c>
      <c r="B1037" s="56" t="s">
        <v>1913</v>
      </c>
      <c r="C1037" s="61" t="s">
        <v>1573</v>
      </c>
      <c r="D1037" s="209" t="str">
        <f t="shared" si="22"/>
        <v>29 4C 00 00:怪水造成的伤害 +10.0%[饰品]</v>
      </c>
    </row>
    <row r="1038" spans="1:4">
      <c r="A1038" s="55" t="s">
        <v>1914</v>
      </c>
      <c r="B1038" s="56" t="s">
        <v>1915</v>
      </c>
      <c r="C1038" s="61" t="s">
        <v>1573</v>
      </c>
      <c r="D1038" s="209" t="str">
        <f t="shared" si="22"/>
        <v>B2 08 00 00:怪雷造成的伤害 +10.0%[饰品]</v>
      </c>
    </row>
    <row r="1039" spans="1:4">
      <c r="A1039" s="61" t="s">
        <v>1916</v>
      </c>
      <c r="B1039" s="56" t="s">
        <v>1917</v>
      </c>
      <c r="C1039" s="61" t="s">
        <v>1573</v>
      </c>
      <c r="D1039" s="209" t="str">
        <f t="shared" si="22"/>
        <v>D3 F7 00 00:怪风造成的伤害 +10.0%[饰品]</v>
      </c>
    </row>
    <row r="1040" spans="1:4">
      <c r="A1040" s="61" t="s">
        <v>1918</v>
      </c>
      <c r="B1040" s="205" t="s">
        <v>1919</v>
      </c>
      <c r="C1040" s="61" t="s">
        <v>1573</v>
      </c>
      <c r="D1040" s="209" t="str">
        <f t="shared" ref="D1040:D1103" si="23">LEFT(A1040,11)&amp;":"&amp;B1040&amp;C1040</f>
        <v>A6 2F 00 00:猛炎祸造成的伤害 +10.0%[饰品]</v>
      </c>
    </row>
    <row r="1041" spans="1:4">
      <c r="A1041" s="61" t="s">
        <v>1920</v>
      </c>
      <c r="B1041" s="205" t="s">
        <v>1921</v>
      </c>
      <c r="C1041" s="61" t="s">
        <v>1573</v>
      </c>
      <c r="D1041" s="209" t="str">
        <f t="shared" si="23"/>
        <v>F0 B5 00 00:冰蚀祸造成的伤害 +10.0%[饰品]</v>
      </c>
    </row>
    <row r="1042" spans="1:4">
      <c r="A1042" s="61" t="s">
        <v>1922</v>
      </c>
      <c r="B1042" s="205" t="s">
        <v>1923</v>
      </c>
      <c r="C1042" s="61" t="s">
        <v>1573</v>
      </c>
      <c r="D1042" s="209" t="str">
        <f t="shared" si="23"/>
        <v>E1 1D 00 00:雷电祸造成的伤害 +10.0%[饰品]</v>
      </c>
    </row>
    <row r="1043" spans="1:4">
      <c r="A1043" s="61" t="s">
        <v>1924</v>
      </c>
      <c r="B1043" s="205" t="s">
        <v>1925</v>
      </c>
      <c r="C1043" s="61" t="s">
        <v>1573</v>
      </c>
      <c r="D1043" s="209" t="str">
        <f t="shared" si="23"/>
        <v>FC 11 00 00:暴风祸造成的伤害 +10.0%[饰品]</v>
      </c>
    </row>
    <row r="1044" spans="1:4">
      <c r="A1044" s="55" t="s">
        <v>1926</v>
      </c>
      <c r="B1044" s="61" t="s">
        <v>1927</v>
      </c>
      <c r="C1044" s="61" t="s">
        <v>1573</v>
      </c>
      <c r="D1044" s="209" t="str">
        <f t="shared" si="23"/>
        <v>F0 79 00 00:手里剑造成的伤害 +10.0%[饰品]</v>
      </c>
    </row>
    <row r="1045" spans="1:4">
      <c r="A1045" s="55" t="s">
        <v>1928</v>
      </c>
      <c r="B1045" s="199" t="s">
        <v>1929</v>
      </c>
      <c r="C1045" s="61" t="s">
        <v>1573</v>
      </c>
      <c r="D1045" s="209" t="str">
        <f t="shared" si="23"/>
        <v>D1 F1 00 00:毒手里剑造成的伤害 +10.0%[饰品]</v>
      </c>
    </row>
    <row r="1046" spans="1:4">
      <c r="A1046" s="55" t="s">
        <v>1930</v>
      </c>
      <c r="B1046" s="199" t="s">
        <v>1931</v>
      </c>
      <c r="C1046" s="61" t="s">
        <v>1573</v>
      </c>
      <c r="D1046" s="209" t="str">
        <f t="shared" si="23"/>
        <v>6D 26 00 00:麻痹手里剑造成的伤害 +10.0%[饰品]</v>
      </c>
    </row>
    <row r="1047" spans="1:4">
      <c r="A1047" s="55" t="s">
        <v>1932</v>
      </c>
      <c r="B1047" s="199" t="s">
        <v>1933</v>
      </c>
      <c r="C1047" s="61" t="s">
        <v>1573</v>
      </c>
      <c r="D1047" s="209" t="str">
        <f t="shared" si="23"/>
        <v>78 0D 00 00:火药镖造成的伤害 +10.0%[饰品]</v>
      </c>
    </row>
    <row r="1048" spans="1:4">
      <c r="A1048" s="61" t="s">
        <v>1866</v>
      </c>
      <c r="B1048" s="199" t="s">
        <v>1934</v>
      </c>
      <c r="C1048" s="61" t="s">
        <v>1573</v>
      </c>
      <c r="D1048" s="209" t="str">
        <f t="shared" si="23"/>
        <v>F8 BB 00 00:风车手里剑造成的伤害 +10.0%[饰品]</v>
      </c>
    </row>
    <row r="1049" spans="1:4">
      <c r="A1049" s="61" t="s">
        <v>1935</v>
      </c>
      <c r="B1049" s="61" t="s">
        <v>1936</v>
      </c>
      <c r="C1049" s="61" t="s">
        <v>1573</v>
      </c>
      <c r="D1049" s="209" t="str">
        <f t="shared" si="23"/>
        <v>04 DD 00 00:苦无造成的伤害 +10.0%[饰品]</v>
      </c>
    </row>
    <row r="1050" spans="1:4">
      <c r="A1050" s="61" t="s">
        <v>1937</v>
      </c>
      <c r="B1050" s="199" t="s">
        <v>1938</v>
      </c>
      <c r="C1050" s="61" t="s">
        <v>1573</v>
      </c>
      <c r="D1050" s="209" t="str">
        <f t="shared" si="23"/>
        <v>1A 8A 00 00:散弹苦无造成的伤害 +10.0%[饰品]</v>
      </c>
    </row>
    <row r="1051" spans="1:4">
      <c r="A1051" s="61" t="s">
        <v>1939</v>
      </c>
      <c r="B1051" s="56" t="s">
        <v>1940</v>
      </c>
      <c r="C1051" s="61" t="s">
        <v>1573</v>
      </c>
      <c r="D1051" s="209" t="str">
        <f t="shared" si="23"/>
        <v>54 71 00 00:撒菱造成的伤害 +10.0%[饰品]</v>
      </c>
    </row>
    <row r="1052" spans="1:4">
      <c r="A1052" s="61" t="s">
        <v>1941</v>
      </c>
      <c r="B1052" s="199" t="s">
        <v>1942</v>
      </c>
      <c r="C1052" s="61" t="s">
        <v>1573</v>
      </c>
      <c r="D1052" s="209" t="str">
        <f t="shared" si="23"/>
        <v>2B ED 00 00:菱钉弹造成的伤害 +10.0%[饰品]</v>
      </c>
    </row>
    <row r="1053" spans="1:4">
      <c r="A1053" s="61" t="s">
        <v>1943</v>
      </c>
      <c r="B1053" s="56" t="s">
        <v>1944</v>
      </c>
      <c r="C1053" s="61" t="s">
        <v>1573</v>
      </c>
      <c r="D1053" s="209" t="str">
        <f t="shared" si="23"/>
        <v>E1 15 00 00:罗汉币造成的伤害 +10.0%[饰品]</v>
      </c>
    </row>
    <row r="1054" spans="1:4">
      <c r="A1054" s="61" t="s">
        <v>1945</v>
      </c>
      <c r="B1054" s="199" t="s">
        <v>1946</v>
      </c>
      <c r="C1054" s="61" t="s">
        <v>1573</v>
      </c>
      <c r="D1054" s="209" t="str">
        <f t="shared" si="23"/>
        <v>7A E6 00 00:盲目弹造成的伤害 +10.0%[饰品]</v>
      </c>
    </row>
    <row r="1055" spans="1:4">
      <c r="A1055" s="55" t="s">
        <v>1947</v>
      </c>
      <c r="B1055" s="56" t="s">
        <v>1948</v>
      </c>
      <c r="C1055" s="61" t="s">
        <v>1573</v>
      </c>
      <c r="D1055" s="209" t="str">
        <f t="shared" si="23"/>
        <v>4E 21 00 00:闪电一足的持有上限 +1[饰品]</v>
      </c>
    </row>
    <row r="1056" spans="1:4">
      <c r="A1056" s="55" t="s">
        <v>1949</v>
      </c>
      <c r="B1056" s="56" t="s">
        <v>1950</v>
      </c>
      <c r="C1056" s="61" t="s">
        <v>1573</v>
      </c>
      <c r="D1056" s="209" t="str">
        <f t="shared" si="23"/>
        <v>3A 8E 00 00:雉子跳跃的持有上限 +1[饰品]</v>
      </c>
    </row>
    <row r="1057" spans="1:4">
      <c r="A1057" s="55" t="s">
        <v>1951</v>
      </c>
      <c r="B1057" s="199" t="s">
        <v>1952</v>
      </c>
      <c r="C1057" s="61" t="s">
        <v>1573</v>
      </c>
      <c r="D1057" s="209" t="str">
        <f t="shared" si="23"/>
        <v>7B B3 00 00:棘猫变身的持有上限 +1[饰品]</v>
      </c>
    </row>
    <row r="1058" spans="1:4">
      <c r="A1058" s="55" t="s">
        <v>1953</v>
      </c>
      <c r="B1058" s="199" t="s">
        <v>1954</v>
      </c>
      <c r="C1058" s="61" t="s">
        <v>1573</v>
      </c>
      <c r="D1058" s="209" t="str">
        <f t="shared" si="23"/>
        <v>A6 3D 00 00:巨猫变身的持有上限 +1[饰品]</v>
      </c>
    </row>
    <row r="1059" spans="1:4">
      <c r="A1059" s="61" t="s">
        <v>1955</v>
      </c>
      <c r="B1059" s="205" t="s">
        <v>1956</v>
      </c>
      <c r="C1059" s="61" t="s">
        <v>1573</v>
      </c>
      <c r="D1059" s="209" t="str">
        <f t="shared" si="23"/>
        <v>2D F7 00 00:缝影的持有上限 +1[饰品]</v>
      </c>
    </row>
    <row r="1060" spans="1:4">
      <c r="A1060" s="61" t="s">
        <v>1957</v>
      </c>
      <c r="B1060" s="56" t="s">
        <v>1958</v>
      </c>
      <c r="C1060" s="61" t="s">
        <v>1573</v>
      </c>
      <c r="D1060" s="209" t="str">
        <f t="shared" si="23"/>
        <v>54 41 00 00:土墙的持有上限 +1[饰品]</v>
      </c>
    </row>
    <row r="1061" spans="1:4">
      <c r="A1061" s="61" t="s">
        <v>1959</v>
      </c>
      <c r="B1061" s="56" t="s">
        <v>1960</v>
      </c>
      <c r="C1061" s="61" t="s">
        <v>1573</v>
      </c>
      <c r="D1061" s="209" t="str">
        <f t="shared" si="23"/>
        <v>26 10 00 00:毒雾的持有上限 +1[饰品]</v>
      </c>
    </row>
    <row r="1062" spans="1:4">
      <c r="A1062" s="55" t="s">
        <v>1961</v>
      </c>
      <c r="B1062" s="199" t="s">
        <v>1962</v>
      </c>
      <c r="C1062" s="61" t="s">
        <v>1573</v>
      </c>
      <c r="D1062" s="209" t="str">
        <f t="shared" si="23"/>
        <v>C5 87 00 00:震地术的持有上限 +1[饰品]</v>
      </c>
    </row>
    <row r="1063" spans="1:4">
      <c r="A1063" s="55" t="s">
        <v>1963</v>
      </c>
      <c r="B1063" s="205" t="s">
        <v>1964</v>
      </c>
      <c r="C1063" s="61" t="s">
        <v>1573</v>
      </c>
      <c r="D1063" s="209" t="str">
        <f t="shared" si="23"/>
        <v>7F 36 00 00:土遁的持有上限 +1[饰品]</v>
      </c>
    </row>
    <row r="1064" spans="1:4">
      <c r="A1064" s="55" t="s">
        <v>1965</v>
      </c>
      <c r="B1064" s="199" t="s">
        <v>1966</v>
      </c>
      <c r="C1064" s="61" t="s">
        <v>1573</v>
      </c>
      <c r="D1064" s="209" t="str">
        <f t="shared" si="23"/>
        <v>FB F0 00 00:空蝉的持有上限 +1[饰品]</v>
      </c>
    </row>
    <row r="1065" spans="1:4">
      <c r="A1065" s="61" t="s">
        <v>1967</v>
      </c>
      <c r="B1065" s="205" t="s">
        <v>1968</v>
      </c>
      <c r="C1065" s="61" t="s">
        <v>1573</v>
      </c>
      <c r="D1065" s="209" t="str">
        <f t="shared" si="23"/>
        <v>62 56 00 00:影分身的持有上限 +1[饰品]</v>
      </c>
    </row>
    <row r="1066" spans="1:4">
      <c r="A1066" s="55" t="s">
        <v>1969</v>
      </c>
      <c r="B1066" s="61" t="s">
        <v>1970</v>
      </c>
      <c r="C1066" s="61" t="s">
        <v>1573</v>
      </c>
      <c r="D1066" s="209" t="str">
        <f t="shared" si="23"/>
        <v>0E 19 00 00:弓伤害 +1.7%[饰品]</v>
      </c>
    </row>
    <row r="1067" spans="1:4">
      <c r="A1067" s="55" t="s">
        <v>1971</v>
      </c>
      <c r="B1067" s="61" t="s">
        <v>1972</v>
      </c>
      <c r="C1067" s="61" t="s">
        <v>1573</v>
      </c>
      <c r="D1067" s="209" t="str">
        <f t="shared" si="23"/>
        <v>77 A6 00 00:火枪伤害 +1.7%[饰品]</v>
      </c>
    </row>
    <row r="1068" spans="1:4">
      <c r="A1068" s="55" t="s">
        <v>1973</v>
      </c>
      <c r="B1068" s="61" t="s">
        <v>1974</v>
      </c>
      <c r="C1068" s="61" t="s">
        <v>1573</v>
      </c>
      <c r="D1068" s="209" t="str">
        <f t="shared" si="23"/>
        <v>C6 5E 00 00:大炮伤害 +1.7%[饰品]</v>
      </c>
    </row>
    <row r="1069" spans="1:4">
      <c r="A1069" s="55" t="s">
        <v>1975</v>
      </c>
      <c r="B1069" s="56" t="s">
        <v>1976</v>
      </c>
      <c r="C1069" s="61" t="s">
        <v>1573</v>
      </c>
      <c r="D1069" s="209" t="str">
        <f t="shared" si="23"/>
        <v>92 08 00 00:远距离伤害 +1.7%[饰品]</v>
      </c>
    </row>
    <row r="1070" spans="1:4">
      <c r="A1070" s="55" t="s">
        <v>1977</v>
      </c>
      <c r="B1070" s="61" t="s">
        <v>1978</v>
      </c>
      <c r="C1070" s="61" t="s">
        <v>1573</v>
      </c>
      <c r="D1070" s="209" t="str">
        <f t="shared" si="23"/>
        <v>0C 2D 00 00:对极近距离敌人的弓箭伤害 +1.7%[饰品]</v>
      </c>
    </row>
    <row r="1071" spans="1:4">
      <c r="A1071" s="55" t="s">
        <v>1979</v>
      </c>
      <c r="B1071" s="61" t="s">
        <v>1980</v>
      </c>
      <c r="C1071" s="61" t="s">
        <v>1573</v>
      </c>
      <c r="D1071" s="209" t="str">
        <f t="shared" si="23"/>
        <v>82 5B 00 00:对极近距离敌人的火枪伤害 +1.7%[饰品]</v>
      </c>
    </row>
    <row r="1072" spans="1:4">
      <c r="A1072" s="55" t="s">
        <v>1981</v>
      </c>
      <c r="B1072" s="61" t="s">
        <v>1982</v>
      </c>
      <c r="C1072" s="61" t="s">
        <v>1573</v>
      </c>
      <c r="D1072" s="209" t="str">
        <f t="shared" si="23"/>
        <v>B4 D4 00 00:对极近距离敌人的大炮伤害 +1.7%[饰品]</v>
      </c>
    </row>
    <row r="1073" spans="1:4">
      <c r="A1073" s="55" t="s">
        <v>1983</v>
      </c>
      <c r="B1073" s="56" t="s">
        <v>1984</v>
      </c>
      <c r="C1073" s="61" t="s">
        <v>1573</v>
      </c>
      <c r="D1073" s="209" t="str">
        <f t="shared" si="23"/>
        <v>E9 B7 00 00:箭弹伤害(无伤) +2.0%[饰品]</v>
      </c>
    </row>
    <row r="1074" spans="1:4">
      <c r="A1074" s="55" t="s">
        <v>1985</v>
      </c>
      <c r="B1074" s="61" t="s">
        <v>1986</v>
      </c>
      <c r="C1074" s="61" t="s">
        <v>1573</v>
      </c>
      <c r="D1074" s="209" t="str">
        <f t="shared" si="23"/>
        <v>48 ED 00 00:(同名固定)不易被敌人发现 C[饰品]</v>
      </c>
    </row>
    <row r="1075" spans="1:4">
      <c r="A1075" s="55" t="s">
        <v>1987</v>
      </c>
      <c r="B1075" s="61" t="s">
        <v>1988</v>
      </c>
      <c r="C1075" s="61" t="s">
        <v>1573</v>
      </c>
      <c r="D1075" s="209" t="str">
        <f t="shared" si="23"/>
        <v>1B 75 00 00:不易被敌人发现 C[饰品]</v>
      </c>
    </row>
    <row r="1076" spans="1:4">
      <c r="A1076" s="55" t="s">
        <v>1989</v>
      </c>
      <c r="B1076" s="56" t="s">
        <v>1990</v>
      </c>
      <c r="C1076" s="61" t="s">
        <v>1573</v>
      </c>
      <c r="D1076" s="209" t="str">
        <f t="shared" si="23"/>
        <v>DB 34 00 00:箭矢持有数量上限 +2[饰品]</v>
      </c>
    </row>
    <row r="1077" spans="1:4">
      <c r="A1077" s="55" t="s">
        <v>1991</v>
      </c>
      <c r="B1077" s="56" t="s">
        <v>1992</v>
      </c>
      <c r="C1077" s="61" t="s">
        <v>1573</v>
      </c>
      <c r="D1077" s="209" t="str">
        <f t="shared" si="23"/>
        <v>67 16 00 00:枪弹持有数量上限 +2[饰品]</v>
      </c>
    </row>
    <row r="1078" spans="1:4">
      <c r="A1078" s="55" t="s">
        <v>1993</v>
      </c>
      <c r="B1078" s="56" t="s">
        <v>1994</v>
      </c>
      <c r="C1078" s="61" t="s">
        <v>1573</v>
      </c>
      <c r="D1078" s="209" t="str">
        <f t="shared" si="23"/>
        <v>37 67 00 00:炮弹持有数量上限 +2[饰品]</v>
      </c>
    </row>
    <row r="1079" spans="1:4">
      <c r="A1079" s="55" t="s">
        <v>1995</v>
      </c>
      <c r="B1079" s="56" t="s">
        <v>1996</v>
      </c>
      <c r="C1079" s="61" t="s">
        <v>1573</v>
      </c>
      <c r="D1079" s="209" t="str">
        <f t="shared" si="23"/>
        <v>D4 C3 00 00:不消耗箭弹 +5.0%[饰品]</v>
      </c>
    </row>
    <row r="1080" spans="1:4">
      <c r="A1080" s="55" t="s">
        <v>1997</v>
      </c>
      <c r="B1080" s="205" t="s">
        <v>1998</v>
      </c>
      <c r="C1080" s="61" t="s">
        <v>1573</v>
      </c>
      <c r="D1080" s="209" t="str">
        <f t="shared" si="23"/>
        <v>6A 66 00 00:(星)不消耗箭弹 +7.5%[饰品]</v>
      </c>
    </row>
    <row r="1081" spans="1:4">
      <c r="A1081" s="55" t="s">
        <v>1999</v>
      </c>
      <c r="B1081" s="56" t="s">
        <v>2000</v>
      </c>
      <c r="C1081" s="61" t="s">
        <v>1573</v>
      </c>
      <c r="D1081" s="209" t="str">
        <f t="shared" si="23"/>
        <v>51 FE 00 00:不消耗枪弹与炮弹 +5.5%[饰品]</v>
      </c>
    </row>
    <row r="1082" spans="1:4">
      <c r="A1082" s="55" t="s">
        <v>2001</v>
      </c>
      <c r="B1082" s="199" t="s">
        <v>1476</v>
      </c>
      <c r="C1082" s="61" t="s">
        <v>1573</v>
      </c>
      <c r="D1082" s="209" t="str">
        <f t="shared" si="23"/>
        <v>C8 EF 00 00:格挡成功时赋予移动速度上升(2.2%)[饰品]</v>
      </c>
    </row>
    <row r="1083" spans="1:4">
      <c r="A1083" s="55" t="s">
        <v>2002</v>
      </c>
      <c r="B1083" s="199" t="s">
        <v>1482</v>
      </c>
      <c r="C1083" s="61" t="s">
        <v>1573</v>
      </c>
      <c r="D1083" s="209" t="str">
        <f t="shared" si="23"/>
        <v>BE 00 00 00:成功识破时移动速度上升(2.2%)[饰品]</v>
      </c>
    </row>
    <row r="1084" spans="1:4">
      <c r="A1084" s="55" t="s">
        <v>2003</v>
      </c>
      <c r="B1084" s="56" t="s">
        <v>1494</v>
      </c>
      <c r="C1084" s="61" t="s">
        <v>1573</v>
      </c>
      <c r="D1084" s="209" t="str">
        <f t="shared" si="23"/>
        <v>3D 5A 00 00:闪避动作精力消耗降低 -2.0%[饰品]</v>
      </c>
    </row>
    <row r="1085" spans="1:4">
      <c r="A1085" s="55" t="s">
        <v>2004</v>
      </c>
      <c r="B1085" s="205" t="s">
        <v>1498</v>
      </c>
      <c r="C1085" s="61" t="s">
        <v>1573</v>
      </c>
      <c r="D1085" s="209" t="str">
        <f t="shared" si="23"/>
        <v>E7 8D 00 00:(星)闪避动作精力消耗降低 -3.0%[饰品]</v>
      </c>
    </row>
    <row r="1086" spans="1:4">
      <c r="A1086" s="55" t="s">
        <v>2005</v>
      </c>
      <c r="B1086" s="61" t="s">
        <v>1502</v>
      </c>
      <c r="C1086" s="61" t="s">
        <v>1573</v>
      </c>
      <c r="D1086" s="209" t="str">
        <f t="shared" si="23"/>
        <v>EF 3A 00 00:闪避动作精力消耗降低(绝境) -6.0%[饰品]</v>
      </c>
    </row>
    <row r="1087" spans="1:4">
      <c r="A1087" s="55" t="s">
        <v>2006</v>
      </c>
      <c r="B1087" s="61" t="s">
        <v>1508</v>
      </c>
      <c r="C1087" s="61" t="s">
        <v>1573</v>
      </c>
      <c r="D1087" s="209" t="str">
        <f t="shared" si="23"/>
        <v>91 2E 00 00:绝境赋予移动速度上升(6.6%)[饰品]</v>
      </c>
    </row>
    <row r="1088" spans="1:4">
      <c r="A1088" s="55" t="s">
        <v>2007</v>
      </c>
      <c r="B1088" s="61" t="s">
        <v>1514</v>
      </c>
      <c r="C1088" s="61" t="s">
        <v>1573</v>
      </c>
      <c r="D1088" s="209" t="str">
        <f t="shared" si="23"/>
        <v>12 68 00 00:打倒敌人时赋予移动速度上升(2.7%)[饰品]</v>
      </c>
    </row>
    <row r="1089" spans="1:4">
      <c r="A1089" s="55" t="s">
        <v>2008</v>
      </c>
      <c r="B1089" s="56" t="s">
        <v>1526</v>
      </c>
      <c r="C1089" s="61" t="s">
        <v>1573</v>
      </c>
      <c r="D1089" s="209" t="str">
        <f t="shared" si="23"/>
        <v>7B F5 00 00:祓除常世赋予移动速度上升(2.9%)[饰品]</v>
      </c>
    </row>
    <row r="1090" spans="1:4">
      <c r="A1090" s="55" t="s">
        <v>2009</v>
      </c>
      <c r="B1090" s="61" t="s">
        <v>1532</v>
      </c>
      <c r="C1090" s="61" t="s">
        <v>1573</v>
      </c>
      <c r="D1090" s="209" t="str">
        <f t="shared" si="23"/>
        <v>21 99 00 00:陷入异常状态时赋予移动速度上升(3.1%)[饰品]</v>
      </c>
    </row>
    <row r="1091" spans="1:4">
      <c r="A1091" s="55" t="s">
        <v>2010</v>
      </c>
      <c r="B1091" s="61" t="s">
        <v>2011</v>
      </c>
      <c r="C1091" s="61" t="s">
        <v>1573</v>
      </c>
      <c r="D1091" s="209" t="str">
        <f t="shared" si="23"/>
        <v>05 7E 00 00:(同名固定)吸收精华后赋予移动速度上升(0.0%?)[饰品]</v>
      </c>
    </row>
    <row r="1092" spans="1:4">
      <c r="A1092" s="55" t="s">
        <v>2012</v>
      </c>
      <c r="B1092" s="56" t="s">
        <v>1538</v>
      </c>
      <c r="C1092" s="61" t="s">
        <v>1573</v>
      </c>
      <c r="D1092" s="209" t="str">
        <f t="shared" si="23"/>
        <v>A7 0D 00 00:吸收精华后赋予移动速度上升(2.2%)[饰品]</v>
      </c>
    </row>
    <row r="1093" spans="1:4">
      <c r="A1093" s="55" t="s">
        <v>2013</v>
      </c>
      <c r="B1093" s="56" t="s">
        <v>1544</v>
      </c>
      <c r="C1093" s="61" t="s">
        <v>1573</v>
      </c>
      <c r="D1093" s="209" t="str">
        <f t="shared" si="23"/>
        <v>0F 81 00 00:精力受到攻击降至50%以下时赋予移动速度上升(2.8%)[饰品]</v>
      </c>
    </row>
    <row r="1094" spans="1:4">
      <c r="A1094" s="55" t="s">
        <v>2014</v>
      </c>
      <c r="B1094" s="56" t="s">
        <v>1550</v>
      </c>
      <c r="C1094" s="61" t="s">
        <v>1573</v>
      </c>
      <c r="D1094" s="209" t="str">
        <f t="shared" si="23"/>
        <v>E2 1C 00 00:阴阳术命中赋予移动速度上升（2.7%）[饰品]</v>
      </c>
    </row>
    <row r="1095" spans="1:4">
      <c r="A1095" s="55" t="s">
        <v>2015</v>
      </c>
      <c r="B1095" s="56" t="s">
        <v>1556</v>
      </c>
      <c r="C1095" s="61" t="s">
        <v>1573</v>
      </c>
      <c r="D1095" s="209" t="str">
        <f t="shared" si="23"/>
        <v>F7 0B 00 00:忍术命中赋予移动速度上升（2.7%）[饰品]</v>
      </c>
    </row>
    <row r="1096" spans="1:4">
      <c r="A1096" s="55" t="s">
        <v>2016</v>
      </c>
      <c r="B1096" s="56" t="s">
        <v>1562</v>
      </c>
      <c r="C1096" s="61" t="s">
        <v>1573</v>
      </c>
      <c r="D1096" s="209" t="str">
        <f t="shared" si="23"/>
        <v>02 9D 00 00:恢复体力赋予移动速度上升（2.7%）[饰品]</v>
      </c>
    </row>
    <row r="1097" spans="1:4">
      <c r="A1097" s="55" t="s">
        <v>2017</v>
      </c>
      <c r="B1097" s="199" t="s">
        <v>2018</v>
      </c>
      <c r="C1097" s="61" t="s">
        <v>1573</v>
      </c>
      <c r="D1097" s="209" t="str">
        <f t="shared" si="23"/>
        <v>AF AA 00 00:火属性伤害 +6.0%[饰品]</v>
      </c>
    </row>
    <row r="1098" spans="1:4">
      <c r="A1098" s="55" t="s">
        <v>2019</v>
      </c>
      <c r="B1098" s="61" t="s">
        <v>2020</v>
      </c>
      <c r="C1098" s="61" t="s">
        <v>1573</v>
      </c>
      <c r="D1098" s="209" t="str">
        <f t="shared" si="23"/>
        <v>B5 1C 00 00:(同名固定)水属性伤害 +3.3%[饰品]</v>
      </c>
    </row>
    <row r="1099" spans="1:4">
      <c r="A1099" s="55" t="s">
        <v>2021</v>
      </c>
      <c r="B1099" s="199" t="s">
        <v>2022</v>
      </c>
      <c r="C1099" s="61" t="s">
        <v>1573</v>
      </c>
      <c r="D1099" s="209" t="str">
        <f t="shared" si="23"/>
        <v>FD E6 00 00:水属性伤害 +6.0%[饰品]</v>
      </c>
    </row>
    <row r="1100" spans="1:4">
      <c r="A1100" s="55" t="s">
        <v>2023</v>
      </c>
      <c r="B1100" s="199" t="s">
        <v>2024</v>
      </c>
      <c r="C1100" s="61" t="s">
        <v>1573</v>
      </c>
      <c r="D1100" s="209" t="str">
        <f t="shared" si="23"/>
        <v>EB EC 00 00:雷属性伤害 +6.0%[饰品]</v>
      </c>
    </row>
    <row r="1101" spans="1:4">
      <c r="A1101" s="55" t="s">
        <v>2025</v>
      </c>
      <c r="B1101" s="56" t="s">
        <v>2026</v>
      </c>
      <c r="C1101" s="61" t="s">
        <v>1573</v>
      </c>
      <c r="D1101" s="209" t="str">
        <f t="shared" si="23"/>
        <v>6D A1 00 00:风属性伤害 +6.0%[饰品]</v>
      </c>
    </row>
    <row r="1102" spans="1:4">
      <c r="A1102" s="55" t="s">
        <v>2027</v>
      </c>
      <c r="B1102" s="56" t="s">
        <v>548</v>
      </c>
      <c r="C1102" s="61" t="s">
        <v>1573</v>
      </c>
      <c r="D1102" s="209" t="str">
        <f t="shared" si="23"/>
        <v>71 B9 00 00:赋予属性的持续时间延长 +20.0%[饰品]</v>
      </c>
    </row>
    <row r="1103" spans="1:4">
      <c r="A1103" s="55" t="s">
        <v>2028</v>
      </c>
      <c r="B1103" s="56" t="s">
        <v>552</v>
      </c>
      <c r="C1103" s="61" t="s">
        <v>1573</v>
      </c>
      <c r="D1103" s="209" t="str">
        <f t="shared" si="23"/>
        <v>45 5E 00 00:敌人的火状态累计 +8.0%[饰品]</v>
      </c>
    </row>
    <row r="1104" spans="1:4">
      <c r="A1104" s="55" t="s">
        <v>2029</v>
      </c>
      <c r="B1104" s="56" t="s">
        <v>554</v>
      </c>
      <c r="C1104" s="61" t="s">
        <v>1573</v>
      </c>
      <c r="D1104" s="209" t="str">
        <f>LEFT(A1104,11)&amp;":"&amp;B1104&amp;C1104</f>
        <v>F9 27 00 00:敌人的水状态累计 +8.0%[饰品]</v>
      </c>
    </row>
    <row r="1105" spans="1:4">
      <c r="A1105" s="55" t="s">
        <v>2030</v>
      </c>
      <c r="B1105" s="56" t="s">
        <v>556</v>
      </c>
      <c r="C1105" s="61" t="s">
        <v>1573</v>
      </c>
      <c r="D1105" s="209" t="str">
        <f t="shared" ref="D1105:D1168" si="24">LEFT(A1105,11)&amp;":"&amp;B1105&amp;C1105</f>
        <v>00 EE 00 00:敌人的雷状态累计 +8.0%[饰品]</v>
      </c>
    </row>
    <row r="1106" spans="1:4">
      <c r="A1106" s="55" t="s">
        <v>2031</v>
      </c>
      <c r="B1106" s="56" t="s">
        <v>558</v>
      </c>
      <c r="C1106" s="61" t="s">
        <v>1573</v>
      </c>
      <c r="D1106" s="209" t="str">
        <f t="shared" si="24"/>
        <v>96 96 00 00:敌人的风状态累计 +8.0%[饰品]</v>
      </c>
    </row>
    <row r="1107" spans="1:4">
      <c r="A1107" s="55" t="s">
        <v>2032</v>
      </c>
      <c r="B1107" s="56" t="s">
        <v>562</v>
      </c>
      <c r="C1107" s="61" t="s">
        <v>1573</v>
      </c>
      <c r="D1107" s="209" t="str">
        <f t="shared" si="24"/>
        <v>9E 3D 00 00:敌人的毒状态累计 +8.0%[饰品]</v>
      </c>
    </row>
    <row r="1108" spans="1:4">
      <c r="A1108" s="55" t="s">
        <v>2033</v>
      </c>
      <c r="B1108" s="56" t="s">
        <v>568</v>
      </c>
      <c r="C1108" s="61" t="s">
        <v>1573</v>
      </c>
      <c r="D1108" s="209" t="str">
        <f t="shared" si="24"/>
        <v>CA 22 00 00:敌人的麻痹状态累计 +8.0%[饰品]</v>
      </c>
    </row>
    <row r="1109" spans="1:4">
      <c r="A1109" s="55" t="s">
        <v>2034</v>
      </c>
      <c r="B1109" s="56" t="s">
        <v>572</v>
      </c>
      <c r="C1109" s="61" t="s">
        <v>1573</v>
      </c>
      <c r="D1109" s="209" t="str">
        <f t="shared" si="24"/>
        <v>A0 7C 00 00:异常状态累计 +5.0%[饰品]</v>
      </c>
    </row>
    <row r="1110" spans="1:4">
      <c r="A1110" s="55" t="s">
        <v>2035</v>
      </c>
      <c r="B1110" s="61" t="s">
        <v>2036</v>
      </c>
      <c r="C1110" s="61" t="s">
        <v>1573</v>
      </c>
      <c r="D1110" s="209" t="str">
        <f t="shared" si="24"/>
        <v>A9 AA 00 00:(同名固定)效果持续力 +2[饰品]</v>
      </c>
    </row>
    <row r="1111" spans="1:4">
      <c r="A1111" s="55" t="s">
        <v>2037</v>
      </c>
      <c r="B1111" s="203" t="s">
        <v>2038</v>
      </c>
      <c r="C1111" s="61" t="s">
        <v>2039</v>
      </c>
      <c r="D1111" s="209" t="str">
        <f t="shared" si="24"/>
        <v>58 36 00 00:(星)九十九化身时造成的伤害增加 +13.5% ~ +14.8%[近战/手臂]</v>
      </c>
    </row>
    <row r="1112" spans="1:4">
      <c r="A1112" s="55" t="s">
        <v>2040</v>
      </c>
      <c r="B1112" s="203" t="s">
        <v>2041</v>
      </c>
      <c r="C1112" s="61" t="s">
        <v>2039</v>
      </c>
      <c r="D1112" s="209" t="str">
        <f t="shared" si="24"/>
        <v>19 22 00 00:(星)九十九化身时造成的伤害增加 +14.9% ~ +16.2%[近战/手臂]</v>
      </c>
    </row>
    <row r="1113" spans="1:4">
      <c r="A1113" s="55" t="s">
        <v>2042</v>
      </c>
      <c r="B1113" s="203" t="s">
        <v>2043</v>
      </c>
      <c r="C1113" s="61" t="s">
        <v>2039</v>
      </c>
      <c r="D1113" s="209" t="str">
        <f t="shared" si="24"/>
        <v>9C 49 00 00:(星)九十九化身时造成的伤害增加 +16.2% ~ +17.5%[近战/手臂]</v>
      </c>
    </row>
    <row r="1114" spans="1:4">
      <c r="A1114" s="55" t="s">
        <v>2044</v>
      </c>
      <c r="B1114" s="203" t="s">
        <v>2045</v>
      </c>
      <c r="C1114" s="61" t="s">
        <v>2039</v>
      </c>
      <c r="D1114" s="209" t="str">
        <f t="shared" si="24"/>
        <v>5A 80 00 00:(星)近距离攻击伤害 +8.0% ~ +9.1%[近战/手臂]</v>
      </c>
    </row>
    <row r="1115" spans="1:4">
      <c r="A1115" s="55" t="s">
        <v>2046</v>
      </c>
      <c r="B1115" s="203" t="s">
        <v>2047</v>
      </c>
      <c r="C1115" s="61" t="s">
        <v>2039</v>
      </c>
      <c r="D1115" s="209" t="str">
        <f t="shared" si="24"/>
        <v>CD DB 00 00:(星)近距离攻击伤害 +9.1% ~ +10.2%[近战/手臂]</v>
      </c>
    </row>
    <row r="1116" spans="1:4">
      <c r="A1116" s="55" t="s">
        <v>2048</v>
      </c>
      <c r="B1116" s="203" t="s">
        <v>2049</v>
      </c>
      <c r="C1116" s="61" t="s">
        <v>2039</v>
      </c>
      <c r="D1116" s="209" t="str">
        <f t="shared" si="24"/>
        <v>CC 1C 00 00:(星)近距离攻击伤害 +10.1% ~ +11.2%[近战/手臂]</v>
      </c>
    </row>
    <row r="1117" spans="1:4">
      <c r="A1117" s="55" t="s">
        <v>2050</v>
      </c>
      <c r="B1117" s="203" t="s">
        <v>2051</v>
      </c>
      <c r="C1117" s="61" t="s">
        <v>2039</v>
      </c>
      <c r="D1117" s="209" t="str">
        <f t="shared" si="24"/>
        <v>4C BD 00 00:(星)近距离攻击伤害(绝境) +14.5% ~ +15.7%[近战/手臂]</v>
      </c>
    </row>
    <row r="1118" spans="1:4">
      <c r="A1118" s="55" t="s">
        <v>2052</v>
      </c>
      <c r="B1118" s="203" t="s">
        <v>2053</v>
      </c>
      <c r="C1118" s="61" t="s">
        <v>2039</v>
      </c>
      <c r="D1118" s="209" t="str">
        <f t="shared" si="24"/>
        <v>3B 01 00 00:(星)近距离攻击伤害(绝境) +15.7% ~ +16.9%[近战/手臂]</v>
      </c>
    </row>
    <row r="1119" spans="1:4">
      <c r="A1119" s="55" t="s">
        <v>2054</v>
      </c>
      <c r="B1119" s="203" t="s">
        <v>2055</v>
      </c>
      <c r="C1119" s="61" t="s">
        <v>2039</v>
      </c>
      <c r="D1119" s="209" t="str">
        <f t="shared" si="24"/>
        <v>94 0D 00 00:(星)近距离攻击伤害(绝境) +16.8% ~ +18.0%[近战/手臂]</v>
      </c>
    </row>
    <row r="1120" spans="1:4">
      <c r="A1120" s="55" t="s">
        <v>2056</v>
      </c>
      <c r="B1120" s="203" t="s">
        <v>2057</v>
      </c>
      <c r="C1120" s="61" t="s">
        <v>2039</v>
      </c>
      <c r="D1120" s="209" t="str">
        <f t="shared" si="24"/>
        <v>D2 18 00 00:(星)近距离攻击伤害(无伤) +10.2% ~ +11.3%[近战/手臂]</v>
      </c>
    </row>
    <row r="1121" spans="1:4">
      <c r="A1121" s="55" t="s">
        <v>2058</v>
      </c>
      <c r="B1121" s="203" t="s">
        <v>2059</v>
      </c>
      <c r="C1121" s="61" t="s">
        <v>2039</v>
      </c>
      <c r="D1121" s="209" t="str">
        <f t="shared" si="24"/>
        <v>2D CC 00 00:(星)近距离攻击伤害(无伤) +11.3% ~ +12.4%[近战/手臂]</v>
      </c>
    </row>
    <row r="1122" spans="1:4">
      <c r="A1122" s="55" t="s">
        <v>2060</v>
      </c>
      <c r="B1122" s="203" t="s">
        <v>2061</v>
      </c>
      <c r="C1122" s="61" t="s">
        <v>2039</v>
      </c>
      <c r="D1122" s="209" t="str">
        <f t="shared" si="24"/>
        <v>61 92 00 00:(星)近距离攻击伤害(无伤) +12.3% ~ +13.4%[近战/手臂]</v>
      </c>
    </row>
    <row r="1123" spans="1:4">
      <c r="A1123" s="55" t="s">
        <v>2062</v>
      </c>
      <c r="B1123" s="203" t="s">
        <v>2063</v>
      </c>
      <c r="C1123" s="61" t="s">
        <v>2039</v>
      </c>
      <c r="D1123" s="209" t="str">
        <f t="shared" si="24"/>
        <v>D2 E3 00 00:(星)对精力耗尽敌人的近距离伤害 +17.5% ~ +19.2%[近战/手臂]</v>
      </c>
    </row>
    <row r="1124" spans="1:4">
      <c r="A1124" s="55" t="s">
        <v>2064</v>
      </c>
      <c r="B1124" s="203" t="s">
        <v>2065</v>
      </c>
      <c r="C1124" s="61" t="s">
        <v>2039</v>
      </c>
      <c r="D1124" s="209" t="str">
        <f t="shared" si="24"/>
        <v>41 8C 00 00:(星)对精力耗尽敌人的近距离伤害 +19.1% ~ +20.8%[近战/手臂]</v>
      </c>
    </row>
    <row r="1125" spans="1:4">
      <c r="A1125" s="55" t="s">
        <v>2066</v>
      </c>
      <c r="B1125" s="203" t="s">
        <v>2067</v>
      </c>
      <c r="C1125" s="61" t="s">
        <v>2039</v>
      </c>
      <c r="D1125" s="209" t="str">
        <f t="shared" si="24"/>
        <v>BE BD 00 00:(星)对精力耗尽敌人的近距离伤害 +20.8% ~ +22.5%[近战/手臂]</v>
      </c>
    </row>
    <row r="1126" spans="1:4">
      <c r="A1126" s="55" t="s">
        <v>2068</v>
      </c>
      <c r="B1126" s="203" t="s">
        <v>2069</v>
      </c>
      <c r="C1126" s="61" t="s">
        <v>2039</v>
      </c>
      <c r="D1126" s="209" t="str">
        <f t="shared" si="24"/>
        <v>7D 0A 00 00:(星)守护灵技的伤害 +9.2% ~ +10.3%[近战/手臂]</v>
      </c>
    </row>
    <row r="1127" spans="1:4">
      <c r="A1127" s="55" t="s">
        <v>2070</v>
      </c>
      <c r="B1127" s="203" t="s">
        <v>2071</v>
      </c>
      <c r="C1127" s="61" t="s">
        <v>2039</v>
      </c>
      <c r="D1127" s="209" t="str">
        <f t="shared" si="24"/>
        <v>34 45 00 00:(星)守护灵技的伤害 +10.2% ~ +11.3%[近战/手臂]</v>
      </c>
    </row>
    <row r="1128" spans="1:4">
      <c r="A1128" s="55" t="s">
        <v>2072</v>
      </c>
      <c r="B1128" s="203" t="s">
        <v>2073</v>
      </c>
      <c r="C1128" s="61" t="s">
        <v>2039</v>
      </c>
      <c r="D1128" s="209" t="str">
        <f t="shared" si="24"/>
        <v>41 2E 00 00:(星)守护灵技的伤害 +11.3% ~ +12.4%[近战/手臂]</v>
      </c>
    </row>
    <row r="1129" spans="1:4">
      <c r="A1129" s="55" t="s">
        <v>2074</v>
      </c>
      <c r="B1129" s="203" t="s">
        <v>2075</v>
      </c>
      <c r="C1129" s="61" t="s">
        <v>2039</v>
      </c>
      <c r="D1129" s="209" t="str">
        <f t="shared" si="24"/>
        <v>2D A9 00 00:(星)刺击伤害 +8.8% ~ +9.9%[近战/手臂]</v>
      </c>
    </row>
    <row r="1130" spans="1:4">
      <c r="A1130" s="55" t="s">
        <v>2076</v>
      </c>
      <c r="B1130" s="203" t="s">
        <v>2077</v>
      </c>
      <c r="C1130" s="61" t="s">
        <v>2039</v>
      </c>
      <c r="D1130" s="209" t="str">
        <f t="shared" si="24"/>
        <v>9B 7F 00 00:(星)刺击伤害 +9.9% ~ +11.0%[近战/手臂]</v>
      </c>
    </row>
    <row r="1131" spans="1:4">
      <c r="A1131" s="55" t="s">
        <v>2078</v>
      </c>
      <c r="B1131" s="203" t="s">
        <v>2079</v>
      </c>
      <c r="C1131" s="61" t="s">
        <v>2039</v>
      </c>
      <c r="D1131" s="209" t="str">
        <f t="shared" si="24"/>
        <v>2C 88 00 00:(星)刺击伤害 +10.9% ~ +12.0%[近战/手臂]</v>
      </c>
    </row>
    <row r="1132" spans="1:4">
      <c r="A1132" s="55" t="s">
        <v>2080</v>
      </c>
      <c r="B1132" s="203" t="s">
        <v>2081</v>
      </c>
      <c r="C1132" s="61" t="s">
        <v>2039</v>
      </c>
      <c r="D1132" s="209" t="str">
        <f t="shared" si="24"/>
        <v>11 85 00 00:(星)阴阳术伤害 +6.0% ~ +7.0%[近战/手臂]</v>
      </c>
    </row>
    <row r="1133" spans="1:4">
      <c r="A1133" s="55" t="s">
        <v>2082</v>
      </c>
      <c r="B1133" s="203" t="s">
        <v>2083</v>
      </c>
      <c r="C1133" s="61" t="s">
        <v>2039</v>
      </c>
      <c r="D1133" s="209" t="str">
        <f t="shared" si="24"/>
        <v>26 AE 00 00:(星)阴阳术伤害 +7.0% ~ +8.0%[近战/手臂]</v>
      </c>
    </row>
    <row r="1134" spans="1:4">
      <c r="A1134" s="55" t="s">
        <v>2084</v>
      </c>
      <c r="B1134" s="203" t="s">
        <v>2085</v>
      </c>
      <c r="C1134" s="61" t="s">
        <v>2039</v>
      </c>
      <c r="D1134" s="209" t="str">
        <f t="shared" si="24"/>
        <v>D6 A7 00 00:(星)阴阳术伤害 +8.0% ~ +9.0%[近战/手臂]</v>
      </c>
    </row>
    <row r="1135" spans="1:4">
      <c r="A1135" s="55" t="s">
        <v>2086</v>
      </c>
      <c r="B1135" s="203" t="s">
        <v>2087</v>
      </c>
      <c r="C1135" s="61" t="s">
        <v>2039</v>
      </c>
      <c r="D1135" s="209" t="str">
        <f t="shared" si="24"/>
        <v>28 7B 00 00:(星)武技伤害 +9.2% ~ +10.3%[近战/手臂]</v>
      </c>
    </row>
    <row r="1136" spans="1:4">
      <c r="A1136" s="55" t="s">
        <v>2088</v>
      </c>
      <c r="B1136" s="203" t="s">
        <v>2089</v>
      </c>
      <c r="C1136" s="61" t="s">
        <v>2039</v>
      </c>
      <c r="D1136" s="209" t="str">
        <f t="shared" si="24"/>
        <v>CD 60 00 00:(星)武技伤害 +10.3% ~ +11.4%[近战/手臂]</v>
      </c>
    </row>
    <row r="1137" spans="1:4">
      <c r="A1137" s="55" t="s">
        <v>2090</v>
      </c>
      <c r="B1137" s="203" t="s">
        <v>2091</v>
      </c>
      <c r="C1137" s="61" t="s">
        <v>2039</v>
      </c>
      <c r="D1137" s="209" t="str">
        <f t="shared" si="24"/>
        <v>DD D3 00 00:(星)武技伤害 +11.3% ~ +12.4%[近战/手臂]</v>
      </c>
    </row>
    <row r="1138" spans="1:4">
      <c r="A1138" s="55" t="s">
        <v>2092</v>
      </c>
      <c r="B1138" s="203" t="s">
        <v>2093</v>
      </c>
      <c r="C1138" s="61" t="s">
        <v>2039</v>
      </c>
      <c r="D1138" s="209" t="str">
        <f t="shared" si="24"/>
        <v>9A 9A 00 00:(星)空中攻击伤害 +11.2% ~ +12.3%[近战/手臂]</v>
      </c>
    </row>
    <row r="1139" spans="1:4">
      <c r="A1139" s="55" t="s">
        <v>2094</v>
      </c>
      <c r="B1139" s="203" t="s">
        <v>2095</v>
      </c>
      <c r="C1139" s="61" t="s">
        <v>2039</v>
      </c>
      <c r="D1139" s="209" t="str">
        <f t="shared" si="24"/>
        <v>74 D0 00 00:(星)空中攻击伤害 +12.3% ~ +13.4%[近战/手臂]</v>
      </c>
    </row>
    <row r="1140" spans="1:4">
      <c r="A1140" s="55" t="s">
        <v>2096</v>
      </c>
      <c r="B1140" s="203" t="s">
        <v>2097</v>
      </c>
      <c r="C1140" s="61" t="s">
        <v>2039</v>
      </c>
      <c r="D1140" s="209" t="str">
        <f t="shared" si="24"/>
        <v>E0 A3 00 00:(星)空中攻击伤害 +13.3% ~ +14.4%[近战/手臂]</v>
      </c>
    </row>
    <row r="1141" spans="1:4">
      <c r="A1141" s="55" t="s">
        <v>2098</v>
      </c>
      <c r="B1141" s="203" t="s">
        <v>2099</v>
      </c>
      <c r="C1141" s="61" t="s">
        <v>2039</v>
      </c>
      <c r="D1141" s="209" t="str">
        <f t="shared" si="24"/>
        <v>A6 7D 00 00:(星)追击和近身刺击伤害 +15.8% ~ +18.5%[近战/手臂]</v>
      </c>
    </row>
    <row r="1142" spans="1:4">
      <c r="A1142" s="55" t="s">
        <v>2100</v>
      </c>
      <c r="B1142" s="203" t="s">
        <v>2101</v>
      </c>
      <c r="C1142" s="61" t="s">
        <v>2039</v>
      </c>
      <c r="D1142" s="209" t="str">
        <f t="shared" si="24"/>
        <v>D8 C4 00 00:(星)追击和近身刺击伤害 +18.4% ~ +21.1%[近战/手臂]</v>
      </c>
    </row>
    <row r="1143" spans="1:4">
      <c r="A1143" s="55" t="s">
        <v>2102</v>
      </c>
      <c r="B1143" s="203" t="s">
        <v>2103</v>
      </c>
      <c r="C1143" s="61" t="s">
        <v>2039</v>
      </c>
      <c r="D1143" s="209" t="str">
        <f t="shared" si="24"/>
        <v>08 97 00 00:(星)追击和近身刺击伤害 +21.1% ~ +23.8%[近战/手臂]</v>
      </c>
    </row>
    <row r="1144" spans="1:4">
      <c r="A1144" s="55" t="s">
        <v>2104</v>
      </c>
      <c r="B1144" s="203" t="s">
        <v>2105</v>
      </c>
      <c r="C1144" s="61" t="s">
        <v>2039</v>
      </c>
      <c r="D1144" s="209" t="str">
        <f t="shared" si="24"/>
        <v>31 AC 00 00:(星)背后攻击伤害 +11.2% ~ +12.3%[近战/手臂]</v>
      </c>
    </row>
    <row r="1145" spans="1:4">
      <c r="A1145" s="55" t="s">
        <v>2106</v>
      </c>
      <c r="B1145" s="203" t="s">
        <v>2107</v>
      </c>
      <c r="C1145" s="61" t="s">
        <v>2039</v>
      </c>
      <c r="D1145" s="209" t="str">
        <f t="shared" si="24"/>
        <v>25 A8 00 00:(星)背后攻击伤害 +12.3% ~ +13.4%[近战/手臂]</v>
      </c>
    </row>
    <row r="1146" spans="1:4">
      <c r="A1146" s="55" t="s">
        <v>2108</v>
      </c>
      <c r="B1146" s="203" t="s">
        <v>2109</v>
      </c>
      <c r="C1146" s="61" t="s">
        <v>2039</v>
      </c>
      <c r="D1146" s="209" t="str">
        <f t="shared" si="24"/>
        <v>C2 E1 00 00:(星)背后攻击伤害 +13.3% ~ +14.4%[近战/手臂]</v>
      </c>
    </row>
    <row r="1147" spans="1:4">
      <c r="A1147" s="55" t="s">
        <v>2110</v>
      </c>
      <c r="B1147" s="203" t="s">
        <v>2111</v>
      </c>
      <c r="C1147" s="61" t="s">
        <v>2112</v>
      </c>
      <c r="D1147" s="209" t="str">
        <f t="shared" si="24"/>
        <v>C1 0B 00 00:(星)近距离攻击的精力消耗降低 -13.0% ~ -13.8%[近战/头部/身体]</v>
      </c>
    </row>
    <row r="1148" spans="1:4">
      <c r="A1148" s="55" t="s">
        <v>2113</v>
      </c>
      <c r="B1148" s="203" t="s">
        <v>2114</v>
      </c>
      <c r="C1148" s="61" t="s">
        <v>2112</v>
      </c>
      <c r="D1148" s="209" t="str">
        <f t="shared" si="24"/>
        <v>43 FF 00 00:(星)近距离攻击的精力消耗降低 -13.8% ~ -14.6%[近战/头部/身体]</v>
      </c>
    </row>
    <row r="1149" spans="1:4">
      <c r="A1149" s="55" t="s">
        <v>2115</v>
      </c>
      <c r="B1149" s="203" t="s">
        <v>2116</v>
      </c>
      <c r="C1149" s="61" t="s">
        <v>2112</v>
      </c>
      <c r="D1149" s="209" t="str">
        <f t="shared" si="24"/>
        <v>62 9D 00 00:(星)近距离攻击的精力消耗降低 -14.6% ~ -15.4%[近战/头部/身体]</v>
      </c>
    </row>
    <row r="1150" spans="1:4">
      <c r="A1150" s="55" t="s">
        <v>2117</v>
      </c>
      <c r="B1150" s="203" t="s">
        <v>2118</v>
      </c>
      <c r="C1150" s="61" t="s">
        <v>2112</v>
      </c>
      <c r="D1150" s="209" t="str">
        <f t="shared" si="24"/>
        <v>C9 0C 00 00:(星)速攻击精力消耗降低 -13.2% ~ -15.4%[近战/头部/身体]</v>
      </c>
    </row>
    <row r="1151" spans="1:4">
      <c r="A1151" s="55" t="s">
        <v>2119</v>
      </c>
      <c r="B1151" s="203" t="s">
        <v>2120</v>
      </c>
      <c r="C1151" s="61" t="s">
        <v>2112</v>
      </c>
      <c r="D1151" s="209" t="str">
        <f t="shared" si="24"/>
        <v>56 CF 00 00:(星)速攻击精力消耗降低 -15.4% ~ -17.6%[近战/头部/身体]</v>
      </c>
    </row>
    <row r="1152" spans="1:4">
      <c r="A1152" s="55" t="s">
        <v>2121</v>
      </c>
      <c r="B1152" s="203" t="s">
        <v>2122</v>
      </c>
      <c r="C1152" s="61" t="s">
        <v>2112</v>
      </c>
      <c r="D1152" s="209" t="str">
        <f t="shared" si="24"/>
        <v>0A 01 00 00:(星)速攻击精力消耗降低 -17.8% ~ -19.8%[近战/头部/身体]</v>
      </c>
    </row>
    <row r="1153" spans="1:4">
      <c r="A1153" s="55" t="s">
        <v>2123</v>
      </c>
      <c r="B1153" s="203" t="s">
        <v>2124</v>
      </c>
      <c r="C1153" s="61" t="s">
        <v>2112</v>
      </c>
      <c r="D1153" s="209" t="str">
        <f t="shared" si="24"/>
        <v>06 D7 00 00:(星)强攻击精力消耗降低 -13.2% ~ -15.4%[近战/头部/身体]</v>
      </c>
    </row>
    <row r="1154" spans="1:4">
      <c r="A1154" s="55" t="s">
        <v>2125</v>
      </c>
      <c r="B1154" s="203" t="s">
        <v>2126</v>
      </c>
      <c r="C1154" s="61" t="s">
        <v>2112</v>
      </c>
      <c r="D1154" s="209" t="str">
        <f t="shared" si="24"/>
        <v>91 C5 00 00:(星)强攻击精力消耗降低 -14.5% ~ -17.6%[近战/头部/身体]</v>
      </c>
    </row>
    <row r="1155" spans="1:4">
      <c r="A1155" s="55" t="s">
        <v>2127</v>
      </c>
      <c r="B1155" s="203" t="s">
        <v>2128</v>
      </c>
      <c r="C1155" s="61" t="s">
        <v>2112</v>
      </c>
      <c r="D1155" s="209" t="str">
        <f t="shared" si="24"/>
        <v>3A E4 00 00:(星)强攻击精力消耗降低 -17.6% ~ -19.8%[近战/头部/身体]</v>
      </c>
    </row>
    <row r="1156" spans="1:4">
      <c r="A1156" s="55" t="s">
        <v>2129</v>
      </c>
      <c r="B1156" s="203" t="s">
        <v>2130</v>
      </c>
      <c r="C1156" s="61" t="s">
        <v>2112</v>
      </c>
      <c r="D1156" s="209" t="str">
        <f t="shared" si="24"/>
        <v>26 47 00 00:(星)武技精力消耗降低 -13.2% ~ -14.3%[近战/头部/身体]</v>
      </c>
    </row>
    <row r="1157" spans="1:4">
      <c r="A1157" s="55" t="s">
        <v>2131</v>
      </c>
      <c r="B1157" s="203" t="s">
        <v>2132</v>
      </c>
      <c r="C1157" s="61" t="s">
        <v>2112</v>
      </c>
      <c r="D1157" s="209" t="str">
        <f t="shared" si="24"/>
        <v>48 04 00 00:(星)武技精力消耗降低 -14.3% ~ -15.4%[近战/头部/身体]</v>
      </c>
    </row>
    <row r="1158" spans="1:4">
      <c r="A1158" s="55" t="s">
        <v>2133</v>
      </c>
      <c r="B1158" s="203" t="s">
        <v>2134</v>
      </c>
      <c r="C1158" s="61" t="s">
        <v>2112</v>
      </c>
      <c r="D1158" s="209" t="str">
        <f t="shared" si="24"/>
        <v>66 13 00 00:(星)武技精力消耗降低 -15.3% ~ -16.4%[近战/头部/身体]</v>
      </c>
    </row>
    <row r="1159" spans="1:4">
      <c r="A1159" s="55" t="s">
        <v>2135</v>
      </c>
      <c r="B1159" s="203" t="s">
        <v>2136</v>
      </c>
      <c r="C1159" s="61" t="s">
        <v>2112</v>
      </c>
      <c r="D1159" s="209" t="str">
        <f t="shared" si="24"/>
        <v>CE A3 00 00:(星)精力 +72 ~ +80[近战/头部/身体]</v>
      </c>
    </row>
    <row r="1160" spans="1:4">
      <c r="A1160" s="55" t="s">
        <v>2137</v>
      </c>
      <c r="B1160" s="203" t="s">
        <v>2138</v>
      </c>
      <c r="C1160" s="61" t="s">
        <v>2112</v>
      </c>
      <c r="D1160" s="209" t="str">
        <f t="shared" si="24"/>
        <v>B2 EA 00 00:(星)精力 +80 ~ +88[近战/头部/身体]</v>
      </c>
    </row>
    <row r="1161" spans="1:4">
      <c r="A1161" s="55" t="s">
        <v>2139</v>
      </c>
      <c r="B1161" s="203" t="s">
        <v>2140</v>
      </c>
      <c r="C1161" s="61" t="s">
        <v>2112</v>
      </c>
      <c r="D1161" s="209" t="str">
        <f t="shared" si="24"/>
        <v>87 80 00 00:(星)精力 +88 ~ +96[近战/头部/身体]</v>
      </c>
    </row>
    <row r="1162" spans="1:4">
      <c r="A1162" s="55" t="s">
        <v>2141</v>
      </c>
      <c r="B1162" s="203" t="s">
        <v>2142</v>
      </c>
      <c r="C1162" s="61" t="s">
        <v>2112</v>
      </c>
      <c r="D1162" s="209" t="str">
        <f t="shared" si="24"/>
        <v>99 63 00 00:(星)近距离攻击精力消耗降低(绝境) -16.4% ~ -18.8%[近战/头部/身体]</v>
      </c>
    </row>
    <row r="1163" spans="1:4">
      <c r="A1163" s="55" t="s">
        <v>2143</v>
      </c>
      <c r="B1163" s="203" t="s">
        <v>2144</v>
      </c>
      <c r="C1163" s="61" t="s">
        <v>2112</v>
      </c>
      <c r="D1163" s="209" t="str">
        <f t="shared" si="24"/>
        <v>88 5D 00 00:(星)近距离攻击精力消耗降低(绝境) -18.8% ~ -21.2%[近战/头部/身体]</v>
      </c>
    </row>
    <row r="1164" spans="1:4">
      <c r="A1164" s="55" t="s">
        <v>2145</v>
      </c>
      <c r="B1164" s="203" t="s">
        <v>2146</v>
      </c>
      <c r="C1164" s="61" t="s">
        <v>2112</v>
      </c>
      <c r="D1164" s="209" t="str">
        <f t="shared" si="24"/>
        <v>05 62 00 00:(星)近距离攻击精力消耗降低(绝境) -21.2% ~ -23.6%[近战/头部/身体]</v>
      </c>
    </row>
    <row r="1165" spans="1:4">
      <c r="A1165" s="55" t="s">
        <v>2147</v>
      </c>
      <c r="B1165" s="203" t="s">
        <v>2148</v>
      </c>
      <c r="C1165" s="61" t="s">
        <v>2149</v>
      </c>
      <c r="D1165" s="209" t="str">
        <f t="shared" si="24"/>
        <v>03 65 00 00:(星)防御精力消耗降低 -12.2% ~ -13.7%[头部/身体]</v>
      </c>
    </row>
    <row r="1166" spans="1:4">
      <c r="A1166" s="55" t="s">
        <v>2150</v>
      </c>
      <c r="B1166" s="203" t="s">
        <v>2151</v>
      </c>
      <c r="C1166" s="61" t="s">
        <v>2149</v>
      </c>
      <c r="D1166" s="209" t="str">
        <f t="shared" si="24"/>
        <v>1B 1A 00 00:(星)防御精力消耗降低 -13.7% ~ -15.2%[头部/身体]</v>
      </c>
    </row>
    <row r="1167" spans="1:4">
      <c r="A1167" s="55" t="s">
        <v>2152</v>
      </c>
      <c r="B1167" s="203" t="s">
        <v>2153</v>
      </c>
      <c r="C1167" s="61" t="s">
        <v>2149</v>
      </c>
      <c r="D1167" s="209" t="str">
        <f t="shared" si="24"/>
        <v>03 AC 00 00:(星)防御精力消耗降低 -14.1% ~ -15.6%[头部/身体]</v>
      </c>
    </row>
    <row r="1168" spans="1:4">
      <c r="A1168" s="55" t="s">
        <v>2154</v>
      </c>
      <c r="B1168" s="203" t="s">
        <v>2155</v>
      </c>
      <c r="C1168" s="61" t="s">
        <v>2156</v>
      </c>
      <c r="D1168" s="209" t="str">
        <f t="shared" si="24"/>
        <v>73 6C 00 00:(星)属性攻击伤害降低 +18 ~ +21[腿部/足部]</v>
      </c>
    </row>
    <row r="1169" spans="1:4">
      <c r="A1169" s="55" t="s">
        <v>2157</v>
      </c>
      <c r="B1169" s="203" t="s">
        <v>2158</v>
      </c>
      <c r="C1169" s="61" t="s">
        <v>2156</v>
      </c>
      <c r="D1169" s="209" t="str">
        <f t="shared" ref="D1169:D1232" si="25">LEFT(A1169,11)&amp;":"&amp;B1169&amp;C1169</f>
        <v>67 38 00 00:(星)属性攻击伤害降低 +21 ~ +24[腿部/足部]</v>
      </c>
    </row>
    <row r="1170" spans="1:4">
      <c r="A1170" s="55" t="s">
        <v>2159</v>
      </c>
      <c r="B1170" s="203" t="s">
        <v>2160</v>
      </c>
      <c r="C1170" s="61" t="s">
        <v>2156</v>
      </c>
      <c r="D1170" s="209" t="str">
        <f t="shared" si="25"/>
        <v>0D 05 00 00:(星)属性攻击伤害降低 +24 ~ +27[腿部/足部]</v>
      </c>
    </row>
    <row r="1171" spans="1:4">
      <c r="A1171" s="55" t="s">
        <v>2161</v>
      </c>
      <c r="B1171" s="203" t="s">
        <v>2162</v>
      </c>
      <c r="C1171" s="61" t="s">
        <v>2156</v>
      </c>
      <c r="D1171" s="209" t="str">
        <f t="shared" si="25"/>
        <v>7A ED 00 00:(星)防御时的属性攻击伤害降低 +60 ~ +66[腿部/足部]</v>
      </c>
    </row>
    <row r="1172" spans="1:4">
      <c r="A1172" s="55" t="s">
        <v>2163</v>
      </c>
      <c r="B1172" s="203" t="s">
        <v>2164</v>
      </c>
      <c r="C1172" s="61" t="s">
        <v>2156</v>
      </c>
      <c r="D1172" s="209" t="str">
        <f t="shared" si="25"/>
        <v>8A 95 00 00:(星)防御时的属性攻击伤害降低 +67 ~ +73[腿部/足部]</v>
      </c>
    </row>
    <row r="1173" spans="1:4">
      <c r="A1173" s="55" t="s">
        <v>2165</v>
      </c>
      <c r="B1173" s="203" t="s">
        <v>2166</v>
      </c>
      <c r="C1173" s="61" t="s">
        <v>2156</v>
      </c>
      <c r="D1173" s="209" t="str">
        <f t="shared" si="25"/>
        <v>A4 A0 00 00:(星)防御时的属性攻击伤害降低 +74 ~ +80[腿部/足部]</v>
      </c>
    </row>
    <row r="1174" spans="1:4">
      <c r="A1174" s="55" t="s">
        <v>2167</v>
      </c>
      <c r="B1174" s="203" t="s">
        <v>2168</v>
      </c>
      <c r="C1174" s="61" t="s">
        <v>2169</v>
      </c>
      <c r="D1174" s="209" t="str">
        <f t="shared" si="25"/>
        <v>CC CD 00 00:(星)获得金钱 +20.0% ~ +24.0%[头部/腿部]</v>
      </c>
    </row>
    <row r="1175" spans="1:4">
      <c r="A1175" s="55" t="s">
        <v>2170</v>
      </c>
      <c r="B1175" s="203" t="s">
        <v>2171</v>
      </c>
      <c r="C1175" s="61" t="s">
        <v>2169</v>
      </c>
      <c r="D1175" s="209" t="str">
        <f t="shared" si="25"/>
        <v>50 75 00 00:(星)获得金钱 +24.0% ~ +27.4%[头部/腿部]</v>
      </c>
    </row>
    <row r="1176" spans="1:4">
      <c r="A1176" s="55" t="s">
        <v>2172</v>
      </c>
      <c r="B1176" s="203" t="s">
        <v>2173</v>
      </c>
      <c r="C1176" s="61" t="s">
        <v>2169</v>
      </c>
      <c r="D1176" s="209" t="str">
        <f t="shared" si="25"/>
        <v>2A 8B 00 00:(星)获得金钱 +27.0% ~ +30.0%[头部/腿部]</v>
      </c>
    </row>
    <row r="1177" spans="1:4">
      <c r="A1177" s="55" t="s">
        <v>2174</v>
      </c>
      <c r="B1177" s="203" t="s">
        <v>2175</v>
      </c>
      <c r="C1177" s="61" t="s">
        <v>2176</v>
      </c>
      <c r="D1177" s="209" t="str">
        <f t="shared" si="25"/>
        <v>06 11 00 00:(星)装备品掉落率 +15.4% ~ +16.2%[远程/足部]</v>
      </c>
    </row>
    <row r="1178" spans="1:4">
      <c r="A1178" s="55" t="s">
        <v>2177</v>
      </c>
      <c r="B1178" s="203" t="s">
        <v>2178</v>
      </c>
      <c r="C1178" s="61" t="s">
        <v>2176</v>
      </c>
      <c r="D1178" s="209" t="str">
        <f t="shared" si="25"/>
        <v>A2 F4 00 00:(星)装备品掉落率 +16.2% ~ +17.2%[远程/足部]</v>
      </c>
    </row>
    <row r="1179" spans="1:4">
      <c r="A1179" s="55" t="s">
        <v>2179</v>
      </c>
      <c r="B1179" s="203" t="s">
        <v>2180</v>
      </c>
      <c r="C1179" s="61" t="s">
        <v>2176</v>
      </c>
      <c r="D1179" s="209" t="str">
        <f t="shared" si="25"/>
        <v>D0 0B 00 00:(星)装备品掉落率 +17.2% ~ +18.0%[远程/足部]</v>
      </c>
    </row>
    <row r="1180" spans="1:4">
      <c r="A1180" s="55" t="s">
        <v>2181</v>
      </c>
      <c r="B1180" s="203" t="s">
        <v>2182</v>
      </c>
      <c r="C1180" s="61" t="s">
        <v>1338</v>
      </c>
      <c r="D1180" s="209" t="str">
        <f t="shared" si="25"/>
        <v>5B 1C 00 00:(星)魂核掉落率 +15.4% ~ +16.2%[足部]</v>
      </c>
    </row>
    <row r="1181" spans="1:4">
      <c r="A1181" s="55" t="s">
        <v>2183</v>
      </c>
      <c r="B1181" s="203" t="s">
        <v>2184</v>
      </c>
      <c r="C1181" s="61" t="s">
        <v>1338</v>
      </c>
      <c r="D1181" s="209" t="str">
        <f t="shared" si="25"/>
        <v>63 BE 00 00:(星)魂核掉落率 +16.2% ~ +17.2%[足部]</v>
      </c>
    </row>
    <row r="1182" spans="1:4">
      <c r="A1182" s="55" t="s">
        <v>2185</v>
      </c>
      <c r="B1182" s="203" t="s">
        <v>2186</v>
      </c>
      <c r="C1182" s="61" t="s">
        <v>1338</v>
      </c>
      <c r="D1182" s="209" t="str">
        <f t="shared" si="25"/>
        <v>E2 86 00 00:(星)魂核掉落率 +17.2% ~ +18.0%[足部]</v>
      </c>
    </row>
    <row r="1183" spans="1:4">
      <c r="A1183" s="55" t="s">
        <v>2187</v>
      </c>
      <c r="B1183" s="203" t="s">
        <v>2188</v>
      </c>
      <c r="C1183" s="61" t="s">
        <v>723</v>
      </c>
      <c r="D1183" s="209" t="str">
        <f t="shared" si="25"/>
        <v>44 29 00 00:(星)幸运 +35 ~ +40[头部]</v>
      </c>
    </row>
    <row r="1184" spans="1:4">
      <c r="A1184" s="55" t="s">
        <v>2189</v>
      </c>
      <c r="B1184" s="203" t="s">
        <v>2190</v>
      </c>
      <c r="C1184" s="61" t="s">
        <v>723</v>
      </c>
      <c r="D1184" s="209" t="str">
        <f t="shared" si="25"/>
        <v>1B E9 00 00:(星)幸运 +40 ~ +45[头部]</v>
      </c>
    </row>
    <row r="1185" spans="1:4">
      <c r="A1185" s="55" t="s">
        <v>2191</v>
      </c>
      <c r="B1185" s="203" t="s">
        <v>2192</v>
      </c>
      <c r="C1185" s="61" t="s">
        <v>723</v>
      </c>
      <c r="D1185" s="209" t="str">
        <f t="shared" si="25"/>
        <v>37 A2 00 00:(星)幸运 +45 ~ +50[头部]</v>
      </c>
    </row>
    <row r="1186" spans="1:4">
      <c r="A1186" s="55" t="s">
        <v>2193</v>
      </c>
      <c r="B1186" s="203" t="s">
        <v>2194</v>
      </c>
      <c r="C1186" s="61" t="s">
        <v>793</v>
      </c>
      <c r="D1186" s="209" t="str">
        <f t="shared" si="25"/>
        <v>99 CE 00 00:(星)灵力增加量 +7.7% ~ +8.5%[头部/手臂]</v>
      </c>
    </row>
    <row r="1187" spans="1:4">
      <c r="A1187" s="55" t="s">
        <v>2195</v>
      </c>
      <c r="B1187" s="203" t="s">
        <v>2196</v>
      </c>
      <c r="C1187" s="61" t="s">
        <v>793</v>
      </c>
      <c r="D1187" s="209" t="str">
        <f t="shared" si="25"/>
        <v>9F DA 00 00:(星)灵力增加量 +8.5% ~ +9.3%[头部/手臂]</v>
      </c>
    </row>
    <row r="1188" spans="1:4">
      <c r="A1188" s="55" t="s">
        <v>2197</v>
      </c>
      <c r="B1188" s="203" t="s">
        <v>2198</v>
      </c>
      <c r="C1188" s="61" t="s">
        <v>793</v>
      </c>
      <c r="D1188" s="209" t="str">
        <f t="shared" si="25"/>
        <v>24 19 00 00:(星)灵力增加量 +12.3% ~ +13.4%[头部/手臂]</v>
      </c>
    </row>
    <row r="1189" spans="1:4">
      <c r="A1189" s="55" t="s">
        <v>2199</v>
      </c>
      <c r="B1189" s="203" t="s">
        <v>2200</v>
      </c>
      <c r="C1189" s="61" t="s">
        <v>793</v>
      </c>
      <c r="D1189" s="209" t="str">
        <f t="shared" si="25"/>
        <v>0E 77 00 00:(星)灵力增加量(无伤) +10.2% ~ +11.4%[头部/手臂]</v>
      </c>
    </row>
    <row r="1190" spans="1:4">
      <c r="A1190" s="55" t="s">
        <v>2201</v>
      </c>
      <c r="B1190" s="203" t="s">
        <v>2202</v>
      </c>
      <c r="C1190" s="61" t="s">
        <v>793</v>
      </c>
      <c r="D1190" s="209" t="str">
        <f t="shared" si="25"/>
        <v>8E 6F 00 00:(星)灵力增加量(无伤) +11.4% ~ +12.6%[头部/手臂]</v>
      </c>
    </row>
    <row r="1191" spans="1:4">
      <c r="A1191" s="55" t="s">
        <v>2203</v>
      </c>
      <c r="B1191" s="203" t="s">
        <v>2204</v>
      </c>
      <c r="C1191" s="61" t="s">
        <v>793</v>
      </c>
      <c r="D1191" s="209" t="str">
        <f t="shared" si="25"/>
        <v>35 98 00 00:(星)灵力增加量(无伤) +12.6% ~ +13.8%[头部/手臂]</v>
      </c>
    </row>
    <row r="1192" spans="1:4">
      <c r="A1192" s="55" t="s">
        <v>2205</v>
      </c>
      <c r="B1192" s="203" t="s">
        <v>2206</v>
      </c>
      <c r="C1192" s="61" t="s">
        <v>793</v>
      </c>
      <c r="D1192" s="209" t="str">
        <f t="shared" si="25"/>
        <v>35 75 00 00:(星)识破可增加灵力 +15 ~ +16[头部/手臂]</v>
      </c>
    </row>
    <row r="1193" spans="1:4">
      <c r="A1193" s="55" t="s">
        <v>2207</v>
      </c>
      <c r="B1193" s="203" t="s">
        <v>2208</v>
      </c>
      <c r="C1193" s="61" t="s">
        <v>793</v>
      </c>
      <c r="D1193" s="209" t="str">
        <f t="shared" si="25"/>
        <v>63 DB 00 00:(星)识破可增加灵力 +17 ~ +18[头部/手臂]</v>
      </c>
    </row>
    <row r="1194" spans="1:4">
      <c r="A1194" s="55" t="s">
        <v>2209</v>
      </c>
      <c r="B1194" s="203" t="s">
        <v>2210</v>
      </c>
      <c r="C1194" s="61" t="s">
        <v>793</v>
      </c>
      <c r="D1194" s="209" t="str">
        <f t="shared" si="25"/>
        <v>90 DE 00 00:(星)识破可增加灵力 +18 ~ +19[头部/手臂]</v>
      </c>
    </row>
    <row r="1195" spans="1:4">
      <c r="A1195" s="55" t="s">
        <v>2211</v>
      </c>
      <c r="B1195" s="203" t="s">
        <v>2212</v>
      </c>
      <c r="C1195" s="61" t="s">
        <v>793</v>
      </c>
      <c r="D1195" s="209" t="str">
        <f t="shared" si="25"/>
        <v>4E 04 00 00:(星)格挡可增加灵力 +15 ~ +16[头部/手臂]</v>
      </c>
    </row>
    <row r="1196" spans="1:4">
      <c r="A1196" s="55" t="s">
        <v>2213</v>
      </c>
      <c r="B1196" s="203" t="s">
        <v>2214</v>
      </c>
      <c r="C1196" s="61" t="s">
        <v>793</v>
      </c>
      <c r="D1196" s="209" t="str">
        <f t="shared" si="25"/>
        <v>8B C4 00 00:(星)格挡可增加灵力 +17 ~ +18[头部/手臂]</v>
      </c>
    </row>
    <row r="1197" spans="1:4">
      <c r="A1197" s="55" t="s">
        <v>2215</v>
      </c>
      <c r="B1197" s="203" t="s">
        <v>2216</v>
      </c>
      <c r="C1197" s="61" t="s">
        <v>793</v>
      </c>
      <c r="D1197" s="209" t="str">
        <f t="shared" si="25"/>
        <v>3F 83 00 00:(星)格挡可增加灵力 +18 ~ +19[头部/手臂]</v>
      </c>
    </row>
    <row r="1198" spans="1:4">
      <c r="A1198" s="55" t="s">
        <v>2217</v>
      </c>
      <c r="B1198" s="203" t="s">
        <v>2218</v>
      </c>
      <c r="C1198" s="61" t="s">
        <v>793</v>
      </c>
      <c r="D1198" s="209" t="str">
        <f t="shared" si="25"/>
        <v>6E 4C 00 00:(星)箭弹命中增加灵力 +8 ~ +10[头部/手臂]</v>
      </c>
    </row>
    <row r="1199" spans="1:4">
      <c r="A1199" s="55" t="s">
        <v>2219</v>
      </c>
      <c r="B1199" s="203" t="s">
        <v>2220</v>
      </c>
      <c r="C1199" s="61" t="s">
        <v>793</v>
      </c>
      <c r="D1199" s="209" t="str">
        <f t="shared" si="25"/>
        <v>7F B3 00 00:(星)箭弹命中增加灵力 +10 ~ +11[头部/手臂]</v>
      </c>
    </row>
    <row r="1200" spans="1:4">
      <c r="A1200" s="55" t="s">
        <v>2221</v>
      </c>
      <c r="B1200" s="203" t="s">
        <v>2222</v>
      </c>
      <c r="C1200" s="61" t="s">
        <v>793</v>
      </c>
      <c r="D1200" s="209" t="str">
        <f t="shared" si="25"/>
        <v>B7 2F 00 00:(星)箭弹命中增加灵力 +10 ~ +12[头部/手臂]</v>
      </c>
    </row>
    <row r="1201" spans="1:4">
      <c r="A1201" s="55" t="s">
        <v>2223</v>
      </c>
      <c r="B1201" s="203" t="s">
        <v>2224</v>
      </c>
      <c r="C1201" s="61" t="s">
        <v>1573</v>
      </c>
      <c r="D1201" s="209" t="str">
        <f t="shared" si="25"/>
        <v>6E 49 00 00:(星)阴阳术 术力 +80 ~ +100[饰品]</v>
      </c>
    </row>
    <row r="1202" spans="1:4">
      <c r="A1202" s="55" t="s">
        <v>2225</v>
      </c>
      <c r="B1202" s="203" t="s">
        <v>2226</v>
      </c>
      <c r="C1202" s="61" t="s">
        <v>1573</v>
      </c>
      <c r="D1202" s="209" t="str">
        <f t="shared" si="25"/>
        <v>A1 AD 00 00:(星)阴阳术 术力 +100 ~ +110[饰品]</v>
      </c>
    </row>
    <row r="1203" spans="1:4">
      <c r="A1203" s="55" t="s">
        <v>2227</v>
      </c>
      <c r="B1203" s="203" t="s">
        <v>2228</v>
      </c>
      <c r="C1203" s="61" t="s">
        <v>1573</v>
      </c>
      <c r="D1203" s="209" t="str">
        <f t="shared" si="25"/>
        <v>6F C6 00 00:(星)阴阳术 术力 +110 ~ +120[饰品]</v>
      </c>
    </row>
    <row r="1204" spans="1:4">
      <c r="A1204" s="55" t="s">
        <v>2229</v>
      </c>
      <c r="B1204" s="203" t="s">
        <v>2230</v>
      </c>
      <c r="C1204" s="61" t="s">
        <v>1573</v>
      </c>
      <c r="D1204" s="209" t="str">
        <f t="shared" si="25"/>
        <v>8D 82 00 00:(星)不消耗使役符以外的阴阳术 +4.5% ~ +5.2%[饰品]</v>
      </c>
    </row>
    <row r="1205" spans="1:4">
      <c r="A1205" s="55" t="s">
        <v>2231</v>
      </c>
      <c r="B1205" s="203" t="s">
        <v>2232</v>
      </c>
      <c r="C1205" s="61" t="s">
        <v>1573</v>
      </c>
      <c r="D1205" s="209" t="str">
        <f t="shared" si="25"/>
        <v>52 75 00 00:(星)不消耗使役符以外的阴阳术 +5.2% ~ +5.9%[饰品]</v>
      </c>
    </row>
    <row r="1206" spans="1:4">
      <c r="A1206" s="55" t="s">
        <v>2233</v>
      </c>
      <c r="B1206" s="203" t="s">
        <v>2234</v>
      </c>
      <c r="C1206" s="61" t="s">
        <v>1573</v>
      </c>
      <c r="D1206" s="209" t="str">
        <f t="shared" si="25"/>
        <v>5A EB 00 00:(星)不消耗使役符以外的阴阳术 +5.9% ~ +6.6%[饰品]</v>
      </c>
    </row>
    <row r="1207" spans="1:4">
      <c r="A1207" s="55" t="s">
        <v>2235</v>
      </c>
      <c r="B1207" s="203" t="s">
        <v>2236</v>
      </c>
      <c r="C1207" s="61" t="s">
        <v>1573</v>
      </c>
      <c r="D1207" s="209" t="str">
        <f t="shared" si="25"/>
        <v>84 9F 00 00:(星)一难的解除时间延长 +15.0% ~ +16.7%[饰品]</v>
      </c>
    </row>
    <row r="1208" spans="1:4">
      <c r="A1208" s="55" t="s">
        <v>2237</v>
      </c>
      <c r="B1208" s="203" t="s">
        <v>2238</v>
      </c>
      <c r="C1208" s="61" t="s">
        <v>1573</v>
      </c>
      <c r="D1208" s="209" t="str">
        <f t="shared" si="25"/>
        <v>14 26 00 00:(星)一难的解除时间延长 +16.7% ~ +18.4%[饰品]</v>
      </c>
    </row>
    <row r="1209" spans="1:4">
      <c r="A1209" s="55" t="s">
        <v>2239</v>
      </c>
      <c r="B1209" s="203" t="s">
        <v>2240</v>
      </c>
      <c r="C1209" s="61" t="s">
        <v>1573</v>
      </c>
      <c r="D1209" s="209" t="str">
        <f t="shared" si="25"/>
        <v>57 D3 00 00:(星)一难的解除时间延长 +18.3% ~ +20.0%[饰品]</v>
      </c>
    </row>
    <row r="1210" spans="1:4">
      <c r="A1210" s="55" t="s">
        <v>2241</v>
      </c>
      <c r="B1210" s="203" t="s">
        <v>2242</v>
      </c>
      <c r="C1210" s="61" t="s">
        <v>919</v>
      </c>
      <c r="D1210" s="209" t="str">
        <f t="shared" si="25"/>
        <v>20 0D 00 00:(星)防御性能 +20 ~ +24[头部/身体/手臂/腿部/足部]</v>
      </c>
    </row>
    <row r="1211" spans="1:4">
      <c r="A1211" s="55" t="s">
        <v>2243</v>
      </c>
      <c r="B1211" s="203" t="s">
        <v>2244</v>
      </c>
      <c r="C1211" s="61" t="s">
        <v>919</v>
      </c>
      <c r="D1211" s="209" t="str">
        <f t="shared" si="25"/>
        <v>F7 F0 00 00:(星)防御性能 +25 ~ +29[头部/身体/手臂/腿部/足部]</v>
      </c>
    </row>
    <row r="1212" spans="1:4">
      <c r="A1212" s="55" t="s">
        <v>2245</v>
      </c>
      <c r="B1212" s="203" t="s">
        <v>2246</v>
      </c>
      <c r="C1212" s="61" t="s">
        <v>919</v>
      </c>
      <c r="D1212" s="209" t="str">
        <f t="shared" si="25"/>
        <v>C6 2B 00 00:(星)防御性能 +26 ~ +30[头部/身体/手臂/腿部/足部]</v>
      </c>
    </row>
    <row r="1213" spans="1:4">
      <c r="A1213" s="55" t="s">
        <v>2247</v>
      </c>
      <c r="B1213" s="203" t="s">
        <v>2248</v>
      </c>
      <c r="C1213" s="61" t="s">
        <v>2149</v>
      </c>
      <c r="D1213" s="209" t="str">
        <f t="shared" si="25"/>
        <v>DF 21 00 00:(星)九十九化身槽减少(攻击动作中) +8.0% ~ +9.7%[头部/身体]</v>
      </c>
    </row>
    <row r="1214" spans="1:4">
      <c r="A1214" s="55" t="s">
        <v>2249</v>
      </c>
      <c r="B1214" s="203" t="s">
        <v>2250</v>
      </c>
      <c r="C1214" s="61" t="s">
        <v>2149</v>
      </c>
      <c r="D1214" s="209" t="str">
        <f t="shared" si="25"/>
        <v>EF 33 00 00:(星)九十九化身槽减少(攻击动作中) +9.7% ~ +11.4%[头部/身体]</v>
      </c>
    </row>
    <row r="1215" spans="1:4">
      <c r="A1215" s="55" t="s">
        <v>2251</v>
      </c>
      <c r="B1215" s="203" t="s">
        <v>2252</v>
      </c>
      <c r="C1215" s="61" t="s">
        <v>2149</v>
      </c>
      <c r="D1215" s="209" t="str">
        <f t="shared" si="25"/>
        <v>93 B9 00 00:(星)九十九化身槽减少(攻击动作中) +11.3% ~ +13.0%[头部/身体]</v>
      </c>
    </row>
    <row r="1216" spans="1:4">
      <c r="A1216" s="55" t="s">
        <v>2253</v>
      </c>
      <c r="B1216" s="203" t="s">
        <v>2254</v>
      </c>
      <c r="C1216" s="61" t="s">
        <v>30</v>
      </c>
      <c r="D1216" s="209" t="str">
        <f t="shared" si="25"/>
        <v>F9 A3 00 00:(星)近距离攻击精力伤害 +5.0% ~ +5.9%[近战]</v>
      </c>
    </row>
    <row r="1217" spans="1:4">
      <c r="A1217" s="55" t="s">
        <v>2255</v>
      </c>
      <c r="B1217" s="203" t="s">
        <v>2256</v>
      </c>
      <c r="C1217" s="61" t="s">
        <v>30</v>
      </c>
      <c r="D1217" s="209" t="str">
        <f t="shared" si="25"/>
        <v>53 B8 00 00:(星)近距离攻击精力伤害 +5.9% ~ +6.8%[近战]</v>
      </c>
    </row>
    <row r="1218" spans="1:4">
      <c r="A1218" s="55" t="s">
        <v>2257</v>
      </c>
      <c r="B1218" s="203" t="s">
        <v>2258</v>
      </c>
      <c r="C1218" s="61" t="s">
        <v>30</v>
      </c>
      <c r="D1218" s="209" t="str">
        <f t="shared" si="25"/>
        <v>13 23 00 00:(星)近距离攻击精力伤害 +6.6% ~ +7.5%[近战]</v>
      </c>
    </row>
    <row r="1219" spans="1:4">
      <c r="A1219" s="55" t="s">
        <v>2259</v>
      </c>
      <c r="B1219" s="203" t="s">
        <v>2260</v>
      </c>
      <c r="C1219" s="61" t="s">
        <v>30</v>
      </c>
      <c r="D1219" s="209" t="str">
        <f t="shared" si="25"/>
        <v>EF 2D 00 00:(星)守护灵技的精力伤害 +4.0% ~ +4.7%[近战]</v>
      </c>
    </row>
    <row r="1220" spans="1:4">
      <c r="A1220" s="55" t="s">
        <v>2261</v>
      </c>
      <c r="B1220" s="203" t="s">
        <v>2262</v>
      </c>
      <c r="C1220" s="61" t="s">
        <v>30</v>
      </c>
      <c r="D1220" s="209" t="str">
        <f t="shared" si="25"/>
        <v>45 01 00 00:(星)守护灵技的精力伤害 +4.7% ~ +5.4%[近战]</v>
      </c>
    </row>
    <row r="1221" spans="1:4">
      <c r="A1221" s="55" t="s">
        <v>2263</v>
      </c>
      <c r="B1221" s="203" t="s">
        <v>2264</v>
      </c>
      <c r="C1221" s="61" t="s">
        <v>30</v>
      </c>
      <c r="D1221" s="209" t="str">
        <f t="shared" si="25"/>
        <v>E7 6E 00 00:(星)守护灵技的精力伤害 +5.3% ~ +6.0%[近战]</v>
      </c>
    </row>
    <row r="1222" spans="1:4">
      <c r="A1222" s="55" t="s">
        <v>2265</v>
      </c>
      <c r="B1222" s="203" t="s">
        <v>2266</v>
      </c>
      <c r="C1222" s="61" t="s">
        <v>30</v>
      </c>
      <c r="D1222" s="209" t="str">
        <f t="shared" si="25"/>
        <v>63 98 00 00:(星)强攻击精力伤害 +7.8% ~ +8.7%[近战]</v>
      </c>
    </row>
    <row r="1223" spans="1:4">
      <c r="A1223" s="55" t="s">
        <v>2267</v>
      </c>
      <c r="B1223" s="203" t="s">
        <v>2268</v>
      </c>
      <c r="C1223" s="61" t="s">
        <v>30</v>
      </c>
      <c r="D1223" s="209" t="str">
        <f t="shared" si="25"/>
        <v>4E E3 00 00:(星)强攻击精力伤害 +8.7% ~ +9.6%[近战]</v>
      </c>
    </row>
    <row r="1224" spans="1:4">
      <c r="A1224" s="55" t="s">
        <v>2269</v>
      </c>
      <c r="B1224" s="203" t="s">
        <v>2270</v>
      </c>
      <c r="C1224" s="61" t="s">
        <v>30</v>
      </c>
      <c r="D1224" s="209" t="str">
        <f t="shared" si="25"/>
        <v>42 C0 00 00:(星)强攻击精力伤害 +7.8% ~ +10.4%[近战]</v>
      </c>
    </row>
    <row r="1225" spans="1:4">
      <c r="A1225" s="55" t="s">
        <v>2271</v>
      </c>
      <c r="B1225" s="203" t="s">
        <v>2272</v>
      </c>
      <c r="C1225" s="61" t="s">
        <v>30</v>
      </c>
      <c r="D1225" s="209" t="str">
        <f t="shared" si="25"/>
        <v>D0 31 00 00:(星)武技精力伤害 +7.8% ~ +8.6%[近战]</v>
      </c>
    </row>
    <row r="1226" spans="1:4">
      <c r="A1226" s="55" t="s">
        <v>2273</v>
      </c>
      <c r="B1226" s="203" t="s">
        <v>2274</v>
      </c>
      <c r="C1226" s="61" t="s">
        <v>30</v>
      </c>
      <c r="D1226" s="209" t="str">
        <f t="shared" si="25"/>
        <v>5E 56 00 00:(星)武技精力伤害 +8.7% ~ +9.5%[近战]</v>
      </c>
    </row>
    <row r="1227" spans="1:4">
      <c r="A1227" s="55" t="s">
        <v>2275</v>
      </c>
      <c r="B1227" s="203" t="s">
        <v>2276</v>
      </c>
      <c r="C1227" s="61" t="s">
        <v>30</v>
      </c>
      <c r="D1227" s="209" t="str">
        <f t="shared" si="25"/>
        <v>F1 94 00 00:(星)武技精力伤害 +9.5% ~ +10.3%[近战]</v>
      </c>
    </row>
    <row r="1228" spans="1:4">
      <c r="A1228" s="55" t="s">
        <v>2277</v>
      </c>
      <c r="B1228" s="203" t="s">
        <v>2278</v>
      </c>
      <c r="C1228" s="61" t="s">
        <v>2279</v>
      </c>
      <c r="D1228" s="209" t="str">
        <f t="shared" si="25"/>
        <v>86 D5 00 00:(星)对处于火状态敌人的精力伤害 +10.4% ~ +11.3%[近战/远程]</v>
      </c>
    </row>
    <row r="1229" spans="1:4">
      <c r="A1229" s="55" t="s">
        <v>2280</v>
      </c>
      <c r="B1229" s="203" t="s">
        <v>2281</v>
      </c>
      <c r="C1229" s="61" t="s">
        <v>2279</v>
      </c>
      <c r="D1229" s="209" t="str">
        <f t="shared" si="25"/>
        <v>99 07 00 00:(星)对处于火状态敌人的精力伤害 +11.3% ~ +12.2%[近战/远程]</v>
      </c>
    </row>
    <row r="1230" spans="1:4">
      <c r="A1230" s="55" t="s">
        <v>2282</v>
      </c>
      <c r="B1230" s="203" t="s">
        <v>2283</v>
      </c>
      <c r="C1230" s="61" t="s">
        <v>2279</v>
      </c>
      <c r="D1230" s="209" t="str">
        <f t="shared" si="25"/>
        <v>1B 6E 00 00:(星)对处于火状态敌人的精力伤害 +12.2% ~ +13.1%[近战/远程]</v>
      </c>
    </row>
    <row r="1231" spans="1:4">
      <c r="A1231" s="55" t="s">
        <v>2284</v>
      </c>
      <c r="B1231" s="203" t="s">
        <v>2285</v>
      </c>
      <c r="C1231" s="61" t="s">
        <v>2279</v>
      </c>
      <c r="D1231" s="209" t="str">
        <f t="shared" si="25"/>
        <v>F0 F4 00 00:(星)对处于水状态敌人的精力伤害 +10.4% ~ +11.3%[近战/远程]</v>
      </c>
    </row>
    <row r="1232" spans="1:4">
      <c r="A1232" s="55" t="s">
        <v>2286</v>
      </c>
      <c r="B1232" s="203" t="s">
        <v>2287</v>
      </c>
      <c r="C1232" s="61" t="s">
        <v>2279</v>
      </c>
      <c r="D1232" s="209" t="str">
        <f t="shared" si="25"/>
        <v>2E AB 00 00:(星)对处于水状态敌人的精力伤害 +11.3% ~ +12.2%[近战/远程]</v>
      </c>
    </row>
    <row r="1233" spans="1:4">
      <c r="A1233" s="55" t="s">
        <v>2288</v>
      </c>
      <c r="B1233" s="203" t="s">
        <v>2289</v>
      </c>
      <c r="C1233" s="61" t="s">
        <v>2279</v>
      </c>
      <c r="D1233" s="209" t="str">
        <f t="shared" ref="D1233:D1296" si="26">LEFT(A1233,11)&amp;":"&amp;B1233&amp;C1233</f>
        <v>F3 A7 00 00:(星)对处于水状态敌人的精力伤害 +12.2% ~ +13.1%[近战/远程]</v>
      </c>
    </row>
    <row r="1234" spans="1:4">
      <c r="A1234" s="55" t="s">
        <v>2290</v>
      </c>
      <c r="B1234" s="203" t="s">
        <v>2291</v>
      </c>
      <c r="C1234" s="61" t="s">
        <v>2279</v>
      </c>
      <c r="D1234" s="209" t="str">
        <f t="shared" si="26"/>
        <v>61 7D 00 00:(星)对处于雷状态敌人的精力伤害 +10.4% ~ +11.3%[近战/远程]</v>
      </c>
    </row>
    <row r="1235" spans="1:4">
      <c r="A1235" s="55" t="s">
        <v>2292</v>
      </c>
      <c r="B1235" s="203" t="s">
        <v>2293</v>
      </c>
      <c r="C1235" s="61" t="s">
        <v>2279</v>
      </c>
      <c r="D1235" s="209" t="str">
        <f t="shared" si="26"/>
        <v>D7 D4 00 00:(星)对处于雷状态敌人的精力伤害 +11.3% ~ +12.2%[近战/远程]</v>
      </c>
    </row>
    <row r="1236" spans="1:4">
      <c r="A1236" s="55" t="s">
        <v>2294</v>
      </c>
      <c r="B1236" s="203" t="s">
        <v>2295</v>
      </c>
      <c r="C1236" s="61" t="s">
        <v>2279</v>
      </c>
      <c r="D1236" s="209" t="str">
        <f t="shared" si="26"/>
        <v>C9 51 00 00:(星)对处于雷状态敌人的精力伤害 +12.2% ~ +13.1%[近战/远程]</v>
      </c>
    </row>
    <row r="1237" spans="1:4">
      <c r="A1237" s="55" t="s">
        <v>2296</v>
      </c>
      <c r="B1237" s="203" t="s">
        <v>2285</v>
      </c>
      <c r="C1237" s="61" t="s">
        <v>2279</v>
      </c>
      <c r="D1237" s="209" t="str">
        <f t="shared" si="26"/>
        <v>77 8A 00 00:(星)对处于水状态敌人的精力伤害 +10.4% ~ +11.3%[近战/远程]</v>
      </c>
    </row>
    <row r="1238" spans="1:4">
      <c r="A1238" s="55" t="s">
        <v>2297</v>
      </c>
      <c r="B1238" s="203" t="s">
        <v>2287</v>
      </c>
      <c r="C1238" s="61" t="s">
        <v>2279</v>
      </c>
      <c r="D1238" s="209" t="str">
        <f t="shared" si="26"/>
        <v>2B 14 00 00:(星)对处于水状态敌人的精力伤害 +11.3% ~ +12.2%[近战/远程]</v>
      </c>
    </row>
    <row r="1239" spans="1:4">
      <c r="A1239" s="55" t="s">
        <v>2298</v>
      </c>
      <c r="B1239" s="203" t="s">
        <v>2289</v>
      </c>
      <c r="C1239" s="61" t="s">
        <v>2279</v>
      </c>
      <c r="D1239" s="209" t="str">
        <f t="shared" si="26"/>
        <v>37 BE 00 00:(星)对处于水状态敌人的精力伤害 +12.2% ~ +13.1%[近战/远程]</v>
      </c>
    </row>
    <row r="1240" spans="1:4">
      <c r="A1240" s="55" t="s">
        <v>2299</v>
      </c>
      <c r="B1240" s="203" t="s">
        <v>2300</v>
      </c>
      <c r="C1240" s="210" t="s">
        <v>581</v>
      </c>
      <c r="D1240" s="209" t="str">
        <f t="shared" si="26"/>
        <v>F7 02 00 00:(星)阴阳术精力伤害 +4.8% ~ +5.6%[远程]</v>
      </c>
    </row>
    <row r="1241" spans="1:4">
      <c r="A1241" s="55" t="s">
        <v>2301</v>
      </c>
      <c r="B1241" s="203" t="s">
        <v>2302</v>
      </c>
      <c r="C1241" s="210" t="s">
        <v>581</v>
      </c>
      <c r="D1241" s="209" t="str">
        <f t="shared" si="26"/>
        <v>8A E3 00 00:(星)阴阳术精力伤害 +5.6% ~ +6.4%[远程]</v>
      </c>
    </row>
    <row r="1242" spans="1:4">
      <c r="A1242" s="55" t="s">
        <v>2303</v>
      </c>
      <c r="B1242" s="203" t="s">
        <v>2304</v>
      </c>
      <c r="C1242" s="210" t="s">
        <v>581</v>
      </c>
      <c r="D1242" s="209" t="str">
        <f t="shared" si="26"/>
        <v>9C 3C 00 00:(星)阴阳术精力伤害 +6.4% ~ +7.2%[远程]</v>
      </c>
    </row>
    <row r="1243" spans="1:4">
      <c r="A1243" s="55" t="s">
        <v>2305</v>
      </c>
      <c r="B1243" s="203" t="s">
        <v>2306</v>
      </c>
      <c r="C1243" s="61" t="s">
        <v>2307</v>
      </c>
      <c r="D1243" s="209" t="str">
        <f t="shared" si="26"/>
        <v>FA C0 00 00:(星)弓精力伤害 +14.4% ~ +16.9%[弓]</v>
      </c>
    </row>
    <row r="1244" spans="1:4">
      <c r="A1244" s="55" t="s">
        <v>2308</v>
      </c>
      <c r="B1244" s="203" t="s">
        <v>2309</v>
      </c>
      <c r="C1244" s="61" t="s">
        <v>2307</v>
      </c>
      <c r="D1244" s="209" t="str">
        <f t="shared" si="26"/>
        <v>67 20 00 00:(星)弓精力伤害 +16.9% ~ +19.4%[弓]</v>
      </c>
    </row>
    <row r="1245" spans="1:4">
      <c r="A1245" s="55" t="s">
        <v>2310</v>
      </c>
      <c r="B1245" s="203" t="s">
        <v>2311</v>
      </c>
      <c r="C1245" s="61" t="s">
        <v>2307</v>
      </c>
      <c r="D1245" s="209" t="str">
        <f t="shared" si="26"/>
        <v>F1 4E 00 00:(星)弓精力伤害 +19.4% ~ +21.9%[弓]</v>
      </c>
    </row>
    <row r="1246" spans="1:4">
      <c r="A1246" s="55" t="s">
        <v>2312</v>
      </c>
      <c r="B1246" s="203" t="s">
        <v>2313</v>
      </c>
      <c r="C1246" s="61" t="s">
        <v>2314</v>
      </c>
      <c r="D1246" s="209" t="str">
        <f t="shared" si="26"/>
        <v>F2 49 00 00:(星)火枪精力伤害 +14.4% ~ +16.9%[火枪]</v>
      </c>
    </row>
    <row r="1247" spans="1:4">
      <c r="A1247" s="55" t="s">
        <v>2315</v>
      </c>
      <c r="B1247" s="203" t="s">
        <v>2316</v>
      </c>
      <c r="C1247" s="61" t="s">
        <v>2314</v>
      </c>
      <c r="D1247" s="209" t="str">
        <f t="shared" si="26"/>
        <v>64 3F 00 00:(星)火枪精力伤害 +16.9% ~ +19.4%[火枪]</v>
      </c>
    </row>
    <row r="1248" spans="1:4">
      <c r="A1248" s="55" t="s">
        <v>2317</v>
      </c>
      <c r="B1248" s="203" t="s">
        <v>2318</v>
      </c>
      <c r="C1248" s="61" t="s">
        <v>2314</v>
      </c>
      <c r="D1248" s="209" t="str">
        <f t="shared" si="26"/>
        <v>2F 80 00 00:(星)火枪精力伤害 +19.4% ~ +21.9%[火枪]</v>
      </c>
    </row>
    <row r="1249" spans="1:4">
      <c r="A1249" s="55" t="s">
        <v>2319</v>
      </c>
      <c r="B1249" s="203" t="s">
        <v>2320</v>
      </c>
      <c r="C1249" s="61" t="s">
        <v>2321</v>
      </c>
      <c r="D1249" s="209" t="str">
        <f t="shared" si="26"/>
        <v>3E 4D 00 00:(星)大炮精力伤害 +14.4% ~ +16.9%[大炮]</v>
      </c>
    </row>
    <row r="1250" spans="1:4">
      <c r="A1250" s="55" t="s">
        <v>2322</v>
      </c>
      <c r="B1250" s="203" t="s">
        <v>2323</v>
      </c>
      <c r="C1250" s="61" t="s">
        <v>2321</v>
      </c>
      <c r="D1250" s="209" t="str">
        <f t="shared" si="26"/>
        <v>CC 0C 00 00:(星)大炮精力伤害 +16.9% ~ +19.4%[大炮]</v>
      </c>
    </row>
    <row r="1251" spans="1:4">
      <c r="A1251" s="55" t="s">
        <v>2324</v>
      </c>
      <c r="B1251" s="203" t="s">
        <v>2325</v>
      </c>
      <c r="C1251" s="61" t="s">
        <v>2321</v>
      </c>
      <c r="D1251" s="209" t="str">
        <f t="shared" si="26"/>
        <v>BD EF 00 00:(星)大炮精力伤害 +19.4% ~ +21.9%[大炮]</v>
      </c>
    </row>
    <row r="1252" spans="1:4">
      <c r="A1252" s="55" t="s">
        <v>2326</v>
      </c>
      <c r="B1252" s="203" t="s">
        <v>2327</v>
      </c>
      <c r="C1252" s="61" t="s">
        <v>919</v>
      </c>
      <c r="D1252" s="209" t="str">
        <f t="shared" si="26"/>
        <v>27 D1 00 00:(星)体力 +200 ~ +230[头部/身体/手臂/腿部/足部]</v>
      </c>
    </row>
    <row r="1253" spans="1:4">
      <c r="A1253" s="55" t="s">
        <v>2328</v>
      </c>
      <c r="B1253" s="203" t="s">
        <v>2329</v>
      </c>
      <c r="C1253" s="61" t="s">
        <v>919</v>
      </c>
      <c r="D1253" s="209" t="str">
        <f t="shared" si="26"/>
        <v>50 78 00 00:(星)体力 +230 ~ +260[头部/身体/手臂/腿部/足部]</v>
      </c>
    </row>
    <row r="1254" spans="1:4">
      <c r="A1254" s="55" t="s">
        <v>2330</v>
      </c>
      <c r="B1254" s="203" t="s">
        <v>2331</v>
      </c>
      <c r="C1254" s="61" t="s">
        <v>919</v>
      </c>
      <c r="D1254" s="209" t="str">
        <f t="shared" si="26"/>
        <v>CE 08 00 00:(星)体力 +261 ~ +290[头部/身体/手臂/腿部/足部]</v>
      </c>
    </row>
    <row r="1255" spans="1:4">
      <c r="A1255" s="55" t="s">
        <v>2332</v>
      </c>
      <c r="B1255" s="203" t="s">
        <v>2333</v>
      </c>
      <c r="C1255" s="61" t="s">
        <v>2334</v>
      </c>
      <c r="D1255" s="209" t="str">
        <f t="shared" si="26"/>
        <v>BA B5 00 00:(星)守护灵技命中可吸取体力 40 ~ 45[身体/腿部]</v>
      </c>
    </row>
    <row r="1256" spans="1:4">
      <c r="A1256" s="55" t="s">
        <v>2335</v>
      </c>
      <c r="B1256" s="203" t="s">
        <v>2336</v>
      </c>
      <c r="C1256" s="61" t="s">
        <v>2334</v>
      </c>
      <c r="D1256" s="209" t="str">
        <f t="shared" si="26"/>
        <v>1F 7C 00 00:(星)守护灵技命中可吸取体力 45 ~ 50[身体/腿部]</v>
      </c>
    </row>
    <row r="1257" spans="1:4">
      <c r="A1257" s="55" t="s">
        <v>2337</v>
      </c>
      <c r="B1257" s="203" t="s">
        <v>2338</v>
      </c>
      <c r="C1257" s="61" t="s">
        <v>2334</v>
      </c>
      <c r="D1257" s="209" t="str">
        <f t="shared" si="26"/>
        <v>59 09 00 00:(星)守护灵技命中可吸取体力 50 ~ 55[身体/腿部]</v>
      </c>
    </row>
    <row r="1258" spans="1:4">
      <c r="A1258" s="55" t="s">
        <v>2339</v>
      </c>
      <c r="B1258" s="203" t="s">
        <v>2340</v>
      </c>
      <c r="C1258" s="61" t="s">
        <v>2341</v>
      </c>
      <c r="D1258" s="209" t="str">
        <f t="shared" si="26"/>
        <v>38 75 00 00:(星)造成属性伤害时吸取体力 B+ ~ B+[身体/饰品]</v>
      </c>
    </row>
    <row r="1259" spans="1:4">
      <c r="A1259" s="55" t="s">
        <v>2342</v>
      </c>
      <c r="B1259" s="203" t="s">
        <v>2343</v>
      </c>
      <c r="C1259" s="61" t="s">
        <v>2341</v>
      </c>
      <c r="D1259" s="209" t="str">
        <f t="shared" si="26"/>
        <v>DA E1 00 00:(星)造成属性伤害时吸取体力 A- ~ A-[身体/饰品]</v>
      </c>
    </row>
    <row r="1260" spans="1:4">
      <c r="A1260" s="55" t="s">
        <v>2344</v>
      </c>
      <c r="B1260" s="203" t="s">
        <v>2345</v>
      </c>
      <c r="C1260" s="61" t="s">
        <v>2341</v>
      </c>
      <c r="D1260" s="209" t="str">
        <f t="shared" si="26"/>
        <v>32 37 00 00:(星)造成属性伤害时吸取体力 A ~ A[身体/饰品]</v>
      </c>
    </row>
    <row r="1261" spans="1:4">
      <c r="A1261" s="55" t="s">
        <v>2346</v>
      </c>
      <c r="B1261" s="203" t="s">
        <v>2347</v>
      </c>
      <c r="C1261" s="61" t="s">
        <v>2348</v>
      </c>
      <c r="D1261" s="209" t="str">
        <f t="shared" si="26"/>
        <v>D3 68 00 00:(星)武技吸取体力 +14.0% ~ +16.0%[近战/身体]</v>
      </c>
    </row>
    <row r="1262" spans="1:4">
      <c r="A1262" s="55" t="s">
        <v>2349</v>
      </c>
      <c r="B1262" s="203" t="s">
        <v>2350</v>
      </c>
      <c r="C1262" s="61" t="s">
        <v>2348</v>
      </c>
      <c r="D1262" s="209" t="str">
        <f t="shared" si="26"/>
        <v>A1 82 00 00:(星)武技吸取体力 +16.0% ~ +18.0%[近战/身体]</v>
      </c>
    </row>
    <row r="1263" spans="1:4">
      <c r="A1263" s="55" t="s">
        <v>2351</v>
      </c>
      <c r="B1263" s="203" t="s">
        <v>2352</v>
      </c>
      <c r="C1263" s="61" t="s">
        <v>2348</v>
      </c>
      <c r="D1263" s="209" t="str">
        <f t="shared" si="26"/>
        <v>88 B8 00 00:(星)武技吸取体力 +18.0% ~ +12.0%[近战/身体]</v>
      </c>
    </row>
    <row r="1264" spans="1:4">
      <c r="A1264" s="55" t="s">
        <v>2353</v>
      </c>
      <c r="B1264" s="203" t="s">
        <v>2354</v>
      </c>
      <c r="C1264" s="61" t="s">
        <v>2149</v>
      </c>
      <c r="D1264" s="209" t="str">
        <f t="shared" si="26"/>
        <v>DC 0A 00 00:(星)阴阳术伤害吸取体力 A- ~ A+[头部/身体]</v>
      </c>
    </row>
    <row r="1265" spans="1:4">
      <c r="A1265" s="55" t="s">
        <v>2355</v>
      </c>
      <c r="B1265" s="203" t="s">
        <v>2356</v>
      </c>
      <c r="C1265" s="61" t="s">
        <v>2149</v>
      </c>
      <c r="D1265" s="209" t="str">
        <f t="shared" si="26"/>
        <v>FE 8B 00 00:(星)阴阳术伤害吸取体力 A+ ~ AA[头部/身体]</v>
      </c>
    </row>
    <row r="1266" spans="1:4">
      <c r="A1266" s="55" t="s">
        <v>2357</v>
      </c>
      <c r="B1266" s="203" t="s">
        <v>2358</v>
      </c>
      <c r="C1266" s="61" t="s">
        <v>2149</v>
      </c>
      <c r="D1266" s="209" t="str">
        <f t="shared" si="26"/>
        <v>C2 ED 00 00:(星)阴阳术伤害吸取体力 AA- ~ AA+[头部/身体]</v>
      </c>
    </row>
    <row r="1267" spans="1:4">
      <c r="A1267" s="55" t="s">
        <v>2359</v>
      </c>
      <c r="B1267" s="203" t="s">
        <v>2360</v>
      </c>
      <c r="C1267" s="61" t="s">
        <v>2361</v>
      </c>
      <c r="D1267" s="209" t="str">
        <f t="shared" si="26"/>
        <v>D1 94 00 00:(星)残心精力恢复量 +7.5% ~ +8.2%[腿部/饰品]</v>
      </c>
    </row>
    <row r="1268" spans="1:4">
      <c r="A1268" s="55" t="s">
        <v>2362</v>
      </c>
      <c r="B1268" s="203" t="s">
        <v>2363</v>
      </c>
      <c r="C1268" s="61" t="s">
        <v>2361</v>
      </c>
      <c r="D1268" s="209" t="str">
        <f t="shared" si="26"/>
        <v>8D 68 00 00:(星)残心精力恢复量 +8.2% ~ +8.9%[腿部/饰品]</v>
      </c>
    </row>
    <row r="1269" spans="1:4">
      <c r="A1269" s="55" t="s">
        <v>2364</v>
      </c>
      <c r="B1269" s="203" t="s">
        <v>2365</v>
      </c>
      <c r="C1269" s="61" t="s">
        <v>2361</v>
      </c>
      <c r="D1269" s="209" t="str">
        <f t="shared" si="26"/>
        <v>2D 7D 00 00:(星)残心精力恢复量 +8.8% ~ +9.5%[腿部/饰品]</v>
      </c>
    </row>
    <row r="1270" spans="1:4">
      <c r="A1270" s="55" t="s">
        <v>2366</v>
      </c>
      <c r="B1270" s="203" t="s">
        <v>2367</v>
      </c>
      <c r="C1270" s="61" t="s">
        <v>2361</v>
      </c>
      <c r="D1270" s="209" t="str">
        <f t="shared" si="26"/>
        <v>8B 6A 00 00:(星)精力恢复速度 +7.4% ~ +8.5%[腿部/饰品]</v>
      </c>
    </row>
    <row r="1271" spans="1:4">
      <c r="A1271" s="55" t="s">
        <v>2368</v>
      </c>
      <c r="B1271" s="203" t="s">
        <v>2369</v>
      </c>
      <c r="C1271" s="61" t="s">
        <v>2361</v>
      </c>
      <c r="D1271" s="209" t="str">
        <f t="shared" si="26"/>
        <v>C9 E4 00 00:(星)精力恢复速度 +8.5% ~ +9.6%[腿部/饰品]</v>
      </c>
    </row>
    <row r="1272" spans="1:4">
      <c r="A1272" s="55" t="s">
        <v>2370</v>
      </c>
      <c r="B1272" s="203" t="s">
        <v>2371</v>
      </c>
      <c r="C1272" s="61" t="s">
        <v>2361</v>
      </c>
      <c r="D1272" s="209" t="str">
        <f t="shared" si="26"/>
        <v>CC 9F 00 00:(星)精力恢复速度 +9.7% ~ +10.8%[腿部/饰品]</v>
      </c>
    </row>
    <row r="1273" spans="1:4">
      <c r="A1273" s="55" t="s">
        <v>2372</v>
      </c>
      <c r="B1273" s="203" t="s">
        <v>2373</v>
      </c>
      <c r="C1273" s="61" t="s">
        <v>2156</v>
      </c>
      <c r="D1273" s="209" t="str">
        <f t="shared" si="26"/>
        <v>00 B1 00 00:(星)防御时精力恢复速度 +12.4% ~ +13.2%[腿部/足部]</v>
      </c>
    </row>
    <row r="1274" spans="1:4">
      <c r="A1274" s="55" t="s">
        <v>2374</v>
      </c>
      <c r="B1274" s="203" t="s">
        <v>2375</v>
      </c>
      <c r="C1274" s="61" t="s">
        <v>2156</v>
      </c>
      <c r="D1274" s="209" t="str">
        <f t="shared" si="26"/>
        <v>5B AA 00 00:(星)防御时精力恢复速度 +13.2% ~ +14.0%[腿部/足部]</v>
      </c>
    </row>
    <row r="1275" spans="1:4">
      <c r="A1275" s="55" t="s">
        <v>2376</v>
      </c>
      <c r="B1275" s="203" t="s">
        <v>2377</v>
      </c>
      <c r="C1275" s="61" t="s">
        <v>2156</v>
      </c>
      <c r="D1275" s="209" t="str">
        <f t="shared" si="26"/>
        <v>03 80 00 00:(星)防御时精力恢复速度 +14.0% ~ +14.8%[腿部/足部]</v>
      </c>
    </row>
    <row r="1276" spans="1:4">
      <c r="A1276" s="55" t="s">
        <v>2378</v>
      </c>
      <c r="B1276" s="203" t="s">
        <v>2379</v>
      </c>
      <c r="C1276" s="61" t="s">
        <v>2380</v>
      </c>
      <c r="D1276" s="209" t="str">
        <f t="shared" si="26"/>
        <v>FC 84 00 00:(星)精力恢复速度上升(无伤) +12.4% ~ +14.6%[头部/足部]</v>
      </c>
    </row>
    <row r="1277" spans="1:4">
      <c r="A1277" s="55" t="s">
        <v>2381</v>
      </c>
      <c r="B1277" s="203" t="s">
        <v>2382</v>
      </c>
      <c r="C1277" s="61" t="s">
        <v>2380</v>
      </c>
      <c r="D1277" s="209" t="str">
        <f t="shared" si="26"/>
        <v>D4 F5 00 00:(星)精力恢复速度上升(无伤) +14.6% ~ +16.8%[头部/足部]</v>
      </c>
    </row>
    <row r="1278" spans="1:4">
      <c r="A1278" s="55" t="s">
        <v>2383</v>
      </c>
      <c r="B1278" s="203" t="s">
        <v>2384</v>
      </c>
      <c r="C1278" s="61" t="s">
        <v>2380</v>
      </c>
      <c r="D1278" s="209" t="str">
        <f t="shared" si="26"/>
        <v>B8 2A 00 00:(星)精力恢复速度上升(无伤) +16.8% ~ +19.0%[头部/足部]</v>
      </c>
    </row>
    <row r="1279" spans="1:4">
      <c r="A1279" s="55" t="s">
        <v>2385</v>
      </c>
      <c r="B1279" s="203" t="s">
        <v>2386</v>
      </c>
      <c r="C1279" s="61" t="s">
        <v>581</v>
      </c>
      <c r="D1279" s="209" t="str">
        <f t="shared" si="26"/>
        <v>47 7C 00 00:(星)精华槽增加量 +10.1% ~ +11.2%[远程]</v>
      </c>
    </row>
    <row r="1280" spans="1:4">
      <c r="A1280" s="55" t="s">
        <v>2387</v>
      </c>
      <c r="B1280" s="203" t="s">
        <v>2388</v>
      </c>
      <c r="C1280" s="61" t="s">
        <v>581</v>
      </c>
      <c r="D1280" s="209" t="str">
        <f t="shared" si="26"/>
        <v>66 4C 00 00:(星)精华槽增加量 +11.2% ~ +12.3%[远程]</v>
      </c>
    </row>
    <row r="1281" spans="1:4">
      <c r="A1281" s="55" t="s">
        <v>2389</v>
      </c>
      <c r="B1281" s="203" t="s">
        <v>2390</v>
      </c>
      <c r="C1281" s="61" t="s">
        <v>581</v>
      </c>
      <c r="D1281" s="209" t="str">
        <f t="shared" si="26"/>
        <v>89 1D 00 00:(星)精华槽增加量 +12.3% ~ +13.4%[远程]</v>
      </c>
    </row>
    <row r="1282" spans="1:4">
      <c r="A1282" s="55" t="s">
        <v>2391</v>
      </c>
      <c r="B1282" s="203" t="s">
        <v>2392</v>
      </c>
      <c r="C1282" s="61" t="s">
        <v>749</v>
      </c>
      <c r="D1282" s="209" t="str">
        <f t="shared" si="26"/>
        <v>CB D6 00 00:(星)九十九化身持续时间延长 +10.5% ~ +11.5%[身体]</v>
      </c>
    </row>
    <row r="1283" spans="1:4">
      <c r="A1283" s="55" t="s">
        <v>2393</v>
      </c>
      <c r="B1283" s="203" t="s">
        <v>2394</v>
      </c>
      <c r="C1283" s="61" t="s">
        <v>749</v>
      </c>
      <c r="D1283" s="209" t="str">
        <f t="shared" si="26"/>
        <v>D2 4D 00 00:(星)九十九化身持续时间延长 +11.5% ~ +12.5%[身体]</v>
      </c>
    </row>
    <row r="1284" spans="1:4">
      <c r="A1284" s="55" t="s">
        <v>2395</v>
      </c>
      <c r="B1284" s="203" t="s">
        <v>2396</v>
      </c>
      <c r="C1284" s="61" t="s">
        <v>749</v>
      </c>
      <c r="D1284" s="209" t="str">
        <f t="shared" si="26"/>
        <v>64 A1 00 00:(星)九十九化身持续时间延长 +12.5% ~ +13.5%[身体]</v>
      </c>
    </row>
    <row r="1285" spans="1:4">
      <c r="A1285" s="55" t="s">
        <v>2397</v>
      </c>
      <c r="B1285" s="203" t="s">
        <v>2398</v>
      </c>
      <c r="C1285" s="61" t="s">
        <v>2307</v>
      </c>
      <c r="D1285" s="209" t="str">
        <f t="shared" si="26"/>
        <v>68 72 00 00:(星)弓伤害 +12.0% ~ +14.0%[弓]</v>
      </c>
    </row>
    <row r="1286" spans="1:4">
      <c r="A1286" s="55" t="s">
        <v>2399</v>
      </c>
      <c r="B1286" s="203" t="s">
        <v>2400</v>
      </c>
      <c r="C1286" s="61" t="s">
        <v>2307</v>
      </c>
      <c r="D1286" s="209" t="str">
        <f t="shared" si="26"/>
        <v>94 8A 00 00:(星)弓伤害 +14.0% ~ +16.0%[弓]</v>
      </c>
    </row>
    <row r="1287" spans="1:4">
      <c r="A1287" s="55" t="s">
        <v>2401</v>
      </c>
      <c r="B1287" s="203" t="s">
        <v>2402</v>
      </c>
      <c r="C1287" s="61" t="s">
        <v>2307</v>
      </c>
      <c r="D1287" s="209" t="str">
        <f t="shared" si="26"/>
        <v>DE 2E 00 00:(星)弓伤害 +16.0% ~ +18.0%[弓]</v>
      </c>
    </row>
    <row r="1288" spans="1:4">
      <c r="A1288" s="55" t="s">
        <v>2403</v>
      </c>
      <c r="B1288" s="203" t="s">
        <v>2404</v>
      </c>
      <c r="C1288" s="61" t="s">
        <v>2314</v>
      </c>
      <c r="D1288" s="209" t="str">
        <f t="shared" si="26"/>
        <v>3E 1C 00 00:(星)火枪伤害 +12.0% ~ +14.0%[火枪]</v>
      </c>
    </row>
    <row r="1289" spans="1:4">
      <c r="A1289" s="55" t="s">
        <v>2405</v>
      </c>
      <c r="B1289" s="203" t="s">
        <v>2406</v>
      </c>
      <c r="C1289" s="61" t="s">
        <v>2314</v>
      </c>
      <c r="D1289" s="209" t="str">
        <f t="shared" si="26"/>
        <v>D4 9E 00 00:(星)火枪伤害 +14.0% ~ +16.0%[火枪]</v>
      </c>
    </row>
    <row r="1290" spans="1:4">
      <c r="A1290" s="55" t="s">
        <v>2407</v>
      </c>
      <c r="B1290" s="203" t="s">
        <v>2408</v>
      </c>
      <c r="C1290" s="61" t="s">
        <v>2314</v>
      </c>
      <c r="D1290" s="209" t="str">
        <f t="shared" si="26"/>
        <v>B3 B9 00 00:(星)火枪伤害 +16.0% ~ +18.0%[火枪]</v>
      </c>
    </row>
    <row r="1291" spans="1:4">
      <c r="A1291" s="55" t="s">
        <v>2409</v>
      </c>
      <c r="B1291" s="203" t="s">
        <v>2410</v>
      </c>
      <c r="C1291" s="61" t="s">
        <v>2321</v>
      </c>
      <c r="D1291" s="209" t="str">
        <f t="shared" si="26"/>
        <v>3B CD 00 00:(星)大炮伤害 +12.0% ~ +14.0%[大炮]</v>
      </c>
    </row>
    <row r="1292" spans="1:4">
      <c r="A1292" s="55" t="s">
        <v>2411</v>
      </c>
      <c r="B1292" s="203" t="s">
        <v>2412</v>
      </c>
      <c r="C1292" s="61" t="s">
        <v>2321</v>
      </c>
      <c r="D1292" s="209" t="str">
        <f t="shared" si="26"/>
        <v>F2 BB 00 00:(星)大炮伤害 +14.0% ~ +16.0%[大炮]</v>
      </c>
    </row>
    <row r="1293" spans="1:4">
      <c r="A1293" s="55" t="s">
        <v>2413</v>
      </c>
      <c r="B1293" s="203" t="s">
        <v>2414</v>
      </c>
      <c r="C1293" s="61" t="s">
        <v>2321</v>
      </c>
      <c r="D1293" s="209" t="str">
        <f t="shared" si="26"/>
        <v>7C E8 00 00:(星)大炮伤害 +16.0% ~ +18.0%[大炮]</v>
      </c>
    </row>
    <row r="1294" spans="1:4">
      <c r="A1294" s="55" t="s">
        <v>2415</v>
      </c>
      <c r="B1294" s="203" t="s">
        <v>2416</v>
      </c>
      <c r="C1294" s="61" t="s">
        <v>2417</v>
      </c>
      <c r="D1294" s="209" t="str">
        <f t="shared" si="26"/>
        <v>8B F0 00 00:(星)远距离伤害 +10.0% ~ +11.3%[远程/饰品]</v>
      </c>
    </row>
    <row r="1295" spans="1:4">
      <c r="A1295" s="55" t="s">
        <v>2418</v>
      </c>
      <c r="B1295" s="203" t="s">
        <v>2419</v>
      </c>
      <c r="C1295" s="61" t="s">
        <v>2417</v>
      </c>
      <c r="D1295" s="209" t="str">
        <f t="shared" si="26"/>
        <v>E0 38 00 00:(星)远距离伤害 +11.3% ~ +12.6%[远程/饰品]</v>
      </c>
    </row>
    <row r="1296" spans="1:4">
      <c r="A1296" s="55" t="s">
        <v>2420</v>
      </c>
      <c r="B1296" s="203" t="s">
        <v>2421</v>
      </c>
      <c r="C1296" s="61" t="s">
        <v>2417</v>
      </c>
      <c r="D1296" s="209" t="str">
        <f t="shared" si="26"/>
        <v>AE DF 00 00:(星)远距离伤害 +12.7% ~ +14.0%[远程/饰品]</v>
      </c>
    </row>
    <row r="1297" spans="1:4">
      <c r="A1297" s="55" t="s">
        <v>2422</v>
      </c>
      <c r="B1297" s="203" t="s">
        <v>2423</v>
      </c>
      <c r="C1297" s="210" t="s">
        <v>2417</v>
      </c>
      <c r="D1297" s="209" t="str">
        <f t="shared" ref="D1297:D1360" si="27">LEFT(A1297,11)&amp;":"&amp;B1297&amp;C1297</f>
        <v>4A FF 00 00:(星)不消耗箭弹 +16.9% ~ +17.5%[远程/饰品]</v>
      </c>
    </row>
    <row r="1298" spans="1:4">
      <c r="A1298" s="55" t="s">
        <v>2424</v>
      </c>
      <c r="B1298" s="203" t="s">
        <v>2425</v>
      </c>
      <c r="C1298" s="52" t="s">
        <v>2156</v>
      </c>
      <c r="D1298" s="209" t="str">
        <f t="shared" si="27"/>
        <v>B6 EA 00 00:(星)闪避动作精力消耗降低 -10.1% ~ -11.1%[腿部/足部]</v>
      </c>
    </row>
    <row r="1299" spans="1:4">
      <c r="A1299" s="55" t="s">
        <v>2426</v>
      </c>
      <c r="B1299" s="203" t="s">
        <v>2427</v>
      </c>
      <c r="C1299" s="61" t="s">
        <v>2156</v>
      </c>
      <c r="D1299" s="209" t="str">
        <f t="shared" si="27"/>
        <v>04 C5 00 00:(星)闪避动作精力消耗降低 -11.4% ~ -12.4%[腿部/足部]</v>
      </c>
    </row>
    <row r="1300" spans="1:4">
      <c r="A1300" s="55" t="s">
        <v>2428</v>
      </c>
      <c r="B1300" s="203" t="s">
        <v>2429</v>
      </c>
      <c r="C1300" s="61" t="s">
        <v>2156</v>
      </c>
      <c r="D1300" s="209" t="str">
        <f t="shared" si="27"/>
        <v>D1 E0 00 00:(星)闪避动作精力消耗降低 -12.5% ~ -13.5%[腿部/足部]</v>
      </c>
    </row>
    <row r="1301" spans="1:4">
      <c r="A1301" s="55" t="s">
        <v>2430</v>
      </c>
      <c r="B1301" s="203" t="s">
        <v>2431</v>
      </c>
      <c r="C1301" s="52" t="s">
        <v>2156</v>
      </c>
      <c r="D1301" s="209" t="str">
        <f t="shared" si="27"/>
        <v>8F 3B 00 00:(星)闪避动作精力消耗降低(绝境) -13.1% ~ -14.2%[腿部/足部]</v>
      </c>
    </row>
    <row r="1302" spans="1:4">
      <c r="A1302" s="55" t="s">
        <v>2432</v>
      </c>
      <c r="B1302" s="203" t="s">
        <v>2433</v>
      </c>
      <c r="C1302" s="61" t="s">
        <v>2156</v>
      </c>
      <c r="D1302" s="209" t="str">
        <f t="shared" si="27"/>
        <v>F6 0F 00 00:(星)闪避动作精力消耗降低(绝境) -14.2% ~ -15.3%[腿部/足部]</v>
      </c>
    </row>
    <row r="1303" spans="1:4">
      <c r="A1303" s="55" t="s">
        <v>2434</v>
      </c>
      <c r="B1303" s="203" t="s">
        <v>2435</v>
      </c>
      <c r="C1303" s="61" t="s">
        <v>2156</v>
      </c>
      <c r="D1303" s="209" t="str">
        <f t="shared" si="27"/>
        <v>A0 2E 00 00:(星)闪避动作精力消耗降低(绝境) -15.3% ~ -16.5%[腿部/足部]</v>
      </c>
    </row>
    <row r="1304" spans="1:4">
      <c r="A1304" s="55" t="s">
        <v>2436</v>
      </c>
      <c r="B1304" s="203" t="s">
        <v>2437</v>
      </c>
      <c r="C1304" s="61" t="s">
        <v>1573</v>
      </c>
      <c r="D1304" s="209" t="str">
        <f t="shared" si="27"/>
        <v>EA 12 00 00:(星)敌人的持续伤害 +10.0% ~ +11.5%[饰品]</v>
      </c>
    </row>
    <row r="1305" spans="1:4">
      <c r="A1305" s="55" t="s">
        <v>2438</v>
      </c>
      <c r="B1305" s="203" t="s">
        <v>2439</v>
      </c>
      <c r="C1305" s="61" t="s">
        <v>1573</v>
      </c>
      <c r="D1305" s="209" t="str">
        <f t="shared" si="27"/>
        <v>78 13 00 00:(星)敌人的持续伤害 +11.5% ~ +13.0%[饰品]</v>
      </c>
    </row>
    <row r="1306" spans="1:4">
      <c r="A1306" s="55" t="s">
        <v>2440</v>
      </c>
      <c r="B1306" s="203" t="s">
        <v>2441</v>
      </c>
      <c r="C1306" s="61" t="s">
        <v>1573</v>
      </c>
      <c r="D1306" s="209" t="str">
        <f t="shared" si="27"/>
        <v>DE E1 00 00:(星)敌人的持续伤害 +13.0% ~ +14.5%[饰品]</v>
      </c>
    </row>
    <row r="1307" spans="1:4">
      <c r="A1307" s="55" t="s">
        <v>2442</v>
      </c>
      <c r="B1307" s="203" t="s">
        <v>2443</v>
      </c>
      <c r="C1307" s="61" t="s">
        <v>1573</v>
      </c>
      <c r="D1307" s="209" t="str">
        <f t="shared" si="27"/>
        <v>F0 D4 00 00:(星)效果持续力 +12 ~ +14[饰品]</v>
      </c>
    </row>
    <row r="1308" spans="1:4">
      <c r="A1308" s="55" t="s">
        <v>2444</v>
      </c>
      <c r="B1308" s="203" t="s">
        <v>2445</v>
      </c>
      <c r="C1308" s="61" t="s">
        <v>1573</v>
      </c>
      <c r="D1308" s="209" t="str">
        <f t="shared" si="27"/>
        <v>F3 40 00 00:(星)效果持续力 +14 ~ +16[饰品]</v>
      </c>
    </row>
    <row r="1309" spans="1:4">
      <c r="A1309" s="55" t="s">
        <v>2446</v>
      </c>
      <c r="B1309" s="203" t="s">
        <v>2447</v>
      </c>
      <c r="C1309" s="61" t="s">
        <v>1573</v>
      </c>
      <c r="D1309" s="209" t="str">
        <f t="shared" si="27"/>
        <v>95 5E 00 00:(星)效果持续力 +16 ~ +18[饰品]</v>
      </c>
    </row>
    <row r="1310" spans="1:4">
      <c r="A1310" s="55" t="s">
        <v>2448</v>
      </c>
      <c r="B1310" s="203" t="s">
        <v>2449</v>
      </c>
      <c r="C1310" s="61" t="s">
        <v>1573</v>
      </c>
      <c r="D1310" s="209" t="str">
        <f t="shared" si="27"/>
        <v>E6 18 00 00:(星)赋予属性的持续时间延长 +38.0% ~ +43.0%[饰品]</v>
      </c>
    </row>
    <row r="1311" spans="1:4">
      <c r="A1311" s="55" t="s">
        <v>2450</v>
      </c>
      <c r="B1311" s="203" t="s">
        <v>2451</v>
      </c>
      <c r="C1311" s="61" t="s">
        <v>1573</v>
      </c>
      <c r="D1311" s="209" t="str">
        <f t="shared" si="27"/>
        <v>6B DC 00 00:(星)赋予属性的持续时间延长 +42.0% ~ +47.0%[饰品]</v>
      </c>
    </row>
    <row r="1312" spans="1:4">
      <c r="A1312" s="55" t="s">
        <v>2452</v>
      </c>
      <c r="B1312" s="203" t="s">
        <v>2453</v>
      </c>
      <c r="C1312" s="61" t="s">
        <v>1573</v>
      </c>
      <c r="D1312" s="209" t="str">
        <f t="shared" si="27"/>
        <v>8C 24 00 00:(星)赋予属性的持续时间延长 +47.0% ~ +52.0%[饰品]</v>
      </c>
    </row>
    <row r="1313" spans="1:4">
      <c r="A1313" s="55" t="s">
        <v>2454</v>
      </c>
      <c r="B1313" s="203" t="s">
        <v>2455</v>
      </c>
      <c r="C1313" s="61" t="s">
        <v>2456</v>
      </c>
      <c r="D1313" s="209" t="str">
        <f t="shared" si="27"/>
        <v>7C 41 00 00:(星)火属性伤害 +12.0% ~ +14.0%[魂核]</v>
      </c>
    </row>
    <row r="1314" spans="1:4">
      <c r="A1314" s="55" t="s">
        <v>2457</v>
      </c>
      <c r="B1314" s="203" t="s">
        <v>2458</v>
      </c>
      <c r="C1314" s="61" t="s">
        <v>2456</v>
      </c>
      <c r="D1314" s="209" t="str">
        <f t="shared" si="27"/>
        <v>FB 1B 00 00:(星)火属性伤害 +14.0% ~ +16.0%[魂核]</v>
      </c>
    </row>
    <row r="1315" spans="1:4">
      <c r="A1315" s="55" t="s">
        <v>2459</v>
      </c>
      <c r="B1315" s="203" t="s">
        <v>2460</v>
      </c>
      <c r="C1315" s="61" t="s">
        <v>2456</v>
      </c>
      <c r="D1315" s="209" t="str">
        <f t="shared" si="27"/>
        <v>68 94 00 00:(星)火属性伤害 +16.0% ~ +18.0%[魂核]</v>
      </c>
    </row>
    <row r="1316" spans="1:4">
      <c r="A1316" s="55" t="s">
        <v>2461</v>
      </c>
      <c r="B1316" s="203" t="s">
        <v>2462</v>
      </c>
      <c r="C1316" s="61" t="s">
        <v>2456</v>
      </c>
      <c r="D1316" s="209" t="str">
        <f t="shared" si="27"/>
        <v>CE 05 00 00:(星)水属性伤害 +12.0% ~ +14.0%[魂核]</v>
      </c>
    </row>
    <row r="1317" spans="1:4">
      <c r="A1317" s="55" t="s">
        <v>2463</v>
      </c>
      <c r="B1317" s="203" t="s">
        <v>2464</v>
      </c>
      <c r="C1317" s="61" t="s">
        <v>2456</v>
      </c>
      <c r="D1317" s="209" t="str">
        <f t="shared" si="27"/>
        <v>45 A3 00 00:(星)水属性伤害 +14.0% ~ +16.0%[魂核]</v>
      </c>
    </row>
    <row r="1318" spans="1:4">
      <c r="A1318" s="55" t="s">
        <v>2465</v>
      </c>
      <c r="B1318" s="203" t="s">
        <v>2466</v>
      </c>
      <c r="C1318" s="61" t="s">
        <v>2456</v>
      </c>
      <c r="D1318" s="209" t="str">
        <f t="shared" si="27"/>
        <v>E3 4A 00 00:(星)水属性伤害 +16.0% ~ +18.0%[魂核]</v>
      </c>
    </row>
    <row r="1319" spans="1:4">
      <c r="A1319" s="55" t="s">
        <v>2467</v>
      </c>
      <c r="B1319" s="203" t="s">
        <v>2468</v>
      </c>
      <c r="C1319" s="61" t="s">
        <v>2456</v>
      </c>
      <c r="D1319" s="209" t="str">
        <f t="shared" si="27"/>
        <v>47 78 00 00:(星)雷属性伤害 +12.0% ~ +14.0%[魂核]</v>
      </c>
    </row>
    <row r="1320" spans="1:4">
      <c r="A1320" s="55" t="s">
        <v>2469</v>
      </c>
      <c r="B1320" s="203" t="s">
        <v>2470</v>
      </c>
      <c r="C1320" s="61" t="s">
        <v>2456</v>
      </c>
      <c r="D1320" s="209" t="str">
        <f t="shared" si="27"/>
        <v>F0 3B 00 00:(星)雷属性伤害 +14.0% ~ +16.0%[魂核]</v>
      </c>
    </row>
    <row r="1321" spans="1:4">
      <c r="A1321" s="55" t="s">
        <v>2471</v>
      </c>
      <c r="B1321" s="203" t="s">
        <v>2472</v>
      </c>
      <c r="C1321" s="61" t="s">
        <v>2456</v>
      </c>
      <c r="D1321" s="209" t="str">
        <f t="shared" si="27"/>
        <v>3D 72 00 00:(星)雷属性伤害 +16.0% ~ +18.0%[魂核]</v>
      </c>
    </row>
    <row r="1322" spans="1:4">
      <c r="A1322" s="55" t="s">
        <v>2473</v>
      </c>
      <c r="B1322" s="203" t="s">
        <v>2474</v>
      </c>
      <c r="C1322" s="61" t="s">
        <v>2456</v>
      </c>
      <c r="D1322" s="209" t="str">
        <f t="shared" si="27"/>
        <v>EE B4 00 00:(星)风属性伤害 +12.0% ~ +14.0%[魂核]</v>
      </c>
    </row>
    <row r="1323" spans="1:4">
      <c r="A1323" s="55" t="s">
        <v>2475</v>
      </c>
      <c r="B1323" s="203" t="s">
        <v>2476</v>
      </c>
      <c r="C1323" s="61" t="s">
        <v>2456</v>
      </c>
      <c r="D1323" s="209" t="str">
        <f t="shared" si="27"/>
        <v>58 0D 00 00:(星)风属性伤害 +14.0% ~ +16.0%[魂核]</v>
      </c>
    </row>
    <row r="1324" spans="1:4">
      <c r="A1324" s="55" t="s">
        <v>2477</v>
      </c>
      <c r="B1324" s="203" t="s">
        <v>2478</v>
      </c>
      <c r="C1324" s="61" t="s">
        <v>2456</v>
      </c>
      <c r="D1324" s="209" t="str">
        <f t="shared" si="27"/>
        <v>EE 99 00 00:(星)风属性伤害 +16.0% ~ +18.0%[魂核]</v>
      </c>
    </row>
    <row r="1325" spans="1:4">
      <c r="A1325" s="55" t="s">
        <v>2479</v>
      </c>
      <c r="B1325" s="203" t="s">
        <v>2480</v>
      </c>
      <c r="C1325" s="61" t="s">
        <v>30</v>
      </c>
      <c r="D1325" s="209" t="str">
        <f t="shared" si="27"/>
        <v>76 33 00 00:(星)异常状态累计 +10.0% ~ +11.7%[近战]</v>
      </c>
    </row>
    <row r="1326" spans="1:4">
      <c r="A1326" s="55" t="s">
        <v>2481</v>
      </c>
      <c r="B1326" s="203" t="s">
        <v>2482</v>
      </c>
      <c r="C1326" s="61" t="s">
        <v>30</v>
      </c>
      <c r="D1326" s="209" t="str">
        <f t="shared" si="27"/>
        <v>A2 D0 00 00:(星)异常状态累计 +11.7% ~ +13.4%[近战]</v>
      </c>
    </row>
    <row r="1327" spans="1:4">
      <c r="A1327" s="55" t="s">
        <v>2483</v>
      </c>
      <c r="B1327" s="203" t="s">
        <v>2484</v>
      </c>
      <c r="C1327" s="61" t="s">
        <v>30</v>
      </c>
      <c r="D1327" s="209" t="str">
        <f t="shared" si="27"/>
        <v>67 7C 00 00:(星)异常状态累计 +13.3% ~ +15.0%[近战]</v>
      </c>
    </row>
    <row r="1328" spans="1:4">
      <c r="A1328" s="55" t="s">
        <v>2485</v>
      </c>
      <c r="B1328" s="203" t="s">
        <v>2486</v>
      </c>
      <c r="C1328" s="61" t="s">
        <v>30</v>
      </c>
      <c r="D1328" s="209" t="str">
        <f t="shared" si="27"/>
        <v>56 DB 00 00:(星)敌人的麻痹状态累计 +14.0% ~ +14.7%[近战]</v>
      </c>
    </row>
    <row r="1329" spans="1:4">
      <c r="A1329" s="55" t="s">
        <v>2487</v>
      </c>
      <c r="B1329" s="203" t="s">
        <v>2488</v>
      </c>
      <c r="C1329" s="61" t="s">
        <v>30</v>
      </c>
      <c r="D1329" s="209" t="str">
        <f t="shared" si="27"/>
        <v>64 3E 00 00:(星)敌人的麻痹状态累计 +14.7% ~ +15.4%[近战]</v>
      </c>
    </row>
    <row r="1330" spans="1:4">
      <c r="A1330" s="55" t="s">
        <v>2489</v>
      </c>
      <c r="B1330" s="203" t="s">
        <v>2490</v>
      </c>
      <c r="C1330" s="61" t="s">
        <v>30</v>
      </c>
      <c r="D1330" s="209" t="str">
        <f t="shared" si="27"/>
        <v>D6 E9 00 00:(星)敌人的麻痹状态累计 +15.3% ~ +16.0%[近战]</v>
      </c>
    </row>
    <row r="1331" spans="1:4">
      <c r="A1331" s="55" t="s">
        <v>2491</v>
      </c>
      <c r="B1331" s="203" t="s">
        <v>2492</v>
      </c>
      <c r="C1331" s="61" t="s">
        <v>30</v>
      </c>
      <c r="D1331" s="209" t="str">
        <f t="shared" si="27"/>
        <v>97 10 00 00:(星)敌人的毒状态累计 +14.0% ~ +14.7%[近战]</v>
      </c>
    </row>
    <row r="1332" spans="1:4">
      <c r="A1332" s="55" t="s">
        <v>2493</v>
      </c>
      <c r="B1332" s="203" t="s">
        <v>2494</v>
      </c>
      <c r="C1332" s="61" t="s">
        <v>30</v>
      </c>
      <c r="D1332" s="209" t="str">
        <f t="shared" si="27"/>
        <v>67 E9 00 00:(星)敌人的毒状态累计 +14.7% ~ +15.4%[近战]</v>
      </c>
    </row>
    <row r="1333" spans="1:4">
      <c r="A1333" s="55" t="s">
        <v>2495</v>
      </c>
      <c r="B1333" s="203" t="s">
        <v>2496</v>
      </c>
      <c r="C1333" s="61" t="s">
        <v>30</v>
      </c>
      <c r="D1333" s="209" t="str">
        <f t="shared" si="27"/>
        <v>B6 E1 00 00:(星)敌人的毒状态累计 +15.3% ~ +16.0%[近战]</v>
      </c>
    </row>
    <row r="1334" spans="1:4">
      <c r="A1334" s="55" t="s">
        <v>2497</v>
      </c>
      <c r="B1334" s="203" t="s">
        <v>2498</v>
      </c>
      <c r="C1334" s="61" t="s">
        <v>30</v>
      </c>
      <c r="D1334" s="209" t="str">
        <f t="shared" si="27"/>
        <v>34 5F 00 00:(星)赋予火属性 +30 ~ +35[近战]</v>
      </c>
    </row>
    <row r="1335" spans="1:4">
      <c r="A1335" s="55" t="s">
        <v>2499</v>
      </c>
      <c r="B1335" s="203" t="s">
        <v>2500</v>
      </c>
      <c r="C1335" s="61" t="s">
        <v>30</v>
      </c>
      <c r="D1335" s="209" t="str">
        <f t="shared" si="27"/>
        <v>49 0A 00 00:(星)赋予火属性 +33 ~ +38[近战]</v>
      </c>
    </row>
    <row r="1336" spans="1:4">
      <c r="A1336" s="55" t="s">
        <v>2501</v>
      </c>
      <c r="B1336" s="203" t="s">
        <v>2502</v>
      </c>
      <c r="C1336" s="61" t="s">
        <v>30</v>
      </c>
      <c r="D1336" s="209" t="str">
        <f t="shared" si="27"/>
        <v>D2 9C 00 00:(星)赋予火属性 +38 ~ +45[近战]</v>
      </c>
    </row>
    <row r="1337" spans="1:4">
      <c r="A1337" s="55" t="s">
        <v>2503</v>
      </c>
      <c r="B1337" s="203" t="s">
        <v>2504</v>
      </c>
      <c r="C1337" s="61" t="s">
        <v>30</v>
      </c>
      <c r="D1337" s="209" t="str">
        <f t="shared" si="27"/>
        <v>ED 62 00 00:(星)赋予水属性 +30 ~ +35[近战]</v>
      </c>
    </row>
    <row r="1338" spans="1:4">
      <c r="A1338" s="55" t="s">
        <v>2505</v>
      </c>
      <c r="B1338" s="203" t="s">
        <v>2506</v>
      </c>
      <c r="C1338" s="61" t="s">
        <v>30</v>
      </c>
      <c r="D1338" s="209" t="str">
        <f t="shared" si="27"/>
        <v>CE 5A 00 00:(星)赋予水属性 +33 ~ +38[近战]</v>
      </c>
    </row>
    <row r="1339" spans="1:4">
      <c r="A1339" s="55" t="s">
        <v>2507</v>
      </c>
      <c r="B1339" s="203" t="s">
        <v>2508</v>
      </c>
      <c r="C1339" s="61" t="s">
        <v>30</v>
      </c>
      <c r="D1339" s="209" t="str">
        <f t="shared" si="27"/>
        <v>B8 B4 00 00:(星)赋予水属性 +38 ~ +45[近战]</v>
      </c>
    </row>
    <row r="1340" spans="1:4">
      <c r="A1340" s="55" t="s">
        <v>2509</v>
      </c>
      <c r="B1340" s="203" t="s">
        <v>2510</v>
      </c>
      <c r="C1340" s="61" t="s">
        <v>30</v>
      </c>
      <c r="D1340" s="209" t="str">
        <f t="shared" si="27"/>
        <v>14 7B 00 00:(星)赋予雷属性 +30 ~ +35[近战]</v>
      </c>
    </row>
    <row r="1341" spans="1:4">
      <c r="A1341" s="55" t="s">
        <v>2511</v>
      </c>
      <c r="B1341" s="203" t="s">
        <v>2512</v>
      </c>
      <c r="C1341" s="61" t="s">
        <v>30</v>
      </c>
      <c r="D1341" s="209" t="str">
        <f t="shared" si="27"/>
        <v>CA 0C 00 00:(星)赋予雷属性 +33 ~ +38[近战]</v>
      </c>
    </row>
    <row r="1342" spans="1:4">
      <c r="A1342" s="55" t="s">
        <v>2513</v>
      </c>
      <c r="B1342" s="203" t="s">
        <v>2514</v>
      </c>
      <c r="C1342" s="61" t="s">
        <v>30</v>
      </c>
      <c r="D1342" s="209" t="str">
        <f t="shared" si="27"/>
        <v>D0 F1 00 00:(星)赋予雷属性 +38 ~ +45[近战]</v>
      </c>
    </row>
    <row r="1343" spans="1:4">
      <c r="A1343" s="55" t="s">
        <v>2515</v>
      </c>
      <c r="B1343" s="203" t="s">
        <v>2516</v>
      </c>
      <c r="C1343" s="61" t="s">
        <v>30</v>
      </c>
      <c r="D1343" s="209" t="str">
        <f t="shared" si="27"/>
        <v>D3 36 00 00:(星)赋予风属性 +30 ~ +35[近战]</v>
      </c>
    </row>
    <row r="1344" spans="1:4">
      <c r="A1344" s="55" t="s">
        <v>2517</v>
      </c>
      <c r="B1344" s="203" t="s">
        <v>2518</v>
      </c>
      <c r="C1344" s="61" t="s">
        <v>30</v>
      </c>
      <c r="D1344" s="209" t="str">
        <f t="shared" si="27"/>
        <v>48 AB 00 00:(星)赋予风属性 +33 ~ +38[近战]</v>
      </c>
    </row>
    <row r="1345" spans="1:4">
      <c r="A1345" s="55" t="s">
        <v>2519</v>
      </c>
      <c r="B1345" s="203" t="s">
        <v>2520</v>
      </c>
      <c r="C1345" s="61" t="s">
        <v>30</v>
      </c>
      <c r="D1345" s="209" t="str">
        <f t="shared" si="27"/>
        <v>56 3E 00 00:(星)赋予风属性 +38 ~ +45[近战]</v>
      </c>
    </row>
    <row r="1346" spans="1:4">
      <c r="A1346" s="55" t="s">
        <v>2521</v>
      </c>
      <c r="B1346" s="211" t="s">
        <v>2522</v>
      </c>
      <c r="C1346" s="61" t="s">
        <v>2523</v>
      </c>
      <c r="D1346" s="209" t="str">
        <f t="shared" si="27"/>
        <v>97 EF 00 00:速攻击伤害 +7.4% ~ +9.0%[绘卷]</v>
      </c>
    </row>
    <row r="1347" spans="1:4">
      <c r="A1347" s="52" t="s">
        <v>2524</v>
      </c>
      <c r="B1347" s="211" t="s">
        <v>2525</v>
      </c>
      <c r="C1347" s="61" t="s">
        <v>2523</v>
      </c>
      <c r="D1347" s="209" t="str">
        <f t="shared" si="27"/>
        <v>35 40 00 00:强攻击伤害 +7.4% ~ +9.0%[绘卷]</v>
      </c>
    </row>
    <row r="1348" spans="1:4">
      <c r="A1348" s="55" t="s">
        <v>2526</v>
      </c>
      <c r="B1348" s="211" t="s">
        <v>2527</v>
      </c>
      <c r="C1348" s="61" t="s">
        <v>2523</v>
      </c>
      <c r="D1348" s="209" t="str">
        <f t="shared" si="27"/>
        <v>20 DB 00 00:近距离攻击伤害 +4.4% ~ +6.0%[绘卷]</v>
      </c>
    </row>
    <row r="1349" spans="1:4">
      <c r="A1349" s="55" t="s">
        <v>2528</v>
      </c>
      <c r="B1349" s="212" t="s">
        <v>2529</v>
      </c>
      <c r="C1349" s="61" t="s">
        <v>2523</v>
      </c>
      <c r="D1349" s="209" t="str">
        <f t="shared" si="27"/>
        <v>95 D4 00 00:属性攻击伤害 +5.4% ~ +7.0%[绘卷]</v>
      </c>
    </row>
    <row r="1350" spans="1:4">
      <c r="A1350" s="55" t="s">
        <v>2530</v>
      </c>
      <c r="B1350" s="211" t="s">
        <v>2531</v>
      </c>
      <c r="C1350" s="61" t="s">
        <v>2523</v>
      </c>
      <c r="D1350" s="209" t="str">
        <f t="shared" si="27"/>
        <v>0F 60 00 00:伤害反映(阴阳术术力) B- ~ B+[绘卷]</v>
      </c>
    </row>
    <row r="1351" spans="1:4">
      <c r="A1351" s="55" t="s">
        <v>2532</v>
      </c>
      <c r="B1351" s="211" t="s">
        <v>2533</v>
      </c>
      <c r="C1351" s="61" t="s">
        <v>2523</v>
      </c>
      <c r="D1351" s="209" t="str">
        <f t="shared" si="27"/>
        <v>47 46 00 00:伤害反映(忍术威力) A+ ~ AAA+[绘卷]</v>
      </c>
    </row>
    <row r="1352" spans="1:4">
      <c r="A1352" s="55" t="s">
        <v>2534</v>
      </c>
      <c r="B1352" s="211" t="s">
        <v>2535</v>
      </c>
      <c r="C1352" s="61" t="s">
        <v>2523</v>
      </c>
      <c r="D1352" s="209" t="str">
        <f t="shared" si="27"/>
        <v>0A 19 00 00:阴阳术伤害 +8.0% ~ +10.0%[绘卷]</v>
      </c>
    </row>
    <row r="1353" spans="1:4">
      <c r="A1353" s="55" t="s">
        <v>2536</v>
      </c>
      <c r="B1353" s="211" t="s">
        <v>2537</v>
      </c>
      <c r="C1353" s="61" t="s">
        <v>2523</v>
      </c>
      <c r="D1353" s="209" t="str">
        <f t="shared" si="27"/>
        <v>1A CE 00 00:武技伤害 +5.4% ~ +7.0%[绘卷]</v>
      </c>
    </row>
    <row r="1354" spans="1:4">
      <c r="A1354" s="55" t="s">
        <v>2538</v>
      </c>
      <c r="B1354" s="211" t="s">
        <v>2539</v>
      </c>
      <c r="C1354" s="61" t="s">
        <v>2523</v>
      </c>
      <c r="D1354" s="209" t="str">
        <f t="shared" si="27"/>
        <v>2B B8 00 00:敌人精力耗尽时赋予受到伤害增加[绘卷]</v>
      </c>
    </row>
    <row r="1355" spans="1:4">
      <c r="A1355" s="55" t="s">
        <v>2540</v>
      </c>
      <c r="B1355" s="211" t="s">
        <v>2541</v>
      </c>
      <c r="C1355" s="61" t="s">
        <v>2523</v>
      </c>
      <c r="D1355" s="209" t="str">
        <f t="shared" si="27"/>
        <v>51 A0 00 00:对妖战术 B- ~ A[绘卷]</v>
      </c>
    </row>
    <row r="1356" spans="1:4">
      <c r="A1356" s="55" t="s">
        <v>2542</v>
      </c>
      <c r="B1356" s="211" t="s">
        <v>2543</v>
      </c>
      <c r="C1356" s="61" t="s">
        <v>2523</v>
      </c>
      <c r="D1356" s="209" t="str">
        <f t="shared" si="27"/>
        <v>99 74 00 00:对人战术 B- ~ A[绘卷]</v>
      </c>
    </row>
    <row r="1357" spans="1:4">
      <c r="A1357" s="55" t="s">
        <v>2544</v>
      </c>
      <c r="B1357" s="212" t="s">
        <v>2545</v>
      </c>
      <c r="C1357" s="61" t="s">
        <v>2523</v>
      </c>
      <c r="D1357" s="209" t="str">
        <f t="shared" si="27"/>
        <v>0A D4 00 00:近距离攻击的精力消耗降低 -3.8% ~ -5.0%[绘卷]</v>
      </c>
    </row>
    <row r="1358" spans="1:4">
      <c r="A1358" s="55" t="s">
        <v>2546</v>
      </c>
      <c r="B1358" s="116" t="s">
        <v>2547</v>
      </c>
      <c r="C1358" s="61" t="s">
        <v>2523</v>
      </c>
      <c r="D1358" s="209" t="str">
        <f t="shared" si="27"/>
        <v>83 B3 00 00:速攻击精力消耗降低 -4.4% ~ -6.0%[绘卷]</v>
      </c>
    </row>
    <row r="1359" spans="1:4">
      <c r="A1359" s="55" t="s">
        <v>2548</v>
      </c>
      <c r="B1359" s="116" t="s">
        <v>2549</v>
      </c>
      <c r="C1359" s="61" t="s">
        <v>2523</v>
      </c>
      <c r="D1359" s="209" t="str">
        <f t="shared" si="27"/>
        <v>3D 9A 00 00:强攻击精力消耗降低 -4.4% ~ -6.0%[绘卷]</v>
      </c>
    </row>
    <row r="1360" spans="1:4">
      <c r="A1360" s="55" t="s">
        <v>2550</v>
      </c>
      <c r="B1360" s="212" t="s">
        <v>2551</v>
      </c>
      <c r="C1360" s="61" t="s">
        <v>2523</v>
      </c>
      <c r="D1360" s="209" t="str">
        <f t="shared" si="27"/>
        <v>AE 4C 00 00:武技精力消耗降低 -4.4% ~ -6.0%[绘卷]</v>
      </c>
    </row>
    <row r="1361" spans="1:4">
      <c r="A1361" s="55" t="s">
        <v>2552</v>
      </c>
      <c r="B1361" s="116" t="s">
        <v>2553</v>
      </c>
      <c r="C1361" s="61" t="s">
        <v>2523</v>
      </c>
      <c r="D1361" s="209" t="str">
        <f t="shared" ref="D1361:D1424" si="28">LEFT(A1361,11)&amp;":"&amp;B1361&amp;C1361</f>
        <v>EE FB 00 00:防御精力消耗降低 -4.8% ~ -6.0%[绘卷]</v>
      </c>
    </row>
    <row r="1362" spans="1:4">
      <c r="A1362" s="55" t="s">
        <v>2554</v>
      </c>
      <c r="B1362" s="116" t="s">
        <v>2555</v>
      </c>
      <c r="C1362" s="61" t="s">
        <v>2523</v>
      </c>
      <c r="D1362" s="209" t="str">
        <f t="shared" si="28"/>
        <v>F3 34 00 00:防御时的属性攻击伤害降低 +12 ~ +15[绘卷]</v>
      </c>
    </row>
    <row r="1363" spans="1:4">
      <c r="A1363" s="55" t="s">
        <v>2556</v>
      </c>
      <c r="B1363" s="211" t="s">
        <v>2557</v>
      </c>
      <c r="C1363" s="61" t="s">
        <v>2523</v>
      </c>
      <c r="D1363" s="209" t="str">
        <f t="shared" si="28"/>
        <v>41 3F 00 00:属性攻击伤害降低 +10 ~ +12[绘卷]</v>
      </c>
    </row>
    <row r="1364" spans="1:4">
      <c r="A1364" s="55" t="s">
        <v>2558</v>
      </c>
      <c r="B1364" s="212" t="s">
        <v>2559</v>
      </c>
      <c r="C1364" s="61" t="s">
        <v>2523</v>
      </c>
      <c r="D1364" s="209" t="str">
        <f t="shared" si="28"/>
        <v>E0 92 00 00:获得精华 +8.0% ~ +10.0%[绘卷]</v>
      </c>
    </row>
    <row r="1365" spans="1:4">
      <c r="A1365" s="55" t="s">
        <v>2560</v>
      </c>
      <c r="B1365" s="212" t="s">
        <v>2561</v>
      </c>
      <c r="C1365" s="61" t="s">
        <v>2523</v>
      </c>
      <c r="D1365" s="209" t="str">
        <f t="shared" si="28"/>
        <v>93 B3 00 00:道具掉落率 +5.4% ~ +7.0%[绘卷]</v>
      </c>
    </row>
    <row r="1366" spans="1:4">
      <c r="A1366" s="55" t="s">
        <v>2562</v>
      </c>
      <c r="B1366" s="212" t="s">
        <v>2563</v>
      </c>
      <c r="C1366" s="61" t="s">
        <v>2523</v>
      </c>
      <c r="D1366" s="209" t="str">
        <f t="shared" si="28"/>
        <v>84 81 00 00:装备品掉落率 +5.4% ~ +7.0%[绘卷]</v>
      </c>
    </row>
    <row r="1367" spans="1:4">
      <c r="A1367" s="55" t="s">
        <v>2564</v>
      </c>
      <c r="B1367" s="212" t="s">
        <v>2565</v>
      </c>
      <c r="C1367" s="61" t="s">
        <v>2523</v>
      </c>
      <c r="D1367" s="209" t="str">
        <f t="shared" si="28"/>
        <v>D2 47 00 00:幸运 +27 ~ +40[绘卷]</v>
      </c>
    </row>
    <row r="1368" spans="1:4">
      <c r="A1368" s="55" t="s">
        <v>2566</v>
      </c>
      <c r="B1368" s="212" t="s">
        <v>2567</v>
      </c>
      <c r="C1368" s="61" t="s">
        <v>2523</v>
      </c>
      <c r="D1368" s="209" t="str">
        <f t="shared" si="28"/>
        <v>55 13 00 00:灵力增加量 +4.8% ~ +6.0%[绘卷]</v>
      </c>
    </row>
    <row r="1369" spans="1:4">
      <c r="A1369" s="55" t="s">
        <v>2568</v>
      </c>
      <c r="B1369" s="211" t="s">
        <v>2569</v>
      </c>
      <c r="C1369" s="61" t="s">
        <v>2523</v>
      </c>
      <c r="D1369" s="209" t="str">
        <f t="shared" si="28"/>
        <v>4F 77 00 00:一难的解除时间延长 +11.6% ~ +14.0%[绘卷]</v>
      </c>
    </row>
    <row r="1370" spans="1:4">
      <c r="A1370" s="55" t="s">
        <v>2570</v>
      </c>
      <c r="B1370" s="211" t="s">
        <v>2571</v>
      </c>
      <c r="C1370" s="61" t="s">
        <v>2523</v>
      </c>
      <c r="D1370" s="209" t="str">
        <f t="shared" si="28"/>
        <v>C4 28 00 00:绝妙追杀 C+[绘卷]</v>
      </c>
    </row>
    <row r="1371" spans="1:4">
      <c r="A1371" s="55" t="s">
        <v>2572</v>
      </c>
      <c r="B1371" s="211" t="s">
        <v>2573</v>
      </c>
      <c r="C1371" s="61" t="s">
        <v>2523</v>
      </c>
      <c r="D1371" s="209" t="str">
        <f t="shared" si="28"/>
        <v>E3 6C 00 00:不消耗使役符 +1.1% ~ +1.5%[绘卷]</v>
      </c>
    </row>
    <row r="1372" spans="1:4">
      <c r="A1372" s="55" t="s">
        <v>2574</v>
      </c>
      <c r="B1372" s="211" t="s">
        <v>2575</v>
      </c>
      <c r="C1372" s="61" t="s">
        <v>2523</v>
      </c>
      <c r="D1372" s="209" t="str">
        <f t="shared" si="28"/>
        <v>2B 6E 00 00:不消耗仙药 +20.0%[绘卷]</v>
      </c>
    </row>
    <row r="1373" spans="1:4">
      <c r="A1373" s="55" t="s">
        <v>2576</v>
      </c>
      <c r="B1373" s="211" t="s">
        <v>2577</v>
      </c>
      <c r="C1373" s="61" t="s">
        <v>2523</v>
      </c>
      <c r="D1373" s="209" t="str">
        <f t="shared" si="28"/>
        <v>3B 58 00 00:负面效果持续时间缩短 -21.0% ~ -25.0%[绘卷]</v>
      </c>
    </row>
    <row r="1374" spans="1:4">
      <c r="A1374" s="55" t="s">
        <v>2578</v>
      </c>
      <c r="B1374" s="211" t="s">
        <v>2579</v>
      </c>
      <c r="C1374" s="61" t="s">
        <v>2523</v>
      </c>
      <c r="D1374" s="209" t="str">
        <f t="shared" si="28"/>
        <v>BC 47 00 00:合轴可继承稀有度[绘卷]</v>
      </c>
    </row>
    <row r="1375" spans="1:4">
      <c r="A1375" s="55" t="s">
        <v>2580</v>
      </c>
      <c r="B1375" s="36" t="s">
        <v>2581</v>
      </c>
      <c r="C1375" s="61" t="s">
        <v>2523</v>
      </c>
      <c r="D1375" s="209" t="str">
        <f t="shared" si="28"/>
        <v>C2 DA 00 00:(星)体之深奥[绘卷]</v>
      </c>
    </row>
    <row r="1376" spans="1:4">
      <c r="A1376" s="55" t="s">
        <v>2582</v>
      </c>
      <c r="B1376" s="36" t="s">
        <v>2583</v>
      </c>
      <c r="C1376" s="61" t="s">
        <v>2523</v>
      </c>
      <c r="D1376" s="209" t="str">
        <f t="shared" si="28"/>
        <v>13 B6 00 00:(星)心之深奥[绘卷]</v>
      </c>
    </row>
    <row r="1377" spans="1:4">
      <c r="A1377" s="55" t="s">
        <v>2584</v>
      </c>
      <c r="B1377" s="36" t="s">
        <v>2585</v>
      </c>
      <c r="C1377" s="61" t="s">
        <v>2523</v>
      </c>
      <c r="D1377" s="209" t="str">
        <f t="shared" si="28"/>
        <v>E8 23 00 00:(星)刚之深奥[绘卷]</v>
      </c>
    </row>
    <row r="1378" spans="1:4">
      <c r="A1378" s="55" t="s">
        <v>2586</v>
      </c>
      <c r="B1378" s="36" t="s">
        <v>2587</v>
      </c>
      <c r="C1378" s="61" t="s">
        <v>2523</v>
      </c>
      <c r="D1378" s="209" t="str">
        <f t="shared" si="28"/>
        <v>F0 DF 00 00:(星)武之深奥[绘卷]</v>
      </c>
    </row>
    <row r="1379" spans="1:4">
      <c r="A1379" s="55" t="s">
        <v>2588</v>
      </c>
      <c r="B1379" s="36" t="s">
        <v>2589</v>
      </c>
      <c r="C1379" s="61" t="s">
        <v>2523</v>
      </c>
      <c r="D1379" s="209" t="str">
        <f t="shared" si="28"/>
        <v>5A AE 00 00:(星)技之深奥[绘卷]</v>
      </c>
    </row>
    <row r="1380" spans="1:4">
      <c r="A1380" s="55" t="s">
        <v>2590</v>
      </c>
      <c r="B1380" s="36" t="s">
        <v>2591</v>
      </c>
      <c r="C1380" s="61" t="s">
        <v>2523</v>
      </c>
      <c r="D1380" s="209" t="str">
        <f t="shared" si="28"/>
        <v>AF 6A 00 00:(星)智之深奥[绘卷]</v>
      </c>
    </row>
    <row r="1381" spans="1:4">
      <c r="A1381" s="55" t="s">
        <v>2592</v>
      </c>
      <c r="B1381" s="36" t="s">
        <v>2593</v>
      </c>
      <c r="C1381" s="61" t="s">
        <v>2523</v>
      </c>
      <c r="D1381" s="209" t="str">
        <f t="shared" si="28"/>
        <v>06 2B 00 00:(星)咒之深奥[绘卷]</v>
      </c>
    </row>
    <row r="1382" spans="1:4">
      <c r="A1382" s="55" t="s">
        <v>2594</v>
      </c>
      <c r="B1382" s="36" t="s">
        <v>2595</v>
      </c>
      <c r="C1382" s="61" t="s">
        <v>2523</v>
      </c>
      <c r="D1382" s="209" t="str">
        <f t="shared" si="28"/>
        <v>2D 51 00 00:(星)精髓并存(武士)[绘卷]</v>
      </c>
    </row>
    <row r="1383" spans="1:4">
      <c r="A1383" s="55" t="s">
        <v>2596</v>
      </c>
      <c r="B1383" s="36" t="s">
        <v>2597</v>
      </c>
      <c r="C1383" s="61" t="s">
        <v>2523</v>
      </c>
      <c r="D1383" s="209" t="str">
        <f t="shared" si="28"/>
        <v>74 EA 00 00:(星)精髓并存(忍者)[绘卷]</v>
      </c>
    </row>
    <row r="1384" spans="1:4">
      <c r="A1384" s="55" t="s">
        <v>2598</v>
      </c>
      <c r="B1384" s="36" t="s">
        <v>2599</v>
      </c>
      <c r="C1384" s="61" t="s">
        <v>2523</v>
      </c>
      <c r="D1384" s="209" t="str">
        <f t="shared" si="28"/>
        <v>BE F9 00 00:(星)精髓并存(共通)[绘卷]</v>
      </c>
    </row>
    <row r="1385" spans="1:4">
      <c r="A1385" s="55" t="s">
        <v>2600</v>
      </c>
      <c r="B1385" s="211" t="s">
        <v>2601</v>
      </c>
      <c r="C1385" s="61" t="s">
        <v>2523</v>
      </c>
      <c r="D1385" s="209" t="str">
        <f t="shared" si="28"/>
        <v>53 EA 00 00:坚忍度 +11 ~ +15[绘卷]</v>
      </c>
    </row>
    <row r="1386" spans="1:4">
      <c r="A1386" s="55" t="s">
        <v>2602</v>
      </c>
      <c r="B1386" s="211" t="s">
        <v>2603</v>
      </c>
      <c r="C1386" s="61" t="s">
        <v>2523</v>
      </c>
      <c r="D1386" s="209" t="str">
        <f t="shared" si="28"/>
        <v>8E 3A 00 00:武技精力伤害 +4.8% ~ +6.0%[绘卷]</v>
      </c>
    </row>
    <row r="1387" spans="1:4">
      <c r="A1387" s="55" t="s">
        <v>2604</v>
      </c>
      <c r="B1387" s="211" t="s">
        <v>2605</v>
      </c>
      <c r="C1387" s="61" t="s">
        <v>2523</v>
      </c>
      <c r="D1387" s="209" t="str">
        <f t="shared" si="28"/>
        <v>EB 6B 00 00:近距离攻击精力伤害 +5.4% ~ +7.0%[绘卷]</v>
      </c>
    </row>
    <row r="1388" spans="1:4">
      <c r="A1388" s="55" t="s">
        <v>2606</v>
      </c>
      <c r="B1388" s="211" t="s">
        <v>2607</v>
      </c>
      <c r="C1388" s="61" t="s">
        <v>2523</v>
      </c>
      <c r="D1388" s="209" t="str">
        <f t="shared" si="28"/>
        <v>A7 A0 00 00:近距离攻击打倒敌人时恢复体力 288 ~ 360[绘卷]</v>
      </c>
    </row>
    <row r="1389" spans="1:4">
      <c r="A1389" s="55" t="s">
        <v>2608</v>
      </c>
      <c r="B1389" s="116" t="s">
        <v>2609</v>
      </c>
      <c r="C1389" s="61" t="s">
        <v>2523</v>
      </c>
      <c r="D1389" s="209" t="str">
        <f t="shared" si="28"/>
        <v>3D A7 00 00:体力 +280 ~ +360[绘卷]</v>
      </c>
    </row>
    <row r="1390" spans="1:4">
      <c r="A1390" s="55" t="s">
        <v>2610</v>
      </c>
      <c r="B1390" s="211" t="s">
        <v>2611</v>
      </c>
      <c r="C1390" s="61" t="s">
        <v>2523</v>
      </c>
      <c r="D1390" s="209" t="str">
        <f t="shared" si="28"/>
        <v>7A 3E 00 00:精力恢复速度 +6.4% ~ +8.0%[绘卷]</v>
      </c>
    </row>
    <row r="1391" spans="1:4">
      <c r="A1391" s="55" t="s">
        <v>2612</v>
      </c>
      <c r="B1391" s="116" t="s">
        <v>2613</v>
      </c>
      <c r="C1391" s="61" t="s">
        <v>2523</v>
      </c>
      <c r="D1391" s="209" t="str">
        <f t="shared" si="28"/>
        <v>51 BC 00 00:精华槽增加量 +8.0% ~ +10.0%[绘卷]</v>
      </c>
    </row>
    <row r="1392" spans="1:4">
      <c r="A1392" s="55" t="s">
        <v>2614</v>
      </c>
      <c r="B1392" s="211" t="s">
        <v>2615</v>
      </c>
      <c r="C1392" s="61" t="s">
        <v>2523</v>
      </c>
      <c r="D1392" s="209" t="str">
        <f t="shared" si="28"/>
        <v>D1 28 00 00:九十九化身持续时间延长 +5.4% ~ +7.0%[绘卷]</v>
      </c>
    </row>
    <row r="1393" spans="1:4">
      <c r="A1393" s="55" t="s">
        <v>2616</v>
      </c>
      <c r="B1393" s="211" t="s">
        <v>2617</v>
      </c>
      <c r="C1393" s="61" t="s">
        <v>2523</v>
      </c>
      <c r="D1393" s="209" t="str">
        <f t="shared" si="28"/>
        <v>FC 2E 00 00:远距离伤害 +6.4% ~ +8.0%[绘卷]</v>
      </c>
    </row>
    <row r="1394" spans="1:4">
      <c r="A1394" s="55" t="s">
        <v>2618</v>
      </c>
      <c r="B1394" s="116" t="s">
        <v>2619</v>
      </c>
      <c r="C1394" s="61" t="s">
        <v>2523</v>
      </c>
      <c r="D1394" s="209" t="str">
        <f t="shared" si="28"/>
        <v>AC 5C 00 00:闪避动作精力消耗降低 +5.4% ~ +7.0%[绘卷]</v>
      </c>
    </row>
    <row r="1395" spans="1:4">
      <c r="A1395" s="55" t="s">
        <v>2620</v>
      </c>
      <c r="B1395" s="116" t="s">
        <v>2621</v>
      </c>
      <c r="C1395" s="61" t="s">
        <v>2523</v>
      </c>
      <c r="D1395" s="209" t="str">
        <f t="shared" si="28"/>
        <v>11 D4 00 00:冲刺精力消耗降低 +5.4% ~ +7.0%[绘卷]</v>
      </c>
    </row>
    <row r="1396" spans="1:4">
      <c r="A1396" s="55" t="s">
        <v>2622</v>
      </c>
      <c r="B1396" s="212" t="s">
        <v>2623</v>
      </c>
      <c r="C1396" s="61" t="s">
        <v>2523</v>
      </c>
      <c r="D1396" s="209" t="str">
        <f t="shared" si="28"/>
        <v>01 00 00 00:(星)未完成的杰作[绘卷]</v>
      </c>
    </row>
    <row r="1397" spans="1:4">
      <c r="A1397" s="55" t="s">
        <v>2624</v>
      </c>
      <c r="B1397" s="22" t="s">
        <v>2625</v>
      </c>
      <c r="C1397" s="61" t="s">
        <v>2456</v>
      </c>
      <c r="D1397" s="209" t="str">
        <f t="shared" si="28"/>
        <v>E7 8E 00 00:九十九化身时造成的伤害增加 +2.5%[魂核]</v>
      </c>
    </row>
    <row r="1398" spans="1:4">
      <c r="A1398" s="55" t="s">
        <v>2626</v>
      </c>
      <c r="B1398" s="22" t="s">
        <v>2627</v>
      </c>
      <c r="C1398" s="61" t="s">
        <v>2456</v>
      </c>
      <c r="D1398" s="209" t="str">
        <f t="shared" si="28"/>
        <v>7C DF 00 00:九十九化身时的属性伤害 +1.9%[魂核]</v>
      </c>
    </row>
    <row r="1399" spans="1:4">
      <c r="A1399" s="55" t="s">
        <v>2628</v>
      </c>
      <c r="B1399" s="22" t="s">
        <v>713</v>
      </c>
      <c r="C1399" s="61" t="s">
        <v>2456</v>
      </c>
      <c r="D1399" s="209" t="str">
        <f t="shared" si="28"/>
        <v>2F C7 00 00:上段架式攻击伤害 +2.1%[魂核]</v>
      </c>
    </row>
    <row r="1400" spans="1:4">
      <c r="A1400" s="55" t="s">
        <v>2629</v>
      </c>
      <c r="B1400" s="22" t="s">
        <v>716</v>
      </c>
      <c r="C1400" s="61" t="s">
        <v>2456</v>
      </c>
      <c r="D1400" s="209" t="str">
        <f t="shared" si="28"/>
        <v>97 A7 00 00:中段架式攻击伤害 +2.1%[魂核]</v>
      </c>
    </row>
    <row r="1401" spans="1:4">
      <c r="A1401" s="55" t="s">
        <v>2630</v>
      </c>
      <c r="B1401" s="22" t="s">
        <v>718</v>
      </c>
      <c r="C1401" s="61" t="s">
        <v>2456</v>
      </c>
      <c r="D1401" s="209" t="str">
        <f t="shared" si="28"/>
        <v>A5 65 00 00:下段架式攻击伤害 +2.1%[魂核]</v>
      </c>
    </row>
    <row r="1402" spans="1:4">
      <c r="A1402" s="55" t="s">
        <v>2631</v>
      </c>
      <c r="B1402" s="22" t="s">
        <v>720</v>
      </c>
      <c r="C1402" s="61" t="s">
        <v>2456</v>
      </c>
      <c r="D1402" s="209" t="str">
        <f t="shared" si="28"/>
        <v>23 9F 00 00:速攻击伤害 +2.1%[魂核]</v>
      </c>
    </row>
    <row r="1403" spans="1:4">
      <c r="A1403" s="55" t="s">
        <v>2632</v>
      </c>
      <c r="B1403" s="22" t="s">
        <v>725</v>
      </c>
      <c r="C1403" s="61" t="s">
        <v>2456</v>
      </c>
      <c r="D1403" s="209" t="str">
        <f t="shared" si="28"/>
        <v>BB E1 00 00:强攻击伤害 +2.1%[魂核]</v>
      </c>
    </row>
    <row r="1404" spans="1:4">
      <c r="A1404" s="55" t="s">
        <v>2633</v>
      </c>
      <c r="B1404" s="22" t="s">
        <v>727</v>
      </c>
      <c r="C1404" s="61" t="s">
        <v>2456</v>
      </c>
      <c r="D1404" s="209" t="str">
        <f t="shared" si="28"/>
        <v>12 3C 00 00:近距离攻击伤害 +1.9%[魂核]</v>
      </c>
    </row>
    <row r="1405" spans="1:4">
      <c r="A1405" s="55" t="s">
        <v>2634</v>
      </c>
      <c r="B1405" s="22" t="s">
        <v>2635</v>
      </c>
      <c r="C1405" s="61" t="s">
        <v>2456</v>
      </c>
      <c r="D1405" s="209" t="str">
        <f t="shared" si="28"/>
        <v>62 7D 00 00:近距离攻击伤害（绝境） +5.7%[魂核]</v>
      </c>
    </row>
    <row r="1406" spans="1:4">
      <c r="A1406" s="55" t="s">
        <v>2636</v>
      </c>
      <c r="B1406" s="22" t="s">
        <v>2637</v>
      </c>
      <c r="C1406" s="61" t="s">
        <v>2456</v>
      </c>
      <c r="D1406" s="209" t="str">
        <f t="shared" si="28"/>
        <v>E6 46 00 00:近距离攻击伤害（地狱） +1.9%[魂核]</v>
      </c>
    </row>
    <row r="1407" spans="1:4">
      <c r="A1407" s="55" t="s">
        <v>2638</v>
      </c>
      <c r="B1407" s="22" t="s">
        <v>2639</v>
      </c>
      <c r="C1407" s="61" t="s">
        <v>2456</v>
      </c>
      <c r="D1407" s="209" t="str">
        <f t="shared" si="28"/>
        <v>36 51 00 00:近距离攻击伤害（地狱） +2.5%[魂核]</v>
      </c>
    </row>
    <row r="1408" spans="1:4">
      <c r="A1408" s="55" t="s">
        <v>2640</v>
      </c>
      <c r="B1408" s="22" t="s">
        <v>2641</v>
      </c>
      <c r="C1408" s="61" t="s">
        <v>2456</v>
      </c>
      <c r="D1408" s="209" t="str">
        <f t="shared" si="28"/>
        <v>49 6A 00 00:对处于火状态敌人的守护灵技伤害 +2.8%[魂核]</v>
      </c>
    </row>
    <row r="1409" spans="1:4">
      <c r="A1409" s="55" t="s">
        <v>2642</v>
      </c>
      <c r="B1409" s="22" t="s">
        <v>2643</v>
      </c>
      <c r="C1409" s="61" t="s">
        <v>2456</v>
      </c>
      <c r="D1409" s="209" t="str">
        <f t="shared" si="28"/>
        <v>B4 64 00 00:对处于水状态敌人的守护灵技伤害 +2.8%[魂核]</v>
      </c>
    </row>
    <row r="1410" spans="1:4">
      <c r="A1410" s="55" t="s">
        <v>2644</v>
      </c>
      <c r="B1410" s="22" t="s">
        <v>2645</v>
      </c>
      <c r="C1410" s="61" t="s">
        <v>2456</v>
      </c>
      <c r="D1410" s="209" t="str">
        <f t="shared" si="28"/>
        <v>58 5A 00 00:对处于雷状态敌人的守护灵技伤害 +2.8%[魂核]</v>
      </c>
    </row>
    <row r="1411" spans="1:4">
      <c r="A1411" s="55" t="s">
        <v>2646</v>
      </c>
      <c r="B1411" s="22" t="s">
        <v>2647</v>
      </c>
      <c r="C1411" s="61" t="s">
        <v>2456</v>
      </c>
      <c r="D1411" s="209" t="str">
        <f t="shared" si="28"/>
        <v>6B E5 00 00:对处于风状态敌人的守护灵技伤害 +2.8%[魂核]</v>
      </c>
    </row>
    <row r="1412" spans="1:4">
      <c r="A1412" s="55" t="s">
        <v>2648</v>
      </c>
      <c r="B1412" s="22" t="s">
        <v>2649</v>
      </c>
      <c r="C1412" s="61" t="s">
        <v>2456</v>
      </c>
      <c r="D1412" s="209" t="str">
        <f t="shared" si="28"/>
        <v>0A AA 00 00:对处于毒状态敌人的守护灵技伤害 +2.8%[魂核]</v>
      </c>
    </row>
    <row r="1413" spans="1:4">
      <c r="A1413" s="55" t="s">
        <v>2650</v>
      </c>
      <c r="B1413" s="22" t="s">
        <v>2651</v>
      </c>
      <c r="C1413" s="61" t="s">
        <v>2456</v>
      </c>
      <c r="D1413" s="209" t="str">
        <f t="shared" si="28"/>
        <v>B6 90 00 00:对处于麻痹状态敌人的守护灵技伤害 +14%[魂核]</v>
      </c>
    </row>
    <row r="1414" spans="1:4">
      <c r="A1414" s="55" t="s">
        <v>2652</v>
      </c>
      <c r="B1414" s="22" t="s">
        <v>2653</v>
      </c>
      <c r="C1414" s="61" t="s">
        <v>2456</v>
      </c>
      <c r="D1414" s="209" t="str">
        <f t="shared" si="28"/>
        <v>89 C7 00 00:箭弹命中弱点时伤害 +15%[魂核]</v>
      </c>
    </row>
    <row r="1415" spans="1:4">
      <c r="A1415" s="55" t="s">
        <v>2654</v>
      </c>
      <c r="B1415" s="22" t="s">
        <v>754</v>
      </c>
      <c r="C1415" s="61" t="s">
        <v>2456</v>
      </c>
      <c r="D1415" s="209" t="str">
        <f t="shared" si="28"/>
        <v>69 D2 00 00:对无伤敌人造成的近距离伤害 +3.8%[魂核]</v>
      </c>
    </row>
    <row r="1416" spans="1:4">
      <c r="A1416" s="55" t="s">
        <v>2655</v>
      </c>
      <c r="B1416" s="22" t="s">
        <v>758</v>
      </c>
      <c r="C1416" s="61" t="s">
        <v>2456</v>
      </c>
      <c r="D1416" s="209" t="str">
        <f t="shared" si="28"/>
        <v>49 90 00 00:对精力耗尽敌人的近距离伤害 +2.5%[魂核]</v>
      </c>
    </row>
    <row r="1417" spans="1:4">
      <c r="A1417" s="55" t="s">
        <v>2656</v>
      </c>
      <c r="B1417" s="22" t="s">
        <v>760</v>
      </c>
      <c r="C1417" s="61" t="s">
        <v>2456</v>
      </c>
      <c r="D1417" s="209" t="str">
        <f t="shared" si="28"/>
        <v>2B F2 00 00:对攻击中敌人的近距离伤害 +2.3%[魂核]</v>
      </c>
    </row>
    <row r="1418" spans="1:4">
      <c r="A1418" s="55" t="s">
        <v>2657</v>
      </c>
      <c r="B1418" s="22" t="s">
        <v>2658</v>
      </c>
      <c r="C1418" s="61" t="s">
        <v>2456</v>
      </c>
      <c r="D1418" s="209" t="str">
        <f t="shared" si="28"/>
        <v>F7 1B 00 00:守护灵技的伤害 +2.8%[魂核]</v>
      </c>
    </row>
    <row r="1419" spans="1:4">
      <c r="A1419" s="55" t="s">
        <v>2659</v>
      </c>
      <c r="B1419" s="22" t="s">
        <v>762</v>
      </c>
      <c r="C1419" s="61" t="s">
        <v>2456</v>
      </c>
      <c r="D1419" s="209" t="str">
        <f t="shared" si="28"/>
        <v>A6 A2 00 00:刺击伤害 +2.1%[魂核]</v>
      </c>
    </row>
    <row r="1420" spans="1:4">
      <c r="A1420" s="55" t="s">
        <v>2660</v>
      </c>
      <c r="B1420" s="22" t="s">
        <v>2661</v>
      </c>
      <c r="C1420" s="61" t="s">
        <v>2456</v>
      </c>
      <c r="D1420" s="209" t="str">
        <f t="shared" si="28"/>
        <v>7A 13 00 00:阴阳术伤害 +4.2%[魂核]</v>
      </c>
    </row>
    <row r="1421" spans="1:4">
      <c r="A1421" s="55" t="s">
        <v>2662</v>
      </c>
      <c r="B1421" s="22" t="s">
        <v>2663</v>
      </c>
      <c r="C1421" s="61" t="s">
        <v>2456</v>
      </c>
      <c r="D1421" s="209" t="str">
        <f t="shared" si="28"/>
        <v>71 34 00 00:忍术伤害 +1.7%[魂核]</v>
      </c>
    </row>
    <row r="1422" spans="1:4">
      <c r="A1422" s="55" t="s">
        <v>2664</v>
      </c>
      <c r="B1422" s="22" t="s">
        <v>2665</v>
      </c>
      <c r="C1422" s="61" t="s">
        <v>2456</v>
      </c>
      <c r="D1422" s="209" t="str">
        <f t="shared" si="28"/>
        <v>07 C7 00 00:武技伤害 +2%[魂核]</v>
      </c>
    </row>
    <row r="1423" spans="1:4">
      <c r="A1423" s="55" t="s">
        <v>2666</v>
      </c>
      <c r="B1423" s="22" t="s">
        <v>2667</v>
      </c>
      <c r="C1423" s="61" t="s">
        <v>2456</v>
      </c>
      <c r="D1423" s="209" t="str">
        <f t="shared" si="28"/>
        <v>13 4C 00 00:打倒敌人时赋予造成伤害增加 (+2.5%)[魂核]</v>
      </c>
    </row>
    <row r="1424" spans="1:4">
      <c r="A1424" s="55" t="s">
        <v>2668</v>
      </c>
      <c r="B1424" s="22" t="s">
        <v>2669</v>
      </c>
      <c r="C1424" s="61" t="s">
        <v>2456</v>
      </c>
      <c r="D1424" s="209" t="str">
        <f t="shared" si="28"/>
        <v>E1 68 00 00:祓除常世赋予造成伤害增加 (+2.7%)[魂核]</v>
      </c>
    </row>
    <row r="1425" spans="1:4">
      <c r="A1425" s="55" t="s">
        <v>2670</v>
      </c>
      <c r="B1425" s="22" t="s">
        <v>2671</v>
      </c>
      <c r="C1425" s="61" t="s">
        <v>2456</v>
      </c>
      <c r="D1425" s="209" t="str">
        <f t="shared" ref="D1425:D1488" si="29">LEFT(A1425,11)&amp;":"&amp;B1425&amp;C1425</f>
        <v>6B EF 00 00:陷入异常状态时赋予造成伤害增加 (+2.9%)[魂核]</v>
      </c>
    </row>
    <row r="1426" spans="1:4">
      <c r="A1426" s="55" t="s">
        <v>2672</v>
      </c>
      <c r="B1426" s="22" t="s">
        <v>2673</v>
      </c>
      <c r="C1426" s="61" t="s">
        <v>2456</v>
      </c>
      <c r="D1426" s="209" t="str">
        <f t="shared" si="29"/>
        <v>EF 1E 00 00:吸收精华后赋予造成伤害增加 (+2.3%)[魂核]</v>
      </c>
    </row>
    <row r="1427" spans="1:4">
      <c r="A1427" s="55" t="s">
        <v>2674</v>
      </c>
      <c r="B1427" s="22" t="s">
        <v>2675</v>
      </c>
      <c r="C1427" s="61" t="s">
        <v>2456</v>
      </c>
      <c r="D1427" s="209" t="str">
        <f t="shared" si="29"/>
        <v>1D 4F 00 00:绝境时赋予造成伤害增加 (+6.2%)[魂核]</v>
      </c>
    </row>
    <row r="1428" spans="1:4">
      <c r="A1428" s="55" t="s">
        <v>2676</v>
      </c>
      <c r="B1428" s="22" t="s">
        <v>2677</v>
      </c>
      <c r="C1428" s="61" t="s">
        <v>2456</v>
      </c>
      <c r="D1428" s="209" t="str">
        <f t="shared" si="29"/>
        <v>A3 EA 00 00:阴阳术命中赋予造成伤害增加 (+3%)[魂核]</v>
      </c>
    </row>
    <row r="1429" spans="1:4">
      <c r="A1429" s="55" t="s">
        <v>2678</v>
      </c>
      <c r="B1429" s="22" t="s">
        <v>2679</v>
      </c>
      <c r="C1429" s="61" t="s">
        <v>2456</v>
      </c>
      <c r="D1429" s="209" t="str">
        <f t="shared" si="29"/>
        <v>19 87 00 00:使用药品时赋予造成伤害增加 (+2.1%)[魂核]</v>
      </c>
    </row>
    <row r="1430" spans="1:4">
      <c r="A1430" s="55" t="s">
        <v>2680</v>
      </c>
      <c r="B1430" s="22" t="s">
        <v>2681</v>
      </c>
      <c r="C1430" s="61" t="s">
        <v>2456</v>
      </c>
      <c r="D1430" s="209" t="str">
        <f t="shared" si="29"/>
        <v>BA CE 00 00:守护灵技伤害（绝境） +8.3%[魂核]</v>
      </c>
    </row>
    <row r="1431" spans="1:4">
      <c r="A1431" s="55" t="s">
        <v>2682</v>
      </c>
      <c r="B1431" s="22" t="s">
        <v>784</v>
      </c>
      <c r="C1431" s="61" t="s">
        <v>2456</v>
      </c>
      <c r="D1431" s="209" t="str">
        <f t="shared" si="29"/>
        <v>C9 80 00 00:追击和近身刺击伤害 +2.3%[魂核]</v>
      </c>
    </row>
    <row r="1432" spans="1:4">
      <c r="A1432" s="55" t="s">
        <v>2683</v>
      </c>
      <c r="B1432" s="22" t="s">
        <v>2684</v>
      </c>
      <c r="C1432" s="61" t="s">
        <v>2456</v>
      </c>
      <c r="D1432" s="209" t="str">
        <f t="shared" si="29"/>
        <v>80 E6 00 00:背后攻击伤害 +2.3%[魂核]</v>
      </c>
    </row>
    <row r="1433" spans="1:4">
      <c r="A1433" s="55" t="s">
        <v>2685</v>
      </c>
      <c r="B1433" s="22" t="s">
        <v>786</v>
      </c>
      <c r="C1433" s="61" t="s">
        <v>2456</v>
      </c>
      <c r="D1433" s="209" t="str">
        <f t="shared" si="29"/>
        <v>9E 03 00 00:(同名固定)背后攻击伤害 +2.0%[魂核]</v>
      </c>
    </row>
    <row r="1434" spans="1:4">
      <c r="A1434" s="55" t="s">
        <v>2686</v>
      </c>
      <c r="B1434" s="22" t="s">
        <v>2687</v>
      </c>
      <c r="C1434" s="61" t="s">
        <v>2456</v>
      </c>
      <c r="D1434" s="209" t="str">
        <f t="shared" si="29"/>
        <v>87 01 00 00:(同名固定)速攻击伤害 +3.0%[魂核]</v>
      </c>
    </row>
    <row r="1435" spans="1:4">
      <c r="A1435" s="55" t="s">
        <v>2688</v>
      </c>
      <c r="B1435" s="22" t="s">
        <v>2689</v>
      </c>
      <c r="C1435" s="61" t="s">
        <v>2456</v>
      </c>
      <c r="D1435" s="209" t="str">
        <f t="shared" si="29"/>
        <v>42 60 00 00:(同名固定)强攻击伤害 +2.8%[魂核]</v>
      </c>
    </row>
    <row r="1436" spans="1:4">
      <c r="A1436" s="55" t="s">
        <v>2690</v>
      </c>
      <c r="B1436" s="22" t="s">
        <v>2691</v>
      </c>
      <c r="C1436" s="61" t="s">
        <v>2456</v>
      </c>
      <c r="D1436" s="209" t="str">
        <f t="shared" si="29"/>
        <v>44 46 00 00:(同名固定)近距离攻击伤害 +2.0%[魂核]</v>
      </c>
    </row>
    <row r="1437" spans="1:4">
      <c r="A1437" s="55" t="s">
        <v>2692</v>
      </c>
      <c r="B1437" s="22" t="s">
        <v>2693</v>
      </c>
      <c r="C1437" s="61" t="s">
        <v>2456</v>
      </c>
      <c r="D1437" s="209" t="str">
        <f t="shared" si="29"/>
        <v>C8 7B 00 00:(同名固定)近距离攻击伤害（绝境） +5.7%[魂核]</v>
      </c>
    </row>
    <row r="1438" spans="1:4">
      <c r="A1438" s="55" t="s">
        <v>2694</v>
      </c>
      <c r="B1438" s="22" t="s">
        <v>2695</v>
      </c>
      <c r="C1438" s="61" t="s">
        <v>2456</v>
      </c>
      <c r="D1438" s="209" t="str">
        <f t="shared" si="29"/>
        <v>B1 E4 00 00:(同名固定)对无伤敌人造成的近距离伤害 +3.8%[魂核]</v>
      </c>
    </row>
    <row r="1439" spans="1:4">
      <c r="A1439" s="55" t="s">
        <v>2696</v>
      </c>
      <c r="B1439" s="22" t="s">
        <v>2697</v>
      </c>
      <c r="C1439" s="61" t="s">
        <v>2456</v>
      </c>
      <c r="D1439" s="209" t="str">
        <f t="shared" si="29"/>
        <v>91 5A 00 00:(同名固定)刺击伤害 +2.1%[魂核]</v>
      </c>
    </row>
    <row r="1440" spans="1:4">
      <c r="A1440" s="55" t="s">
        <v>2698</v>
      </c>
      <c r="B1440" s="22" t="s">
        <v>2699</v>
      </c>
      <c r="C1440" s="61" t="s">
        <v>2456</v>
      </c>
      <c r="D1440" s="209" t="str">
        <f t="shared" si="29"/>
        <v>B4 1B 00 00:(同名固定)祓除常世赋予造成伤害增加 (+2.7%)[魂核]</v>
      </c>
    </row>
    <row r="1441" spans="1:4">
      <c r="A1441" s="55" t="s">
        <v>2700</v>
      </c>
      <c r="B1441" s="22" t="s">
        <v>2701</v>
      </c>
      <c r="C1441" s="61" t="s">
        <v>2456</v>
      </c>
      <c r="D1441" s="209" t="str">
        <f t="shared" si="29"/>
        <v>AF 81 00 00:(同名固定)追击和近身刺击伤害 +8.5%[魂核]</v>
      </c>
    </row>
    <row r="1442" spans="1:4">
      <c r="A1442" s="55" t="s">
        <v>2702</v>
      </c>
      <c r="B1442" s="22" t="s">
        <v>2703</v>
      </c>
      <c r="C1442" s="61" t="s">
        <v>2456</v>
      </c>
      <c r="D1442" s="209" t="str">
        <f t="shared" si="29"/>
        <v>99 54 00 00:(同名固定)属性攻击伤害 +5.5%[魂核]</v>
      </c>
    </row>
    <row r="1443" spans="1:4">
      <c r="A1443" s="55" t="s">
        <v>2704</v>
      </c>
      <c r="B1443" s="22" t="s">
        <v>2705</v>
      </c>
      <c r="C1443" s="61" t="s">
        <v>2456</v>
      </c>
      <c r="D1443" s="209" t="str">
        <f t="shared" si="29"/>
        <v>0C 0D 00 00:(同名固定)对尸狂造成的伤害 +7.5%[魂核]</v>
      </c>
    </row>
    <row r="1444" spans="1:4">
      <c r="A1444" s="55" t="s">
        <v>2706</v>
      </c>
      <c r="B1444" s="22" t="s">
        <v>2707</v>
      </c>
      <c r="C1444" s="61" t="s">
        <v>2456</v>
      </c>
      <c r="D1444" s="209" t="str">
        <f t="shared" si="29"/>
        <v>6F 97 00 00:(同名固定)近距离攻击伤害（无伤） +4.0%[魂核]</v>
      </c>
    </row>
    <row r="1445" spans="1:4">
      <c r="A1445" s="55" t="s">
        <v>2708</v>
      </c>
      <c r="B1445" s="22" t="s">
        <v>2709</v>
      </c>
      <c r="C1445" s="61" t="s">
        <v>2456</v>
      </c>
      <c r="D1445" s="209" t="str">
        <f t="shared" si="29"/>
        <v>2F 58 00 00:(同名固定)伤害反映（装备重量） D+[魂核]</v>
      </c>
    </row>
    <row r="1446" spans="1:4">
      <c r="A1446" s="55" t="s">
        <v>2710</v>
      </c>
      <c r="B1446" s="56" t="s">
        <v>2711</v>
      </c>
      <c r="C1446" s="61" t="s">
        <v>2456</v>
      </c>
      <c r="D1446" s="209" t="str">
        <f t="shared" si="29"/>
        <v>83 44 00 00:(同名固定)接招 +8[魂核]</v>
      </c>
    </row>
    <row r="1447" spans="1:4">
      <c r="A1447" s="55" t="s">
        <v>2712</v>
      </c>
      <c r="B1447" s="56" t="s">
        <v>2713</v>
      </c>
      <c r="C1447" s="61" t="s">
        <v>2456</v>
      </c>
      <c r="D1447" s="209" t="str">
        <f t="shared" si="29"/>
        <v>2A D1 00 00:(同名固定)防御精力消耗降低 -4.0%[魂核]</v>
      </c>
    </row>
    <row r="1448" spans="1:4">
      <c r="A1448" s="55" t="s">
        <v>2714</v>
      </c>
      <c r="B1448" s="56" t="s">
        <v>2715</v>
      </c>
      <c r="C1448" s="61" t="s">
        <v>2456</v>
      </c>
      <c r="D1448" s="209" t="str">
        <f t="shared" si="29"/>
        <v>55 42 00 00:(同名固定)武技精力消耗降低 -4.0%[魂核]</v>
      </c>
    </row>
    <row r="1449" spans="1:4">
      <c r="A1449" s="55" t="s">
        <v>2716</v>
      </c>
      <c r="B1449" s="56" t="s">
        <v>2717</v>
      </c>
      <c r="C1449" s="61" t="s">
        <v>2456</v>
      </c>
      <c r="D1449" s="209" t="str">
        <f t="shared" si="29"/>
        <v>AF 02 00 00:(同名固定)跳跃的精力 -15.0%[魂核]</v>
      </c>
    </row>
    <row r="1450" spans="1:4">
      <c r="A1450" s="55" t="s">
        <v>2718</v>
      </c>
      <c r="B1450" s="56" t="s">
        <v>870</v>
      </c>
      <c r="C1450" s="61" t="s">
        <v>2456</v>
      </c>
      <c r="D1450" s="209" t="str">
        <f t="shared" si="29"/>
        <v>98 E4 00 00:(同名固定)防御时的属性攻击伤害降低 +8[魂核]</v>
      </c>
    </row>
    <row r="1451" spans="1:4">
      <c r="A1451" s="55" t="s">
        <v>2719</v>
      </c>
      <c r="B1451" s="56" t="s">
        <v>884</v>
      </c>
      <c r="C1451" s="61" t="s">
        <v>2456</v>
      </c>
      <c r="D1451" s="209" t="str">
        <f t="shared" si="29"/>
        <v>98 32 00 00:(同名固定)属性攻击伤害降低 +8[魂核]</v>
      </c>
    </row>
    <row r="1452" spans="1:4">
      <c r="A1452" s="55" t="s">
        <v>2720</v>
      </c>
      <c r="B1452" s="56" t="s">
        <v>1597</v>
      </c>
      <c r="C1452" s="61" t="s">
        <v>2456</v>
      </c>
      <c r="D1452" s="209" t="str">
        <f t="shared" si="29"/>
        <v>2F A4 00 00:(同名固定)水属性伤害降低 +15[魂核]</v>
      </c>
    </row>
    <row r="1453" spans="1:4">
      <c r="A1453" s="55" t="s">
        <v>2721</v>
      </c>
      <c r="B1453" s="56" t="s">
        <v>2722</v>
      </c>
      <c r="C1453" s="61" t="s">
        <v>2456</v>
      </c>
      <c r="D1453" s="209" t="str">
        <f t="shared" si="29"/>
        <v>26 1A 00 00:(同名固定)中毒时持续承受伤害降低 -7.0%[魂核]</v>
      </c>
    </row>
    <row r="1454" spans="1:4">
      <c r="A1454" s="55" t="s">
        <v>2723</v>
      </c>
      <c r="B1454" s="56" t="s">
        <v>2724</v>
      </c>
      <c r="C1454" s="61" t="s">
        <v>2456</v>
      </c>
      <c r="D1454" s="209" t="str">
        <f t="shared" si="29"/>
        <v>15 BD 00 00:(同名固定)水抗性 +15[魂核]</v>
      </c>
    </row>
    <row r="1455" spans="1:4">
      <c r="A1455" s="55" t="s">
        <v>2725</v>
      </c>
      <c r="B1455" s="56" t="s">
        <v>1609</v>
      </c>
      <c r="C1455" s="61" t="s">
        <v>2456</v>
      </c>
      <c r="D1455" s="209" t="str">
        <f t="shared" si="29"/>
        <v>3F A4 00 00:(同名固定)毒抗性 +15[魂核]</v>
      </c>
    </row>
    <row r="1456" spans="1:4">
      <c r="A1456" s="55" t="s">
        <v>2726</v>
      </c>
      <c r="B1456" s="56" t="s">
        <v>1612</v>
      </c>
      <c r="C1456" s="61" t="s">
        <v>2456</v>
      </c>
      <c r="D1456" s="209" t="str">
        <f t="shared" si="29"/>
        <v>BC C4 00 00:(同名固定)麻痹抗性 +15[魂核]</v>
      </c>
    </row>
    <row r="1457" spans="1:4">
      <c r="A1457" s="55" t="s">
        <v>2727</v>
      </c>
      <c r="B1457" s="56" t="s">
        <v>2728</v>
      </c>
      <c r="C1457" s="61" t="s">
        <v>2456</v>
      </c>
      <c r="D1457" s="209" t="str">
        <f t="shared" si="29"/>
        <v>A6 C9 00 00:(同名固定)强攻击解除异常状态 +1.5%[魂核]</v>
      </c>
    </row>
    <row r="1458" spans="1:4">
      <c r="A1458" s="55" t="s">
        <v>2729</v>
      </c>
      <c r="B1458" s="22" t="s">
        <v>214</v>
      </c>
      <c r="C1458" s="61" t="s">
        <v>2456</v>
      </c>
      <c r="D1458" s="209" t="str">
        <f t="shared" si="29"/>
        <v>D3 72 00 00:获得金钱 +1.2%[魂核]</v>
      </c>
    </row>
    <row r="1459" spans="1:4">
      <c r="A1459" s="55" t="s">
        <v>2730</v>
      </c>
      <c r="B1459" s="22" t="s">
        <v>2731</v>
      </c>
      <c r="C1459" s="61" t="s">
        <v>2456</v>
      </c>
      <c r="D1459" s="209" t="str">
        <f t="shared" si="29"/>
        <v>E7 FF 00 00:打倒敌人时赋予幸运增加 (+11)[魂核]</v>
      </c>
    </row>
    <row r="1460" spans="1:4">
      <c r="A1460" s="55" t="s">
        <v>2732</v>
      </c>
      <c r="B1460" s="22" t="s">
        <v>2733</v>
      </c>
      <c r="C1460" s="61" t="s">
        <v>2456</v>
      </c>
      <c r="D1460" s="209" t="str">
        <f t="shared" si="29"/>
        <v>41 8E 00 00:幸运（绝境） +10[魂核]</v>
      </c>
    </row>
    <row r="1461" spans="1:4">
      <c r="A1461" s="55" t="s">
        <v>2734</v>
      </c>
      <c r="B1461" s="22" t="s">
        <v>2735</v>
      </c>
      <c r="C1461" s="61" t="s">
        <v>2456</v>
      </c>
      <c r="D1461" s="209" t="str">
        <f t="shared" si="29"/>
        <v>54 6F 00 00:幸运（地狱） +7[魂核]</v>
      </c>
    </row>
    <row r="1462" spans="1:4">
      <c r="A1462" s="55" t="s">
        <v>2736</v>
      </c>
      <c r="B1462" s="22" t="s">
        <v>2737</v>
      </c>
      <c r="C1462" s="61" t="s">
        <v>2456</v>
      </c>
      <c r="D1462" s="209" t="str">
        <f t="shared" si="29"/>
        <v>45 60 00 00:吸收精华后赋予幸运增加 (+9)[魂核]</v>
      </c>
    </row>
    <row r="1463" spans="1:4">
      <c r="A1463" s="55" t="s">
        <v>2738</v>
      </c>
      <c r="B1463" s="61" t="s">
        <v>2739</v>
      </c>
      <c r="C1463" s="61" t="s">
        <v>2456</v>
      </c>
      <c r="D1463" s="209" t="str">
        <f t="shared" si="29"/>
        <v>F9 31 00 00:幸运反映（精华槽） D+[魂核]</v>
      </c>
    </row>
    <row r="1464" spans="1:4">
      <c r="A1464" s="55" t="s">
        <v>2740</v>
      </c>
      <c r="B1464" s="61" t="s">
        <v>2741</v>
      </c>
      <c r="C1464" s="61" t="s">
        <v>2456</v>
      </c>
      <c r="D1464" s="209" t="str">
        <f t="shared" si="29"/>
        <v>5F DA 00 00:强攻击获得精华 +0.9%[魂核]</v>
      </c>
    </row>
    <row r="1465" spans="1:4">
      <c r="A1465" s="55" t="s">
        <v>2742</v>
      </c>
      <c r="B1465" s="61" t="s">
        <v>232</v>
      </c>
      <c r="C1465" s="61" t="s">
        <v>2456</v>
      </c>
      <c r="D1465" s="209" t="str">
        <f t="shared" si="29"/>
        <v>58 A2 00 00:获得精华 +0.8%[魂核]</v>
      </c>
    </row>
    <row r="1466" spans="1:4">
      <c r="A1466" s="55" t="s">
        <v>2743</v>
      </c>
      <c r="B1466" s="61" t="s">
        <v>2744</v>
      </c>
      <c r="C1466" s="61" t="s">
        <v>2456</v>
      </c>
      <c r="D1466" s="209" t="str">
        <f t="shared" si="29"/>
        <v>AD 22 00 00:获得精华（地狱） +1.1%[魂核]</v>
      </c>
    </row>
    <row r="1467" spans="1:4">
      <c r="A1467" s="55" t="s">
        <v>2745</v>
      </c>
      <c r="B1467" s="61" t="s">
        <v>1010</v>
      </c>
      <c r="C1467" s="61" t="s">
        <v>2456</v>
      </c>
      <c r="D1467" s="209" t="str">
        <f t="shared" si="29"/>
        <v>C6 70 00 00:道具掉落率 +8.0%[魂核]</v>
      </c>
    </row>
    <row r="1468" spans="1:4">
      <c r="A1468" s="55" t="s">
        <v>2746</v>
      </c>
      <c r="B1468" s="61" t="s">
        <v>1022</v>
      </c>
      <c r="C1468" s="61" t="s">
        <v>2456</v>
      </c>
      <c r="D1468" s="209" t="str">
        <f t="shared" si="29"/>
        <v>8D 73 00 00:装备品掉落率 +8.0%[魂核]</v>
      </c>
    </row>
    <row r="1469" spans="1:4">
      <c r="A1469" s="55" t="s">
        <v>2747</v>
      </c>
      <c r="B1469" s="61" t="s">
        <v>1028</v>
      </c>
      <c r="C1469" s="61" t="s">
        <v>2456</v>
      </c>
      <c r="D1469" s="209" t="str">
        <f t="shared" si="29"/>
        <v>84 AC 00 00:魂核掉落率 +8.0%[魂核]</v>
      </c>
    </row>
    <row r="1470" spans="1:4">
      <c r="A1470" s="55" t="s">
        <v>2748</v>
      </c>
      <c r="B1470" s="61" t="s">
        <v>2749</v>
      </c>
      <c r="C1470" s="61" t="s">
        <v>2456</v>
      </c>
      <c r="D1470" s="209" t="str">
        <f t="shared" si="29"/>
        <v>7D 05 00 00:幸运 +5[魂核]</v>
      </c>
    </row>
    <row r="1471" spans="1:4">
      <c r="A1471" s="55" t="s">
        <v>2750</v>
      </c>
      <c r="B1471" s="61" t="s">
        <v>2751</v>
      </c>
      <c r="C1471" s="61" t="s">
        <v>2456</v>
      </c>
      <c r="D1471" s="209" t="str">
        <f t="shared" si="29"/>
        <v>D7 0B 00 00:仙药掉落率 +4.0%[魂核]</v>
      </c>
    </row>
    <row r="1472" spans="1:4">
      <c r="A1472" s="55" t="s">
        <v>2752</v>
      </c>
      <c r="B1472" s="61" t="s">
        <v>218</v>
      </c>
      <c r="C1472" s="61" t="s">
        <v>2456</v>
      </c>
      <c r="D1472" s="209" t="str">
        <f t="shared" si="29"/>
        <v>09 2A 00 00:获得武功 +0.8%[魂核]</v>
      </c>
    </row>
    <row r="1473" spans="1:4">
      <c r="A1473" s="55" t="s">
        <v>2753</v>
      </c>
      <c r="B1473" s="61" t="s">
        <v>250</v>
      </c>
      <c r="C1473" s="61" t="s">
        <v>2456</v>
      </c>
      <c r="D1473" s="209" t="str">
        <f t="shared" si="29"/>
        <v>98 69 00 00:地狱武器掉落率 +4.0%[魂核]</v>
      </c>
    </row>
    <row r="1474" spans="1:4">
      <c r="A1474" s="55" t="s">
        <v>2754</v>
      </c>
      <c r="B1474" s="56" t="s">
        <v>2755</v>
      </c>
      <c r="C1474" s="61" t="s">
        <v>2456</v>
      </c>
      <c r="D1474" s="209" t="str">
        <f t="shared" si="29"/>
        <v>DF 74 00 00:(同名固定)获得金钱 +3.5%[魂核]</v>
      </c>
    </row>
    <row r="1475" spans="1:4">
      <c r="A1475" s="55" t="s">
        <v>2756</v>
      </c>
      <c r="B1475" s="56" t="s">
        <v>2757</v>
      </c>
      <c r="C1475" s="61" t="s">
        <v>2456</v>
      </c>
      <c r="D1475" s="209" t="str">
        <f t="shared" si="29"/>
        <v>D6 D4 00 00:(同名固定)获得精华 +8.5%[魂核]</v>
      </c>
    </row>
    <row r="1476" spans="1:4">
      <c r="A1476" s="55" t="s">
        <v>2758</v>
      </c>
      <c r="B1476" s="56" t="s">
        <v>2759</v>
      </c>
      <c r="C1476" s="61" t="s">
        <v>2456</v>
      </c>
      <c r="D1476" s="209" t="str">
        <f t="shared" si="29"/>
        <v>F2 E9 00 00:(同名固定)道具掉落率 +9.0%[魂核]</v>
      </c>
    </row>
    <row r="1477" spans="1:4">
      <c r="A1477" s="55" t="s">
        <v>2760</v>
      </c>
      <c r="B1477" s="56" t="s">
        <v>2761</v>
      </c>
      <c r="C1477" s="61" t="s">
        <v>2456</v>
      </c>
      <c r="D1477" s="209" t="str">
        <f t="shared" si="29"/>
        <v>76 B5 00 00:(同名固定)装备品掉落率 +6.0%[魂核]</v>
      </c>
    </row>
    <row r="1478" spans="1:4">
      <c r="A1478" s="55" t="s">
        <v>2762</v>
      </c>
      <c r="B1478" s="56" t="s">
        <v>2763</v>
      </c>
      <c r="C1478" s="61" t="s">
        <v>2456</v>
      </c>
      <c r="D1478" s="209" t="str">
        <f t="shared" si="29"/>
        <v>17 12 00 00:(同名固定)魂核掉落率 +9.0%[魂核]</v>
      </c>
    </row>
    <row r="1479" spans="1:4">
      <c r="A1479" s="55" t="s">
        <v>2764</v>
      </c>
      <c r="B1479" s="56" t="s">
        <v>2765</v>
      </c>
      <c r="C1479" s="61" t="s">
        <v>2456</v>
      </c>
      <c r="D1479" s="209" t="str">
        <f t="shared" si="29"/>
        <v>70 D8 00 00:(同名固定)幸运 +24[魂核]</v>
      </c>
    </row>
    <row r="1480" spans="1:4">
      <c r="A1480" s="55" t="s">
        <v>2766</v>
      </c>
      <c r="B1480" s="61" t="s">
        <v>260</v>
      </c>
      <c r="C1480" s="61" t="s">
        <v>2456</v>
      </c>
      <c r="D1480" s="209" t="str">
        <f t="shared" si="29"/>
        <v>5C 69 00 00:背后攻击灵力增加量 +0.9%[魂核]</v>
      </c>
    </row>
    <row r="1481" spans="1:4">
      <c r="A1481" s="55" t="s">
        <v>2767</v>
      </c>
      <c r="B1481" s="61" t="s">
        <v>1667</v>
      </c>
      <c r="C1481" s="61" t="s">
        <v>2456</v>
      </c>
      <c r="D1481" s="209" t="str">
        <f t="shared" si="29"/>
        <v>2E 99 00 00:造成火属性伤害时增加灵力 C-[魂核]</v>
      </c>
    </row>
    <row r="1482" spans="1:4">
      <c r="A1482" s="55" t="s">
        <v>2768</v>
      </c>
      <c r="B1482" s="61" t="s">
        <v>1669</v>
      </c>
      <c r="C1482" s="61" t="s">
        <v>2456</v>
      </c>
      <c r="D1482" s="209" t="str">
        <f t="shared" si="29"/>
        <v>DF EE 00 00:造成水属性伤害时增加灵力 C-[魂核]</v>
      </c>
    </row>
    <row r="1483" spans="1:4">
      <c r="A1483" s="55" t="s">
        <v>2769</v>
      </c>
      <c r="B1483" s="61" t="s">
        <v>1671</v>
      </c>
      <c r="C1483" s="61" t="s">
        <v>2456</v>
      </c>
      <c r="D1483" s="209" t="str">
        <f t="shared" si="29"/>
        <v>30 77 00 00:造成雷属性伤害时增加灵力 C-[魂核]</v>
      </c>
    </row>
    <row r="1484" spans="1:4">
      <c r="A1484" s="55" t="s">
        <v>2770</v>
      </c>
      <c r="B1484" s="61" t="s">
        <v>1673</v>
      </c>
      <c r="C1484" s="61" t="s">
        <v>2456</v>
      </c>
      <c r="D1484" s="209" t="str">
        <f t="shared" si="29"/>
        <v>81 30 00 00:造成风属性伤害时增加灵力 C-[魂核]</v>
      </c>
    </row>
    <row r="1485" spans="1:4">
      <c r="A1485" s="55" t="s">
        <v>2771</v>
      </c>
      <c r="B1485" s="61" t="s">
        <v>1674</v>
      </c>
      <c r="C1485" s="61" t="s">
        <v>2456</v>
      </c>
      <c r="D1485" s="209" t="str">
        <f t="shared" si="29"/>
        <v>A4 80 00 00:使敌人陷入火状态时增加灵力 C-[魂核]</v>
      </c>
    </row>
    <row r="1486" spans="1:4">
      <c r="A1486" s="55" t="s">
        <v>2772</v>
      </c>
      <c r="B1486" s="61" t="s">
        <v>1676</v>
      </c>
      <c r="C1486" s="61" t="s">
        <v>2456</v>
      </c>
      <c r="D1486" s="209" t="str">
        <f t="shared" si="29"/>
        <v>8A 3B 00 00:使敌人陷入水状态时增加灵力 C-[魂核]</v>
      </c>
    </row>
    <row r="1487" spans="1:4">
      <c r="A1487" s="55" t="s">
        <v>2773</v>
      </c>
      <c r="B1487" s="61" t="s">
        <v>1677</v>
      </c>
      <c r="C1487" s="61" t="s">
        <v>2456</v>
      </c>
      <c r="D1487" s="209" t="str">
        <f t="shared" si="29"/>
        <v>6A 10 00 00:使敌人陷入雷状态时增加灵力 C-[魂核]</v>
      </c>
    </row>
    <row r="1488" spans="1:4">
      <c r="A1488" s="55" t="s">
        <v>2774</v>
      </c>
      <c r="B1488" s="61" t="s">
        <v>1679</v>
      </c>
      <c r="C1488" s="61" t="s">
        <v>2456</v>
      </c>
      <c r="D1488" s="209" t="str">
        <f t="shared" si="29"/>
        <v>D5 22 00 00:使敌人陷入风状态时增加灵力 C-[魂核]</v>
      </c>
    </row>
    <row r="1489" spans="1:4">
      <c r="A1489" s="55" t="s">
        <v>2775</v>
      </c>
      <c r="B1489" s="61" t="s">
        <v>1681</v>
      </c>
      <c r="C1489" s="61" t="s">
        <v>2456</v>
      </c>
      <c r="D1489" s="209" t="str">
        <f t="shared" ref="D1489:D1552" si="30">LEFT(A1489,11)&amp;":"&amp;B1489&amp;C1489</f>
        <v>D8 37 00 00:使敌人陷入毒状态时增加灵力 C-[魂核]</v>
      </c>
    </row>
    <row r="1490" spans="1:4">
      <c r="A1490" s="55" t="s">
        <v>2776</v>
      </c>
      <c r="B1490" s="61" t="s">
        <v>1683</v>
      </c>
      <c r="C1490" s="61" t="s">
        <v>2456</v>
      </c>
      <c r="D1490" s="209" t="str">
        <f t="shared" si="30"/>
        <v>0A F3 00 00:使敌人陷入麻痹状态时增加灵力 C-[魂核]</v>
      </c>
    </row>
    <row r="1491" spans="1:4">
      <c r="A1491" s="55" t="s">
        <v>2777</v>
      </c>
      <c r="B1491" s="61" t="s">
        <v>1685</v>
      </c>
      <c r="C1491" s="61" t="s">
        <v>2456</v>
      </c>
      <c r="D1491" s="209" t="str">
        <f t="shared" si="30"/>
        <v>10 3B 00 00:使敌人陷入异常状态时增加灵力 C-[魂核]</v>
      </c>
    </row>
    <row r="1492" spans="1:4">
      <c r="A1492" s="55" t="s">
        <v>2778</v>
      </c>
      <c r="B1492" s="61" t="s">
        <v>284</v>
      </c>
      <c r="C1492" s="61" t="s">
        <v>2456</v>
      </c>
      <c r="D1492" s="209" t="str">
        <f t="shared" si="30"/>
        <v>BE 37 00 00:近距离攻击的灵力增加量 +0.7%[魂核]</v>
      </c>
    </row>
    <row r="1493" spans="1:4">
      <c r="A1493" s="55" t="s">
        <v>2779</v>
      </c>
      <c r="B1493" s="61" t="s">
        <v>288</v>
      </c>
      <c r="C1493" s="61" t="s">
        <v>2456</v>
      </c>
      <c r="D1493" s="209" t="str">
        <f t="shared" si="30"/>
        <v>35 37 00 00:强攻击灵力增加量 +0.8%[魂核]</v>
      </c>
    </row>
    <row r="1494" spans="1:4">
      <c r="A1494" s="55" t="s">
        <v>2780</v>
      </c>
      <c r="B1494" s="61" t="s">
        <v>292</v>
      </c>
      <c r="C1494" s="61" t="s">
        <v>2456</v>
      </c>
      <c r="D1494" s="209" t="str">
        <f t="shared" si="30"/>
        <v>FF 2E 00 00:武技灵力增加量 +0.8%[魂核]</v>
      </c>
    </row>
    <row r="1495" spans="1:4">
      <c r="A1495" s="55" t="s">
        <v>2781</v>
      </c>
      <c r="B1495" s="61" t="s">
        <v>2782</v>
      </c>
      <c r="C1495" s="61" t="s">
        <v>2456</v>
      </c>
      <c r="D1495" s="209" t="str">
        <f t="shared" si="30"/>
        <v>12 3E 00 00:灵力 +3[魂核]</v>
      </c>
    </row>
    <row r="1496" spans="1:4">
      <c r="A1496" s="55" t="s">
        <v>2783</v>
      </c>
      <c r="B1496" s="61" t="s">
        <v>304</v>
      </c>
      <c r="C1496" s="61" t="s">
        <v>2456</v>
      </c>
      <c r="D1496" s="209" t="str">
        <f t="shared" si="30"/>
        <v>76 C9 00 00:获得精华增加灵力 C[魂核]</v>
      </c>
    </row>
    <row r="1497" spans="1:4">
      <c r="A1497" s="55" t="s">
        <v>2784</v>
      </c>
      <c r="B1497" s="61" t="s">
        <v>2785</v>
      </c>
      <c r="C1497" s="61" t="s">
        <v>2456</v>
      </c>
      <c r="D1497" s="209" t="str">
        <f t="shared" si="30"/>
        <v>1F 4D 00 00:获得精华增加灵力（绝境） B-[魂核]</v>
      </c>
    </row>
    <row r="1498" spans="1:4">
      <c r="A1498" s="55" t="s">
        <v>2786</v>
      </c>
      <c r="B1498" s="61" t="s">
        <v>2787</v>
      </c>
      <c r="C1498" s="61" t="s">
        <v>2456</v>
      </c>
      <c r="D1498" s="209" t="str">
        <f t="shared" si="30"/>
        <v>3E 12 00 00:获得精华增加灵力（无伤） C+[魂核]</v>
      </c>
    </row>
    <row r="1499" spans="1:4">
      <c r="A1499" s="55" t="s">
        <v>2788</v>
      </c>
      <c r="B1499" s="61" t="s">
        <v>314</v>
      </c>
      <c r="C1499" s="61" t="s">
        <v>2456</v>
      </c>
      <c r="D1499" s="209" t="str">
        <f t="shared" si="30"/>
        <v>C9 18 00 00:攻击处于麻痹状态的敌人增加灵力 AAA+[魂核]</v>
      </c>
    </row>
    <row r="1500" spans="1:4">
      <c r="A1500" s="55" t="s">
        <v>2789</v>
      </c>
      <c r="B1500" s="61" t="s">
        <v>316</v>
      </c>
      <c r="C1500" s="61" t="s">
        <v>2456</v>
      </c>
      <c r="D1500" s="209" t="str">
        <f t="shared" si="30"/>
        <v>D6 EB 00 00:攻击处于毒状态的敌人增加灵力 C+[魂核]</v>
      </c>
    </row>
    <row r="1501" spans="1:4">
      <c r="A1501" s="55" t="s">
        <v>2790</v>
      </c>
      <c r="B1501" s="61" t="s">
        <v>318</v>
      </c>
      <c r="C1501" s="61" t="s">
        <v>2456</v>
      </c>
      <c r="D1501" s="209" t="str">
        <f t="shared" si="30"/>
        <v>00 44 00 00:攻击处于火状态的敌人增加灵力 C+[魂核]</v>
      </c>
    </row>
    <row r="1502" spans="1:4">
      <c r="A1502" s="55" t="s">
        <v>2791</v>
      </c>
      <c r="B1502" s="61" t="s">
        <v>320</v>
      </c>
      <c r="C1502" s="61" t="s">
        <v>2456</v>
      </c>
      <c r="D1502" s="209" t="str">
        <f t="shared" si="30"/>
        <v>88 7C 00 00:攻击处于水状态的敌人增加灵力 C+[魂核]</v>
      </c>
    </row>
    <row r="1503" spans="1:4">
      <c r="A1503" s="55" t="s">
        <v>2792</v>
      </c>
      <c r="B1503" s="61" t="s">
        <v>322</v>
      </c>
      <c r="C1503" s="61" t="s">
        <v>2456</v>
      </c>
      <c r="D1503" s="209" t="str">
        <f t="shared" si="30"/>
        <v>11 80 00 00:攻击处于雷状态的敌人增加灵力 C+[魂核]</v>
      </c>
    </row>
    <row r="1504" spans="1:4">
      <c r="A1504" s="55" t="s">
        <v>2793</v>
      </c>
      <c r="B1504" s="61" t="s">
        <v>324</v>
      </c>
      <c r="C1504" s="61" t="s">
        <v>2456</v>
      </c>
      <c r="D1504" s="209" t="str">
        <f t="shared" si="30"/>
        <v>C7 47 00 00:攻击处于风状态的敌人增加灵力 C+[魂核]</v>
      </c>
    </row>
    <row r="1505" spans="1:4">
      <c r="A1505" s="55" t="s">
        <v>2794</v>
      </c>
      <c r="B1505" s="61" t="s">
        <v>2795</v>
      </c>
      <c r="C1505" s="61" t="s">
        <v>2456</v>
      </c>
      <c r="D1505" s="209" t="str">
        <f t="shared" si="30"/>
        <v>F2 19 00 00:追击和近身刺击增加灵力 C+[魂核]</v>
      </c>
    </row>
    <row r="1506" spans="1:4">
      <c r="A1506" s="55" t="s">
        <v>2796</v>
      </c>
      <c r="B1506" s="61" t="s">
        <v>330</v>
      </c>
      <c r="C1506" s="61" t="s">
        <v>2456</v>
      </c>
      <c r="D1506" s="209" t="str">
        <f t="shared" si="30"/>
        <v>9F 15 00 00:灵力增加量 +0.7%[魂核]</v>
      </c>
    </row>
    <row r="1507" spans="1:4">
      <c r="A1507" s="55" t="s">
        <v>2797</v>
      </c>
      <c r="B1507" s="61" t="s">
        <v>2798</v>
      </c>
      <c r="C1507" s="61" t="s">
        <v>2456</v>
      </c>
      <c r="D1507" s="209" t="str">
        <f t="shared" si="30"/>
        <v>CF D7 00 00:灵力增加量（绝境） +2.1%[魂核]</v>
      </c>
    </row>
    <row r="1508" spans="1:4">
      <c r="A1508" s="55" t="s">
        <v>2799</v>
      </c>
      <c r="B1508" s="61" t="s">
        <v>2800</v>
      </c>
      <c r="C1508" s="61" t="s">
        <v>2456</v>
      </c>
      <c r="D1508" s="209" t="str">
        <f t="shared" si="30"/>
        <v>6E 1E 00 00:灵力增加量（无伤） +0.9%[魂核]</v>
      </c>
    </row>
    <row r="1509" spans="1:4">
      <c r="A1509" s="55" t="s">
        <v>2801</v>
      </c>
      <c r="B1509" s="61" t="s">
        <v>2802</v>
      </c>
      <c r="C1509" s="61" t="s">
        <v>2456</v>
      </c>
      <c r="D1509" s="209" t="str">
        <f t="shared" si="30"/>
        <v>30 D1 00 00:灵力增加量（地狱） +0.9%[魂核]</v>
      </c>
    </row>
    <row r="1510" spans="1:4">
      <c r="A1510" s="55" t="s">
        <v>2803</v>
      </c>
      <c r="B1510" s="61" t="s">
        <v>2804</v>
      </c>
      <c r="C1510" s="61" t="s">
        <v>2456</v>
      </c>
      <c r="D1510" s="209" t="str">
        <f t="shared" si="30"/>
        <v>EA 61 00 00:灵力增加量（负面效果时） +0.9%[魂核]</v>
      </c>
    </row>
    <row r="1511" spans="1:4">
      <c r="A1511" s="55" t="s">
        <v>2805</v>
      </c>
      <c r="B1511" s="61" t="s">
        <v>2806</v>
      </c>
      <c r="C1511" s="61" t="s">
        <v>2456</v>
      </c>
      <c r="D1511" s="209" t="str">
        <f t="shared" si="30"/>
        <v>C9 D6 00 00:灵力增加量（正面效果时） +0.8%[魂核]</v>
      </c>
    </row>
    <row r="1512" spans="1:4">
      <c r="A1512" s="55" t="s">
        <v>2807</v>
      </c>
      <c r="B1512" s="61" t="s">
        <v>1133</v>
      </c>
      <c r="C1512" s="61" t="s">
        <v>2456</v>
      </c>
      <c r="D1512" s="209" t="str">
        <f t="shared" si="30"/>
        <v>EC B8 00 00:祓除常世增加灵力 +4[魂核]</v>
      </c>
    </row>
    <row r="1513" spans="1:4">
      <c r="A1513" s="55" t="s">
        <v>2808</v>
      </c>
      <c r="B1513" s="61" t="s">
        <v>1734</v>
      </c>
      <c r="C1513" s="61" t="s">
        <v>2456</v>
      </c>
      <c r="D1513" s="209" t="str">
        <f t="shared" si="30"/>
        <v>DE A8 00 00:以守护灵技打倒敌人可回收灵力 +0.9%[魂核]</v>
      </c>
    </row>
    <row r="1514" spans="1:4">
      <c r="A1514" s="55" t="s">
        <v>2809</v>
      </c>
      <c r="B1514" s="61" t="s">
        <v>2810</v>
      </c>
      <c r="C1514" s="61" t="s">
        <v>2456</v>
      </c>
      <c r="D1514" s="209" t="str">
        <f t="shared" si="30"/>
        <v>1D 8B 00 00:守护灵技灵力消耗减少 -0.8%[魂核]</v>
      </c>
    </row>
    <row r="1515" spans="1:4">
      <c r="A1515" s="55" t="s">
        <v>2811</v>
      </c>
      <c r="B1515" s="61" t="s">
        <v>2812</v>
      </c>
      <c r="C1515" s="61" t="s">
        <v>2456</v>
      </c>
      <c r="D1515" s="209" t="str">
        <f t="shared" si="30"/>
        <v>D5 76 00 00:使用仙药时增加灵力 +8[魂核]</v>
      </c>
    </row>
    <row r="1516" spans="1:4">
      <c r="A1516" s="55" t="s">
        <v>2813</v>
      </c>
      <c r="B1516" s="61" t="s">
        <v>2814</v>
      </c>
      <c r="C1516" s="61" t="s">
        <v>2456</v>
      </c>
      <c r="D1516" s="209" t="str">
        <f t="shared" si="30"/>
        <v>95 C4 00 00:追击与近身刺击赋予昂神(+0.7%)[魂核]</v>
      </c>
    </row>
    <row r="1517" spans="1:4">
      <c r="A1517" s="55" t="s">
        <v>2815</v>
      </c>
      <c r="B1517" s="56" t="s">
        <v>2816</v>
      </c>
      <c r="C1517" s="61" t="s">
        <v>2456</v>
      </c>
      <c r="D1517" s="209" t="str">
        <f t="shared" si="30"/>
        <v>90 81 00 00:(同名固定)灵力增加量 +2.0%[魂核]</v>
      </c>
    </row>
    <row r="1518" spans="1:4">
      <c r="A1518" s="55" t="s">
        <v>2817</v>
      </c>
      <c r="B1518" s="56" t="s">
        <v>2818</v>
      </c>
      <c r="C1518" s="61" t="s">
        <v>2456</v>
      </c>
      <c r="D1518" s="209" t="str">
        <f t="shared" si="30"/>
        <v>66 A5 00 00:(同名固定)灵力增加量（无伤） +3.8%[魂核]</v>
      </c>
    </row>
    <row r="1519" spans="1:4">
      <c r="A1519" s="55" t="s">
        <v>2819</v>
      </c>
      <c r="B1519" s="56" t="s">
        <v>2820</v>
      </c>
      <c r="C1519" s="61" t="s">
        <v>2456</v>
      </c>
      <c r="D1519" s="209" t="str">
        <f t="shared" si="30"/>
        <v>F9 B2 00 00:(同名固定)灵力增加量（正面效果时） +2.8%[魂核]</v>
      </c>
    </row>
    <row r="1520" spans="1:4">
      <c r="A1520" s="55" t="s">
        <v>2821</v>
      </c>
      <c r="B1520" s="56" t="s">
        <v>2822</v>
      </c>
      <c r="C1520" s="61" t="s">
        <v>2456</v>
      </c>
      <c r="D1520" s="209" t="str">
        <f t="shared" si="30"/>
        <v>8B 48 00 00:(同名固定)造成火属性伤害时增加灵力 AAA+[魂核]</v>
      </c>
    </row>
    <row r="1521" spans="1:4">
      <c r="A1521" s="55" t="s">
        <v>2823</v>
      </c>
      <c r="B1521" s="56" t="s">
        <v>2824</v>
      </c>
      <c r="C1521" s="61" t="s">
        <v>2456</v>
      </c>
      <c r="D1521" s="209" t="str">
        <f t="shared" si="30"/>
        <v>E4 8C 00 00:(同名固定)造成水属性伤害时增加灵力 AAA+[魂核]</v>
      </c>
    </row>
    <row r="1522" spans="1:4">
      <c r="A1522" s="55" t="s">
        <v>2825</v>
      </c>
      <c r="B1522" s="56" t="s">
        <v>2826</v>
      </c>
      <c r="C1522" s="61" t="s">
        <v>2456</v>
      </c>
      <c r="D1522" s="209" t="str">
        <f t="shared" si="30"/>
        <v>39 84 00 00:(同名固定)造成雷属性伤害时增加灵力 AAA+[魂核]</v>
      </c>
    </row>
    <row r="1523" spans="1:4">
      <c r="A1523" s="55" t="s">
        <v>2827</v>
      </c>
      <c r="B1523" s="56" t="s">
        <v>2828</v>
      </c>
      <c r="C1523" s="61" t="s">
        <v>2456</v>
      </c>
      <c r="D1523" s="209" t="str">
        <f t="shared" si="30"/>
        <v>45 5D 00 00:(同名固定)造成风属性伤害时增加灵力 AAA+[魂核]</v>
      </c>
    </row>
    <row r="1524" spans="1:4">
      <c r="A1524" s="55" t="s">
        <v>2829</v>
      </c>
      <c r="B1524" s="56" t="s">
        <v>2830</v>
      </c>
      <c r="C1524" s="61" t="s">
        <v>2456</v>
      </c>
      <c r="D1524" s="209" t="str">
        <f t="shared" si="30"/>
        <v>35 D1 00 00:(同名固定)使敌人陷入火状态时增加灵力 C[魂核]</v>
      </c>
    </row>
    <row r="1525" spans="1:4">
      <c r="A1525" s="55" t="s">
        <v>2831</v>
      </c>
      <c r="B1525" s="56" t="s">
        <v>2832</v>
      </c>
      <c r="C1525" s="61" t="s">
        <v>2456</v>
      </c>
      <c r="D1525" s="209" t="str">
        <f t="shared" si="30"/>
        <v>53 C4 00 00:(同名固定)使敌人陷入水状态时增加灵力 C[魂核]</v>
      </c>
    </row>
    <row r="1526" spans="1:4">
      <c r="A1526" s="55" t="s">
        <v>2833</v>
      </c>
      <c r="B1526" s="56" t="s">
        <v>2834</v>
      </c>
      <c r="C1526" s="61" t="s">
        <v>2456</v>
      </c>
      <c r="D1526" s="209" t="str">
        <f t="shared" si="30"/>
        <v>AA 6E 00 00:(同名固定)使敌人陷入雷状态时增加灵力 C[魂核]</v>
      </c>
    </row>
    <row r="1527" spans="1:4">
      <c r="A1527" s="55" t="s">
        <v>2835</v>
      </c>
      <c r="B1527" s="56" t="s">
        <v>2836</v>
      </c>
      <c r="C1527" s="61" t="s">
        <v>2456</v>
      </c>
      <c r="D1527" s="209" t="str">
        <f t="shared" si="30"/>
        <v>08 B0 00 00:(同名固定)使敌人陷入风状态时增加灵力 C[魂核]</v>
      </c>
    </row>
    <row r="1528" spans="1:4">
      <c r="A1528" s="55" t="s">
        <v>2837</v>
      </c>
      <c r="B1528" s="56" t="s">
        <v>2838</v>
      </c>
      <c r="C1528" s="61" t="s">
        <v>2456</v>
      </c>
      <c r="D1528" s="209" t="str">
        <f t="shared" si="30"/>
        <v>CF 0C 00 00:(同名固定)使敌人陷入毒状态时增加灵力 C[魂核]</v>
      </c>
    </row>
    <row r="1529" spans="1:4">
      <c r="A1529" s="55" t="s">
        <v>2839</v>
      </c>
      <c r="B1529" s="56" t="s">
        <v>2840</v>
      </c>
      <c r="C1529" s="61" t="s">
        <v>2456</v>
      </c>
      <c r="D1529" s="209" t="str">
        <f t="shared" si="30"/>
        <v>AA FB 00 00:(同名固定)使敌人陷入麻痹状态时增加灵力 C[魂核]</v>
      </c>
    </row>
    <row r="1530" spans="1:4">
      <c r="A1530" s="55" t="s">
        <v>2841</v>
      </c>
      <c r="B1530" s="56" t="s">
        <v>2842</v>
      </c>
      <c r="C1530" s="61" t="s">
        <v>2456</v>
      </c>
      <c r="D1530" s="209" t="str">
        <f t="shared" si="30"/>
        <v>7E 75 00 00:(同名固定)使敌人陷入异常状态时增加灵力 D+[魂核]</v>
      </c>
    </row>
    <row r="1531" spans="1:4">
      <c r="A1531" s="55" t="s">
        <v>2843</v>
      </c>
      <c r="B1531" s="56" t="s">
        <v>2844</v>
      </c>
      <c r="C1531" s="61" t="s">
        <v>2456</v>
      </c>
      <c r="D1531" s="209" t="str">
        <f t="shared" si="30"/>
        <v>9A B0 00 00:(同名固定)灵力 +6[魂核]</v>
      </c>
    </row>
    <row r="1532" spans="1:4">
      <c r="A1532" s="55" t="s">
        <v>2845</v>
      </c>
      <c r="B1532" s="56" t="s">
        <v>302</v>
      </c>
      <c r="C1532" s="61" t="s">
        <v>2456</v>
      </c>
      <c r="D1532" s="209" t="str">
        <f t="shared" si="30"/>
        <v>5C 6E 00 00:(同名固定)获得精华增加灵力 C[魂核]</v>
      </c>
    </row>
    <row r="1533" spans="1:4">
      <c r="A1533" s="55" t="s">
        <v>2846</v>
      </c>
      <c r="B1533" s="56" t="s">
        <v>2847</v>
      </c>
      <c r="C1533" s="61" t="s">
        <v>2456</v>
      </c>
      <c r="D1533" s="209" t="str">
        <f t="shared" si="30"/>
        <v>77 DF 00 00:(同名固定)攻击处于火状态的敌人增加灵力 AAA+[魂核]</v>
      </c>
    </row>
    <row r="1534" spans="1:4">
      <c r="A1534" s="55" t="s">
        <v>2848</v>
      </c>
      <c r="B1534" s="56" t="s">
        <v>2849</v>
      </c>
      <c r="C1534" s="61" t="s">
        <v>2456</v>
      </c>
      <c r="D1534" s="209" t="str">
        <f t="shared" si="30"/>
        <v>CB 89 00 00:(同名固定)攻击处于水状态的敌人增加灵力 AAA+[魂核]</v>
      </c>
    </row>
    <row r="1535" spans="1:4">
      <c r="A1535" s="55" t="s">
        <v>2850</v>
      </c>
      <c r="B1535" s="56" t="s">
        <v>2851</v>
      </c>
      <c r="C1535" s="61" t="s">
        <v>2456</v>
      </c>
      <c r="D1535" s="209" t="str">
        <f t="shared" si="30"/>
        <v>B2 C6 00 00:(同名固定)攻击处于雷状态的敌人增加灵力 AAA+[魂核]</v>
      </c>
    </row>
    <row r="1536" spans="1:4">
      <c r="A1536" s="55" t="s">
        <v>2852</v>
      </c>
      <c r="B1536" s="56" t="s">
        <v>2853</v>
      </c>
      <c r="C1536" s="61" t="s">
        <v>2456</v>
      </c>
      <c r="D1536" s="209" t="str">
        <f t="shared" si="30"/>
        <v>1A 43 00 00:(同名固定)攻击处于风状态的敌人增加灵力 AAA+[魂核]</v>
      </c>
    </row>
    <row r="1537" spans="1:4">
      <c r="A1537" s="55" t="s">
        <v>2854</v>
      </c>
      <c r="B1537" s="56" t="s">
        <v>2855</v>
      </c>
      <c r="C1537" s="61" t="s">
        <v>2456</v>
      </c>
      <c r="D1537" s="209" t="str">
        <f t="shared" si="30"/>
        <v>85 4F 00 00:(同名固定)阴阳术命中增加灵力 C[魂核]</v>
      </c>
    </row>
    <row r="1538" spans="1:4">
      <c r="A1538" s="55" t="s">
        <v>2856</v>
      </c>
      <c r="B1538" s="56" t="s">
        <v>2857</v>
      </c>
      <c r="C1538" s="61" t="s">
        <v>2456</v>
      </c>
      <c r="D1538" s="209" t="str">
        <f t="shared" si="30"/>
        <v>70 62 00 00:(同名固定)祓除常世增加灵力 +20[魂核]</v>
      </c>
    </row>
    <row r="1539" spans="1:4">
      <c r="A1539" s="55" t="s">
        <v>2858</v>
      </c>
      <c r="B1539" s="56" t="s">
        <v>2859</v>
      </c>
      <c r="C1539" s="61" t="s">
        <v>2456</v>
      </c>
      <c r="D1539" s="209" t="str">
        <f t="shared" si="30"/>
        <v>A6 AF 00 00:(同名固定)箭弹或道具命中增加灵力 C-[魂核]</v>
      </c>
    </row>
    <row r="1540" spans="1:4">
      <c r="A1540" s="55" t="s">
        <v>2860</v>
      </c>
      <c r="B1540" s="56" t="s">
        <v>2861</v>
      </c>
      <c r="C1540" s="61" t="s">
        <v>2456</v>
      </c>
      <c r="D1540" s="209" t="str">
        <f t="shared" si="30"/>
        <v>7D C4 00 00:(同名固定)箭弹命中增加灵力 C[魂核]</v>
      </c>
    </row>
    <row r="1541" spans="1:4">
      <c r="A1541" s="55" t="s">
        <v>2862</v>
      </c>
      <c r="B1541" s="56" t="s">
        <v>2863</v>
      </c>
      <c r="C1541" s="61" t="s">
        <v>2456</v>
      </c>
      <c r="D1541" s="209" t="str">
        <f t="shared" si="30"/>
        <v>F6 27 00 00:(同名固定)承受伤害增加灵力 C[魂核]</v>
      </c>
    </row>
    <row r="1542" spans="1:4">
      <c r="A1542" s="55" t="s">
        <v>2864</v>
      </c>
      <c r="B1542" s="56" t="s">
        <v>2865</v>
      </c>
      <c r="C1542" s="61" t="s">
        <v>2456</v>
      </c>
      <c r="D1542" s="209" t="str">
        <f t="shared" si="30"/>
        <v>AE F7 00 00:(同名固定)灵力增加量反映（累积伤害） B[魂核]</v>
      </c>
    </row>
    <row r="1543" spans="1:4">
      <c r="A1543" s="55" t="s">
        <v>2866</v>
      </c>
      <c r="B1543" s="61" t="s">
        <v>2867</v>
      </c>
      <c r="C1543" s="61" t="s">
        <v>2456</v>
      </c>
      <c r="D1543" s="209" t="str">
        <f t="shared" si="30"/>
        <v>4A E2 00 00:身处常世时恢复体力 (+17)[魂核]</v>
      </c>
    </row>
    <row r="1544" spans="1:4">
      <c r="A1544" s="55" t="s">
        <v>2868</v>
      </c>
      <c r="B1544" s="61" t="s">
        <v>2869</v>
      </c>
      <c r="C1544" s="61" t="s">
        <v>2456</v>
      </c>
      <c r="D1544" s="209" t="str">
        <f t="shared" si="30"/>
        <v>62 6A 00 00:阴阳术 术力 +38[魂核]</v>
      </c>
    </row>
    <row r="1545" spans="1:4">
      <c r="A1545" s="55" t="s">
        <v>2870</v>
      </c>
      <c r="B1545" s="56" t="s">
        <v>2871</v>
      </c>
      <c r="C1545" s="61" t="s">
        <v>2456</v>
      </c>
      <c r="D1545" s="209" t="str">
        <f t="shared" si="30"/>
        <v>ED D0 00 00:(同名固定)身处常世时恢复体力(+17)[魂核]</v>
      </c>
    </row>
    <row r="1546" spans="1:4">
      <c r="A1546" s="55" t="s">
        <v>2872</v>
      </c>
      <c r="B1546" s="56" t="s">
        <v>2873</v>
      </c>
      <c r="C1546" s="61" t="s">
        <v>2456</v>
      </c>
      <c r="D1546" s="209" t="str">
        <f t="shared" si="30"/>
        <v>5D 49 00 00:(同名固定)复制正面效果 +50.0%[魂核]</v>
      </c>
    </row>
    <row r="1547" spans="1:4">
      <c r="A1547" s="55" t="s">
        <v>2874</v>
      </c>
      <c r="B1547" s="56" t="s">
        <v>2875</v>
      </c>
      <c r="C1547" s="61" t="s">
        <v>2456</v>
      </c>
      <c r="D1547" s="209" t="str">
        <f t="shared" si="30"/>
        <v>18 2E 00 00:(同名固定)死亡时自动回收刀冢 +17.0%[魂核]</v>
      </c>
    </row>
    <row r="1548" spans="1:4">
      <c r="A1548" s="55" t="s">
        <v>2876</v>
      </c>
      <c r="B1548" s="56" t="s">
        <v>2877</v>
      </c>
      <c r="C1548" s="61" t="s">
        <v>2456</v>
      </c>
      <c r="D1548" s="209" t="str">
        <f t="shared" si="30"/>
        <v>AA 11 00 00:(同名固定)负面效果持续时间缩短 -10.0%[魂核]</v>
      </c>
    </row>
    <row r="1549" spans="1:4">
      <c r="A1549" s="55" t="s">
        <v>2878</v>
      </c>
      <c r="B1549" s="56" t="s">
        <v>2879</v>
      </c>
      <c r="C1549" s="61" t="s">
        <v>2456</v>
      </c>
      <c r="D1549" s="209" t="str">
        <f t="shared" si="30"/>
        <v>A8 E1 00 00:(同名固定)移动速度降低状态无效 50.0%[魂核]</v>
      </c>
    </row>
    <row r="1550" spans="1:4">
      <c r="A1550" s="55" t="s">
        <v>2880</v>
      </c>
      <c r="B1550" s="56" t="s">
        <v>2881</v>
      </c>
      <c r="C1550" s="61" t="s">
        <v>2456</v>
      </c>
      <c r="D1550" s="209" t="str">
        <f t="shared" si="30"/>
        <v>5B C4 00 00:(同名固定)恢复体力赋予承受伤害减少[魂核]</v>
      </c>
    </row>
    <row r="1551" spans="1:4">
      <c r="A1551" s="55" t="s">
        <v>2882</v>
      </c>
      <c r="B1551" s="56" t="s">
        <v>2883</v>
      </c>
      <c r="C1551" s="61" t="s">
        <v>2456</v>
      </c>
      <c r="D1551" s="209" t="str">
        <f t="shared" si="30"/>
        <v>7D 71 00 00:(同名固定)祓除常世赋予赋予承受伤害减少[魂核]</v>
      </c>
    </row>
    <row r="1552" spans="1:4">
      <c r="A1552" s="55" t="s">
        <v>2884</v>
      </c>
      <c r="B1552" s="56" t="s">
        <v>2885</v>
      </c>
      <c r="C1552" s="61" t="s">
        <v>2456</v>
      </c>
      <c r="D1552" s="209" t="str">
        <f t="shared" si="30"/>
        <v>D2 B6 00 00:(同名固定)吸收精华后赋予赋予承受伤害减少[魂核]</v>
      </c>
    </row>
    <row r="1553" spans="1:4">
      <c r="A1553" s="55" t="s">
        <v>2886</v>
      </c>
      <c r="B1553" s="56" t="s">
        <v>1759</v>
      </c>
      <c r="C1553" s="61" t="s">
        <v>2456</v>
      </c>
      <c r="D1553" s="209" t="str">
        <f t="shared" ref="D1553:D1616" si="31">LEFT(A1553,11)&amp;":"&amp;B1553&amp;C1553</f>
        <v>64 75 00 00:(同名固定)防御力 +10[魂核]</v>
      </c>
    </row>
    <row r="1554" spans="1:4">
      <c r="A1554" s="55" t="s">
        <v>2887</v>
      </c>
      <c r="B1554" s="56" t="s">
        <v>2888</v>
      </c>
      <c r="C1554" s="61" t="s">
        <v>2456</v>
      </c>
      <c r="D1554" s="209" t="str">
        <f t="shared" si="31"/>
        <v>79 DE 00 00:(同名固定)被攻击时承受的伤害降低（绝境） -3.5%[魂核]</v>
      </c>
    </row>
    <row r="1555" spans="1:4">
      <c r="A1555" s="55" t="s">
        <v>2889</v>
      </c>
      <c r="B1555" s="56" t="s">
        <v>2890</v>
      </c>
      <c r="C1555" s="61" t="s">
        <v>2456</v>
      </c>
      <c r="D1555" s="209" t="str">
        <f t="shared" si="31"/>
        <v>47 9C 00 00:(同名固定)空中承受的伤害 -3.0%[魂核]</v>
      </c>
    </row>
    <row r="1556" spans="1:4">
      <c r="A1556" s="55" t="s">
        <v>2891</v>
      </c>
      <c r="B1556" s="56" t="s">
        <v>2892</v>
      </c>
      <c r="C1556" s="61" t="s">
        <v>2456</v>
      </c>
      <c r="D1556" s="209" t="str">
        <f t="shared" si="31"/>
        <v>39 07 00 00:(同名固定)被攻击时承受的伤害降低 -2.0%[魂核]</v>
      </c>
    </row>
    <row r="1557" spans="1:4">
      <c r="A1557" s="55" t="s">
        <v>2893</v>
      </c>
      <c r="B1557" s="56" t="s">
        <v>2894</v>
      </c>
      <c r="C1557" s="61" t="s">
        <v>2456</v>
      </c>
      <c r="D1557" s="209" t="str">
        <f t="shared" si="31"/>
        <v>F0 0F 00 00:(同名固定)坚忍度 +15[魂核]</v>
      </c>
    </row>
    <row r="1558" spans="1:4">
      <c r="A1558" s="55" t="s">
        <v>2895</v>
      </c>
      <c r="B1558" s="56" t="s">
        <v>2896</v>
      </c>
      <c r="C1558" s="61" t="s">
        <v>2456</v>
      </c>
      <c r="D1558" s="209" t="str">
        <f t="shared" si="31"/>
        <v>5B 3B 00 00:(同名固定)承受的伤害降低（攻击动作期间） -5.5%[魂核]</v>
      </c>
    </row>
    <row r="1559" spans="1:4">
      <c r="A1559" s="55" t="s">
        <v>2897</v>
      </c>
      <c r="B1559" s="61" t="s">
        <v>2898</v>
      </c>
      <c r="C1559" s="61" t="s">
        <v>2456</v>
      </c>
      <c r="D1559" s="209" t="str">
        <f t="shared" si="31"/>
        <v>B1 57 00 00:阴阳术精力伤害 +0.9%[魂核]</v>
      </c>
    </row>
    <row r="1560" spans="1:4">
      <c r="A1560" s="55" t="s">
        <v>2899</v>
      </c>
      <c r="B1560" s="61" t="s">
        <v>2900</v>
      </c>
      <c r="C1560" s="61" t="s">
        <v>2456</v>
      </c>
      <c r="D1560" s="209" t="str">
        <f t="shared" si="31"/>
        <v>16 FE 00 00:忍术造成的精力伤害 +0.8%[魂核]</v>
      </c>
    </row>
    <row r="1561" spans="1:4">
      <c r="A1561" s="55" t="s">
        <v>2901</v>
      </c>
      <c r="B1561" s="61" t="s">
        <v>2902</v>
      </c>
      <c r="C1561" s="61" t="s">
        <v>2456</v>
      </c>
      <c r="D1561" s="209" t="str">
        <f t="shared" si="31"/>
        <v>1E C5 00 00:武技精力伤害 +0.8%[魂核]</v>
      </c>
    </row>
    <row r="1562" spans="1:4">
      <c r="A1562" s="55" t="s">
        <v>2903</v>
      </c>
      <c r="B1562" s="61" t="s">
        <v>2904</v>
      </c>
      <c r="C1562" s="61" t="s">
        <v>2456</v>
      </c>
      <c r="D1562" s="209" t="str">
        <f t="shared" si="31"/>
        <v>42 7C 00 00:近距离攻击精力伤害 +0.8%[魂核]</v>
      </c>
    </row>
    <row r="1563" spans="1:4">
      <c r="A1563" s="55" t="s">
        <v>2905</v>
      </c>
      <c r="B1563" s="61" t="s">
        <v>2906</v>
      </c>
      <c r="C1563" s="61" t="s">
        <v>2456</v>
      </c>
      <c r="D1563" s="209" t="str">
        <f t="shared" si="31"/>
        <v>DD 86 00 00:强攻击精力伤害 +0.8%[魂核]</v>
      </c>
    </row>
    <row r="1564" spans="1:4">
      <c r="A1564" s="55" t="s">
        <v>2907</v>
      </c>
      <c r="B1564" s="61" t="s">
        <v>2908</v>
      </c>
      <c r="C1564" s="61" t="s">
        <v>2456</v>
      </c>
      <c r="D1564" s="209" t="str">
        <f t="shared" si="31"/>
        <v>78 D3 00 00:空中攻击精力伤害 +0.9%[魂核]</v>
      </c>
    </row>
    <row r="1565" spans="1:4">
      <c r="A1565" s="55" t="s">
        <v>2909</v>
      </c>
      <c r="B1565" s="61" t="s">
        <v>2910</v>
      </c>
      <c r="C1565" s="61" t="s">
        <v>2456</v>
      </c>
      <c r="D1565" s="209" t="str">
        <f t="shared" si="31"/>
        <v>AD 97 00 00:对处于火状态敌人的精力伤害 +1.1%[魂核]</v>
      </c>
    </row>
    <row r="1566" spans="1:4">
      <c r="A1566" s="55" t="s">
        <v>2911</v>
      </c>
      <c r="B1566" s="61" t="s">
        <v>2912</v>
      </c>
      <c r="C1566" s="61" t="s">
        <v>2456</v>
      </c>
      <c r="D1566" s="209" t="str">
        <f t="shared" si="31"/>
        <v>D5 97 00 00:对处于水状态敌人的精力伤害 +1.1%[魂核]</v>
      </c>
    </row>
    <row r="1567" spans="1:4">
      <c r="A1567" s="55" t="s">
        <v>2913</v>
      </c>
      <c r="B1567" s="61" t="s">
        <v>2914</v>
      </c>
      <c r="C1567" s="61" t="s">
        <v>2456</v>
      </c>
      <c r="D1567" s="209" t="str">
        <f t="shared" si="31"/>
        <v>27 4F 00 00:对处于雷状态敌人的精力伤害 +1.1%[魂核]</v>
      </c>
    </row>
    <row r="1568" spans="1:4">
      <c r="A1568" s="55" t="s">
        <v>2915</v>
      </c>
      <c r="B1568" s="61" t="s">
        <v>2916</v>
      </c>
      <c r="C1568" s="61" t="s">
        <v>2456</v>
      </c>
      <c r="D1568" s="209" t="str">
        <f t="shared" si="31"/>
        <v>97 78 00 00:对处于风状态敌人的精力伤害 +1.1%[魂核]</v>
      </c>
    </row>
    <row r="1569" spans="1:4">
      <c r="A1569" s="55" t="s">
        <v>2917</v>
      </c>
      <c r="B1569" s="61" t="s">
        <v>2918</v>
      </c>
      <c r="C1569" s="61" t="s">
        <v>2456</v>
      </c>
      <c r="D1569" s="209" t="str">
        <f t="shared" si="31"/>
        <v>F1 E3 00 00:守护灵技的精力伤害 +2.2%[魂核]</v>
      </c>
    </row>
    <row r="1570" spans="1:4">
      <c r="A1570" s="55" t="s">
        <v>2919</v>
      </c>
      <c r="B1570" s="56" t="s">
        <v>2920</v>
      </c>
      <c r="C1570" s="61" t="s">
        <v>2456</v>
      </c>
      <c r="D1570" s="209" t="str">
        <f t="shared" si="31"/>
        <v>8E AE 00 00:(同名固定)武技精力伤害 +4.5%[魂核]</v>
      </c>
    </row>
    <row r="1571" spans="1:4">
      <c r="A1571" s="55" t="s">
        <v>2921</v>
      </c>
      <c r="B1571" s="56" t="s">
        <v>2922</v>
      </c>
      <c r="C1571" s="61" t="s">
        <v>2456</v>
      </c>
      <c r="D1571" s="209" t="str">
        <f t="shared" si="31"/>
        <v>B6 CE 00 00:(同名固定)近距离攻击精力伤害 +2.5%[魂核]</v>
      </c>
    </row>
    <row r="1572" spans="1:4">
      <c r="A1572" s="55" t="s">
        <v>2923</v>
      </c>
      <c r="B1572" s="56" t="s">
        <v>2924</v>
      </c>
      <c r="C1572" s="61" t="s">
        <v>2456</v>
      </c>
      <c r="D1572" s="209" t="str">
        <f t="shared" si="31"/>
        <v>22 12 00 00:(同名固定)强攻击精力伤害 +3.5%[魂核]</v>
      </c>
    </row>
    <row r="1573" spans="1:4">
      <c r="A1573" s="55" t="s">
        <v>2925</v>
      </c>
      <c r="B1573" s="56" t="s">
        <v>2926</v>
      </c>
      <c r="C1573" s="61" t="s">
        <v>2456</v>
      </c>
      <c r="D1573" s="209" t="str">
        <f t="shared" si="31"/>
        <v>B6 1B 00 00:(同名固定)空中攻击精力伤害 +5.0%[魂核]</v>
      </c>
    </row>
    <row r="1574" spans="1:4">
      <c r="A1574" s="55" t="s">
        <v>2927</v>
      </c>
      <c r="B1574" s="56" t="s">
        <v>2928</v>
      </c>
      <c r="C1574" s="61" t="s">
        <v>2456</v>
      </c>
      <c r="D1574" s="209" t="str">
        <f t="shared" si="31"/>
        <v>3D 4F 00 00:(同名固定)崩解 +10[魂核]</v>
      </c>
    </row>
    <row r="1575" spans="1:4">
      <c r="A1575" s="55" t="s">
        <v>2929</v>
      </c>
      <c r="B1575" s="56" t="s">
        <v>2930</v>
      </c>
      <c r="C1575" s="61" t="s">
        <v>2456</v>
      </c>
      <c r="D1575" s="209" t="str">
        <f t="shared" si="31"/>
        <v>79 66 00 00:(同名固定)武技崩解力 +1.5%[魂核]</v>
      </c>
    </row>
    <row r="1576" spans="1:4">
      <c r="A1576" s="55" t="s">
        <v>2931</v>
      </c>
      <c r="B1576" s="61" t="s">
        <v>2932</v>
      </c>
      <c r="C1576" s="61" t="s">
        <v>2456</v>
      </c>
      <c r="D1576" s="209" t="str">
        <f t="shared" si="31"/>
        <v>0A 5F 00 00:近距离攻击打倒敌人时恢复体力 15[魂核]</v>
      </c>
    </row>
    <row r="1577" spans="1:4">
      <c r="A1577" s="55" t="s">
        <v>2933</v>
      </c>
      <c r="B1577" s="61" t="s">
        <v>2934</v>
      </c>
      <c r="C1577" s="61" t="s">
        <v>2456</v>
      </c>
      <c r="D1577" s="209" t="str">
        <f t="shared" si="31"/>
        <v>E9 84 00 00:打倒敌人时赋予自动恢复体力(17)[魂核]</v>
      </c>
    </row>
    <row r="1578" spans="1:4">
      <c r="A1578" s="55" t="s">
        <v>2935</v>
      </c>
      <c r="B1578" s="61" t="s">
        <v>422</v>
      </c>
      <c r="C1578" s="61" t="s">
        <v>2456</v>
      </c>
      <c r="D1578" s="209" t="str">
        <f t="shared" si="31"/>
        <v>F9 03 00 00:造成火属性伤害时吸取体力 C[魂核]</v>
      </c>
    </row>
    <row r="1579" spans="1:4">
      <c r="A1579" s="55" t="s">
        <v>2936</v>
      </c>
      <c r="B1579" s="61" t="s">
        <v>426</v>
      </c>
      <c r="C1579" s="61" t="s">
        <v>2456</v>
      </c>
      <c r="D1579" s="209" t="str">
        <f t="shared" si="31"/>
        <v>30 92 00 00:造成水属性伤害时吸取体力 C[魂核]</v>
      </c>
    </row>
    <row r="1580" spans="1:4">
      <c r="A1580" s="55" t="s">
        <v>2937</v>
      </c>
      <c r="B1580" s="61" t="s">
        <v>428</v>
      </c>
      <c r="C1580" s="61" t="s">
        <v>2456</v>
      </c>
      <c r="D1580" s="209" t="str">
        <f t="shared" si="31"/>
        <v>D5 1E 00 00:造成雷属性伤害时吸取体力 C[魂核]</v>
      </c>
    </row>
    <row r="1581" spans="1:4">
      <c r="A1581" s="55" t="s">
        <v>2938</v>
      </c>
      <c r="B1581" s="61" t="s">
        <v>430</v>
      </c>
      <c r="C1581" s="61" t="s">
        <v>2456</v>
      </c>
      <c r="D1581" s="209" t="str">
        <f t="shared" si="31"/>
        <v>60 0E 00 00:造成风属性伤害时吸取体力 C[魂核]</v>
      </c>
    </row>
    <row r="1582" spans="1:4">
      <c r="A1582" s="55" t="s">
        <v>2939</v>
      </c>
      <c r="B1582" s="61" t="s">
        <v>434</v>
      </c>
      <c r="C1582" s="61" t="s">
        <v>2456</v>
      </c>
      <c r="D1582" s="209" t="str">
        <f t="shared" si="31"/>
        <v>74 D3 00 00:造成属性伤害时吸取体力 D+[魂核]</v>
      </c>
    </row>
    <row r="1583" spans="1:4">
      <c r="A1583" s="55" t="s">
        <v>2940</v>
      </c>
      <c r="B1583" s="61" t="s">
        <v>1313</v>
      </c>
      <c r="C1583" s="61" t="s">
        <v>2456</v>
      </c>
      <c r="D1583" s="209" t="str">
        <f t="shared" si="31"/>
        <v>25 7B 00 00:格挡成功时赋予自动恢复体力(16)[魂核]</v>
      </c>
    </row>
    <row r="1584" spans="1:4">
      <c r="A1584" s="55" t="s">
        <v>2941</v>
      </c>
      <c r="B1584" s="61" t="s">
        <v>1318</v>
      </c>
      <c r="C1584" s="61" t="s">
        <v>2456</v>
      </c>
      <c r="D1584" s="209" t="str">
        <f t="shared" si="31"/>
        <v>05 17 00 00:成功识破时自动恢复体力(16)[魂核]</v>
      </c>
    </row>
    <row r="1585" spans="1:4">
      <c r="A1585" s="55" t="s">
        <v>2942</v>
      </c>
      <c r="B1585" s="61" t="s">
        <v>2943</v>
      </c>
      <c r="C1585" s="61" t="s">
        <v>2456</v>
      </c>
      <c r="D1585" s="209" t="str">
        <f t="shared" si="31"/>
        <v>89 25 00 00:追击和近身刺击可恢复体力 15[魂核]</v>
      </c>
    </row>
    <row r="1586" spans="1:4">
      <c r="A1586" s="55" t="s">
        <v>2944</v>
      </c>
      <c r="B1586" s="61" t="s">
        <v>2945</v>
      </c>
      <c r="C1586" s="61" t="s">
        <v>2456</v>
      </c>
      <c r="D1586" s="209" t="str">
        <f t="shared" si="31"/>
        <v>24 FB 00 00:获得魂核时恢复体力 230[魂核]</v>
      </c>
    </row>
    <row r="1587" spans="1:4">
      <c r="A1587" s="55" t="s">
        <v>2946</v>
      </c>
      <c r="B1587" s="61" t="s">
        <v>2947</v>
      </c>
      <c r="C1587" s="61" t="s">
        <v>2456</v>
      </c>
      <c r="D1587" s="209" t="str">
        <f t="shared" si="31"/>
        <v>5C 9A 00 00:获得魂核时恢复体力 230(变化获得)[魂核]</v>
      </c>
    </row>
    <row r="1588" spans="1:4">
      <c r="A1588" s="55" t="s">
        <v>2948</v>
      </c>
      <c r="B1588" s="61" t="s">
        <v>1325</v>
      </c>
      <c r="C1588" s="61" t="s">
        <v>2456</v>
      </c>
      <c r="D1588" s="209" t="str">
        <f t="shared" si="31"/>
        <v>D6 83 00 00:祓除常世可恢复体力 17[魂核]</v>
      </c>
    </row>
    <row r="1589" spans="1:4">
      <c r="A1589" s="55" t="s">
        <v>2949</v>
      </c>
      <c r="B1589" s="61" t="s">
        <v>2950</v>
      </c>
      <c r="C1589" s="61" t="s">
        <v>2456</v>
      </c>
      <c r="D1589" s="209" t="str">
        <f t="shared" si="31"/>
        <v>50 EC 00 00:箭弹命中弱点可恢复体力 21[魂核]</v>
      </c>
    </row>
    <row r="1590" spans="1:4">
      <c r="A1590" s="55" t="s">
        <v>2951</v>
      </c>
      <c r="B1590" s="61" t="s">
        <v>2952</v>
      </c>
      <c r="C1590" s="61" t="s">
        <v>2456</v>
      </c>
      <c r="D1590" s="209" t="str">
        <f t="shared" si="31"/>
        <v>0F D9 00 00:吸收精华可恢复体力 +3[魂核]</v>
      </c>
    </row>
    <row r="1591" spans="1:4">
      <c r="A1591" s="55" t="s">
        <v>2953</v>
      </c>
      <c r="B1591" s="61" t="s">
        <v>2954</v>
      </c>
      <c r="C1591" s="61" t="s">
        <v>2456</v>
      </c>
      <c r="D1591" s="209" t="str">
        <f t="shared" si="31"/>
        <v>05 94 00 00:箭弹命中可恢复体力 +15[魂核]</v>
      </c>
    </row>
    <row r="1592" spans="1:4">
      <c r="A1592" s="55" t="s">
        <v>2955</v>
      </c>
      <c r="B1592" s="61" t="s">
        <v>2956</v>
      </c>
      <c r="C1592" s="61" t="s">
        <v>2456</v>
      </c>
      <c r="D1592" s="209" t="str">
        <f t="shared" si="31"/>
        <v>2B 7B 00 00:忍术伤害吸取体力 B-[魂核]</v>
      </c>
    </row>
    <row r="1593" spans="1:4">
      <c r="A1593" s="55" t="s">
        <v>2957</v>
      </c>
      <c r="B1593" s="61" t="s">
        <v>1785</v>
      </c>
      <c r="C1593" s="61" t="s">
        <v>2456</v>
      </c>
      <c r="D1593" s="209" t="str">
        <f t="shared" si="31"/>
        <v>72 7F 00 00:阴阳术伤害吸取体力 B-[魂核]</v>
      </c>
    </row>
    <row r="1594" spans="1:4">
      <c r="A1594" s="55" t="s">
        <v>2958</v>
      </c>
      <c r="B1594" s="61" t="s">
        <v>1347</v>
      </c>
      <c r="C1594" s="61" t="s">
        <v>2456</v>
      </c>
      <c r="D1594" s="209" t="str">
        <f t="shared" si="31"/>
        <v>7E B2 00 00:体力 +25[魂核]</v>
      </c>
    </row>
    <row r="1595" spans="1:4">
      <c r="A1595" s="55" t="s">
        <v>2959</v>
      </c>
      <c r="B1595" s="56" t="s">
        <v>2960</v>
      </c>
      <c r="C1595" s="61" t="s">
        <v>2456</v>
      </c>
      <c r="D1595" s="209" t="str">
        <f t="shared" si="31"/>
        <v>B7 F4 00 00:(同名固定)造成火属性伤害时吸取体力 B+[魂核]</v>
      </c>
    </row>
    <row r="1596" spans="1:4">
      <c r="A1596" s="55" t="s">
        <v>2961</v>
      </c>
      <c r="B1596" s="56" t="s">
        <v>2962</v>
      </c>
      <c r="C1596" s="61" t="s">
        <v>2456</v>
      </c>
      <c r="D1596" s="209" t="str">
        <f t="shared" si="31"/>
        <v>98 64 00 00:(同名固定)造成水属性伤害时吸取体力 B+[魂核]</v>
      </c>
    </row>
    <row r="1597" spans="1:4">
      <c r="A1597" s="55" t="s">
        <v>2963</v>
      </c>
      <c r="B1597" s="56" t="s">
        <v>2964</v>
      </c>
      <c r="C1597" s="61" t="s">
        <v>2456</v>
      </c>
      <c r="D1597" s="209" t="str">
        <f t="shared" si="31"/>
        <v>C5 D0 00 00:(同名固定)造成雷属性伤害时吸取体力 B+[魂核]</v>
      </c>
    </row>
    <row r="1598" spans="1:4">
      <c r="A1598" s="55" t="s">
        <v>2965</v>
      </c>
      <c r="B1598" s="56" t="s">
        <v>2966</v>
      </c>
      <c r="C1598" s="61" t="s">
        <v>2456</v>
      </c>
      <c r="D1598" s="209" t="str">
        <f t="shared" si="31"/>
        <v>2E CB 00 00:(同名固定)造成风属性伤害时吸取体力 B+[魂核]</v>
      </c>
    </row>
    <row r="1599" spans="1:4">
      <c r="A1599" s="55" t="s">
        <v>2967</v>
      </c>
      <c r="B1599" s="56" t="s">
        <v>2968</v>
      </c>
      <c r="C1599" s="61" t="s">
        <v>2456</v>
      </c>
      <c r="D1599" s="209" t="str">
        <f t="shared" si="31"/>
        <v>54 76 00 00:(同名固定)忍术伤害吸取体力 A[魂核]</v>
      </c>
    </row>
    <row r="1600" spans="1:4">
      <c r="A1600" s="55" t="s">
        <v>2969</v>
      </c>
      <c r="B1600" s="56" t="s">
        <v>2970</v>
      </c>
      <c r="C1600" s="61" t="s">
        <v>2456</v>
      </c>
      <c r="D1600" s="209" t="str">
        <f t="shared" si="31"/>
        <v>A8 54 00 00:(同名固定)吸收精华可恢复体力 12[魂核]</v>
      </c>
    </row>
    <row r="1601" spans="1:4">
      <c r="A1601" s="55" t="s">
        <v>2971</v>
      </c>
      <c r="B1601" s="56" t="s">
        <v>2972</v>
      </c>
      <c r="C1601" s="61" t="s">
        <v>2456</v>
      </c>
      <c r="D1601" s="209" t="str">
        <f t="shared" si="31"/>
        <v>A4 2A 00 00:(同名固定)药物恢复体力效果 +8.0%[魂核]</v>
      </c>
    </row>
    <row r="1602" spans="1:4">
      <c r="A1602" s="55" t="s">
        <v>2973</v>
      </c>
      <c r="B1602" s="56" t="s">
        <v>2974</v>
      </c>
      <c r="C1602" s="61" t="s">
        <v>2456</v>
      </c>
      <c r="D1602" s="209" t="str">
        <f t="shared" si="31"/>
        <v>9D 49 00 00:(同名固定)体力 +100[魂核]</v>
      </c>
    </row>
    <row r="1603" spans="1:4">
      <c r="A1603" s="55" t="s">
        <v>2975</v>
      </c>
      <c r="B1603" s="61" t="s">
        <v>2976</v>
      </c>
      <c r="C1603" s="61" t="s">
        <v>2456</v>
      </c>
      <c r="D1603" s="209" t="str">
        <f t="shared" si="31"/>
        <v>BB 8A 00 00:防御时精力恢复速度 +1.5%[魂核]</v>
      </c>
    </row>
    <row r="1604" spans="1:4">
      <c r="A1604" s="55" t="s">
        <v>2977</v>
      </c>
      <c r="B1604" s="61" t="s">
        <v>2978</v>
      </c>
      <c r="C1604" s="61" t="s">
        <v>2456</v>
      </c>
      <c r="D1604" s="209" t="str">
        <f t="shared" si="31"/>
        <v>D7 D1 00 00:残心精力恢复量 +0.7%[魂核]</v>
      </c>
    </row>
    <row r="1605" spans="1:4">
      <c r="A1605" s="55" t="s">
        <v>2979</v>
      </c>
      <c r="B1605" s="61" t="s">
        <v>2980</v>
      </c>
      <c r="C1605" s="61" t="s">
        <v>2456</v>
      </c>
      <c r="D1605" s="209" t="str">
        <f t="shared" si="31"/>
        <v>A7 AD 00 00:精力恢复速度 +1.5%[魂核]</v>
      </c>
    </row>
    <row r="1606" spans="1:4">
      <c r="A1606" s="55" t="s">
        <v>2981</v>
      </c>
      <c r="B1606" s="61" t="s">
        <v>2982</v>
      </c>
      <c r="C1606" s="61" t="s">
        <v>2456</v>
      </c>
      <c r="D1606" s="209" t="str">
        <f t="shared" si="31"/>
        <v>E4 50 00 00:绝境时赋予精力恢复速度增加(+4.9%)[魂核]</v>
      </c>
    </row>
    <row r="1607" spans="1:4">
      <c r="A1607" s="55" t="s">
        <v>2983</v>
      </c>
      <c r="B1607" s="61" t="s">
        <v>2984</v>
      </c>
      <c r="C1607" s="61" t="s">
        <v>2456</v>
      </c>
      <c r="D1607" s="209" t="str">
        <f t="shared" si="31"/>
        <v>31 DF 00 00:精力恢复速度上升（无伤） +1.8%[魂核]</v>
      </c>
    </row>
    <row r="1608" spans="1:4">
      <c r="A1608" s="55" t="s">
        <v>2985</v>
      </c>
      <c r="B1608" s="61" t="s">
        <v>2986</v>
      </c>
      <c r="C1608" s="61" t="s">
        <v>2456</v>
      </c>
      <c r="D1608" s="209" t="str">
        <f t="shared" si="31"/>
        <v>D2 2C 00 00:精力恢复速度（绝境） +4.5%[魂核]</v>
      </c>
    </row>
    <row r="1609" spans="1:4">
      <c r="A1609" s="55" t="s">
        <v>2987</v>
      </c>
      <c r="B1609" s="61" t="s">
        <v>2988</v>
      </c>
      <c r="C1609" s="61" t="s">
        <v>2456</v>
      </c>
      <c r="D1609" s="209" t="str">
        <f t="shared" si="31"/>
        <v>B8 FC 00 00:残心初始量 +6[魂核]</v>
      </c>
    </row>
    <row r="1610" spans="1:4">
      <c r="A1610" s="55" t="s">
        <v>2989</v>
      </c>
      <c r="B1610" s="61" t="s">
        <v>2990</v>
      </c>
      <c r="C1610" s="61" t="s">
        <v>2456</v>
      </c>
      <c r="D1610" s="209" t="str">
        <f t="shared" si="31"/>
        <v>94 84 00 00:抗常世 +0.3[魂核]</v>
      </c>
    </row>
    <row r="1611" spans="1:4">
      <c r="A1611" s="55" t="s">
        <v>2991</v>
      </c>
      <c r="B1611" s="56" t="s">
        <v>2992</v>
      </c>
      <c r="C1611" s="61" t="s">
        <v>2456</v>
      </c>
      <c r="D1611" s="209" t="str">
        <f t="shared" si="31"/>
        <v>C6 93 00 00:(同名固定)精力恢复速度 +2.5%[魂核]</v>
      </c>
    </row>
    <row r="1612" spans="1:4">
      <c r="A1612" s="55" t="s">
        <v>2993</v>
      </c>
      <c r="B1612" s="56" t="s">
        <v>2994</v>
      </c>
      <c r="C1612" s="61" t="s">
        <v>2456</v>
      </c>
      <c r="D1612" s="209" t="str">
        <f t="shared" si="31"/>
        <v>1F DB 00 00:(同名固定)精力恢复速度上升（无伤）+3.5%[魂核]</v>
      </c>
    </row>
    <row r="1613" spans="1:4">
      <c r="A1613" s="55" t="s">
        <v>2995</v>
      </c>
      <c r="B1613" s="56" t="s">
        <v>2996</v>
      </c>
      <c r="C1613" s="61" t="s">
        <v>2456</v>
      </c>
      <c r="D1613" s="209" t="str">
        <f t="shared" si="31"/>
        <v>6C 08 00 00:(同名固定)残心初始量 +50[魂核]</v>
      </c>
    </row>
    <row r="1614" spans="1:4">
      <c r="A1614" s="55" t="s">
        <v>2997</v>
      </c>
      <c r="B1614" s="56" t="s">
        <v>2998</v>
      </c>
      <c r="C1614" s="61" t="s">
        <v>2456</v>
      </c>
      <c r="D1614" s="209" t="str">
        <f t="shared" si="31"/>
        <v>9C 2D 00 00:(同名固定)抗常世 +1.5[魂核]</v>
      </c>
    </row>
    <row r="1615" spans="1:4">
      <c r="A1615" s="55" t="s">
        <v>2999</v>
      </c>
      <c r="B1615" s="61" t="s">
        <v>482</v>
      </c>
      <c r="C1615" s="61" t="s">
        <v>2456</v>
      </c>
      <c r="D1615" s="209" t="str">
        <f t="shared" si="31"/>
        <v>96 F4 00 00:打倒敌人时赋予昂灵(+0.3%)[魂核]</v>
      </c>
    </row>
    <row r="1616" spans="1:4">
      <c r="A1616" s="55" t="s">
        <v>3000</v>
      </c>
      <c r="B1616" s="61" t="s">
        <v>1416</v>
      </c>
      <c r="C1616" s="61" t="s">
        <v>2456</v>
      </c>
      <c r="D1616" s="209" t="str">
        <f t="shared" si="31"/>
        <v>98 DD 00 00:陷入异常状态时赋予昂灵(+0.4%)[魂核]</v>
      </c>
    </row>
    <row r="1617" spans="1:4">
      <c r="A1617" s="55" t="s">
        <v>3001</v>
      </c>
      <c r="B1617" s="61" t="s">
        <v>1422</v>
      </c>
      <c r="C1617" s="61" t="s">
        <v>2456</v>
      </c>
      <c r="D1617" s="209" t="str">
        <f t="shared" ref="D1617:D1680" si="32">LEFT(A1617,11)&amp;":"&amp;B1617&amp;C1617</f>
        <v>73 27 00 00:格挡成功时赋予昂灵(+0.4%)[魂核]</v>
      </c>
    </row>
    <row r="1618" spans="1:4">
      <c r="A1618" s="55" t="s">
        <v>3002</v>
      </c>
      <c r="B1618" s="61" t="s">
        <v>1428</v>
      </c>
      <c r="C1618" s="61" t="s">
        <v>2456</v>
      </c>
      <c r="D1618" s="209" t="str">
        <f t="shared" si="32"/>
        <v>C6 43 00 00:成功识破时昂灵(+0.4%)[魂核]</v>
      </c>
    </row>
    <row r="1619" spans="1:4">
      <c r="A1619" s="55" t="s">
        <v>3003</v>
      </c>
      <c r="B1619" s="61" t="s">
        <v>3004</v>
      </c>
      <c r="C1619" s="61" t="s">
        <v>2456</v>
      </c>
      <c r="D1619" s="209" t="str">
        <f t="shared" si="32"/>
        <v>B5 9E 00 00:绝境时赋予昂灵(+0.4%)[魂核]</v>
      </c>
    </row>
    <row r="1620" spans="1:4">
      <c r="A1620" s="55" t="s">
        <v>3005</v>
      </c>
      <c r="B1620" s="61" t="s">
        <v>1438</v>
      </c>
      <c r="C1620" s="61" t="s">
        <v>2456</v>
      </c>
      <c r="D1620" s="209" t="str">
        <f t="shared" si="32"/>
        <v>7B 52 00 00:祓除常世赋予昂灵(+0.6%)[魂核]</v>
      </c>
    </row>
    <row r="1621" spans="1:4">
      <c r="A1621" s="55" t="s">
        <v>3006</v>
      </c>
      <c r="B1621" s="61" t="s">
        <v>480</v>
      </c>
      <c r="C1621" s="61" t="s">
        <v>2456</v>
      </c>
      <c r="D1621" s="209" t="str">
        <f t="shared" si="32"/>
        <v>6E 54 00 00:吸收精华后赋予昂灵(+0.9%)[魂核]</v>
      </c>
    </row>
    <row r="1622" spans="1:4">
      <c r="A1622" s="55" t="s">
        <v>3007</v>
      </c>
      <c r="B1622" s="61" t="s">
        <v>484</v>
      </c>
      <c r="C1622" s="61" t="s">
        <v>2456</v>
      </c>
      <c r="D1622" s="209" t="str">
        <f t="shared" si="32"/>
        <v>3B BD 00 00:精华槽增加量 +0.7%[魂核]</v>
      </c>
    </row>
    <row r="1623" spans="1:4">
      <c r="A1623" s="55" t="s">
        <v>3008</v>
      </c>
      <c r="B1623" s="61" t="s">
        <v>3009</v>
      </c>
      <c r="C1623" s="61" t="s">
        <v>2456</v>
      </c>
      <c r="D1623" s="209" t="str">
        <f t="shared" si="32"/>
        <v>29 C7 00 00:阴阳术命中赋予昂灵(+0.3%)[魂核]</v>
      </c>
    </row>
    <row r="1624" spans="1:4">
      <c r="A1624" s="55" t="s">
        <v>3010</v>
      </c>
      <c r="B1624" s="61" t="s">
        <v>3011</v>
      </c>
      <c r="C1624" s="61" t="s">
        <v>2456</v>
      </c>
      <c r="D1624" s="209" t="str">
        <f t="shared" si="32"/>
        <v>F2 CF 00 00:使用阴阳术时赋予昂灵(+0.3%)[魂核]</v>
      </c>
    </row>
    <row r="1625" spans="1:4">
      <c r="A1625" s="55" t="s">
        <v>3012</v>
      </c>
      <c r="B1625" s="61" t="s">
        <v>488</v>
      </c>
      <c r="C1625" s="61" t="s">
        <v>2456</v>
      </c>
      <c r="D1625" s="209" t="str">
        <f t="shared" si="32"/>
        <v>36 CB 00 00:使敌人陷入火状态时精华槽增加 D+[魂核]</v>
      </c>
    </row>
    <row r="1626" spans="1:4">
      <c r="A1626" s="55" t="s">
        <v>3013</v>
      </c>
      <c r="B1626" s="61" t="s">
        <v>490</v>
      </c>
      <c r="C1626" s="61" t="s">
        <v>2456</v>
      </c>
      <c r="D1626" s="209" t="str">
        <f t="shared" si="32"/>
        <v>3E 87 00 00:使敌人陷入水状态时精华槽增加 D+[魂核]</v>
      </c>
    </row>
    <row r="1627" spans="1:4">
      <c r="A1627" s="55" t="s">
        <v>3014</v>
      </c>
      <c r="B1627" s="61" t="s">
        <v>492</v>
      </c>
      <c r="C1627" s="61" t="s">
        <v>2456</v>
      </c>
      <c r="D1627" s="209" t="str">
        <f t="shared" si="32"/>
        <v>D1 6A 00 00:使敌人陷入雷状态时精华槽增加 D+[魂核]</v>
      </c>
    </row>
    <row r="1628" spans="1:4">
      <c r="A1628" s="55" t="s">
        <v>3015</v>
      </c>
      <c r="B1628" s="61" t="s">
        <v>494</v>
      </c>
      <c r="C1628" s="61" t="s">
        <v>2456</v>
      </c>
      <c r="D1628" s="209" t="str">
        <f t="shared" si="32"/>
        <v>87 85 00 00:使敌人陷入风状态时精华槽增加 D+[魂核]</v>
      </c>
    </row>
    <row r="1629" spans="1:4">
      <c r="A1629" s="55" t="s">
        <v>3016</v>
      </c>
      <c r="B1629" s="56" t="s">
        <v>3017</v>
      </c>
      <c r="C1629" s="61" t="s">
        <v>2456</v>
      </c>
      <c r="D1629" s="209" t="str">
        <f t="shared" si="32"/>
        <v>87 B9 00 00:(同名固定)精华槽增加量 +7.5%[魂核]</v>
      </c>
    </row>
    <row r="1630" spans="1:4">
      <c r="A1630" s="55" t="s">
        <v>3018</v>
      </c>
      <c r="B1630" s="56" t="s">
        <v>3019</v>
      </c>
      <c r="C1630" s="61" t="s">
        <v>2456</v>
      </c>
      <c r="D1630" s="209" t="str">
        <f t="shared" si="32"/>
        <v>30 57 00 00:(同名固定)大炮伤害 +7.5%[魂核]</v>
      </c>
    </row>
    <row r="1631" spans="1:4">
      <c r="A1631" s="55" t="s">
        <v>3020</v>
      </c>
      <c r="B1631" s="56" t="s">
        <v>3021</v>
      </c>
      <c r="C1631" s="61" t="s">
        <v>2456</v>
      </c>
      <c r="D1631" s="209" t="str">
        <f t="shared" si="32"/>
        <v>21 A6 00 00:(同名固定)弓伤害 +8.5%[魂核]</v>
      </c>
    </row>
    <row r="1632" spans="1:4">
      <c r="A1632" s="55" t="s">
        <v>3022</v>
      </c>
      <c r="B1632" s="56" t="s">
        <v>3023</v>
      </c>
      <c r="C1632" s="61" t="s">
        <v>2456</v>
      </c>
      <c r="D1632" s="209" t="str">
        <f t="shared" si="32"/>
        <v>47 1C 00 00:(同名固定)箭弹命中时施加承受伤害增加 +30.0%[魂核]</v>
      </c>
    </row>
    <row r="1633" spans="1:4">
      <c r="A1633" s="55" t="s">
        <v>3024</v>
      </c>
      <c r="B1633" s="56" t="s">
        <v>1468</v>
      </c>
      <c r="C1633" s="61" t="s">
        <v>2456</v>
      </c>
      <c r="D1633" s="209" t="str">
        <f t="shared" si="32"/>
        <v>1F C8 00 00:(同名固定)不易被敌人发现 D+[魂核]</v>
      </c>
    </row>
    <row r="1634" spans="1:4">
      <c r="A1634" s="55" t="s">
        <v>3025</v>
      </c>
      <c r="B1634" s="61" t="s">
        <v>3026</v>
      </c>
      <c r="C1634" s="61" t="s">
        <v>2456</v>
      </c>
      <c r="D1634" s="209" t="str">
        <f t="shared" si="32"/>
        <v>F2 F4 00 00:格挡成功时赋予移动速度上升(+1.1%)[魂核]</v>
      </c>
    </row>
    <row r="1635" spans="1:4">
      <c r="A1635" s="55" t="s">
        <v>3027</v>
      </c>
      <c r="B1635" s="61" t="s">
        <v>3028</v>
      </c>
      <c r="C1635" s="61" t="s">
        <v>2456</v>
      </c>
      <c r="D1635" s="209" t="str">
        <f t="shared" si="32"/>
        <v>C1 EA 00 00:成功识破时移动速度上升(+1.1%)[魂核]</v>
      </c>
    </row>
    <row r="1636" spans="1:4">
      <c r="A1636" s="55" t="s">
        <v>3029</v>
      </c>
      <c r="B1636" s="61" t="s">
        <v>1492</v>
      </c>
      <c r="C1636" s="61" t="s">
        <v>2456</v>
      </c>
      <c r="D1636" s="209" t="str">
        <f t="shared" si="32"/>
        <v>D6 3C 00 00:闪避动作精力消耗降低 -1.0%[魂核]</v>
      </c>
    </row>
    <row r="1637" spans="1:4">
      <c r="A1637" s="55" t="s">
        <v>3030</v>
      </c>
      <c r="B1637" s="61" t="s">
        <v>3031</v>
      </c>
      <c r="C1637" s="61" t="s">
        <v>2456</v>
      </c>
      <c r="D1637" s="209" t="str">
        <f t="shared" si="32"/>
        <v>C6 F5 00 00:闪避动作精力消耗降低（绝境） -3.0%[魂核]</v>
      </c>
    </row>
    <row r="1638" spans="1:4">
      <c r="A1638" s="55" t="s">
        <v>3032</v>
      </c>
      <c r="B1638" s="61" t="s">
        <v>3033</v>
      </c>
      <c r="C1638" s="61" t="s">
        <v>2456</v>
      </c>
      <c r="D1638" s="209" t="str">
        <f t="shared" si="32"/>
        <v>A2 2F 00 00:绝境时赋予移动速度上升(+3.3%)[魂核]</v>
      </c>
    </row>
    <row r="1639" spans="1:4">
      <c r="A1639" s="55" t="s">
        <v>3034</v>
      </c>
      <c r="B1639" s="61" t="s">
        <v>3035</v>
      </c>
      <c r="C1639" s="61" t="s">
        <v>2456</v>
      </c>
      <c r="D1639" s="209" t="str">
        <f t="shared" si="32"/>
        <v>2B 7E 00 00:打倒敌人时赋予移动速度上升(+1.4%)[魂核]</v>
      </c>
    </row>
    <row r="1640" spans="1:4">
      <c r="A1640" s="55" t="s">
        <v>3036</v>
      </c>
      <c r="B1640" s="61" t="s">
        <v>3037</v>
      </c>
      <c r="C1640" s="61" t="s">
        <v>2456</v>
      </c>
      <c r="D1640" s="209" t="str">
        <f t="shared" si="32"/>
        <v>BC AD 00 00:祓除常世赋予移动速度上升(+1.5%)[魂核]</v>
      </c>
    </row>
    <row r="1641" spans="1:4">
      <c r="A1641" s="55" t="s">
        <v>3038</v>
      </c>
      <c r="B1641" s="61" t="s">
        <v>3039</v>
      </c>
      <c r="C1641" s="61" t="s">
        <v>2456</v>
      </c>
      <c r="D1641" s="209" t="str">
        <f t="shared" si="32"/>
        <v>BE EE 00 00:陷入异常状态时赋予移动速度上升(+1.6%)[魂核]</v>
      </c>
    </row>
    <row r="1642" spans="1:4">
      <c r="A1642" s="55" t="s">
        <v>3040</v>
      </c>
      <c r="B1642" s="61" t="s">
        <v>3041</v>
      </c>
      <c r="C1642" s="61" t="s">
        <v>2456</v>
      </c>
      <c r="D1642" s="209" t="str">
        <f t="shared" si="32"/>
        <v>4F FE 00 00:吸收精华后赋予移动速度上升(+1.1%)[魂核]</v>
      </c>
    </row>
    <row r="1643" spans="1:4">
      <c r="A1643" s="55" t="s">
        <v>3042</v>
      </c>
      <c r="B1643" s="61" t="s">
        <v>3043</v>
      </c>
      <c r="C1643" s="61" t="s">
        <v>2456</v>
      </c>
      <c r="D1643" s="209" t="str">
        <f t="shared" si="32"/>
        <v>F5 A7 00 00:精力受到攻击降至50%以下时赋予移动速度上升(+1.4%)[魂核]</v>
      </c>
    </row>
    <row r="1644" spans="1:4">
      <c r="A1644" s="55" t="s">
        <v>3044</v>
      </c>
      <c r="B1644" s="61" t="s">
        <v>3045</v>
      </c>
      <c r="C1644" s="61" t="s">
        <v>2456</v>
      </c>
      <c r="D1644" s="209" t="str">
        <f t="shared" si="32"/>
        <v>87 F0 00 00:阴阳术命中赋予移动速度上升(+1.4%)[魂核]</v>
      </c>
    </row>
    <row r="1645" spans="1:4">
      <c r="A1645" s="55" t="s">
        <v>3046</v>
      </c>
      <c r="B1645" s="61" t="s">
        <v>3047</v>
      </c>
      <c r="C1645" s="61" t="s">
        <v>2456</v>
      </c>
      <c r="D1645" s="209" t="str">
        <f t="shared" si="32"/>
        <v>10 A6 00 00:忍术命中赋予移动速度上升(+1.4%)[魂核]</v>
      </c>
    </row>
    <row r="1646" spans="1:4">
      <c r="A1646" s="55" t="s">
        <v>3048</v>
      </c>
      <c r="B1646" s="61" t="s">
        <v>3049</v>
      </c>
      <c r="C1646" s="61" t="s">
        <v>2456</v>
      </c>
      <c r="D1646" s="209" t="str">
        <f t="shared" si="32"/>
        <v>A9 E8 00 00:恢复体力赋予移动速度上升(+1.4%)[魂核]</v>
      </c>
    </row>
    <row r="1647" spans="1:4">
      <c r="A1647" s="55" t="s">
        <v>3050</v>
      </c>
      <c r="B1647" s="56" t="s">
        <v>3051</v>
      </c>
      <c r="C1647" s="61" t="s">
        <v>2456</v>
      </c>
      <c r="D1647" s="209" t="str">
        <f t="shared" si="32"/>
        <v>DC 1F 00 00:(同名固定)闪避动作精力消耗降低 -8.0%[魂核]</v>
      </c>
    </row>
    <row r="1648" spans="1:4">
      <c r="A1648" s="55" t="s">
        <v>3052</v>
      </c>
      <c r="B1648" s="56" t="s">
        <v>3053</v>
      </c>
      <c r="C1648" s="61" t="s">
        <v>2456</v>
      </c>
      <c r="D1648" s="209" t="str">
        <f t="shared" si="32"/>
        <v>B9 BD 00 00:(同名固定)绝境时赋予移动速度上升(+3.3%)[魂核]</v>
      </c>
    </row>
    <row r="1649" spans="1:4">
      <c r="A1649" s="55" t="s">
        <v>3054</v>
      </c>
      <c r="B1649" s="56" t="s">
        <v>3055</v>
      </c>
      <c r="C1649" s="61" t="s">
        <v>2456</v>
      </c>
      <c r="D1649" s="209" t="str">
        <f t="shared" si="32"/>
        <v>59 CF 00 00:(同名固定)冲刺精力消耗降低 -10.0%[魂核]</v>
      </c>
    </row>
    <row r="1650" spans="1:4">
      <c r="A1650" s="55" t="s">
        <v>3056</v>
      </c>
      <c r="B1650" s="56" t="s">
        <v>3057</v>
      </c>
      <c r="C1650" s="61" t="s">
        <v>2456</v>
      </c>
      <c r="D1650" s="209" t="str">
        <f t="shared" si="32"/>
        <v>34 30 00 00:(同名固定)陷入异常状态时赋予移动速度上升(+1.6%)[魂核]</v>
      </c>
    </row>
    <row r="1651" spans="1:4">
      <c r="A1651" s="55" t="s">
        <v>3058</v>
      </c>
      <c r="B1651" s="56" t="s">
        <v>3059</v>
      </c>
      <c r="C1651" s="61" t="s">
        <v>2456</v>
      </c>
      <c r="D1651" s="209" t="str">
        <f t="shared" si="32"/>
        <v>26 78 00 00:(同名固定)吸收精华后赋予移动速度上升(+1.1%)[魂核]</v>
      </c>
    </row>
    <row r="1652" spans="1:4">
      <c r="A1652" s="55" t="s">
        <v>3060</v>
      </c>
      <c r="B1652" s="61" t="s">
        <v>3061</v>
      </c>
      <c r="C1652" s="61" t="s">
        <v>2456</v>
      </c>
      <c r="D1652" s="209" t="str">
        <f t="shared" si="32"/>
        <v>67 6A 00 00:风属性伤害 +2.4%[魂核]</v>
      </c>
    </row>
    <row r="1653" spans="1:4">
      <c r="A1653" s="55" t="s">
        <v>3062</v>
      </c>
      <c r="B1653" s="61" t="s">
        <v>3063</v>
      </c>
      <c r="C1653" s="61" t="s">
        <v>2456</v>
      </c>
      <c r="D1653" s="209" t="str">
        <f t="shared" si="32"/>
        <v>E4 18 00 00:火属性伤害 +2.4%[魂核]</v>
      </c>
    </row>
    <row r="1654" spans="1:4">
      <c r="A1654" s="55" t="s">
        <v>3064</v>
      </c>
      <c r="B1654" s="61" t="s">
        <v>3065</v>
      </c>
      <c r="C1654" s="61" t="s">
        <v>2456</v>
      </c>
      <c r="D1654" s="209" t="str">
        <f t="shared" si="32"/>
        <v>92 18 00 00:水属性伤害 +2.4%[魂核]</v>
      </c>
    </row>
    <row r="1655" spans="1:4">
      <c r="A1655" s="55" t="s">
        <v>3066</v>
      </c>
      <c r="B1655" s="61" t="s">
        <v>3067</v>
      </c>
      <c r="C1655" s="61" t="s">
        <v>2456</v>
      </c>
      <c r="D1655" s="209" t="str">
        <f t="shared" si="32"/>
        <v>39 AF 00 00:雷属性伤害 +2.4%[魂核]</v>
      </c>
    </row>
    <row r="1656" spans="1:4">
      <c r="A1656" s="55" t="s">
        <v>3068</v>
      </c>
      <c r="B1656" s="61" t="s">
        <v>3069</v>
      </c>
      <c r="C1656" s="61" t="s">
        <v>2456</v>
      </c>
      <c r="D1656" s="209" t="str">
        <f t="shared" si="32"/>
        <v>EE AE 00 00:赋予属性的持续时间延长 +10.0%[魂核]</v>
      </c>
    </row>
    <row r="1657" spans="1:4">
      <c r="A1657" s="55" t="s">
        <v>3070</v>
      </c>
      <c r="B1657" s="61" t="s">
        <v>3071</v>
      </c>
      <c r="C1657" s="61" t="s">
        <v>2456</v>
      </c>
      <c r="D1657" s="209" t="str">
        <f t="shared" si="32"/>
        <v>06 A7 00 00:敌人的持续伤害 +1.9%[魂核]</v>
      </c>
    </row>
    <row r="1658" spans="1:4">
      <c r="A1658" s="55" t="s">
        <v>3072</v>
      </c>
      <c r="B1658" s="61" t="s">
        <v>3073</v>
      </c>
      <c r="C1658" s="61" t="s">
        <v>2456</v>
      </c>
      <c r="D1658" s="209" t="str">
        <f t="shared" si="32"/>
        <v>B7 05 00 00:敌人的火状态累积 +4.0%[魂核]</v>
      </c>
    </row>
    <row r="1659" spans="1:4">
      <c r="A1659" s="55" t="s">
        <v>3074</v>
      </c>
      <c r="B1659" s="61" t="s">
        <v>3075</v>
      </c>
      <c r="C1659" s="61" t="s">
        <v>2456</v>
      </c>
      <c r="D1659" s="209" t="str">
        <f t="shared" si="32"/>
        <v>C4 61 00 00:敌人的水状态累积 +4.0%[魂核]</v>
      </c>
    </row>
    <row r="1660" spans="1:4">
      <c r="A1660" s="55" t="s">
        <v>3076</v>
      </c>
      <c r="B1660" s="61" t="s">
        <v>3077</v>
      </c>
      <c r="C1660" s="61" t="s">
        <v>2456</v>
      </c>
      <c r="D1660" s="209" t="str">
        <f t="shared" si="32"/>
        <v>A0 F7 00 00:敌人的雷状态累积 +4.0%[魂核]</v>
      </c>
    </row>
    <row r="1661" spans="1:4">
      <c r="A1661" s="55" t="s">
        <v>3078</v>
      </c>
      <c r="B1661" s="61" t="s">
        <v>3079</v>
      </c>
      <c r="C1661" s="61" t="s">
        <v>2456</v>
      </c>
      <c r="D1661" s="209" t="str">
        <f t="shared" si="32"/>
        <v>04 EB 00 00:敌人的风状态累积 +4.0%[魂核]</v>
      </c>
    </row>
    <row r="1662" spans="1:4">
      <c r="A1662" s="55" t="s">
        <v>3080</v>
      </c>
      <c r="B1662" s="61" t="s">
        <v>3081</v>
      </c>
      <c r="C1662" s="61" t="s">
        <v>2456</v>
      </c>
      <c r="D1662" s="209" t="str">
        <f t="shared" si="32"/>
        <v>60 9C 00 00:敌人的麻痹状态累积 +4.0%[魂核]</v>
      </c>
    </row>
    <row r="1663" spans="1:4">
      <c r="A1663" s="55" t="s">
        <v>3082</v>
      </c>
      <c r="B1663" s="61" t="s">
        <v>3083</v>
      </c>
      <c r="C1663" s="61" t="s">
        <v>2456</v>
      </c>
      <c r="D1663" s="209" t="str">
        <f t="shared" si="32"/>
        <v>35 D5 00 00:敌人的毒状态累积 +4.0%[魂核]</v>
      </c>
    </row>
    <row r="1664" spans="1:4">
      <c r="A1664" s="55" t="s">
        <v>3084</v>
      </c>
      <c r="B1664" s="61" t="s">
        <v>3085</v>
      </c>
      <c r="C1664" s="61" t="s">
        <v>2456</v>
      </c>
      <c r="D1664" s="209" t="str">
        <f t="shared" si="32"/>
        <v>C1 FB 00 00:异常状态累积 +2.5%[魂核]</v>
      </c>
    </row>
    <row r="1665" spans="1:4">
      <c r="A1665" s="55" t="s">
        <v>3086</v>
      </c>
      <c r="B1665" s="61" t="s">
        <v>3087</v>
      </c>
      <c r="C1665" s="61" t="s">
        <v>2456</v>
      </c>
      <c r="D1665" s="209" t="str">
        <f t="shared" si="32"/>
        <v>2A 8C 00 00:幻术异常状态累积 +9.0%[魂核]</v>
      </c>
    </row>
    <row r="1666" spans="1:4">
      <c r="A1666" s="55" t="s">
        <v>3088</v>
      </c>
      <c r="B1666" s="56" t="s">
        <v>3089</v>
      </c>
      <c r="C1666" s="61" t="s">
        <v>2456</v>
      </c>
      <c r="D1666" s="209" t="str">
        <f t="shared" si="32"/>
        <v>26 4D 00 00:(同名固定)风属性伤害 +4.4%[魂核]</v>
      </c>
    </row>
    <row r="1667" spans="1:4">
      <c r="A1667" s="55" t="s">
        <v>1565</v>
      </c>
      <c r="B1667" s="56" t="s">
        <v>1566</v>
      </c>
      <c r="C1667" s="61" t="s">
        <v>2456</v>
      </c>
      <c r="D1667" s="209" t="str">
        <f t="shared" si="32"/>
        <v>BB 6C 00 00:(同名固定)火属性伤害 +4.4%[魂核]</v>
      </c>
    </row>
    <row r="1668" spans="1:4">
      <c r="A1668" s="55" t="s">
        <v>3090</v>
      </c>
      <c r="B1668" s="56" t="s">
        <v>3091</v>
      </c>
      <c r="C1668" s="61" t="s">
        <v>2456</v>
      </c>
      <c r="D1668" s="209" t="str">
        <f t="shared" si="32"/>
        <v>BD 68 00 00:(同名固定)水属性伤害 +4.4%[魂核]</v>
      </c>
    </row>
    <row r="1669" spans="1:4">
      <c r="A1669" s="55" t="s">
        <v>3092</v>
      </c>
      <c r="B1669" s="56" t="s">
        <v>3093</v>
      </c>
      <c r="C1669" s="61" t="s">
        <v>2456</v>
      </c>
      <c r="D1669" s="209" t="str">
        <f t="shared" si="32"/>
        <v>D0 7B 00 00:(同名固定)雷属性伤害 +4.4%[魂核]</v>
      </c>
    </row>
    <row r="1670" spans="1:4">
      <c r="A1670" s="55" t="s">
        <v>3094</v>
      </c>
      <c r="B1670" s="56" t="s">
        <v>3095</v>
      </c>
      <c r="C1670" s="61" t="s">
        <v>2456</v>
      </c>
      <c r="D1670" s="209" t="str">
        <f t="shared" si="32"/>
        <v>19 7B 00 00:(同名固定)敌人的火状态累积 +3.5%[魂核]</v>
      </c>
    </row>
    <row r="1671" spans="1:4">
      <c r="A1671" s="55" t="s">
        <v>1567</v>
      </c>
      <c r="B1671" s="56" t="s">
        <v>3096</v>
      </c>
      <c r="C1671" s="61" t="s">
        <v>2456</v>
      </c>
      <c r="D1671" s="209" t="str">
        <f t="shared" si="32"/>
        <v>E8 91 00 00:(同名固定)敌人的水状态累积 +3.5%[魂核]</v>
      </c>
    </row>
    <row r="1672" spans="1:4">
      <c r="A1672" s="55" t="s">
        <v>3097</v>
      </c>
      <c r="B1672" s="56" t="s">
        <v>3098</v>
      </c>
      <c r="C1672" s="61" t="s">
        <v>2456</v>
      </c>
      <c r="D1672" s="209" t="str">
        <f t="shared" si="32"/>
        <v>FD BA 00 00:(同名固定)敌人的雷状态累积 +3.5%[魂核]</v>
      </c>
    </row>
    <row r="1673" spans="1:4">
      <c r="A1673" s="55" t="s">
        <v>3099</v>
      </c>
      <c r="B1673" s="56" t="s">
        <v>3100</v>
      </c>
      <c r="C1673" s="61" t="s">
        <v>2456</v>
      </c>
      <c r="D1673" s="209" t="str">
        <f t="shared" si="32"/>
        <v>94 BF 00 00:(同名固定)敌人的风状态累积 +3.5%[魂核]</v>
      </c>
    </row>
    <row r="1674" spans="1:4">
      <c r="A1674" s="55" t="s">
        <v>3101</v>
      </c>
      <c r="B1674" s="56" t="s">
        <v>3102</v>
      </c>
      <c r="C1674" s="61" t="s">
        <v>2456</v>
      </c>
      <c r="D1674" s="209" t="str">
        <f t="shared" si="32"/>
        <v>DF E2 00 00:(同名固定)敌人的麻痹状态累积 +3.5%[魂核]</v>
      </c>
    </row>
    <row r="1675" spans="1:4">
      <c r="A1675" s="55" t="s">
        <v>3103</v>
      </c>
      <c r="B1675" s="56" t="s">
        <v>3104</v>
      </c>
      <c r="C1675" s="61" t="s">
        <v>2456</v>
      </c>
      <c r="D1675" s="209" t="str">
        <f t="shared" si="32"/>
        <v>FB A5 00 00:(同名固定)敌人的毒状态累积 +3.5%[魂核]</v>
      </c>
    </row>
    <row r="1676" spans="1:4">
      <c r="A1676" s="55" t="s">
        <v>3105</v>
      </c>
      <c r="B1676" s="56" t="s">
        <v>3106</v>
      </c>
      <c r="C1676" s="61" t="s">
        <v>2456</v>
      </c>
      <c r="D1676" s="209" t="str">
        <f t="shared" si="32"/>
        <v>43 C3 00 00:(同名固定)箭弹命中时施加移动速度降低 +1.5%[魂核]</v>
      </c>
    </row>
    <row r="1677" spans="1:4">
      <c r="A1677" s="55" t="s">
        <v>3107</v>
      </c>
      <c r="B1677" s="56" t="s">
        <v>3108</v>
      </c>
      <c r="C1677" s="61" t="s">
        <v>2456</v>
      </c>
      <c r="D1677" s="209" t="str">
        <f t="shared" si="32"/>
        <v>DE 65 00 00:(同名固定)阴阳术命中时施加移动速度降低(-1.2%)[魂核]</v>
      </c>
    </row>
    <row r="1678" spans="1:4">
      <c r="A1678" s="55" t="s">
        <v>3109</v>
      </c>
      <c r="B1678" s="56" t="s">
        <v>3110</v>
      </c>
      <c r="C1678" s="61" t="s">
        <v>2456</v>
      </c>
      <c r="D1678" s="209" t="str">
        <f t="shared" si="32"/>
        <v>7A 0A 00 00:(同名固定)对处于毒状态敌人的近距离伤害 +6.0%[魂核]</v>
      </c>
    </row>
    <row r="1679" spans="1:4">
      <c r="A1679" s="55" t="s">
        <v>3111</v>
      </c>
      <c r="B1679" s="56" t="s">
        <v>3112</v>
      </c>
      <c r="C1679" s="61" t="s">
        <v>2456</v>
      </c>
      <c r="D1679" s="209" t="str">
        <f t="shared" si="32"/>
        <v>AA 2B 00 00:(同名固定)对处于火状态敌人的近距离伤害 +6.0%[魂核]</v>
      </c>
    </row>
    <row r="1680" spans="1:4">
      <c r="A1680" s="55" t="s">
        <v>3113</v>
      </c>
      <c r="B1680" s="56" t="s">
        <v>3114</v>
      </c>
      <c r="C1680" s="61" t="s">
        <v>2456</v>
      </c>
      <c r="D1680" s="209" t="str">
        <f t="shared" si="32"/>
        <v>65 4B 00 00:(同名固定)对处于水状态敌人的近距离伤害 +6.0%[魂核]</v>
      </c>
    </row>
    <row r="1681" spans="1:4">
      <c r="A1681" s="55" t="s">
        <v>3115</v>
      </c>
      <c r="B1681" s="56" t="s">
        <v>3116</v>
      </c>
      <c r="C1681" s="61" t="s">
        <v>2456</v>
      </c>
      <c r="D1681" s="209" t="str">
        <f>LEFT(A1681,11)&amp;":"&amp;B1681&amp;C1681</f>
        <v>55 95 00 00:(同名固定)对处于雷状态敌人的近距离伤害 +6.0%[魂核]</v>
      </c>
    </row>
    <row r="1682" spans="1:4">
      <c r="A1682" s="55" t="s">
        <v>3117</v>
      </c>
      <c r="B1682" s="56" t="s">
        <v>3118</v>
      </c>
      <c r="C1682" s="61" t="s">
        <v>2456</v>
      </c>
      <c r="D1682" s="209" t="str">
        <f>LEFT(A1682,11)&amp;":"&amp;B1682&amp;C1682</f>
        <v>6A C0 00 00:(同名固定)对处于风状态敌人的近距离伤害 +6.0%[魂核]</v>
      </c>
    </row>
    <row r="1683" spans="1:4">
      <c r="A1683" s="55" t="s">
        <v>3119</v>
      </c>
      <c r="B1683" s="56" t="s">
        <v>3120</v>
      </c>
      <c r="C1683" s="61" t="s">
        <v>2456</v>
      </c>
      <c r="D1683" s="209" t="str">
        <f>LEFT(A1683,11)&amp;":"&amp;B1683&amp;C1683</f>
        <v>B0 43 00 00:(同名固定)阴阳术命中时施加盲目[魂核]</v>
      </c>
    </row>
    <row r="1684" spans="1:4">
      <c r="A1684" s="61" t="s">
        <v>3121</v>
      </c>
      <c r="B1684" s="202" t="s">
        <v>3122</v>
      </c>
      <c r="C1684" s="61" t="s">
        <v>3123</v>
      </c>
      <c r="D1684" s="209" t="str">
        <f t="shared" ref="D1684:D1747" si="33">LEFT(A1684,11)&amp;":"&amp;B1684&amp;C1684</f>
        <v>82 69 00 00:横行天下的倾奇者[武士套装]</v>
      </c>
    </row>
    <row r="1685" spans="1:4">
      <c r="A1685" s="61" t="s">
        <v>3124</v>
      </c>
      <c r="B1685" s="202" t="s">
        <v>3125</v>
      </c>
      <c r="C1685" s="61" t="s">
        <v>3123</v>
      </c>
      <c r="D1685" s="209" t="str">
        <f t="shared" si="33"/>
        <v>85 86 00 00:东国无双的荣耀[武士套装]</v>
      </c>
    </row>
    <row r="1686" spans="1:4">
      <c r="A1686" s="61" t="s">
        <v>3126</v>
      </c>
      <c r="B1686" s="202" t="s">
        <v>3127</v>
      </c>
      <c r="C1686" s="61" t="s">
        <v>3123</v>
      </c>
      <c r="D1686" s="209" t="str">
        <f t="shared" si="33"/>
        <v>60 E4 00 00:怪童丸[武士套装]</v>
      </c>
    </row>
    <row r="1687" spans="1:4">
      <c r="A1687" s="61" t="s">
        <v>3128</v>
      </c>
      <c r="B1687" s="202" t="s">
        <v>3129</v>
      </c>
      <c r="C1687" s="61" t="s">
        <v>3123</v>
      </c>
      <c r="D1687" s="209" t="str">
        <f t="shared" si="33"/>
        <v>69 85 00 00:军神的明鉴[武士套装]</v>
      </c>
    </row>
    <row r="1688" spans="1:4">
      <c r="A1688" s="61" t="s">
        <v>3130</v>
      </c>
      <c r="B1688" s="202" t="s">
        <v>3131</v>
      </c>
      <c r="C1688" s="61" t="s">
        <v>3123</v>
      </c>
      <c r="D1688" s="209" t="str">
        <f t="shared" si="33"/>
        <v>8A AE 00 00:风流才智之士[武士套装]</v>
      </c>
    </row>
    <row r="1689" spans="1:4">
      <c r="A1689" s="61" t="s">
        <v>3132</v>
      </c>
      <c r="B1689" s="202" t="s">
        <v>3133</v>
      </c>
      <c r="C1689" s="61" t="s">
        <v>3123</v>
      </c>
      <c r="D1689" s="209" t="str">
        <f t="shared" si="33"/>
        <v>E3 5A 00 00:七难八苦[武士套装]</v>
      </c>
    </row>
    <row r="1690" spans="1:4">
      <c r="A1690" s="61" t="s">
        <v>3134</v>
      </c>
      <c r="B1690" s="202" t="s">
        <v>3135</v>
      </c>
      <c r="C1690" s="61" t="s">
        <v>3123</v>
      </c>
      <c r="D1690" s="209" t="str">
        <f t="shared" si="33"/>
        <v>1B CD 00 00:三恶妄为[武士套装]</v>
      </c>
    </row>
    <row r="1691" spans="1:4">
      <c r="A1691" s="61" t="s">
        <v>3136</v>
      </c>
      <c r="B1691" s="202" t="s">
        <v>3137</v>
      </c>
      <c r="C1691" s="61" t="s">
        <v>3123</v>
      </c>
      <c r="D1691" s="209" t="str">
        <f t="shared" si="33"/>
        <v>AA 42 00 00:刚勇流离[武士套装]</v>
      </c>
    </row>
    <row r="1692" spans="1:4">
      <c r="A1692" s="61" t="s">
        <v>3138</v>
      </c>
      <c r="B1692" s="202" t="s">
        <v>3139</v>
      </c>
      <c r="C1692" s="61" t="s">
        <v>3123</v>
      </c>
      <c r="D1692" s="209" t="str">
        <f t="shared" si="33"/>
        <v>0B 38 00 00:赖光四天王之首[武士套装]</v>
      </c>
    </row>
    <row r="1693" spans="1:4">
      <c r="A1693" s="61" t="s">
        <v>3140</v>
      </c>
      <c r="B1693" s="202" t="s">
        <v>3141</v>
      </c>
      <c r="C1693" s="61" t="s">
        <v>3123</v>
      </c>
      <c r="D1693" s="209" t="str">
        <f t="shared" si="33"/>
        <v>97 E4 00 00:十一面观音的庇佑[武士套装]</v>
      </c>
    </row>
    <row r="1694" spans="1:4">
      <c r="A1694" s="61" t="s">
        <v>3142</v>
      </c>
      <c r="B1694" s="202" t="s">
        <v>3143</v>
      </c>
      <c r="C1694" s="61" t="s">
        <v>3123</v>
      </c>
      <c r="D1694" s="209" t="str">
        <f t="shared" si="33"/>
        <v>38 1D 00 00:坂上党的骄傲[武士套装]</v>
      </c>
    </row>
    <row r="1695" spans="1:4">
      <c r="A1695" s="61" t="s">
        <v>3144</v>
      </c>
      <c r="B1695" s="202" t="s">
        <v>3145</v>
      </c>
      <c r="C1695" s="61" t="s">
        <v>3123</v>
      </c>
      <c r="D1695" s="209" t="str">
        <f t="shared" si="33"/>
        <v>86 41 00 00:赤备的骄傲[武士套装]</v>
      </c>
    </row>
    <row r="1696" spans="1:4">
      <c r="A1696" s="61" t="s">
        <v>3146</v>
      </c>
      <c r="B1696" s="202" t="s">
        <v>3147</v>
      </c>
      <c r="C1696" s="61" t="s">
        <v>3123</v>
      </c>
      <c r="D1696" s="209" t="str">
        <f t="shared" si="33"/>
        <v>A5 32 00 00:梦想一刀[武士套装]</v>
      </c>
    </row>
    <row r="1697" spans="1:4">
      <c r="A1697" s="61" t="s">
        <v>3148</v>
      </c>
      <c r="B1697" s="202" t="s">
        <v>3149</v>
      </c>
      <c r="C1697" s="61" t="s">
        <v>3123</v>
      </c>
      <c r="D1697" s="209" t="str">
        <f t="shared" si="33"/>
        <v>A3 94 00 00:剑禅一致[武士套装]</v>
      </c>
    </row>
    <row r="1698" spans="1:4">
      <c r="A1698" s="61" t="s">
        <v>3150</v>
      </c>
      <c r="B1698" s="202" t="s">
        <v>3151</v>
      </c>
      <c r="C1698" s="61" t="s">
        <v>3123</v>
      </c>
      <c r="D1698" s="209" t="str">
        <f t="shared" si="33"/>
        <v>67 23 00 00:自得院流枪术[武士套装]</v>
      </c>
    </row>
    <row r="1699" spans="1:4">
      <c r="A1699" s="61" t="s">
        <v>3152</v>
      </c>
      <c r="B1699" s="202" t="s">
        <v>3153</v>
      </c>
      <c r="C1699" s="61" t="s">
        <v>3123</v>
      </c>
      <c r="D1699" s="209" t="str">
        <f t="shared" si="33"/>
        <v>AD C7 00 00:高岛流炮术[武士套装]</v>
      </c>
    </row>
    <row r="1700" spans="1:4">
      <c r="A1700" s="61" t="s">
        <v>3154</v>
      </c>
      <c r="B1700" s="202" t="s">
        <v>3155</v>
      </c>
      <c r="C1700" s="61" t="s">
        <v>3123</v>
      </c>
      <c r="D1700" s="209" t="str">
        <f t="shared" si="33"/>
        <v>01 7D 00 00:今川执权[武士套装]</v>
      </c>
    </row>
    <row r="1701" spans="1:4">
      <c r="A1701" s="61" t="s">
        <v>3156</v>
      </c>
      <c r="B1701" s="202" t="s">
        <v>3157</v>
      </c>
      <c r="C1701" s="61" t="s">
        <v>3123</v>
      </c>
      <c r="D1701" s="209" t="str">
        <f t="shared" si="33"/>
        <v>5A 72 00 00:太平先驱[武士套装]</v>
      </c>
    </row>
    <row r="1702" spans="1:4">
      <c r="A1702" s="61" t="s">
        <v>3158</v>
      </c>
      <c r="B1702" s="202" t="s">
        <v>3159</v>
      </c>
      <c r="C1702" s="61" t="s">
        <v>3123</v>
      </c>
      <c r="D1702" s="209" t="str">
        <f t="shared" si="33"/>
        <v>AB D8 00 00:聪慧心鬼[武士套装]</v>
      </c>
    </row>
    <row r="1703" spans="1:4">
      <c r="A1703" s="61" t="s">
        <v>3160</v>
      </c>
      <c r="B1703" s="202" t="s">
        <v>3161</v>
      </c>
      <c r="C1703" s="61" t="s">
        <v>3123</v>
      </c>
      <c r="D1703" s="209" t="str">
        <f t="shared" si="33"/>
        <v>4B EE 00 00:凋零勇将[武士套装]</v>
      </c>
    </row>
    <row r="1704" spans="1:4">
      <c r="A1704" s="61" t="s">
        <v>3162</v>
      </c>
      <c r="B1704" s="202" t="s">
        <v>3163</v>
      </c>
      <c r="C1704" s="61" t="s">
        <v>3123</v>
      </c>
      <c r="D1704" s="209" t="str">
        <f t="shared" si="33"/>
        <v>D3 A9 00 00:神君再临[武士套装]</v>
      </c>
    </row>
    <row r="1705" spans="1:4">
      <c r="A1705" s="61" t="s">
        <v>3164</v>
      </c>
      <c r="B1705" s="202" t="s">
        <v>3165</v>
      </c>
      <c r="C1705" s="61" t="s">
        <v>3123</v>
      </c>
      <c r="D1705" s="209" t="str">
        <f t="shared" si="33"/>
        <v>1D F4 00 00:二心将领[武士套装]</v>
      </c>
    </row>
    <row r="1706" spans="1:4">
      <c r="A1706" s="61" t="s">
        <v>3166</v>
      </c>
      <c r="B1706" s="202" t="s">
        <v>3167</v>
      </c>
      <c r="C1706" s="61" t="s">
        <v>3123</v>
      </c>
      <c r="D1706" s="209" t="str">
        <f t="shared" si="33"/>
        <v>08 E3 00 00:殿军名将[武士套装]</v>
      </c>
    </row>
    <row r="1707" spans="1:4">
      <c r="A1707" s="61" t="s">
        <v>3168</v>
      </c>
      <c r="B1707" s="202" t="s">
        <v>3169</v>
      </c>
      <c r="C1707" s="61" t="s">
        <v>3123</v>
      </c>
      <c r="D1707" s="209" t="str">
        <f t="shared" si="33"/>
        <v>24 D5 00 00:风林火山[武士套装]</v>
      </c>
    </row>
    <row r="1708" spans="1:4">
      <c r="A1708" s="61" t="s">
        <v>3170</v>
      </c>
      <c r="B1708" s="202" t="s">
        <v>3171</v>
      </c>
      <c r="C1708" s="61" t="s">
        <v>3123</v>
      </c>
      <c r="D1708" s="209" t="str">
        <f t="shared" si="33"/>
        <v>1A 68 00 00:一人当千之精锐[武士套装]</v>
      </c>
    </row>
    <row r="1709" spans="1:4">
      <c r="A1709" s="61" t="s">
        <v>3172</v>
      </c>
      <c r="B1709" s="202" t="s">
        <v>3173</v>
      </c>
      <c r="C1709" s="61" t="s">
        <v>3123</v>
      </c>
      <c r="D1709" s="209" t="str">
        <f t="shared" si="33"/>
        <v>BC 73 00 00:武家政权之基石[武士套装]</v>
      </c>
    </row>
    <row r="1710" spans="1:4">
      <c r="A1710" s="61" t="s">
        <v>3174</v>
      </c>
      <c r="B1710" s="202" t="s">
        <v>3175</v>
      </c>
      <c r="C1710" s="61" t="s">
        <v>3123</v>
      </c>
      <c r="D1710" s="209" t="str">
        <f t="shared" si="33"/>
        <v>74 FD 00 00:薄命之剑[武士套装]</v>
      </c>
    </row>
    <row r="1711" spans="1:4">
      <c r="A1711" s="61" t="s">
        <v>3176</v>
      </c>
      <c r="B1711" s="202" t="s">
        <v>3177</v>
      </c>
      <c r="C1711" s="61" t="s">
        <v>3123</v>
      </c>
      <c r="D1711" s="209" t="str">
        <f t="shared" si="33"/>
        <v>41 99 00 00:甲斐的副将[武士套装]</v>
      </c>
    </row>
    <row r="1712" spans="1:4">
      <c r="A1712" s="61" t="s">
        <v>3178</v>
      </c>
      <c r="B1712" s="202" t="s">
        <v>3179</v>
      </c>
      <c r="C1712" s="61" t="s">
        <v>3123</v>
      </c>
      <c r="D1712" s="209" t="str">
        <f t="shared" si="33"/>
        <v>CA 75 00 00:柳生表里剑[武士套装]</v>
      </c>
    </row>
    <row r="1713" spans="1:4">
      <c r="A1713" s="61" t="s">
        <v>3180</v>
      </c>
      <c r="B1713" s="202" t="s">
        <v>3181</v>
      </c>
      <c r="C1713" s="61" t="s">
        <v>3123</v>
      </c>
      <c r="D1713" s="209" t="str">
        <f t="shared" si="33"/>
        <v>06 2D 00 00:才智卓越[武士套装]</v>
      </c>
    </row>
    <row r="1714" spans="1:4">
      <c r="A1714" s="61" t="s">
        <v>3182</v>
      </c>
      <c r="B1714" s="202" t="s">
        <v>3183</v>
      </c>
      <c r="C1714" s="61" t="s">
        <v>3123</v>
      </c>
      <c r="D1714" s="209" t="str">
        <f t="shared" si="33"/>
        <v>63 D3 00 00:加贺百万石的荣华[武士套装]</v>
      </c>
    </row>
    <row r="1715" spans="1:4">
      <c r="A1715" s="61" t="s">
        <v>3184</v>
      </c>
      <c r="B1715" s="202" t="s">
        <v>3185</v>
      </c>
      <c r="C1715" s="61" t="s">
        <v>3123</v>
      </c>
      <c r="D1715" s="209" t="str">
        <f t="shared" si="33"/>
        <v>AD 70 00 00:天下副将军[武士套装]</v>
      </c>
    </row>
    <row r="1716" spans="1:4">
      <c r="A1716" s="61" t="s">
        <v>3186</v>
      </c>
      <c r="B1716" s="202" t="s">
        <v>3187</v>
      </c>
      <c r="C1716" s="61" t="s">
        <v>3123</v>
      </c>
      <c r="D1716" s="209" t="str">
        <f t="shared" si="33"/>
        <v>EF 95 00 00:烈火般的反骨[武士套装]</v>
      </c>
    </row>
    <row r="1717" spans="1:4">
      <c r="A1717" s="61" t="s">
        <v>3188</v>
      </c>
      <c r="B1717" s="202" t="s">
        <v>3189</v>
      </c>
      <c r="C1717" s="61" t="s">
        <v>3123</v>
      </c>
      <c r="D1717" s="209" t="str">
        <f t="shared" si="33"/>
        <v>C1 D8 00 00:伊贺越复仇的主导者[武士套装]</v>
      </c>
    </row>
    <row r="1718" spans="1:4">
      <c r="A1718" s="213" t="s">
        <v>3190</v>
      </c>
      <c r="B1718" s="202" t="s">
        <v>3191</v>
      </c>
      <c r="C1718" s="61" t="s">
        <v>3192</v>
      </c>
      <c r="D1718" s="209" t="str">
        <f t="shared" si="33"/>
        <v>CF B0 00 00:屠妖者[忍者套装]</v>
      </c>
    </row>
    <row r="1719" spans="1:4">
      <c r="A1719" s="61" t="s">
        <v>3193</v>
      </c>
      <c r="B1719" s="202" t="s">
        <v>3194</v>
      </c>
      <c r="C1719" s="61" t="s">
        <v>3192</v>
      </c>
      <c r="D1719" s="209" t="str">
        <f t="shared" si="33"/>
        <v>F7 91 00 00:神之祝子[忍者套装]</v>
      </c>
    </row>
    <row r="1720" spans="1:4">
      <c r="A1720" s="61" t="s">
        <v>3195</v>
      </c>
      <c r="B1720" s="202" t="s">
        <v>3196</v>
      </c>
      <c r="C1720" s="61" t="s">
        <v>3192</v>
      </c>
      <c r="D1720" s="209" t="str">
        <f t="shared" si="33"/>
        <v>F1 63 00 00:实行祓除者[忍者套装]</v>
      </c>
    </row>
    <row r="1721" spans="1:4">
      <c r="A1721" s="61" t="s">
        <v>3197</v>
      </c>
      <c r="B1721" s="202" t="s">
        <v>3198</v>
      </c>
      <c r="C1721" s="61" t="s">
        <v>3192</v>
      </c>
      <c r="D1721" s="209" t="str">
        <f t="shared" si="33"/>
        <v>08 50 00 00:伊贺忍者首领[忍者套装]</v>
      </c>
    </row>
    <row r="1722" spans="1:4">
      <c r="A1722" s="61" t="s">
        <v>3199</v>
      </c>
      <c r="B1722" s="202" t="s">
        <v>3200</v>
      </c>
      <c r="C1722" s="61" t="s">
        <v>3192</v>
      </c>
      <c r="D1722" s="209" t="str">
        <f t="shared" si="33"/>
        <v>26 B7 00 00:幻惑吞牛[忍者套装]</v>
      </c>
    </row>
    <row r="1723" spans="1:4">
      <c r="A1723" s="61" t="s">
        <v>3201</v>
      </c>
      <c r="B1723" s="202" t="s">
        <v>3202</v>
      </c>
      <c r="C1723" s="61" t="s">
        <v>3192</v>
      </c>
      <c r="D1723" s="209" t="str">
        <f t="shared" si="33"/>
        <v>04 8E 00 00:百鬼化身[忍者套装]</v>
      </c>
    </row>
    <row r="1724" spans="1:4">
      <c r="A1724" s="61" t="s">
        <v>3203</v>
      </c>
      <c r="B1724" s="202" t="s">
        <v>3204</v>
      </c>
      <c r="C1724" s="61" t="s">
        <v>3192</v>
      </c>
      <c r="D1724" s="209" t="str">
        <f t="shared" si="33"/>
        <v>1B B9 00 00:一射专心[忍者套装]</v>
      </c>
    </row>
    <row r="1725" spans="1:4">
      <c r="A1725" s="61" t="s">
        <v>3205</v>
      </c>
      <c r="B1725" s="202" t="s">
        <v>3206</v>
      </c>
      <c r="C1725" s="61" t="s">
        <v>3192</v>
      </c>
      <c r="D1725" s="209" t="str">
        <f t="shared" si="33"/>
        <v>43 7A 00 00:悲剧英雄[忍者套装]</v>
      </c>
    </row>
    <row r="1726" spans="1:4">
      <c r="A1726" s="61" t="s">
        <v>3207</v>
      </c>
      <c r="B1726" s="202" t="s">
        <v>3208</v>
      </c>
      <c r="C1726" s="61" t="s">
        <v>3192</v>
      </c>
      <c r="D1726" s="209" t="str">
        <f t="shared" si="33"/>
        <v>28 9D 00 00:显净土真实[忍者套装]</v>
      </c>
    </row>
    <row r="1727" spans="1:4">
      <c r="A1727" s="61" t="s">
        <v>3209</v>
      </c>
      <c r="B1727" s="202" t="s">
        <v>3210</v>
      </c>
      <c r="C1727" s="61" t="s">
        <v>3192</v>
      </c>
      <c r="D1727" s="209" t="str">
        <f t="shared" si="33"/>
        <v>A1 A7 00 00:怨恨盖世[忍者套装]</v>
      </c>
    </row>
    <row r="1728" spans="1:4">
      <c r="A1728" s="61" t="s">
        <v>3211</v>
      </c>
      <c r="B1728" s="202" t="s">
        <v>3212</v>
      </c>
      <c r="C1728" s="61" t="s">
        <v>3192</v>
      </c>
      <c r="D1728" s="209" t="str">
        <f t="shared" si="33"/>
        <v>BF EE 00 00:机智勇士[忍者套装]</v>
      </c>
    </row>
    <row r="1729" spans="1:4">
      <c r="A1729" s="61" t="s">
        <v>3213</v>
      </c>
      <c r="B1729" s="202" t="s">
        <v>3214</v>
      </c>
      <c r="C1729" s="61" t="s">
        <v>3192</v>
      </c>
      <c r="D1729" s="209" t="str">
        <f t="shared" si="33"/>
        <v>CC 5E 00 00:命运一射[忍者套装]</v>
      </c>
    </row>
    <row r="1730" spans="1:4">
      <c r="A1730" s="61" t="s">
        <v>3215</v>
      </c>
      <c r="B1730" s="202" t="s">
        <v>3216</v>
      </c>
      <c r="C1730" s="61" t="s">
        <v>3192</v>
      </c>
      <c r="D1730" s="209" t="str">
        <f t="shared" si="33"/>
        <v>86 4A 00 00:狡狯忠臣[忍者套装]</v>
      </c>
    </row>
    <row r="1731" spans="1:4">
      <c r="A1731" s="61" t="s">
        <v>3217</v>
      </c>
      <c r="B1731" s="202" t="s">
        <v>3218</v>
      </c>
      <c r="C1731" s="61" t="s">
        <v>3192</v>
      </c>
      <c r="D1731" s="209" t="str">
        <f t="shared" si="33"/>
        <v>9A 61 00 00:绝景哉[忍者套装]</v>
      </c>
    </row>
    <row r="1732" spans="1:4">
      <c r="A1732" s="61" t="s">
        <v>3219</v>
      </c>
      <c r="B1732" s="202" t="s">
        <v>3220</v>
      </c>
      <c r="C1732" s="61" t="s">
        <v>3192</v>
      </c>
      <c r="D1732" s="209" t="str">
        <f t="shared" si="33"/>
        <v>88 B7 00 00:伊贺后裔[忍者套装]</v>
      </c>
    </row>
    <row r="1733" spans="1:4">
      <c r="A1733" s="61" t="s">
        <v>3221</v>
      </c>
      <c r="B1733" s="202" t="s">
        <v>3222</v>
      </c>
      <c r="C1733" s="61" t="s">
        <v>3192</v>
      </c>
      <c r="D1733" s="209" t="str">
        <f t="shared" si="33"/>
        <v>C3 4C 00 00:奇策百出[忍者套装]</v>
      </c>
    </row>
    <row r="1734" spans="1:4">
      <c r="A1734" s="61" t="s">
        <v>3223</v>
      </c>
      <c r="B1734" s="202" t="s">
        <v>3224</v>
      </c>
      <c r="C1734" s="61" t="s">
        <v>3192</v>
      </c>
      <c r="D1734" s="209" t="str">
        <f t="shared" si="33"/>
        <v>48 12 00 00:肉户八重垣流[忍者套装]</v>
      </c>
    </row>
    <row r="1735" spans="1:4">
      <c r="A1735" s="61" t="s">
        <v>3225</v>
      </c>
      <c r="B1735" s="202" t="s">
        <v>3226</v>
      </c>
      <c r="C1735" s="61" t="s">
        <v>3192</v>
      </c>
      <c r="D1735" s="209" t="str">
        <f t="shared" si="33"/>
        <v>44 F8 00 00:弘法利生[忍者套装]</v>
      </c>
    </row>
    <row r="1736" spans="1:4">
      <c r="A1736" s="61" t="s">
        <v>3227</v>
      </c>
      <c r="B1736" s="202" t="s">
        <v>3228</v>
      </c>
      <c r="C1736" s="61" t="s">
        <v>3192</v>
      </c>
      <c r="D1736" s="209" t="str">
        <f t="shared" si="33"/>
        <v>6D 94 00 00:风魔的威名[忍者套装]</v>
      </c>
    </row>
    <row r="1737" spans="1:4">
      <c r="A1737" s="61" t="s">
        <v>3229</v>
      </c>
      <c r="B1737" s="202" t="s">
        <v>3230</v>
      </c>
      <c r="C1737" s="61" t="s">
        <v>3192</v>
      </c>
      <c r="D1737" s="209" t="str">
        <f t="shared" si="33"/>
        <v>50 C6 00 00:幕府密探总管[忍者套装]</v>
      </c>
    </row>
    <row r="1738" spans="1:4">
      <c r="A1738" s="61" t="s">
        <v>3231</v>
      </c>
      <c r="B1738" s="202" t="s">
        <v>3232</v>
      </c>
      <c r="C1738" s="61" t="s">
        <v>3192</v>
      </c>
      <c r="D1738" s="209" t="str">
        <f t="shared" si="33"/>
        <v>94 0B 00 00:柳生的暗行者[忍者套装]</v>
      </c>
    </row>
    <row r="1739" spans="1:4">
      <c r="A1739" s="61" t="s">
        <v>3233</v>
      </c>
      <c r="B1739" s="202" t="s">
        <v>3234</v>
      </c>
      <c r="C1739" s="61" t="s">
        <v>3192</v>
      </c>
      <c r="D1739" s="209" t="str">
        <f t="shared" si="33"/>
        <v>C4 E7 00 00:里体舍流总帅[忍者套装]</v>
      </c>
    </row>
    <row r="1740" spans="1:4">
      <c r="A1740" s="61" t="s">
        <v>3235</v>
      </c>
      <c r="B1740" s="202" t="s">
        <v>3236</v>
      </c>
      <c r="C1740" s="61" t="s">
        <v>3237</v>
      </c>
      <c r="D1740" s="209" t="str">
        <f t="shared" si="33"/>
        <v>E5 23 00 00:毘沙门天的恩宠[恩宠]</v>
      </c>
    </row>
    <row r="1741" spans="1:4">
      <c r="A1741" s="61" t="s">
        <v>3238</v>
      </c>
      <c r="B1741" s="202" t="s">
        <v>3239</v>
      </c>
      <c r="C1741" s="61" t="s">
        <v>3237</v>
      </c>
      <c r="D1741" s="209" t="str">
        <f t="shared" si="33"/>
        <v>E6 2A 00 00:弁才天的恩宠[恩宠]</v>
      </c>
    </row>
    <row r="1742" spans="1:4">
      <c r="A1742" s="61" t="s">
        <v>3240</v>
      </c>
      <c r="B1742" s="202" t="s">
        <v>3241</v>
      </c>
      <c r="C1742" s="61" t="s">
        <v>3237</v>
      </c>
      <c r="D1742" s="209" t="str">
        <f t="shared" si="33"/>
        <v>CC 8C 00 00:惠比寿的恩宠[恩宠]</v>
      </c>
    </row>
    <row r="1743" spans="1:4">
      <c r="A1743" s="61" t="s">
        <v>3242</v>
      </c>
      <c r="B1743" s="202" t="s">
        <v>3243</v>
      </c>
      <c r="C1743" s="61" t="s">
        <v>3237</v>
      </c>
      <c r="D1743" s="209" t="str">
        <f t="shared" si="33"/>
        <v>4F B2 00 00:寿老人的恩宠[恩宠]</v>
      </c>
    </row>
    <row r="1744" spans="1:4">
      <c r="A1744" s="61" t="s">
        <v>3244</v>
      </c>
      <c r="B1744" s="202" t="s">
        <v>3245</v>
      </c>
      <c r="C1744" s="61" t="s">
        <v>3237</v>
      </c>
      <c r="D1744" s="209" t="str">
        <f t="shared" si="33"/>
        <v>12 50 00 00:大黑天的恩宠[恩宠]</v>
      </c>
    </row>
    <row r="1745" spans="1:4">
      <c r="A1745" s="61" t="s">
        <v>3246</v>
      </c>
      <c r="B1745" s="202" t="s">
        <v>3247</v>
      </c>
      <c r="C1745" s="61" t="s">
        <v>3237</v>
      </c>
      <c r="D1745" s="209" t="str">
        <f t="shared" si="33"/>
        <v>EA 7B 00 00:福禄寿的恩宠[恩宠]</v>
      </c>
    </row>
    <row r="1746" spans="1:4">
      <c r="A1746" s="61" t="s">
        <v>3248</v>
      </c>
      <c r="B1746" s="202" t="s">
        <v>3249</v>
      </c>
      <c r="C1746" s="61" t="s">
        <v>3237</v>
      </c>
      <c r="D1746" s="209" t="str">
        <f t="shared" si="33"/>
        <v>0C 59 00 00:布袋尊的恩宠[恩宠]</v>
      </c>
    </row>
    <row r="1747" spans="1:4">
      <c r="A1747" s="61" t="s">
        <v>3250</v>
      </c>
      <c r="B1747" s="202" t="s">
        <v>3251</v>
      </c>
      <c r="C1747" s="61" t="s">
        <v>3237</v>
      </c>
      <c r="D1747" s="209" t="str">
        <f t="shared" si="33"/>
        <v>A3 4F 00 00:稻荷神的恩宠[恩宠]</v>
      </c>
    </row>
    <row r="1748" spans="1:4">
      <c r="A1748" s="61" t="s">
        <v>3252</v>
      </c>
      <c r="B1748" s="202" t="s">
        <v>3253</v>
      </c>
      <c r="C1748" s="61" t="s">
        <v>3237</v>
      </c>
      <c r="D1748" s="209" t="str">
        <f t="shared" ref="D1748:D1761" si="34">LEFT(A1748,11)&amp;":"&amp;B1748&amp;C1748</f>
        <v>E9 B1 00 00:八幡神的恩宠[恩宠]</v>
      </c>
    </row>
    <row r="1749" spans="1:4">
      <c r="A1749" s="61" t="s">
        <v>3254</v>
      </c>
      <c r="B1749" s="202" t="s">
        <v>3255</v>
      </c>
      <c r="C1749" s="61" t="s">
        <v>3237</v>
      </c>
      <c r="D1749" s="209" t="str">
        <f t="shared" si="34"/>
        <v>EB E8 00 00:九头龙的恩宠[恩宠]</v>
      </c>
    </row>
    <row r="1750" spans="1:4">
      <c r="A1750" s="61" t="s">
        <v>3256</v>
      </c>
      <c r="B1750" s="202" t="s">
        <v>3257</v>
      </c>
      <c r="C1750" s="61" t="s">
        <v>3258</v>
      </c>
      <c r="D1750" s="209" t="str">
        <f t="shared" si="34"/>
        <v>53 65 00 00:天照大神的恩宠[上位恩宠]</v>
      </c>
    </row>
    <row r="1751" spans="1:4">
      <c r="A1751" s="61" t="s">
        <v>3259</v>
      </c>
      <c r="B1751" s="202" t="s">
        <v>3260</v>
      </c>
      <c r="C1751" s="61" t="s">
        <v>3258</v>
      </c>
      <c r="D1751" s="209" t="str">
        <f t="shared" si="34"/>
        <v>68 CE 00 00:素盏鸣尊的恩宠[上位恩宠]</v>
      </c>
    </row>
    <row r="1752" spans="1:4">
      <c r="A1752" s="61" t="s">
        <v>3261</v>
      </c>
      <c r="B1752" s="202" t="s">
        <v>3262</v>
      </c>
      <c r="C1752" s="61" t="s">
        <v>3258</v>
      </c>
      <c r="D1752" s="209" t="str">
        <f t="shared" si="34"/>
        <v>BD BA 00 00:月读的恩宠[上位恩宠]</v>
      </c>
    </row>
    <row r="1753" spans="1:4">
      <c r="A1753" s="61" t="s">
        <v>3263</v>
      </c>
      <c r="B1753" s="202" t="s">
        <v>3264</v>
      </c>
      <c r="C1753" s="61" t="s">
        <v>3258</v>
      </c>
      <c r="D1753" s="209" t="str">
        <f t="shared" si="34"/>
        <v>E2 16 00 00:迦具土的恩宠[上位恩宠]</v>
      </c>
    </row>
    <row r="1754" spans="1:4">
      <c r="A1754" s="61" t="s">
        <v>3265</v>
      </c>
      <c r="B1754" s="202" t="s">
        <v>3266</v>
      </c>
      <c r="C1754" s="61" t="s">
        <v>3258</v>
      </c>
      <c r="D1754" s="209" t="str">
        <f t="shared" si="34"/>
        <v>EC 47 00 00:大绵津见的恩宠[上位恩宠]</v>
      </c>
    </row>
    <row r="1755" spans="1:4">
      <c r="A1755" s="61" t="s">
        <v>3267</v>
      </c>
      <c r="B1755" s="202" t="s">
        <v>3268</v>
      </c>
      <c r="C1755" s="61" t="s">
        <v>3258</v>
      </c>
      <c r="D1755" s="209" t="str">
        <f t="shared" si="34"/>
        <v>EA EE 00 00:建御雷的恩宠[上位恩宠]</v>
      </c>
    </row>
    <row r="1756" spans="1:4">
      <c r="A1756" s="61" t="s">
        <v>3269</v>
      </c>
      <c r="B1756" s="202" t="s">
        <v>3270</v>
      </c>
      <c r="C1756" s="61" t="s">
        <v>3258</v>
      </c>
      <c r="D1756" s="209" t="str">
        <f t="shared" si="34"/>
        <v>92 41 00 00:志那都彦的恩宠[上位恩宠]</v>
      </c>
    </row>
    <row r="1757" spans="1:4">
      <c r="A1757" s="61" t="s">
        <v>3271</v>
      </c>
      <c r="B1757" s="202" t="s">
        <v>3272</v>
      </c>
      <c r="C1757" s="61" t="s">
        <v>3258</v>
      </c>
      <c r="D1757" s="209" t="str">
        <f t="shared" si="34"/>
        <v>E4 4F 00 00:天钿女的恩宠[上位恩宠]</v>
      </c>
    </row>
    <row r="1758" spans="1:4">
      <c r="A1758" s="61" t="s">
        <v>3273</v>
      </c>
      <c r="B1758" s="202" t="s">
        <v>3274</v>
      </c>
      <c r="C1758" s="61" t="s">
        <v>3258</v>
      </c>
      <c r="D1758" s="209" t="str">
        <f t="shared" si="34"/>
        <v>61 EB 00 00:祸津日的恩宠[上位恩宠]</v>
      </c>
    </row>
    <row r="1759" spans="1:4">
      <c r="A1759" s="61" t="s">
        <v>3275</v>
      </c>
      <c r="B1759" s="202" t="s">
        <v>3276</v>
      </c>
      <c r="C1759" s="61" t="s">
        <v>3258</v>
      </c>
      <c r="D1759" s="209" t="str">
        <f t="shared" si="34"/>
        <v>CE 7E 00 00:摩利支天的恩宠[上位恩宠]</v>
      </c>
    </row>
    <row r="1760" spans="1:4">
      <c r="A1760" s="61" t="s">
        <v>3277</v>
      </c>
      <c r="B1760" s="202" t="s">
        <v>3278</v>
      </c>
      <c r="C1760" s="61" t="s">
        <v>3258</v>
      </c>
      <c r="D1760" s="209" t="str">
        <f t="shared" si="34"/>
        <v>F6 71 00 00:不动明王的恩宠[上位恩宠]</v>
      </c>
    </row>
  </sheetData>
  <autoFilter xmlns:etc="http://www.wps.cn/officeDocument/2017/etCustomData" ref="A1:C176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40"/>
  <sheetViews>
    <sheetView workbookViewId="0">
      <selection activeCell="H9" sqref="H9"/>
    </sheetView>
  </sheetViews>
  <sheetFormatPr defaultColWidth="9" defaultRowHeight="13.5" outlineLevelCol="6"/>
  <cols>
    <col min="1" max="3" width="16.375" style="14" customWidth="1"/>
    <col min="4" max="4" width="8.125" style="14" customWidth="1"/>
    <col min="5" max="5" width="36" style="14" customWidth="1"/>
    <col min="6" max="6" width="17.375" style="14" customWidth="1"/>
    <col min="7" max="7" width="54.5" style="52" hidden="1" customWidth="1"/>
    <col min="8" max="8" width="31.625" customWidth="1"/>
  </cols>
  <sheetData>
    <row r="1" ht="18.75" spans="1:7">
      <c r="A1" s="206" t="s">
        <v>3279</v>
      </c>
      <c r="B1" s="206" t="s">
        <v>3280</v>
      </c>
      <c r="C1" s="206" t="s">
        <v>3281</v>
      </c>
      <c r="D1" s="206" t="s">
        <v>3282</v>
      </c>
      <c r="E1" s="206" t="s">
        <v>3283</v>
      </c>
      <c r="F1" s="206" t="s">
        <v>3284</v>
      </c>
      <c r="G1" s="207" t="s">
        <v>3285</v>
      </c>
    </row>
    <row r="2" spans="1:7">
      <c r="A2" s="24" t="s">
        <v>3286</v>
      </c>
      <c r="B2" s="24" t="s">
        <v>3287</v>
      </c>
      <c r="C2" s="24" t="s">
        <v>3288</v>
      </c>
      <c r="D2" s="151" t="s">
        <v>3289</v>
      </c>
      <c r="E2" s="151" t="s">
        <v>3290</v>
      </c>
      <c r="F2" s="151"/>
      <c r="G2" s="52" t="str">
        <f t="shared" ref="G2:G65" si="0">D2&amp;":"&amp;E2</f>
        <v>BF 27:木刀</v>
      </c>
    </row>
    <row r="3" spans="1:7">
      <c r="A3" s="24" t="s">
        <v>3286</v>
      </c>
      <c r="B3" s="24" t="s">
        <v>3287</v>
      </c>
      <c r="C3" s="24" t="s">
        <v>3288</v>
      </c>
      <c r="D3" s="151" t="s">
        <v>3291</v>
      </c>
      <c r="E3" s="151" t="s">
        <v>3292</v>
      </c>
      <c r="F3" s="151"/>
      <c r="G3" s="52" t="str">
        <f t="shared" si="0"/>
        <v>F7 4B:备前传太刀</v>
      </c>
    </row>
    <row r="4" spans="1:7">
      <c r="A4" s="24" t="s">
        <v>3286</v>
      </c>
      <c r="B4" s="24" t="s">
        <v>3287</v>
      </c>
      <c r="C4" s="24" t="s">
        <v>3288</v>
      </c>
      <c r="D4" s="151" t="s">
        <v>3293</v>
      </c>
      <c r="E4" s="151" t="s">
        <v>3294</v>
      </c>
      <c r="F4" s="151"/>
      <c r="G4" s="52" t="str">
        <f t="shared" si="0"/>
        <v>A8 01:千手院太刀</v>
      </c>
    </row>
    <row r="5" spans="1:7">
      <c r="A5" s="24" t="s">
        <v>3286</v>
      </c>
      <c r="B5" s="24" t="s">
        <v>3287</v>
      </c>
      <c r="C5" s="24" t="s">
        <v>3288</v>
      </c>
      <c r="D5" s="151" t="s">
        <v>3295</v>
      </c>
      <c r="E5" s="151" t="s">
        <v>3296</v>
      </c>
      <c r="F5" s="151"/>
      <c r="G5" s="52" t="str">
        <f t="shared" si="0"/>
        <v>A0 93:备前长船</v>
      </c>
    </row>
    <row r="6" spans="1:7">
      <c r="A6" s="24" t="s">
        <v>3286</v>
      </c>
      <c r="B6" s="24" t="s">
        <v>3287</v>
      </c>
      <c r="C6" s="24" t="s">
        <v>3288</v>
      </c>
      <c r="D6" s="151" t="s">
        <v>3297</v>
      </c>
      <c r="E6" s="151" t="s">
        <v>3298</v>
      </c>
      <c r="F6" s="151"/>
      <c r="G6" s="52" t="str">
        <f t="shared" si="0"/>
        <v>B3 21:当麻国行</v>
      </c>
    </row>
    <row r="7" spans="1:7">
      <c r="A7" s="24" t="s">
        <v>3286</v>
      </c>
      <c r="B7" s="24" t="s">
        <v>3287</v>
      </c>
      <c r="C7" s="24" t="s">
        <v>3288</v>
      </c>
      <c r="D7" s="151" t="s">
        <v>3299</v>
      </c>
      <c r="E7" s="151" t="s">
        <v>3300</v>
      </c>
      <c r="F7" s="151"/>
      <c r="G7" s="52" t="str">
        <f t="shared" si="0"/>
        <v>AB E7:长船兼光</v>
      </c>
    </row>
    <row r="8" spans="1:7">
      <c r="A8" s="24" t="s">
        <v>3286</v>
      </c>
      <c r="B8" s="24" t="s">
        <v>3287</v>
      </c>
      <c r="C8" s="24" t="s">
        <v>3288</v>
      </c>
      <c r="D8" s="151" t="s">
        <v>3301</v>
      </c>
      <c r="E8" s="151" t="s">
        <v>3302</v>
      </c>
      <c r="F8" s="151"/>
      <c r="G8" s="52" t="str">
        <f t="shared" si="0"/>
        <v>A3 05:九字兼定</v>
      </c>
    </row>
    <row r="9" spans="1:7">
      <c r="A9" s="24" t="s">
        <v>3286</v>
      </c>
      <c r="B9" s="24" t="s">
        <v>3287</v>
      </c>
      <c r="C9" s="24" t="s">
        <v>3288</v>
      </c>
      <c r="D9" s="151" t="s">
        <v>3303</v>
      </c>
      <c r="E9" s="151" t="s">
        <v>3304</v>
      </c>
      <c r="F9" s="151"/>
      <c r="G9" s="52" t="str">
        <f t="shared" si="0"/>
        <v>5B 8D:甲斐国江</v>
      </c>
    </row>
    <row r="10" spans="1:7">
      <c r="A10" s="24" t="s">
        <v>3286</v>
      </c>
      <c r="B10" s="24" t="s">
        <v>3287</v>
      </c>
      <c r="C10" s="24" t="s">
        <v>3288</v>
      </c>
      <c r="D10" s="151" t="s">
        <v>3305</v>
      </c>
      <c r="E10" s="151" t="s">
        <v>3306</v>
      </c>
      <c r="F10" s="151"/>
      <c r="G10" s="52" t="str">
        <f t="shared" si="0"/>
        <v>6B A3:楚叶矢之剑</v>
      </c>
    </row>
    <row r="11" spans="1:7">
      <c r="A11" s="24" t="s">
        <v>3286</v>
      </c>
      <c r="B11" s="24" t="s">
        <v>3287</v>
      </c>
      <c r="C11" s="24" t="s">
        <v>3288</v>
      </c>
      <c r="D11" s="151" t="s">
        <v>3307</v>
      </c>
      <c r="E11" s="151" t="s">
        <v>3308</v>
      </c>
      <c r="F11" s="151"/>
      <c r="G11" s="52" t="str">
        <f t="shared" si="0"/>
        <v>25 DC:大天狗正家</v>
      </c>
    </row>
    <row r="12" spans="1:7">
      <c r="A12" s="24" t="s">
        <v>3286</v>
      </c>
      <c r="B12" s="24" t="s">
        <v>3287</v>
      </c>
      <c r="C12" s="24" t="s">
        <v>3288</v>
      </c>
      <c r="D12" s="151" t="s">
        <v>3309</v>
      </c>
      <c r="E12" s="151" t="s">
        <v>3310</v>
      </c>
      <c r="F12" s="151"/>
      <c r="G12" s="52" t="str">
        <f t="shared" si="0"/>
        <v>4D D1:薄绿</v>
      </c>
    </row>
    <row r="13" spans="1:7">
      <c r="A13" s="24" t="s">
        <v>3286</v>
      </c>
      <c r="B13" s="24" t="s">
        <v>3287</v>
      </c>
      <c r="C13" s="24" t="s">
        <v>3288</v>
      </c>
      <c r="D13" s="151" t="s">
        <v>3311</v>
      </c>
      <c r="E13" s="151" t="s">
        <v>3312</v>
      </c>
      <c r="F13" s="151"/>
      <c r="G13" s="52" t="str">
        <f t="shared" si="0"/>
        <v>D9 BD:鬼切</v>
      </c>
    </row>
    <row r="14" spans="1:7">
      <c r="A14" s="24" t="s">
        <v>3286</v>
      </c>
      <c r="B14" s="24" t="s">
        <v>3287</v>
      </c>
      <c r="C14" s="24" t="s">
        <v>3288</v>
      </c>
      <c r="D14" s="151" t="s">
        <v>3313</v>
      </c>
      <c r="E14" s="151" t="s">
        <v>3314</v>
      </c>
      <c r="F14" s="151"/>
      <c r="G14" s="52" t="str">
        <f t="shared" si="0"/>
        <v>BA 8F:童子切安纲</v>
      </c>
    </row>
    <row r="15" spans="1:7">
      <c r="A15" s="24" t="s">
        <v>3286</v>
      </c>
      <c r="B15" s="24" t="s">
        <v>3287</v>
      </c>
      <c r="C15" s="24" t="s">
        <v>3288</v>
      </c>
      <c r="D15" s="151" t="s">
        <v>3315</v>
      </c>
      <c r="E15" s="151" t="s">
        <v>3316</v>
      </c>
      <c r="F15" s="151"/>
      <c r="G15" s="52" t="str">
        <f t="shared" si="0"/>
        <v>1B F1:髭切</v>
      </c>
    </row>
    <row r="16" spans="1:7">
      <c r="A16" s="24" t="s">
        <v>3286</v>
      </c>
      <c r="B16" s="24" t="s">
        <v>3287</v>
      </c>
      <c r="C16" s="24" t="s">
        <v>3288</v>
      </c>
      <c r="D16" s="151" t="s">
        <v>3317</v>
      </c>
      <c r="E16" s="151" t="s">
        <v>3318</v>
      </c>
      <c r="F16" s="151"/>
      <c r="G16" s="52" t="str">
        <f t="shared" si="0"/>
        <v>80 ED:邪马台国之剑</v>
      </c>
    </row>
    <row r="17" spans="1:7">
      <c r="A17" s="24" t="s">
        <v>3286</v>
      </c>
      <c r="B17" s="24" t="s">
        <v>3287</v>
      </c>
      <c r="C17" s="24" t="s">
        <v>3288</v>
      </c>
      <c r="D17" s="151" t="s">
        <v>3319</v>
      </c>
      <c r="E17" s="151" t="s">
        <v>3320</v>
      </c>
      <c r="F17" s="151"/>
      <c r="G17" s="52" t="str">
        <f t="shared" si="0"/>
        <v>C3 7F:笑面青江</v>
      </c>
    </row>
    <row r="18" spans="1:7">
      <c r="A18" s="24" t="s">
        <v>3286</v>
      </c>
      <c r="B18" s="24" t="s">
        <v>3287</v>
      </c>
      <c r="C18" s="24" t="s">
        <v>3288</v>
      </c>
      <c r="D18" s="151" t="s">
        <v>3321</v>
      </c>
      <c r="E18" s="151" t="s">
        <v>3322</v>
      </c>
      <c r="F18" s="151"/>
      <c r="G18" s="52" t="str">
        <f t="shared" si="0"/>
        <v>7F 54:大典太光世</v>
      </c>
    </row>
    <row r="19" spans="1:7">
      <c r="A19" s="24" t="s">
        <v>3286</v>
      </c>
      <c r="B19" s="24" t="s">
        <v>3287</v>
      </c>
      <c r="C19" s="24" t="s">
        <v>3288</v>
      </c>
      <c r="D19" s="151" t="s">
        <v>3323</v>
      </c>
      <c r="E19" s="151" t="s">
        <v>3324</v>
      </c>
      <c r="F19" s="151"/>
      <c r="G19" s="52" t="str">
        <f t="shared" si="0"/>
        <v>48 24:加州清光</v>
      </c>
    </row>
    <row r="20" spans="1:7">
      <c r="A20" s="24" t="s">
        <v>3286</v>
      </c>
      <c r="B20" s="24" t="s">
        <v>3287</v>
      </c>
      <c r="C20" s="24" t="s">
        <v>3288</v>
      </c>
      <c r="D20" s="151" t="s">
        <v>3325</v>
      </c>
      <c r="E20" s="151" t="s">
        <v>3326</v>
      </c>
      <c r="F20" s="151"/>
      <c r="G20" s="52" t="str">
        <f t="shared" si="0"/>
        <v>23 F5:蜥蜴丸</v>
      </c>
    </row>
    <row r="21" spans="1:7">
      <c r="A21" s="24" t="s">
        <v>3286</v>
      </c>
      <c r="B21" s="24" t="s">
        <v>3287</v>
      </c>
      <c r="C21" s="24" t="s">
        <v>3288</v>
      </c>
      <c r="D21" s="151" t="s">
        <v>3327</v>
      </c>
      <c r="E21" s="151" t="s">
        <v>3328</v>
      </c>
      <c r="F21" s="151"/>
      <c r="G21" s="52" t="str">
        <f t="shared" si="0"/>
        <v>3C 9C:长曾祢虎彻</v>
      </c>
    </row>
    <row r="22" spans="1:7">
      <c r="A22" s="24" t="s">
        <v>3286</v>
      </c>
      <c r="B22" s="24" t="s">
        <v>3287</v>
      </c>
      <c r="C22" s="24" t="s">
        <v>3288</v>
      </c>
      <c r="D22" s="151" t="s">
        <v>3329</v>
      </c>
      <c r="E22" s="151" t="s">
        <v>3330</v>
      </c>
      <c r="F22" s="151"/>
      <c r="G22" s="52" t="str">
        <f t="shared" si="0"/>
        <v>1E E6:鬼丸国纲</v>
      </c>
    </row>
    <row r="23" spans="1:7">
      <c r="A23" s="24" t="s">
        <v>3286</v>
      </c>
      <c r="B23" s="24" t="s">
        <v>3287</v>
      </c>
      <c r="C23" s="24" t="s">
        <v>3288</v>
      </c>
      <c r="D23" s="151" t="s">
        <v>3331</v>
      </c>
      <c r="E23" s="151" t="s">
        <v>3332</v>
      </c>
      <c r="F23" s="151"/>
      <c r="G23" s="52" t="str">
        <f t="shared" si="0"/>
        <v>0F 1B:家光的装饰刀</v>
      </c>
    </row>
    <row r="24" spans="1:7">
      <c r="A24" s="24" t="s">
        <v>3286</v>
      </c>
      <c r="B24" s="24" t="s">
        <v>3287</v>
      </c>
      <c r="C24" s="24" t="s">
        <v>3288</v>
      </c>
      <c r="D24" s="151" t="s">
        <v>3333</v>
      </c>
      <c r="E24" s="151" t="s">
        <v>3334</v>
      </c>
      <c r="F24" s="151"/>
      <c r="G24" s="52" t="str">
        <f t="shared" si="0"/>
        <v>D9 11:处斩丽刀</v>
      </c>
    </row>
    <row r="25" spans="1:7">
      <c r="A25" s="24" t="s">
        <v>3286</v>
      </c>
      <c r="B25" s="24" t="s">
        <v>3287</v>
      </c>
      <c r="C25" s="24" t="s">
        <v>3288</v>
      </c>
      <c r="D25" s="151" t="s">
        <v>3335</v>
      </c>
      <c r="E25" s="151" t="s">
        <v>3336</v>
      </c>
      <c r="F25" s="151"/>
      <c r="G25" s="52" t="str">
        <f t="shared" si="0"/>
        <v>D4 C0:狱妖刀</v>
      </c>
    </row>
    <row r="26" spans="1:7">
      <c r="A26" s="24" t="s">
        <v>3286</v>
      </c>
      <c r="B26" s="24" t="s">
        <v>3287</v>
      </c>
      <c r="C26" s="24" t="s">
        <v>3288</v>
      </c>
      <c r="D26" s="151" t="s">
        <v>3337</v>
      </c>
      <c r="E26" s="151" t="s">
        <v>3338</v>
      </c>
      <c r="F26" s="151"/>
      <c r="G26" s="52" t="str">
        <f t="shared" si="0"/>
        <v>28 C9:长船近景</v>
      </c>
    </row>
    <row r="27" spans="1:7">
      <c r="A27" s="24" t="s">
        <v>3286</v>
      </c>
      <c r="B27" s="24" t="s">
        <v>3287</v>
      </c>
      <c r="C27" s="24" t="s">
        <v>3339</v>
      </c>
      <c r="D27" s="151" t="s">
        <v>3340</v>
      </c>
      <c r="E27" s="151" t="s">
        <v>3341</v>
      </c>
      <c r="F27" s="151"/>
      <c r="G27" s="52" t="str">
        <f t="shared" si="0"/>
        <v>2F 66:双木刀</v>
      </c>
    </row>
    <row r="28" spans="1:7">
      <c r="A28" s="24" t="s">
        <v>3286</v>
      </c>
      <c r="B28" s="24" t="s">
        <v>3287</v>
      </c>
      <c r="C28" s="24" t="s">
        <v>3339</v>
      </c>
      <c r="D28" s="151" t="s">
        <v>3342</v>
      </c>
      <c r="E28" s="151" t="s">
        <v>3343</v>
      </c>
      <c r="F28" s="151"/>
      <c r="G28" s="52" t="str">
        <f t="shared" si="0"/>
        <v>67 41:美浓传太刀双刀</v>
      </c>
    </row>
    <row r="29" spans="1:7">
      <c r="A29" s="24" t="s">
        <v>3286</v>
      </c>
      <c r="B29" s="24" t="s">
        <v>3287</v>
      </c>
      <c r="C29" s="24" t="s">
        <v>3339</v>
      </c>
      <c r="D29" s="151" t="s">
        <v>3344</v>
      </c>
      <c r="E29" s="151" t="s">
        <v>3345</v>
      </c>
      <c r="F29" s="151"/>
      <c r="G29" s="52" t="str">
        <f t="shared" si="0"/>
        <v>46 B4:相州传太刀双刀</v>
      </c>
    </row>
    <row r="30" spans="1:7">
      <c r="A30" s="24" t="s">
        <v>3286</v>
      </c>
      <c r="B30" s="24" t="s">
        <v>3287</v>
      </c>
      <c r="C30" s="24" t="s">
        <v>3339</v>
      </c>
      <c r="D30" s="151" t="s">
        <v>3346</v>
      </c>
      <c r="E30" s="151" t="s">
        <v>3347</v>
      </c>
      <c r="F30" s="151"/>
      <c r="G30" s="52" t="str">
        <f t="shared" si="0"/>
        <v>C0 86:关物太刀双刀</v>
      </c>
    </row>
    <row r="31" spans="1:7">
      <c r="A31" s="24" t="s">
        <v>3286</v>
      </c>
      <c r="B31" s="24" t="s">
        <v>3287</v>
      </c>
      <c r="C31" s="24" t="s">
        <v>3339</v>
      </c>
      <c r="D31" s="151" t="s">
        <v>3348</v>
      </c>
      <c r="E31" s="151" t="s">
        <v>3349</v>
      </c>
      <c r="F31" s="151"/>
      <c r="G31" s="52" t="str">
        <f t="shared" si="0"/>
        <v>CE 3A:地狱锯</v>
      </c>
    </row>
    <row r="32" spans="1:7">
      <c r="A32" s="24" t="s">
        <v>3286</v>
      </c>
      <c r="B32" s="24" t="s">
        <v>3287</v>
      </c>
      <c r="C32" s="24" t="s">
        <v>3339</v>
      </c>
      <c r="D32" s="151" t="s">
        <v>3350</v>
      </c>
      <c r="E32" s="151" t="s">
        <v>3351</v>
      </c>
      <c r="F32" s="151"/>
      <c r="G32" s="52" t="str">
        <f t="shared" si="0"/>
        <v>22 6C:关兼则双刀</v>
      </c>
    </row>
    <row r="33" spans="1:7">
      <c r="A33" s="24" t="s">
        <v>3286</v>
      </c>
      <c r="B33" s="24" t="s">
        <v>3287</v>
      </c>
      <c r="C33" s="24" t="s">
        <v>3339</v>
      </c>
      <c r="D33" s="151" t="s">
        <v>3352</v>
      </c>
      <c r="E33" s="151" t="s">
        <v>3353</v>
      </c>
      <c r="F33" s="151"/>
      <c r="G33" s="52" t="str">
        <f t="shared" si="0"/>
        <v>E7 CD:御一门众双刀</v>
      </c>
    </row>
    <row r="34" spans="1:7">
      <c r="A34" s="24" t="s">
        <v>3286</v>
      </c>
      <c r="B34" s="24" t="s">
        <v>3287</v>
      </c>
      <c r="C34" s="24" t="s">
        <v>3339</v>
      </c>
      <c r="D34" s="151" t="s">
        <v>3354</v>
      </c>
      <c r="E34" s="151" t="s">
        <v>3355</v>
      </c>
      <c r="F34" s="151"/>
      <c r="G34" s="52" t="str">
        <f t="shared" si="0"/>
        <v>1D 7B:染血双锲</v>
      </c>
    </row>
    <row r="35" spans="1:7">
      <c r="A35" s="24" t="s">
        <v>3286</v>
      </c>
      <c r="B35" s="24" t="s">
        <v>3287</v>
      </c>
      <c r="C35" s="24" t="s">
        <v>3339</v>
      </c>
      <c r="D35" s="151" t="s">
        <v>3356</v>
      </c>
      <c r="E35" s="151" t="s">
        <v>3357</v>
      </c>
      <c r="F35" s="151"/>
      <c r="G35" s="52" t="str">
        <f t="shared" si="0"/>
        <v>29 E1:山姥菜刀</v>
      </c>
    </row>
    <row r="36" spans="1:7">
      <c r="A36" s="24" t="s">
        <v>3286</v>
      </c>
      <c r="B36" s="24" t="s">
        <v>3287</v>
      </c>
      <c r="C36" s="24" t="s">
        <v>3339</v>
      </c>
      <c r="D36" s="151" t="s">
        <v>3358</v>
      </c>
      <c r="E36" s="151" t="s">
        <v>3359</v>
      </c>
      <c r="F36" s="151"/>
      <c r="G36" s="52" t="str">
        <f t="shared" si="0"/>
        <v>F4 C6:不动国行·药研藤四郎</v>
      </c>
    </row>
    <row r="37" spans="1:7">
      <c r="A37" s="24" t="s">
        <v>3286</v>
      </c>
      <c r="B37" s="24" t="s">
        <v>3287</v>
      </c>
      <c r="C37" s="24" t="s">
        <v>3339</v>
      </c>
      <c r="D37" s="151" t="s">
        <v>3360</v>
      </c>
      <c r="E37" s="151" t="s">
        <v>3361</v>
      </c>
      <c r="F37" s="151"/>
      <c r="G37" s="52" t="str">
        <f t="shared" si="0"/>
        <v>12 0A:狮子王·骨食</v>
      </c>
    </row>
    <row r="38" spans="1:7">
      <c r="A38" s="24" t="s">
        <v>3286</v>
      </c>
      <c r="B38" s="24" t="s">
        <v>3287</v>
      </c>
      <c r="C38" s="24" t="s">
        <v>3339</v>
      </c>
      <c r="D38" s="151" t="s">
        <v>3362</v>
      </c>
      <c r="E38" s="151" t="s">
        <v>3363</v>
      </c>
      <c r="F38" s="151"/>
      <c r="G38" s="52" t="str">
        <f t="shared" si="0"/>
        <v>D6 3A:弟君双刀</v>
      </c>
    </row>
    <row r="39" spans="1:7">
      <c r="A39" s="24" t="s">
        <v>3286</v>
      </c>
      <c r="B39" s="24" t="s">
        <v>3287</v>
      </c>
      <c r="C39" s="24" t="s">
        <v>3339</v>
      </c>
      <c r="D39" s="151" t="s">
        <v>3364</v>
      </c>
      <c r="E39" s="151" t="s">
        <v>3365</v>
      </c>
      <c r="F39" s="151"/>
      <c r="G39" s="52" t="str">
        <f t="shared" si="0"/>
        <v>96 24:大般若长光·刨切</v>
      </c>
    </row>
    <row r="40" spans="1:7">
      <c r="A40" s="24" t="s">
        <v>3286</v>
      </c>
      <c r="B40" s="24" t="s">
        <v>3287</v>
      </c>
      <c r="C40" s="24" t="s">
        <v>3339</v>
      </c>
      <c r="D40" s="151" t="s">
        <v>3366</v>
      </c>
      <c r="E40" s="151" t="s">
        <v>3367</v>
      </c>
      <c r="F40" s="151"/>
      <c r="G40" s="52" t="str">
        <f t="shared" si="0"/>
        <v>25 C5:来国次双刀</v>
      </c>
    </row>
    <row r="41" spans="1:7">
      <c r="A41" s="24" t="s">
        <v>3286</v>
      </c>
      <c r="B41" s="24" t="s">
        <v>3287</v>
      </c>
      <c r="C41" s="24" t="s">
        <v>3339</v>
      </c>
      <c r="D41" s="151" t="s">
        <v>3368</v>
      </c>
      <c r="E41" s="151" t="s">
        <v>3369</v>
      </c>
      <c r="F41" s="151"/>
      <c r="G41" s="52" t="str">
        <f t="shared" si="0"/>
        <v>D3 95:和泉守兼定·葵纹越前康继</v>
      </c>
    </row>
    <row r="42" spans="1:7">
      <c r="A42" s="24" t="s">
        <v>3286</v>
      </c>
      <c r="B42" s="24" t="s">
        <v>3287</v>
      </c>
      <c r="C42" s="24" t="s">
        <v>3339</v>
      </c>
      <c r="D42" s="151" t="s">
        <v>3370</v>
      </c>
      <c r="E42" s="151" t="s">
        <v>3371</v>
      </c>
      <c r="F42" s="151"/>
      <c r="G42" s="52" t="str">
        <f t="shared" si="0"/>
        <v>DA A7:本庄正宗·军刀</v>
      </c>
    </row>
    <row r="43" spans="1:7">
      <c r="A43" s="24" t="s">
        <v>3286</v>
      </c>
      <c r="B43" s="24" t="s">
        <v>3287</v>
      </c>
      <c r="C43" s="24" t="s">
        <v>3339</v>
      </c>
      <c r="D43" s="151" t="s">
        <v>3372</v>
      </c>
      <c r="E43" s="151" t="s">
        <v>3373</v>
      </c>
      <c r="F43" s="151"/>
      <c r="G43" s="52" t="str">
        <f t="shared" si="0"/>
        <v>96 E8:一期一振·亲子藤四郎</v>
      </c>
    </row>
    <row r="44" spans="1:7">
      <c r="A44" s="24" t="s">
        <v>3286</v>
      </c>
      <c r="B44" s="24" t="s">
        <v>3287</v>
      </c>
      <c r="C44" s="24" t="s">
        <v>3339</v>
      </c>
      <c r="D44" s="151" t="s">
        <v>3374</v>
      </c>
      <c r="E44" s="151" t="s">
        <v>3375</v>
      </c>
      <c r="F44" s="151"/>
      <c r="G44" s="52" t="str">
        <f t="shared" si="0"/>
        <v>C1 27:狱妖双刀</v>
      </c>
    </row>
    <row r="45" spans="1:7">
      <c r="A45" s="24" t="s">
        <v>3286</v>
      </c>
      <c r="B45" s="24" t="s">
        <v>3287</v>
      </c>
      <c r="C45" s="24" t="s">
        <v>3339</v>
      </c>
      <c r="D45" s="151" t="s">
        <v>3376</v>
      </c>
      <c r="E45" s="151" t="s">
        <v>3377</v>
      </c>
      <c r="F45" s="151"/>
      <c r="G45" s="52" t="str">
        <f t="shared" si="0"/>
        <v>86 9B:法桥来金道·宇多国光</v>
      </c>
    </row>
    <row r="46" spans="1:7">
      <c r="A46" s="24" t="s">
        <v>3286</v>
      </c>
      <c r="B46" s="24" t="s">
        <v>3287</v>
      </c>
      <c r="C46" s="24" t="s">
        <v>3378</v>
      </c>
      <c r="D46" s="151" t="s">
        <v>3379</v>
      </c>
      <c r="E46" s="151" t="s">
        <v>3380</v>
      </c>
      <c r="F46" s="151"/>
      <c r="G46" s="52" t="str">
        <f t="shared" si="0"/>
        <v>7D 80:木枪</v>
      </c>
    </row>
    <row r="47" spans="1:7">
      <c r="A47" s="24" t="s">
        <v>3286</v>
      </c>
      <c r="B47" s="24" t="s">
        <v>3287</v>
      </c>
      <c r="C47" s="24" t="s">
        <v>3378</v>
      </c>
      <c r="D47" s="151" t="s">
        <v>3381</v>
      </c>
      <c r="E47" s="151" t="s">
        <v>3382</v>
      </c>
      <c r="F47" s="151"/>
      <c r="G47" s="52" t="str">
        <f t="shared" si="0"/>
        <v>93 FB:长枪</v>
      </c>
    </row>
    <row r="48" spans="1:7">
      <c r="A48" s="24" t="s">
        <v>3286</v>
      </c>
      <c r="B48" s="24" t="s">
        <v>3287</v>
      </c>
      <c r="C48" s="24" t="s">
        <v>3378</v>
      </c>
      <c r="D48" s="151" t="s">
        <v>3383</v>
      </c>
      <c r="E48" s="151" t="s">
        <v>3384</v>
      </c>
      <c r="F48" s="151"/>
      <c r="G48" s="52" t="str">
        <f t="shared" si="0"/>
        <v>44 E0:数枪</v>
      </c>
    </row>
    <row r="49" spans="1:7">
      <c r="A49" s="24" t="s">
        <v>3286</v>
      </c>
      <c r="B49" s="24" t="s">
        <v>3287</v>
      </c>
      <c r="C49" s="24" t="s">
        <v>3378</v>
      </c>
      <c r="D49" s="151" t="s">
        <v>3385</v>
      </c>
      <c r="E49" s="151" t="s">
        <v>3386</v>
      </c>
      <c r="F49" s="151"/>
      <c r="G49" s="52" t="str">
        <f t="shared" si="0"/>
        <v>DA 04:单镰枪</v>
      </c>
    </row>
    <row r="50" spans="1:7">
      <c r="A50" s="24" t="s">
        <v>3286</v>
      </c>
      <c r="B50" s="24" t="s">
        <v>3287</v>
      </c>
      <c r="C50" s="24" t="s">
        <v>3378</v>
      </c>
      <c r="D50" s="151" t="s">
        <v>3387</v>
      </c>
      <c r="E50" s="151" t="s">
        <v>3388</v>
      </c>
      <c r="F50" s="151"/>
      <c r="G50" s="52" t="str">
        <f t="shared" si="0"/>
        <v>BC 6C:万骨</v>
      </c>
    </row>
    <row r="51" spans="1:7">
      <c r="A51" s="24" t="s">
        <v>3286</v>
      </c>
      <c r="B51" s="24" t="s">
        <v>3287</v>
      </c>
      <c r="C51" s="24" t="s">
        <v>3378</v>
      </c>
      <c r="D51" s="151" t="s">
        <v>3389</v>
      </c>
      <c r="E51" s="151" t="s">
        <v>3390</v>
      </c>
      <c r="F51" s="151"/>
      <c r="G51" s="52" t="str">
        <f t="shared" si="0"/>
        <v>07 39:十字枪</v>
      </c>
    </row>
    <row r="52" spans="1:7">
      <c r="A52" s="24" t="s">
        <v>3286</v>
      </c>
      <c r="B52" s="24" t="s">
        <v>3287</v>
      </c>
      <c r="C52" s="24" t="s">
        <v>3378</v>
      </c>
      <c r="D52" s="151" t="s">
        <v>3391</v>
      </c>
      <c r="E52" s="151" t="s">
        <v>3392</v>
      </c>
      <c r="F52" s="151"/>
      <c r="G52" s="52" t="str">
        <f t="shared" si="0"/>
        <v>CE 07:组长之枪</v>
      </c>
    </row>
    <row r="53" spans="1:7">
      <c r="A53" s="24" t="s">
        <v>3286</v>
      </c>
      <c r="B53" s="24" t="s">
        <v>3287</v>
      </c>
      <c r="C53" s="24" t="s">
        <v>3378</v>
      </c>
      <c r="D53" s="151" t="s">
        <v>3393</v>
      </c>
      <c r="E53" s="151" t="s">
        <v>3394</v>
      </c>
      <c r="F53" s="151"/>
      <c r="G53" s="52" t="str">
        <f t="shared" si="0"/>
        <v>E4 30:侍童十字枪</v>
      </c>
    </row>
    <row r="54" spans="1:7">
      <c r="A54" s="24" t="s">
        <v>3286</v>
      </c>
      <c r="B54" s="24" t="s">
        <v>3287</v>
      </c>
      <c r="C54" s="24" t="s">
        <v>3378</v>
      </c>
      <c r="D54" s="151" t="s">
        <v>3395</v>
      </c>
      <c r="E54" s="151" t="s">
        <v>3396</v>
      </c>
      <c r="F54" s="151"/>
      <c r="G54" s="52" t="str">
        <f t="shared" si="0"/>
        <v>76 65:小松明</v>
      </c>
    </row>
    <row r="55" spans="1:7">
      <c r="A55" s="24" t="s">
        <v>3286</v>
      </c>
      <c r="B55" s="24" t="s">
        <v>3287</v>
      </c>
      <c r="C55" s="24" t="s">
        <v>3378</v>
      </c>
      <c r="D55" s="151" t="s">
        <v>3397</v>
      </c>
      <c r="E55" s="151" t="s">
        <v>3398</v>
      </c>
      <c r="F55" s="151"/>
      <c r="G55" s="52" t="str">
        <f t="shared" si="0"/>
        <v>E5 67:武者十字枪</v>
      </c>
    </row>
    <row r="56" spans="1:7">
      <c r="A56" s="24" t="s">
        <v>3286</v>
      </c>
      <c r="B56" s="24" t="s">
        <v>3287</v>
      </c>
      <c r="C56" s="24" t="s">
        <v>3378</v>
      </c>
      <c r="D56" s="151" t="s">
        <v>3399</v>
      </c>
      <c r="E56" s="151" t="s">
        <v>3400</v>
      </c>
      <c r="F56" s="151"/>
      <c r="G56" s="52" t="str">
        <f t="shared" si="0"/>
        <v>0B 5A:古笼火之枪</v>
      </c>
    </row>
    <row r="57" spans="1:7">
      <c r="A57" s="24" t="s">
        <v>3286</v>
      </c>
      <c r="B57" s="24" t="s">
        <v>3287</v>
      </c>
      <c r="C57" s="24" t="s">
        <v>3378</v>
      </c>
      <c r="D57" s="151" t="s">
        <v>3401</v>
      </c>
      <c r="E57" s="151" t="s">
        <v>3402</v>
      </c>
      <c r="F57" s="151"/>
      <c r="G57" s="52" t="str">
        <f t="shared" si="0"/>
        <v>95 76:步兵大将之枪</v>
      </c>
    </row>
    <row r="58" spans="1:7">
      <c r="A58" s="24" t="s">
        <v>3286</v>
      </c>
      <c r="B58" s="24" t="s">
        <v>3287</v>
      </c>
      <c r="C58" s="24" t="s">
        <v>3378</v>
      </c>
      <c r="D58" s="151" t="s">
        <v>3403</v>
      </c>
      <c r="E58" s="151" t="s">
        <v>3404</v>
      </c>
      <c r="F58" s="151"/>
      <c r="G58" s="52" t="str">
        <f t="shared" si="0"/>
        <v>65 5B:牛角十字枪</v>
      </c>
    </row>
    <row r="59" spans="1:7">
      <c r="A59" s="24" t="s">
        <v>3286</v>
      </c>
      <c r="B59" s="24" t="s">
        <v>3287</v>
      </c>
      <c r="C59" s="24" t="s">
        <v>3378</v>
      </c>
      <c r="D59" s="151" t="s">
        <v>3405</v>
      </c>
      <c r="E59" s="151" t="s">
        <v>3406</v>
      </c>
      <c r="F59" s="151"/>
      <c r="G59" s="52" t="str">
        <f t="shared" si="0"/>
        <v>D6 E8:蜻玲切</v>
      </c>
    </row>
    <row r="60" spans="1:7">
      <c r="A60" s="24" t="s">
        <v>3286</v>
      </c>
      <c r="B60" s="24" t="s">
        <v>3287</v>
      </c>
      <c r="C60" s="24" t="s">
        <v>3378</v>
      </c>
      <c r="D60" s="151" t="s">
        <v>3407</v>
      </c>
      <c r="E60" s="151" t="s">
        <v>3408</v>
      </c>
      <c r="F60" s="151"/>
      <c r="G60" s="52" t="str">
        <f t="shared" si="0"/>
        <v>4D F7:穿岩十字枪</v>
      </c>
    </row>
    <row r="61" spans="1:7">
      <c r="A61" s="24" t="s">
        <v>3286</v>
      </c>
      <c r="B61" s="24" t="s">
        <v>3287</v>
      </c>
      <c r="C61" s="24" t="s">
        <v>3378</v>
      </c>
      <c r="D61" s="151" t="s">
        <v>3409</v>
      </c>
      <c r="E61" s="151" t="s">
        <v>3410</v>
      </c>
      <c r="F61" s="151"/>
      <c r="G61" s="52" t="str">
        <f t="shared" si="0"/>
        <v>19 FD:瓮通枪</v>
      </c>
    </row>
    <row r="62" spans="1:7">
      <c r="A62" s="24" t="s">
        <v>3286</v>
      </c>
      <c r="B62" s="24" t="s">
        <v>3287</v>
      </c>
      <c r="C62" s="24" t="s">
        <v>3378</v>
      </c>
      <c r="D62" s="151" t="s">
        <v>3411</v>
      </c>
      <c r="E62" s="151" t="s">
        <v>3412</v>
      </c>
      <c r="F62" s="151"/>
      <c r="G62" s="52" t="str">
        <f t="shared" si="0"/>
        <v>E8 F6:千鸟十字枪</v>
      </c>
    </row>
    <row r="63" spans="1:7">
      <c r="A63" s="24" t="s">
        <v>3286</v>
      </c>
      <c r="B63" s="24" t="s">
        <v>3287</v>
      </c>
      <c r="C63" s="24" t="s">
        <v>3378</v>
      </c>
      <c r="D63" s="151" t="s">
        <v>3413</v>
      </c>
      <c r="E63" s="151" t="s">
        <v>3414</v>
      </c>
      <c r="F63" s="151"/>
      <c r="G63" s="52" t="str">
        <f t="shared" si="0"/>
        <v>50 72:人间无骨</v>
      </c>
    </row>
    <row r="64" spans="1:7">
      <c r="A64" s="24" t="s">
        <v>3286</v>
      </c>
      <c r="B64" s="24" t="s">
        <v>3287</v>
      </c>
      <c r="C64" s="24" t="s">
        <v>3378</v>
      </c>
      <c r="D64" s="151" t="s">
        <v>3415</v>
      </c>
      <c r="E64" s="151" t="s">
        <v>3416</v>
      </c>
      <c r="F64" s="151"/>
      <c r="G64" s="52" t="str">
        <f t="shared" si="0"/>
        <v>9D A3:鬼半藏之枪</v>
      </c>
    </row>
    <row r="65" spans="1:7">
      <c r="A65" s="24" t="s">
        <v>3286</v>
      </c>
      <c r="B65" s="24" t="s">
        <v>3287</v>
      </c>
      <c r="C65" s="24" t="s">
        <v>3378</v>
      </c>
      <c r="D65" s="151" t="s">
        <v>3417</v>
      </c>
      <c r="E65" s="151" t="s">
        <v>3418</v>
      </c>
      <c r="F65" s="151"/>
      <c r="G65" s="52" t="str">
        <f t="shared" si="0"/>
        <v>94 E5:御手杵</v>
      </c>
    </row>
    <row r="66" spans="1:7">
      <c r="A66" s="24" t="s">
        <v>3286</v>
      </c>
      <c r="B66" s="24" t="s">
        <v>3287</v>
      </c>
      <c r="C66" s="24" t="s">
        <v>3378</v>
      </c>
      <c r="D66" s="151" t="s">
        <v>3419</v>
      </c>
      <c r="E66" s="151" t="s">
        <v>3420</v>
      </c>
      <c r="F66" s="151"/>
      <c r="G66" s="52" t="str">
        <f t="shared" ref="G66:G129" si="1">D66&amp;":"&amp;E66</f>
        <v>AB 8D:皆朱枪</v>
      </c>
    </row>
    <row r="67" spans="1:7">
      <c r="A67" s="24" t="s">
        <v>3286</v>
      </c>
      <c r="B67" s="24" t="s">
        <v>3287</v>
      </c>
      <c r="C67" s="24" t="s">
        <v>3378</v>
      </c>
      <c r="D67" s="151" t="s">
        <v>3421</v>
      </c>
      <c r="E67" s="151" t="s">
        <v>3422</v>
      </c>
      <c r="F67" s="151"/>
      <c r="G67" s="52" t="str">
        <f t="shared" si="1"/>
        <v>CE 05:日本号</v>
      </c>
    </row>
    <row r="68" spans="1:7">
      <c r="A68" s="24" t="s">
        <v>3286</v>
      </c>
      <c r="B68" s="24" t="s">
        <v>3287</v>
      </c>
      <c r="C68" s="24" t="s">
        <v>3378</v>
      </c>
      <c r="D68" s="151" t="s">
        <v>3423</v>
      </c>
      <c r="E68" s="151" t="s">
        <v>3424</v>
      </c>
      <c r="F68" s="151"/>
      <c r="G68" s="52" t="str">
        <f t="shared" si="1"/>
        <v>4A 19:邪马台国之矛</v>
      </c>
    </row>
    <row r="69" spans="1:7">
      <c r="A69" s="24" t="s">
        <v>3286</v>
      </c>
      <c r="B69" s="24" t="s">
        <v>3287</v>
      </c>
      <c r="C69" s="24" t="s">
        <v>3378</v>
      </c>
      <c r="D69" s="151" t="s">
        <v>3425</v>
      </c>
      <c r="E69" s="151" t="s">
        <v>3426</v>
      </c>
      <c r="F69" s="151"/>
      <c r="G69" s="52" t="str">
        <f t="shared" si="1"/>
        <v>35 8A:地狱刺叉</v>
      </c>
    </row>
    <row r="70" spans="1:7">
      <c r="A70" s="24" t="s">
        <v>3286</v>
      </c>
      <c r="B70" s="24" t="s">
        <v>3287</v>
      </c>
      <c r="C70" s="24" t="s">
        <v>3378</v>
      </c>
      <c r="D70" s="151" t="s">
        <v>3427</v>
      </c>
      <c r="E70" s="151" t="s">
        <v>3428</v>
      </c>
      <c r="F70" s="151"/>
      <c r="G70" s="52" t="str">
        <f t="shared" si="1"/>
        <v>37 1A:地狱冰枪</v>
      </c>
    </row>
    <row r="71" spans="1:7">
      <c r="A71" s="24" t="s">
        <v>3286</v>
      </c>
      <c r="B71" s="24" t="s">
        <v>3287</v>
      </c>
      <c r="C71" s="24" t="s">
        <v>3378</v>
      </c>
      <c r="D71" s="151" t="s">
        <v>3429</v>
      </c>
      <c r="E71" s="151" t="s">
        <v>3430</v>
      </c>
      <c r="F71" s="151"/>
      <c r="G71" s="52" t="str">
        <f t="shared" si="1"/>
        <v>7B 5B:狱妖之枪</v>
      </c>
    </row>
    <row r="72" spans="1:7">
      <c r="A72" s="24" t="s">
        <v>3286</v>
      </c>
      <c r="B72" s="24" t="s">
        <v>3287</v>
      </c>
      <c r="C72" s="24" t="s">
        <v>3378</v>
      </c>
      <c r="D72" s="151" t="s">
        <v>3431</v>
      </c>
      <c r="E72" s="151" t="s">
        <v>3432</v>
      </c>
      <c r="F72" s="151"/>
      <c r="G72" s="52" t="str">
        <f t="shared" si="1"/>
        <v>4C A3:百万石长枪</v>
      </c>
    </row>
    <row r="73" spans="1:7">
      <c r="A73" s="24" t="s">
        <v>3286</v>
      </c>
      <c r="B73" s="24" t="s">
        <v>3287</v>
      </c>
      <c r="C73" s="24" t="s">
        <v>3378</v>
      </c>
      <c r="D73" s="151" t="s">
        <v>3433</v>
      </c>
      <c r="E73" s="151" t="s">
        <v>3434</v>
      </c>
      <c r="F73" s="151"/>
      <c r="G73" s="52" t="str">
        <f t="shared" si="1"/>
        <v>4F E9:一玄居士之枪</v>
      </c>
    </row>
    <row r="74" spans="1:7">
      <c r="A74" s="24" t="s">
        <v>3286</v>
      </c>
      <c r="B74" s="24" t="s">
        <v>3287</v>
      </c>
      <c r="C74" s="24" t="s">
        <v>3378</v>
      </c>
      <c r="D74" s="151" t="s">
        <v>3435</v>
      </c>
      <c r="E74" s="151" t="s">
        <v>3436</v>
      </c>
      <c r="F74" s="151"/>
      <c r="G74" s="52" t="str">
        <f t="shared" si="1"/>
        <v>83 47:白鸟枪</v>
      </c>
    </row>
    <row r="75" spans="1:7">
      <c r="A75" s="24" t="s">
        <v>3286</v>
      </c>
      <c r="B75" s="24" t="s">
        <v>3287</v>
      </c>
      <c r="C75" s="24" t="s">
        <v>3378</v>
      </c>
      <c r="D75" s="151" t="s">
        <v>3437</v>
      </c>
      <c r="E75" s="151" t="s">
        <v>3438</v>
      </c>
      <c r="F75" s="151"/>
      <c r="G75" s="52" t="str">
        <f t="shared" si="1"/>
        <v>58 9B:昆沙门戟</v>
      </c>
    </row>
    <row r="76" spans="1:7">
      <c r="A76" s="24" t="s">
        <v>3286</v>
      </c>
      <c r="B76" s="24" t="s">
        <v>3287</v>
      </c>
      <c r="C76" s="24" t="s">
        <v>3378</v>
      </c>
      <c r="D76" s="151" t="s">
        <v>3439</v>
      </c>
      <c r="E76" s="151" t="s">
        <v>3440</v>
      </c>
      <c r="F76" s="151"/>
      <c r="G76" s="52" t="str">
        <f t="shared" si="1"/>
        <v>B2 98:隼风矛</v>
      </c>
    </row>
    <row r="77" spans="1:7">
      <c r="A77" s="24" t="s">
        <v>3286</v>
      </c>
      <c r="B77" s="24" t="s">
        <v>3287</v>
      </c>
      <c r="C77" s="24" t="s">
        <v>3441</v>
      </c>
      <c r="D77" s="151" t="s">
        <v>3442</v>
      </c>
      <c r="E77" s="151" t="s">
        <v>3443</v>
      </c>
      <c r="F77" s="151"/>
      <c r="G77" s="52" t="str">
        <f t="shared" si="1"/>
        <v>E4 26:木制大槌</v>
      </c>
    </row>
    <row r="78" spans="1:7">
      <c r="A78" s="24" t="s">
        <v>3286</v>
      </c>
      <c r="B78" s="24" t="s">
        <v>3287</v>
      </c>
      <c r="C78" s="24" t="s">
        <v>3441</v>
      </c>
      <c r="D78" s="151" t="s">
        <v>3444</v>
      </c>
      <c r="E78" s="151" t="s">
        <v>3445</v>
      </c>
      <c r="F78" s="151"/>
      <c r="G78" s="52" t="str">
        <f t="shared" si="1"/>
        <v>07 40:黑铁斧</v>
      </c>
    </row>
    <row r="79" spans="1:7">
      <c r="A79" s="24" t="s">
        <v>3286</v>
      </c>
      <c r="B79" s="24" t="s">
        <v>3287</v>
      </c>
      <c r="C79" s="24" t="s">
        <v>3441</v>
      </c>
      <c r="D79" s="151" t="s">
        <v>3446</v>
      </c>
      <c r="E79" s="151" t="s">
        <v>3447</v>
      </c>
      <c r="F79" s="151"/>
      <c r="G79" s="52" t="str">
        <f t="shared" si="1"/>
        <v>06 1C:破栅之斧</v>
      </c>
    </row>
    <row r="80" spans="1:7">
      <c r="A80" s="24" t="s">
        <v>3286</v>
      </c>
      <c r="B80" s="24" t="s">
        <v>3287</v>
      </c>
      <c r="C80" s="24" t="s">
        <v>3441</v>
      </c>
      <c r="D80" s="151" t="s">
        <v>3448</v>
      </c>
      <c r="E80" s="151" t="s">
        <v>3449</v>
      </c>
      <c r="F80" s="151"/>
      <c r="G80" s="52" t="str">
        <f t="shared" si="1"/>
        <v>BA 36:独脚踏鞴之锤</v>
      </c>
    </row>
    <row r="81" spans="1:7">
      <c r="A81" s="24" t="s">
        <v>3286</v>
      </c>
      <c r="B81" s="24" t="s">
        <v>3287</v>
      </c>
      <c r="C81" s="24" t="s">
        <v>3441</v>
      </c>
      <c r="D81" s="151" t="s">
        <v>3450</v>
      </c>
      <c r="E81" s="151" t="s">
        <v>3451</v>
      </c>
      <c r="F81" s="151"/>
      <c r="G81" s="52" t="str">
        <f t="shared" si="1"/>
        <v>80 16:赤栋大槌</v>
      </c>
    </row>
    <row r="82" spans="1:7">
      <c r="A82" s="24" t="s">
        <v>3286</v>
      </c>
      <c r="B82" s="24" t="s">
        <v>3287</v>
      </c>
      <c r="C82" s="24" t="s">
        <v>3441</v>
      </c>
      <c r="D82" s="151" t="s">
        <v>3452</v>
      </c>
      <c r="E82" s="151" t="s">
        <v>3453</v>
      </c>
      <c r="F82" s="151"/>
      <c r="G82" s="52" t="str">
        <f t="shared" si="1"/>
        <v>8A 8E:山贼斧</v>
      </c>
    </row>
    <row r="83" spans="1:7">
      <c r="A83" s="24" t="s">
        <v>3286</v>
      </c>
      <c r="B83" s="24" t="s">
        <v>3287</v>
      </c>
      <c r="C83" s="24" t="s">
        <v>3441</v>
      </c>
      <c r="D83" s="151" t="s">
        <v>3454</v>
      </c>
      <c r="E83" s="151" t="s">
        <v>3455</v>
      </c>
      <c r="F83" s="151"/>
      <c r="G83" s="52" t="str">
        <f t="shared" si="1"/>
        <v>5E CD:青铜大锤</v>
      </c>
    </row>
    <row r="84" spans="1:7">
      <c r="A84" s="24" t="s">
        <v>3286</v>
      </c>
      <c r="B84" s="24" t="s">
        <v>3287</v>
      </c>
      <c r="C84" s="24" t="s">
        <v>3441</v>
      </c>
      <c r="D84" s="151" t="s">
        <v>3456</v>
      </c>
      <c r="E84" s="151" t="s">
        <v>3457</v>
      </c>
      <c r="F84" s="151"/>
      <c r="G84" s="52" t="str">
        <f t="shared" si="1"/>
        <v>BE EC:十字镐</v>
      </c>
    </row>
    <row r="85" spans="1:7">
      <c r="A85" s="24" t="s">
        <v>3286</v>
      </c>
      <c r="B85" s="24" t="s">
        <v>3287</v>
      </c>
      <c r="C85" s="24" t="s">
        <v>3441</v>
      </c>
      <c r="D85" s="151" t="s">
        <v>3458</v>
      </c>
      <c r="E85" s="151" t="s">
        <v>3459</v>
      </c>
      <c r="F85" s="151"/>
      <c r="G85" s="52" t="str">
        <f t="shared" si="1"/>
        <v>9E EA:破盔斧</v>
      </c>
    </row>
    <row r="86" spans="1:7">
      <c r="A86" s="24" t="s">
        <v>3286</v>
      </c>
      <c r="B86" s="24" t="s">
        <v>3287</v>
      </c>
      <c r="C86" s="24" t="s">
        <v>3441</v>
      </c>
      <c r="D86" s="151" t="s">
        <v>3460</v>
      </c>
      <c r="E86" s="151" t="s">
        <v>3461</v>
      </c>
      <c r="F86" s="151"/>
      <c r="G86" s="52" t="str">
        <f t="shared" si="1"/>
        <v>A1 BB:刚力板斧</v>
      </c>
    </row>
    <row r="87" spans="1:7">
      <c r="A87" s="24" t="s">
        <v>3286</v>
      </c>
      <c r="B87" s="24" t="s">
        <v>3287</v>
      </c>
      <c r="C87" s="24" t="s">
        <v>3441</v>
      </c>
      <c r="D87" s="151" t="s">
        <v>3462</v>
      </c>
      <c r="E87" s="151" t="s">
        <v>3463</v>
      </c>
      <c r="F87" s="151"/>
      <c r="G87" s="52" t="str">
        <f t="shared" si="1"/>
        <v>FA 0C:刀匠之锤</v>
      </c>
    </row>
    <row r="88" spans="1:7">
      <c r="A88" s="24" t="s">
        <v>3286</v>
      </c>
      <c r="B88" s="24" t="s">
        <v>3287</v>
      </c>
      <c r="C88" s="24" t="s">
        <v>3441</v>
      </c>
      <c r="D88" s="151" t="s">
        <v>3464</v>
      </c>
      <c r="E88" s="151" t="s">
        <v>3465</v>
      </c>
      <c r="F88" s="151"/>
      <c r="G88" s="52" t="str">
        <f t="shared" si="1"/>
        <v>96 C2:断枪大槌</v>
      </c>
    </row>
    <row r="89" spans="1:7">
      <c r="A89" s="24" t="s">
        <v>3286</v>
      </c>
      <c r="B89" s="24" t="s">
        <v>3287</v>
      </c>
      <c r="C89" s="24" t="s">
        <v>3441</v>
      </c>
      <c r="D89" s="151" t="s">
        <v>3466</v>
      </c>
      <c r="E89" s="151" t="s">
        <v>3467</v>
      </c>
      <c r="F89" s="151"/>
      <c r="G89" s="52" t="str">
        <f t="shared" si="1"/>
        <v>43 2F:勇僧大槌</v>
      </c>
    </row>
    <row r="90" spans="1:7">
      <c r="A90" s="24" t="s">
        <v>3286</v>
      </c>
      <c r="B90" s="24" t="s">
        <v>3287</v>
      </c>
      <c r="C90" s="24" t="s">
        <v>3441</v>
      </c>
      <c r="D90" s="151" t="s">
        <v>3468</v>
      </c>
      <c r="E90" s="151" t="s">
        <v>3469</v>
      </c>
      <c r="F90" s="151"/>
      <c r="G90" s="52" t="str">
        <f t="shared" si="1"/>
        <v>E6 26:勇武者板斧</v>
      </c>
    </row>
    <row r="91" spans="1:7">
      <c r="A91" s="24" t="s">
        <v>3286</v>
      </c>
      <c r="B91" s="24" t="s">
        <v>3287</v>
      </c>
      <c r="C91" s="24" t="s">
        <v>3441</v>
      </c>
      <c r="D91" s="151" t="s">
        <v>3470</v>
      </c>
      <c r="E91" s="151" t="s">
        <v>3471</v>
      </c>
      <c r="F91" s="151"/>
      <c r="G91" s="52" t="str">
        <f t="shared" si="1"/>
        <v>0E FE:碎岩大槌</v>
      </c>
    </row>
    <row r="92" spans="1:7">
      <c r="A92" s="24" t="s">
        <v>3286</v>
      </c>
      <c r="B92" s="24" t="s">
        <v>3287</v>
      </c>
      <c r="C92" s="24" t="s">
        <v>3441</v>
      </c>
      <c r="D92" s="151" t="s">
        <v>3472</v>
      </c>
      <c r="E92" s="151" t="s">
        <v>3473</v>
      </c>
      <c r="F92" s="151"/>
      <c r="G92" s="52" t="str">
        <f t="shared" si="1"/>
        <v>BB ED:碎铠战斧</v>
      </c>
    </row>
    <row r="93" spans="1:7">
      <c r="A93" s="24" t="s">
        <v>3286</v>
      </c>
      <c r="B93" s="24" t="s">
        <v>3287</v>
      </c>
      <c r="C93" s="24" t="s">
        <v>3441</v>
      </c>
      <c r="D93" s="151" t="s">
        <v>3474</v>
      </c>
      <c r="E93" s="151" t="s">
        <v>3475</v>
      </c>
      <c r="F93" s="151"/>
      <c r="G93" s="52" t="str">
        <f t="shared" si="1"/>
        <v>4F AE:两面宿摊之斧</v>
      </c>
    </row>
    <row r="94" spans="1:7">
      <c r="A94" s="24" t="s">
        <v>3286</v>
      </c>
      <c r="B94" s="24" t="s">
        <v>3287</v>
      </c>
      <c r="C94" s="24" t="s">
        <v>3441</v>
      </c>
      <c r="D94" s="151" t="s">
        <v>3476</v>
      </c>
      <c r="E94" s="151" t="s">
        <v>3477</v>
      </c>
      <c r="F94" s="151"/>
      <c r="G94" s="52" t="str">
        <f t="shared" si="1"/>
        <v>01 EE:破邪大槌</v>
      </c>
    </row>
    <row r="95" spans="1:7">
      <c r="A95" s="24" t="s">
        <v>3286</v>
      </c>
      <c r="B95" s="24" t="s">
        <v>3287</v>
      </c>
      <c r="C95" s="24" t="s">
        <v>3441</v>
      </c>
      <c r="D95" s="151" t="s">
        <v>3478</v>
      </c>
      <c r="E95" s="151" t="s">
        <v>3479</v>
      </c>
      <c r="F95" s="151"/>
      <c r="G95" s="52" t="str">
        <f t="shared" si="1"/>
        <v>D3 80:物部氏斧</v>
      </c>
    </row>
    <row r="96" spans="1:7">
      <c r="A96" s="24" t="s">
        <v>3286</v>
      </c>
      <c r="B96" s="24" t="s">
        <v>3287</v>
      </c>
      <c r="C96" s="24" t="s">
        <v>3441</v>
      </c>
      <c r="D96" s="151" t="s">
        <v>3480</v>
      </c>
      <c r="E96" s="151" t="s">
        <v>3481</v>
      </c>
      <c r="F96" s="151"/>
      <c r="G96" s="52" t="str">
        <f t="shared" si="1"/>
        <v>8A 3C:怪童板斧</v>
      </c>
    </row>
    <row r="97" spans="1:7">
      <c r="A97" s="24" t="s">
        <v>3286</v>
      </c>
      <c r="B97" s="24" t="s">
        <v>3287</v>
      </c>
      <c r="C97" s="24" t="s">
        <v>3441</v>
      </c>
      <c r="D97" s="151" t="s">
        <v>3482</v>
      </c>
      <c r="E97" s="151" t="s">
        <v>3483</v>
      </c>
      <c r="F97" s="151"/>
      <c r="G97" s="52" t="str">
        <f t="shared" si="1"/>
        <v>31 80:破军板斧</v>
      </c>
    </row>
    <row r="98" spans="1:7">
      <c r="A98" s="24" t="s">
        <v>3286</v>
      </c>
      <c r="B98" s="24" t="s">
        <v>3287</v>
      </c>
      <c r="C98" s="24" t="s">
        <v>3441</v>
      </c>
      <c r="D98" s="151" t="s">
        <v>3484</v>
      </c>
      <c r="E98" s="151" t="s">
        <v>3485</v>
      </c>
      <c r="F98" s="151"/>
      <c r="G98" s="52" t="str">
        <f t="shared" si="1"/>
        <v>9A 85:鬼神大槌</v>
      </c>
    </row>
    <row r="99" spans="1:7">
      <c r="A99" s="24" t="s">
        <v>3286</v>
      </c>
      <c r="B99" s="24" t="s">
        <v>3287</v>
      </c>
      <c r="C99" s="24" t="s">
        <v>3441</v>
      </c>
      <c r="D99" s="151" t="s">
        <v>3486</v>
      </c>
      <c r="E99" s="151" t="s">
        <v>3487</v>
      </c>
      <c r="F99" s="151"/>
      <c r="G99" s="52" t="str">
        <f t="shared" si="1"/>
        <v>67 48:天目一个神之斧</v>
      </c>
    </row>
    <row r="100" spans="1:7">
      <c r="A100" s="24" t="s">
        <v>3286</v>
      </c>
      <c r="B100" s="24" t="s">
        <v>3287</v>
      </c>
      <c r="C100" s="24" t="s">
        <v>3441</v>
      </c>
      <c r="D100" s="151" t="s">
        <v>3488</v>
      </c>
      <c r="E100" s="151" t="s">
        <v>3489</v>
      </c>
      <c r="F100" s="151"/>
      <c r="G100" s="52" t="str">
        <f t="shared" si="1"/>
        <v>6F EB:玄翁大槌</v>
      </c>
    </row>
    <row r="101" spans="1:7">
      <c r="A101" s="24" t="s">
        <v>3286</v>
      </c>
      <c r="B101" s="24" t="s">
        <v>3287</v>
      </c>
      <c r="C101" s="24" t="s">
        <v>3441</v>
      </c>
      <c r="D101" s="151" t="s">
        <v>3490</v>
      </c>
      <c r="E101" s="151" t="s">
        <v>3491</v>
      </c>
      <c r="F101" s="151"/>
      <c r="G101" s="52" t="str">
        <f t="shared" si="1"/>
        <v>8F 47:百鬼斧</v>
      </c>
    </row>
    <row r="102" spans="1:7">
      <c r="A102" s="24" t="s">
        <v>3286</v>
      </c>
      <c r="B102" s="24" t="s">
        <v>3287</v>
      </c>
      <c r="C102" s="24" t="s">
        <v>3441</v>
      </c>
      <c r="D102" s="151" t="s">
        <v>3492</v>
      </c>
      <c r="E102" s="151" t="s">
        <v>3493</v>
      </c>
      <c r="F102" s="151"/>
      <c r="G102" s="52" t="str">
        <f t="shared" si="1"/>
        <v>27 FC:蜃影战斧</v>
      </c>
    </row>
    <row r="103" spans="1:7">
      <c r="A103" s="24" t="s">
        <v>3286</v>
      </c>
      <c r="B103" s="24" t="s">
        <v>3287</v>
      </c>
      <c r="C103" s="24" t="s">
        <v>3441</v>
      </c>
      <c r="D103" s="151" t="s">
        <v>3494</v>
      </c>
      <c r="E103" s="151" t="s">
        <v>3495</v>
      </c>
      <c r="F103" s="151"/>
      <c r="G103" s="52" t="str">
        <f t="shared" si="1"/>
        <v>77 48:锈蚀锄</v>
      </c>
    </row>
    <row r="104" spans="1:7">
      <c r="A104" s="24" t="s">
        <v>3286</v>
      </c>
      <c r="B104" s="24" t="s">
        <v>3287</v>
      </c>
      <c r="C104" s="24" t="s">
        <v>3441</v>
      </c>
      <c r="D104" s="151" t="s">
        <v>3496</v>
      </c>
      <c r="E104" s="151" t="s">
        <v>3497</v>
      </c>
      <c r="F104" s="151"/>
      <c r="G104" s="52" t="str">
        <f t="shared" si="1"/>
        <v>81 B8:地狱棍棒</v>
      </c>
    </row>
    <row r="105" spans="1:7">
      <c r="A105" s="24" t="s">
        <v>3286</v>
      </c>
      <c r="B105" s="24" t="s">
        <v>3287</v>
      </c>
      <c r="C105" s="24" t="s">
        <v>3441</v>
      </c>
      <c r="D105" s="151" t="s">
        <v>3498</v>
      </c>
      <c r="E105" s="151" t="s">
        <v>3499</v>
      </c>
      <c r="F105" s="151"/>
      <c r="G105" s="52" t="str">
        <f t="shared" si="1"/>
        <v>C8 4A:护国禅师之锤</v>
      </c>
    </row>
    <row r="106" spans="1:7">
      <c r="A106" s="24" t="s">
        <v>3286</v>
      </c>
      <c r="B106" s="24" t="s">
        <v>3287</v>
      </c>
      <c r="C106" s="24" t="s">
        <v>3441</v>
      </c>
      <c r="D106" s="151" t="s">
        <v>3500</v>
      </c>
      <c r="E106" s="151" t="s">
        <v>3501</v>
      </c>
      <c r="F106" s="151"/>
      <c r="G106" s="52" t="str">
        <f t="shared" si="1"/>
        <v>8F D9:西洋炮术家铁锤</v>
      </c>
    </row>
    <row r="107" spans="1:7">
      <c r="A107" s="24" t="s">
        <v>3286</v>
      </c>
      <c r="B107" s="24" t="s">
        <v>3287</v>
      </c>
      <c r="C107" s="24" t="s">
        <v>3441</v>
      </c>
      <c r="D107" s="151" t="s">
        <v>3502</v>
      </c>
      <c r="E107" s="151" t="s">
        <v>3503</v>
      </c>
      <c r="F107" s="151"/>
      <c r="G107" s="52" t="str">
        <f t="shared" si="1"/>
        <v>CB 72:狱妖之斧</v>
      </c>
    </row>
    <row r="108" spans="1:7">
      <c r="A108" s="24" t="s">
        <v>3286</v>
      </c>
      <c r="B108" s="24" t="s">
        <v>3287</v>
      </c>
      <c r="C108" s="24" t="s">
        <v>3441</v>
      </c>
      <c r="D108" s="151" t="s">
        <v>3504</v>
      </c>
      <c r="E108" s="151" t="s">
        <v>3505</v>
      </c>
      <c r="F108" s="151"/>
      <c r="G108" s="52" t="str">
        <f t="shared" si="1"/>
        <v>8E 69:武藏坊之斧</v>
      </c>
    </row>
    <row r="109" spans="1:7">
      <c r="A109" s="24" t="s">
        <v>3286</v>
      </c>
      <c r="B109" s="24" t="s">
        <v>3287</v>
      </c>
      <c r="C109" s="24" t="s">
        <v>3441</v>
      </c>
      <c r="D109" s="151" t="s">
        <v>3506</v>
      </c>
      <c r="E109" s="151" t="s">
        <v>3507</v>
      </c>
      <c r="F109" s="151"/>
      <c r="G109" s="52" t="str">
        <f t="shared" si="1"/>
        <v>C6 8D:破魔金刚锤</v>
      </c>
    </row>
    <row r="110" spans="1:7">
      <c r="A110" s="24" t="s">
        <v>3286</v>
      </c>
      <c r="B110" s="24" t="s">
        <v>3287</v>
      </c>
      <c r="C110" s="24" t="s">
        <v>3441</v>
      </c>
      <c r="D110" s="151" t="s">
        <v>3508</v>
      </c>
      <c r="E110" s="151" t="s">
        <v>3509</v>
      </c>
      <c r="F110" s="151"/>
      <c r="G110" s="52" t="str">
        <f t="shared" si="1"/>
        <v>91 3E:退魔之斧</v>
      </c>
    </row>
    <row r="111" spans="1:7">
      <c r="A111" s="24" t="s">
        <v>3286</v>
      </c>
      <c r="B111" s="24" t="s">
        <v>3287</v>
      </c>
      <c r="C111" s="24" t="s">
        <v>3510</v>
      </c>
      <c r="D111" s="151" t="s">
        <v>3511</v>
      </c>
      <c r="E111" s="151" t="s">
        <v>3512</v>
      </c>
      <c r="F111" s="151"/>
      <c r="G111" s="52" t="str">
        <f t="shared" si="1"/>
        <v>41 D6:大木太刀</v>
      </c>
    </row>
    <row r="112" spans="1:7">
      <c r="A112" s="24" t="s">
        <v>3286</v>
      </c>
      <c r="B112" s="24" t="s">
        <v>3287</v>
      </c>
      <c r="C112" s="24" t="s">
        <v>3510</v>
      </c>
      <c r="D112" s="151" t="s">
        <v>3513</v>
      </c>
      <c r="E112" s="151" t="s">
        <v>3514</v>
      </c>
      <c r="F112" s="151"/>
      <c r="G112" s="52" t="str">
        <f t="shared" si="1"/>
        <v>BB CC:大和传大太刀</v>
      </c>
    </row>
    <row r="113" spans="1:7">
      <c r="A113" s="24" t="s">
        <v>3286</v>
      </c>
      <c r="B113" s="24" t="s">
        <v>3287</v>
      </c>
      <c r="C113" s="24" t="s">
        <v>3510</v>
      </c>
      <c r="D113" s="151" t="s">
        <v>3515</v>
      </c>
      <c r="E113" s="151" t="s">
        <v>3516</v>
      </c>
      <c r="F113" s="151"/>
      <c r="G113" s="52" t="str">
        <f t="shared" si="1"/>
        <v>AA 83:备前传大太刀</v>
      </c>
    </row>
    <row r="114" spans="1:7">
      <c r="A114" s="24" t="s">
        <v>3286</v>
      </c>
      <c r="B114" s="24" t="s">
        <v>3287</v>
      </c>
      <c r="C114" s="24" t="s">
        <v>3510</v>
      </c>
      <c r="D114" s="151" t="s">
        <v>3517</v>
      </c>
      <c r="E114" s="151" t="s">
        <v>3518</v>
      </c>
      <c r="F114" s="151"/>
      <c r="G114" s="52" t="str">
        <f t="shared" si="1"/>
        <v>92 35:山城传大太刀</v>
      </c>
    </row>
    <row r="115" spans="1:7">
      <c r="A115" s="24" t="s">
        <v>3286</v>
      </c>
      <c r="B115" s="24" t="s">
        <v>3287</v>
      </c>
      <c r="C115" s="24" t="s">
        <v>3510</v>
      </c>
      <c r="D115" s="151" t="s">
        <v>3519</v>
      </c>
      <c r="E115" s="151" t="s">
        <v>3520</v>
      </c>
      <c r="F115" s="151"/>
      <c r="G115" s="52" t="str">
        <f t="shared" si="1"/>
        <v>1E 4D:独脚踏鞴大太刀</v>
      </c>
    </row>
    <row r="116" spans="1:7">
      <c r="A116" s="24" t="s">
        <v>3286</v>
      </c>
      <c r="B116" s="24" t="s">
        <v>3287</v>
      </c>
      <c r="C116" s="24" t="s">
        <v>3510</v>
      </c>
      <c r="D116" s="151" t="s">
        <v>3521</v>
      </c>
      <c r="E116" s="151" t="s">
        <v>3522</v>
      </c>
      <c r="F116" s="151"/>
      <c r="G116" s="52" t="str">
        <f t="shared" si="1"/>
        <v>CD A7:茨木童子大太刀</v>
      </c>
    </row>
    <row r="117" spans="1:7">
      <c r="A117" s="24" t="s">
        <v>3286</v>
      </c>
      <c r="B117" s="24" t="s">
        <v>3287</v>
      </c>
      <c r="C117" s="24" t="s">
        <v>3510</v>
      </c>
      <c r="D117" s="151" t="s">
        <v>3523</v>
      </c>
      <c r="E117" s="151" t="s">
        <v>3524</v>
      </c>
      <c r="F117" s="151"/>
      <c r="G117" s="52" t="str">
        <f t="shared" si="1"/>
        <v>72 31:来派大太刀</v>
      </c>
    </row>
    <row r="118" spans="1:7">
      <c r="A118" s="24" t="s">
        <v>3286</v>
      </c>
      <c r="B118" s="24" t="s">
        <v>3287</v>
      </c>
      <c r="C118" s="24" t="s">
        <v>3510</v>
      </c>
      <c r="D118" s="151" t="s">
        <v>3525</v>
      </c>
      <c r="E118" s="151" t="s">
        <v>3526</v>
      </c>
      <c r="F118" s="151"/>
      <c r="G118" s="52" t="str">
        <f t="shared" si="1"/>
        <v>06 76:红蜘蛛</v>
      </c>
    </row>
    <row r="119" spans="1:7">
      <c r="A119" s="24" t="s">
        <v>3286</v>
      </c>
      <c r="B119" s="24" t="s">
        <v>3287</v>
      </c>
      <c r="C119" s="24" t="s">
        <v>3510</v>
      </c>
      <c r="D119" s="151" t="s">
        <v>3527</v>
      </c>
      <c r="E119" s="151" t="s">
        <v>3528</v>
      </c>
      <c r="F119" s="151"/>
      <c r="G119" s="52" t="str">
        <f t="shared" si="1"/>
        <v>67 EF:古备前大太刀</v>
      </c>
    </row>
    <row r="120" spans="1:7">
      <c r="A120" s="24" t="s">
        <v>3286</v>
      </c>
      <c r="B120" s="24" t="s">
        <v>3287</v>
      </c>
      <c r="C120" s="24" t="s">
        <v>3510</v>
      </c>
      <c r="D120" s="151" t="s">
        <v>3529</v>
      </c>
      <c r="E120" s="151" t="s">
        <v>3530</v>
      </c>
      <c r="F120" s="151"/>
      <c r="G120" s="52" t="str">
        <f t="shared" si="1"/>
        <v>2F DD:佑定大太刀</v>
      </c>
    </row>
    <row r="121" spans="1:7">
      <c r="A121" s="24" t="s">
        <v>3286</v>
      </c>
      <c r="B121" s="24" t="s">
        <v>3287</v>
      </c>
      <c r="C121" s="24" t="s">
        <v>3510</v>
      </c>
      <c r="D121" s="151" t="s">
        <v>3531</v>
      </c>
      <c r="E121" s="151" t="s">
        <v>3532</v>
      </c>
      <c r="F121" s="151"/>
      <c r="G121" s="52" t="str">
        <f t="shared" si="1"/>
        <v>9A 75:高平大太刀</v>
      </c>
    </row>
    <row r="122" spans="1:7">
      <c r="A122" s="24" t="s">
        <v>3286</v>
      </c>
      <c r="B122" s="24" t="s">
        <v>3287</v>
      </c>
      <c r="C122" s="24" t="s">
        <v>3510</v>
      </c>
      <c r="D122" s="151" t="s">
        <v>3533</v>
      </c>
      <c r="E122" s="151" t="s">
        <v>3534</v>
      </c>
      <c r="F122" s="151"/>
      <c r="G122" s="52" t="str">
        <f t="shared" si="1"/>
        <v>88 37:来国行大太刀</v>
      </c>
    </row>
    <row r="123" spans="1:7">
      <c r="A123" s="24" t="s">
        <v>3286</v>
      </c>
      <c r="B123" s="24" t="s">
        <v>3287</v>
      </c>
      <c r="C123" s="24" t="s">
        <v>3510</v>
      </c>
      <c r="D123" s="151" t="s">
        <v>3535</v>
      </c>
      <c r="E123" s="151" t="s">
        <v>3536</v>
      </c>
      <c r="F123" s="151"/>
      <c r="G123" s="52" t="str">
        <f t="shared" si="1"/>
        <v>E4 40:蛇切丸</v>
      </c>
    </row>
    <row r="124" spans="1:7">
      <c r="A124" s="24" t="s">
        <v>3286</v>
      </c>
      <c r="B124" s="24" t="s">
        <v>3287</v>
      </c>
      <c r="C124" s="24" t="s">
        <v>3510</v>
      </c>
      <c r="D124" s="151" t="s">
        <v>3537</v>
      </c>
      <c r="E124" s="151" t="s">
        <v>3538</v>
      </c>
      <c r="F124" s="151"/>
      <c r="G124" s="52" t="str">
        <f t="shared" si="1"/>
        <v>A2 67:染血大菜刀</v>
      </c>
    </row>
    <row r="125" spans="1:7">
      <c r="A125" s="24" t="s">
        <v>3286</v>
      </c>
      <c r="B125" s="24" t="s">
        <v>3287</v>
      </c>
      <c r="C125" s="24" t="s">
        <v>3510</v>
      </c>
      <c r="D125" s="151" t="s">
        <v>3539</v>
      </c>
      <c r="E125" s="151" t="s">
        <v>3540</v>
      </c>
      <c r="F125" s="151"/>
      <c r="G125" s="52" t="str">
        <f t="shared" si="1"/>
        <v>0C 1C:君万岁友成</v>
      </c>
    </row>
    <row r="126" spans="1:7">
      <c r="A126" s="24" t="s">
        <v>3286</v>
      </c>
      <c r="B126" s="24" t="s">
        <v>3287</v>
      </c>
      <c r="C126" s="24" t="s">
        <v>3510</v>
      </c>
      <c r="D126" s="151" t="s">
        <v>3541</v>
      </c>
      <c r="E126" s="151" t="s">
        <v>3542</v>
      </c>
      <c r="F126" s="151"/>
      <c r="G126" s="52" t="str">
        <f t="shared" si="1"/>
        <v>0F BB:太郎太刀</v>
      </c>
    </row>
    <row r="127" spans="1:7">
      <c r="A127" s="24" t="s">
        <v>3286</v>
      </c>
      <c r="B127" s="24" t="s">
        <v>3287</v>
      </c>
      <c r="C127" s="24" t="s">
        <v>3510</v>
      </c>
      <c r="D127" s="151" t="s">
        <v>3543</v>
      </c>
      <c r="E127" s="151" t="s">
        <v>3544</v>
      </c>
      <c r="F127" s="151"/>
      <c r="G127" s="52" t="str">
        <f t="shared" si="1"/>
        <v>16 DF:次郎太刀</v>
      </c>
    </row>
    <row r="128" spans="1:7">
      <c r="A128" s="24" t="s">
        <v>3286</v>
      </c>
      <c r="B128" s="24" t="s">
        <v>3287</v>
      </c>
      <c r="C128" s="24" t="s">
        <v>3510</v>
      </c>
      <c r="D128" s="151" t="s">
        <v>3545</v>
      </c>
      <c r="E128" s="151" t="s">
        <v>3546</v>
      </c>
      <c r="F128" s="151"/>
      <c r="G128" s="52" t="str">
        <f t="shared" si="1"/>
        <v>E5 7E:神威</v>
      </c>
    </row>
    <row r="129" spans="1:7">
      <c r="A129" s="24" t="s">
        <v>3286</v>
      </c>
      <c r="B129" s="24" t="s">
        <v>3287</v>
      </c>
      <c r="C129" s="24" t="s">
        <v>3510</v>
      </c>
      <c r="D129" s="151" t="s">
        <v>3547</v>
      </c>
      <c r="E129" s="151" t="s">
        <v>3548</v>
      </c>
      <c r="F129" s="151"/>
      <c r="G129" s="52" t="str">
        <f t="shared" si="1"/>
        <v>74 EF:两面宿摊之剑</v>
      </c>
    </row>
    <row r="130" spans="1:7">
      <c r="A130" s="24" t="s">
        <v>3286</v>
      </c>
      <c r="B130" s="24" t="s">
        <v>3287</v>
      </c>
      <c r="C130" s="24" t="s">
        <v>3510</v>
      </c>
      <c r="D130" s="151" t="s">
        <v>3549</v>
      </c>
      <c r="E130" s="151" t="s">
        <v>3550</v>
      </c>
      <c r="F130" s="151"/>
      <c r="G130" s="52" t="str">
        <f t="shared" ref="G130:G193" si="2">D130&amp;":"&amp;E130</f>
        <v>74 D2:面影</v>
      </c>
    </row>
    <row r="131" spans="1:7">
      <c r="A131" s="24" t="s">
        <v>3286</v>
      </c>
      <c r="B131" s="24" t="s">
        <v>3287</v>
      </c>
      <c r="C131" s="24" t="s">
        <v>3510</v>
      </c>
      <c r="D131" s="151" t="s">
        <v>3551</v>
      </c>
      <c r="E131" s="151" t="s">
        <v>3552</v>
      </c>
      <c r="F131" s="151"/>
      <c r="G131" s="52" t="str">
        <f t="shared" si="2"/>
        <v>B7 BD:微尘丸</v>
      </c>
    </row>
    <row r="132" spans="1:7">
      <c r="A132" s="24" t="s">
        <v>3286</v>
      </c>
      <c r="B132" s="24" t="s">
        <v>3287</v>
      </c>
      <c r="C132" s="24" t="s">
        <v>3510</v>
      </c>
      <c r="D132" s="151" t="s">
        <v>3553</v>
      </c>
      <c r="E132" s="151" t="s">
        <v>3554</v>
      </c>
      <c r="F132" s="151"/>
      <c r="G132" s="52" t="str">
        <f t="shared" si="2"/>
        <v>35 A7:石州和贞</v>
      </c>
    </row>
    <row r="133" spans="1:7">
      <c r="A133" s="24" t="s">
        <v>3286</v>
      </c>
      <c r="B133" s="24" t="s">
        <v>3287</v>
      </c>
      <c r="C133" s="24" t="s">
        <v>3510</v>
      </c>
      <c r="D133" s="151" t="s">
        <v>3555</v>
      </c>
      <c r="E133" s="151" t="s">
        <v>3556</v>
      </c>
      <c r="F133" s="151"/>
      <c r="G133" s="52" t="str">
        <f t="shared" si="2"/>
        <v>07 D9:萤丸</v>
      </c>
    </row>
    <row r="134" spans="1:7">
      <c r="A134" s="24" t="s">
        <v>3286</v>
      </c>
      <c r="B134" s="24" t="s">
        <v>3287</v>
      </c>
      <c r="C134" s="24" t="s">
        <v>3510</v>
      </c>
      <c r="D134" s="151" t="s">
        <v>3557</v>
      </c>
      <c r="E134" s="151" t="s">
        <v>3558</v>
      </c>
      <c r="F134" s="151"/>
      <c r="G134" s="52" t="str">
        <f t="shared" si="2"/>
        <v>76 DE:祢祢切丸</v>
      </c>
    </row>
    <row r="135" spans="1:7">
      <c r="A135" s="24" t="s">
        <v>3286</v>
      </c>
      <c r="B135" s="24" t="s">
        <v>3287</v>
      </c>
      <c r="C135" s="24" t="s">
        <v>3510</v>
      </c>
      <c r="D135" s="151" t="s">
        <v>3559</v>
      </c>
      <c r="E135" s="151" t="s">
        <v>3560</v>
      </c>
      <c r="F135" s="151"/>
      <c r="G135" s="52" t="str">
        <f t="shared" si="2"/>
        <v>00 EE:石切丸</v>
      </c>
    </row>
    <row r="136" spans="1:7">
      <c r="A136" s="24" t="s">
        <v>3286</v>
      </c>
      <c r="B136" s="24" t="s">
        <v>3287</v>
      </c>
      <c r="C136" s="24" t="s">
        <v>3510</v>
      </c>
      <c r="D136" s="151" t="s">
        <v>3561</v>
      </c>
      <c r="E136" s="151" t="s">
        <v>3562</v>
      </c>
      <c r="F136" s="151"/>
      <c r="G136" s="52" t="str">
        <f t="shared" si="2"/>
        <v>B1 2B:赤备大将长卷</v>
      </c>
    </row>
    <row r="137" spans="1:7">
      <c r="A137" s="24" t="s">
        <v>3286</v>
      </c>
      <c r="B137" s="24" t="s">
        <v>3287</v>
      </c>
      <c r="C137" s="24" t="s">
        <v>3510</v>
      </c>
      <c r="D137" s="151" t="s">
        <v>3563</v>
      </c>
      <c r="E137" s="151" t="s">
        <v>3564</v>
      </c>
      <c r="F137" s="151"/>
      <c r="G137" s="52" t="str">
        <f t="shared" si="2"/>
        <v>26 21:鬼武者大太刀</v>
      </c>
    </row>
    <row r="138" spans="1:7">
      <c r="A138" s="24" t="s">
        <v>3286</v>
      </c>
      <c r="B138" s="24" t="s">
        <v>3287</v>
      </c>
      <c r="C138" s="24" t="s">
        <v>3510</v>
      </c>
      <c r="D138" s="151" t="s">
        <v>3565</v>
      </c>
      <c r="E138" s="151" t="s">
        <v>3566</v>
      </c>
      <c r="F138" s="151"/>
      <c r="G138" s="52" t="str">
        <f t="shared" si="2"/>
        <v>D9 EB:凶王妖剑</v>
      </c>
    </row>
    <row r="139" spans="1:7">
      <c r="A139" s="24" t="s">
        <v>3286</v>
      </c>
      <c r="B139" s="24" t="s">
        <v>3287</v>
      </c>
      <c r="C139" s="24" t="s">
        <v>3510</v>
      </c>
      <c r="D139" s="151" t="s">
        <v>3567</v>
      </c>
      <c r="E139" s="151" t="s">
        <v>3568</v>
      </c>
      <c r="F139" s="151"/>
      <c r="G139" s="52" t="str">
        <f t="shared" si="2"/>
        <v>9A 1D:破瓶</v>
      </c>
    </row>
    <row r="140" spans="1:7">
      <c r="A140" s="24" t="s">
        <v>3286</v>
      </c>
      <c r="B140" s="24" t="s">
        <v>3287</v>
      </c>
      <c r="C140" s="24" t="s">
        <v>3510</v>
      </c>
      <c r="D140" s="151" t="s">
        <v>3569</v>
      </c>
      <c r="E140" s="151" t="s">
        <v>3570</v>
      </c>
      <c r="F140" s="151"/>
      <c r="G140" s="52" t="str">
        <f t="shared" si="2"/>
        <v>C1 6A:第二队队长大太刀</v>
      </c>
    </row>
    <row r="141" spans="1:7">
      <c r="A141" s="24" t="s">
        <v>3286</v>
      </c>
      <c r="B141" s="24" t="s">
        <v>3287</v>
      </c>
      <c r="C141" s="24" t="s">
        <v>3510</v>
      </c>
      <c r="D141" s="151" t="s">
        <v>3571</v>
      </c>
      <c r="E141" s="151" t="s">
        <v>3572</v>
      </c>
      <c r="F141" s="151"/>
      <c r="G141" s="52" t="str">
        <f t="shared" si="2"/>
        <v>67 B3:鬼神丸国重</v>
      </c>
    </row>
    <row r="142" spans="1:7">
      <c r="A142" s="24" t="s">
        <v>3286</v>
      </c>
      <c r="B142" s="24" t="s">
        <v>3287</v>
      </c>
      <c r="C142" s="24" t="s">
        <v>3510</v>
      </c>
      <c r="D142" s="151" t="s">
        <v>3573</v>
      </c>
      <c r="E142" s="151" t="s">
        <v>3574</v>
      </c>
      <c r="F142" s="151"/>
      <c r="G142" s="52" t="str">
        <f t="shared" si="2"/>
        <v>D6 60:盗贼首领大太力</v>
      </c>
    </row>
    <row r="143" spans="1:7">
      <c r="A143" s="24" t="s">
        <v>3286</v>
      </c>
      <c r="B143" s="24" t="s">
        <v>3287</v>
      </c>
      <c r="C143" s="24" t="s">
        <v>3510</v>
      </c>
      <c r="D143" s="151" t="s">
        <v>3575</v>
      </c>
      <c r="E143" s="151" t="s">
        <v>3576</v>
      </c>
      <c r="F143" s="151"/>
      <c r="G143" s="52" t="str">
        <f t="shared" si="2"/>
        <v>D3 9C:狱妖大太刀</v>
      </c>
    </row>
    <row r="144" spans="1:7">
      <c r="A144" s="24" t="s">
        <v>3286</v>
      </c>
      <c r="B144" s="24" t="s">
        <v>3287</v>
      </c>
      <c r="C144" s="24" t="s">
        <v>3510</v>
      </c>
      <c r="D144" s="151" t="s">
        <v>3577</v>
      </c>
      <c r="E144" s="151" t="s">
        <v>3578</v>
      </c>
      <c r="F144" s="151"/>
      <c r="G144" s="52" t="str">
        <f t="shared" si="2"/>
        <v>89 0B:三郎兵卫大太刀</v>
      </c>
    </row>
    <row r="145" spans="1:7">
      <c r="A145" s="24" t="s">
        <v>3286</v>
      </c>
      <c r="B145" s="24" t="s">
        <v>3287</v>
      </c>
      <c r="C145" s="24" t="s">
        <v>3510</v>
      </c>
      <c r="D145" s="151" t="s">
        <v>3579</v>
      </c>
      <c r="E145" s="151" t="s">
        <v>3580</v>
      </c>
      <c r="F145" s="151"/>
      <c r="G145" s="52" t="str">
        <f t="shared" si="2"/>
        <v>A9 4C:蛇腹大太刀</v>
      </c>
    </row>
    <row r="146" spans="1:7">
      <c r="A146" s="24" t="s">
        <v>3286</v>
      </c>
      <c r="B146" s="24" t="s">
        <v>3287</v>
      </c>
      <c r="C146" s="24" t="s">
        <v>3510</v>
      </c>
      <c r="D146" s="151" t="s">
        <v>3581</v>
      </c>
      <c r="E146" s="151" t="s">
        <v>3514</v>
      </c>
      <c r="F146" s="151"/>
      <c r="G146" s="52" t="str">
        <f t="shared" si="2"/>
        <v>59 FE:大和传大太刀</v>
      </c>
    </row>
    <row r="147" spans="1:7">
      <c r="A147" s="24" t="s">
        <v>3286</v>
      </c>
      <c r="B147" s="24" t="s">
        <v>3287</v>
      </c>
      <c r="C147" s="24" t="s">
        <v>3582</v>
      </c>
      <c r="D147" s="151" t="s">
        <v>3583</v>
      </c>
      <c r="E147" s="151" t="s">
        <v>3584</v>
      </c>
      <c r="F147" s="151"/>
      <c r="G147" s="52" t="str">
        <f t="shared" si="2"/>
        <v>92 8A:黑铁薙刀镰</v>
      </c>
    </row>
    <row r="148" spans="1:7">
      <c r="A148" s="24" t="s">
        <v>3286</v>
      </c>
      <c r="B148" s="24" t="s">
        <v>3287</v>
      </c>
      <c r="C148" s="24" t="s">
        <v>3582</v>
      </c>
      <c r="D148" s="151" t="s">
        <v>3585</v>
      </c>
      <c r="E148" s="151" t="s">
        <v>3586</v>
      </c>
      <c r="F148" s="151"/>
      <c r="G148" s="52" t="str">
        <f t="shared" si="2"/>
        <v>93 79:猎人薙刀镰</v>
      </c>
    </row>
    <row r="149" spans="1:7">
      <c r="A149" s="24" t="s">
        <v>3286</v>
      </c>
      <c r="B149" s="24" t="s">
        <v>3287</v>
      </c>
      <c r="C149" s="24" t="s">
        <v>3582</v>
      </c>
      <c r="D149" s="151" t="s">
        <v>3587</v>
      </c>
      <c r="E149" s="151" t="s">
        <v>3588</v>
      </c>
      <c r="F149" s="151"/>
      <c r="G149" s="52" t="str">
        <f t="shared" si="2"/>
        <v>E7 40:朱漆薙刀镰</v>
      </c>
    </row>
    <row r="150" spans="1:7">
      <c r="A150" s="24" t="s">
        <v>3286</v>
      </c>
      <c r="B150" s="24" t="s">
        <v>3287</v>
      </c>
      <c r="C150" s="24" t="s">
        <v>3582</v>
      </c>
      <c r="D150" s="151" t="s">
        <v>3589</v>
      </c>
      <c r="E150" s="151" t="s">
        <v>3590</v>
      </c>
      <c r="F150" s="151"/>
      <c r="G150" s="52" t="str">
        <f t="shared" si="2"/>
        <v>E7 14:忌龙</v>
      </c>
    </row>
    <row r="151" spans="1:7">
      <c r="A151" s="24" t="s">
        <v>3286</v>
      </c>
      <c r="B151" s="24" t="s">
        <v>3287</v>
      </c>
      <c r="C151" s="24" t="s">
        <v>3582</v>
      </c>
      <c r="D151" s="151" t="s">
        <v>3591</v>
      </c>
      <c r="E151" s="151" t="s">
        <v>3592</v>
      </c>
      <c r="F151" s="151"/>
      <c r="G151" s="52" t="str">
        <f t="shared" si="2"/>
        <v>54 8B:武艺者薙刀镰</v>
      </c>
    </row>
    <row r="152" spans="1:7">
      <c r="A152" s="24" t="s">
        <v>3286</v>
      </c>
      <c r="B152" s="24" t="s">
        <v>3287</v>
      </c>
      <c r="C152" s="24" t="s">
        <v>3582</v>
      </c>
      <c r="D152" s="151" t="s">
        <v>3593</v>
      </c>
      <c r="E152" s="151" t="s">
        <v>3594</v>
      </c>
      <c r="F152" s="151"/>
      <c r="G152" s="52" t="str">
        <f t="shared" si="2"/>
        <v>AB 00:七杀薙刀镰</v>
      </c>
    </row>
    <row r="153" spans="1:7">
      <c r="A153" s="24" t="s">
        <v>3286</v>
      </c>
      <c r="B153" s="24" t="s">
        <v>3287</v>
      </c>
      <c r="C153" s="24" t="s">
        <v>3582</v>
      </c>
      <c r="D153" s="151" t="s">
        <v>3595</v>
      </c>
      <c r="E153" s="151" t="s">
        <v>3596</v>
      </c>
      <c r="F153" s="151"/>
      <c r="G153" s="52" t="str">
        <f t="shared" si="2"/>
        <v>22 F3:终止薙刀镰</v>
      </c>
    </row>
    <row r="154" spans="1:7">
      <c r="A154" s="24" t="s">
        <v>3286</v>
      </c>
      <c r="B154" s="24" t="s">
        <v>3287</v>
      </c>
      <c r="C154" s="24" t="s">
        <v>3582</v>
      </c>
      <c r="D154" s="151" t="s">
        <v>3597</v>
      </c>
      <c r="E154" s="151" t="s">
        <v>3598</v>
      </c>
      <c r="F154" s="151"/>
      <c r="G154" s="52" t="str">
        <f t="shared" si="2"/>
        <v>92 A1:竹叶雪</v>
      </c>
    </row>
    <row r="155" spans="1:7">
      <c r="A155" s="24" t="s">
        <v>3286</v>
      </c>
      <c r="B155" s="24" t="s">
        <v>3287</v>
      </c>
      <c r="C155" s="24" t="s">
        <v>3582</v>
      </c>
      <c r="D155" s="151" t="s">
        <v>3599</v>
      </c>
      <c r="E155" s="151" t="s">
        <v>3600</v>
      </c>
      <c r="F155" s="151"/>
      <c r="G155" s="52" t="str">
        <f t="shared" si="2"/>
        <v>D5 E9:灭却薙刀镰</v>
      </c>
    </row>
    <row r="156" spans="1:7">
      <c r="A156" s="24" t="s">
        <v>3286</v>
      </c>
      <c r="B156" s="24" t="s">
        <v>3287</v>
      </c>
      <c r="C156" s="24" t="s">
        <v>3582</v>
      </c>
      <c r="D156" s="151" t="s">
        <v>3601</v>
      </c>
      <c r="E156" s="151" t="s">
        <v>3602</v>
      </c>
      <c r="F156" s="151"/>
      <c r="G156" s="52" t="str">
        <f t="shared" si="2"/>
        <v>9B 06:破邪薙刀镰</v>
      </c>
    </row>
    <row r="157" spans="1:7">
      <c r="A157" s="24" t="s">
        <v>3286</v>
      </c>
      <c r="B157" s="24" t="s">
        <v>3287</v>
      </c>
      <c r="C157" s="24" t="s">
        <v>3582</v>
      </c>
      <c r="D157" s="151" t="s">
        <v>3603</v>
      </c>
      <c r="E157" s="151" t="s">
        <v>3604</v>
      </c>
      <c r="F157" s="151"/>
      <c r="G157" s="52" t="str">
        <f t="shared" si="2"/>
        <v>5F B1:朱雀嘴</v>
      </c>
    </row>
    <row r="158" spans="1:7">
      <c r="A158" s="24" t="s">
        <v>3286</v>
      </c>
      <c r="B158" s="24" t="s">
        <v>3287</v>
      </c>
      <c r="C158" s="24" t="s">
        <v>3582</v>
      </c>
      <c r="D158" s="151" t="s">
        <v>3605</v>
      </c>
      <c r="E158" s="151" t="s">
        <v>3606</v>
      </c>
      <c r="F158" s="151"/>
      <c r="G158" s="52" t="str">
        <f t="shared" si="2"/>
        <v>31 22:外法薙刀镰</v>
      </c>
    </row>
    <row r="159" spans="1:7">
      <c r="A159" s="24" t="s">
        <v>3286</v>
      </c>
      <c r="B159" s="24" t="s">
        <v>3287</v>
      </c>
      <c r="C159" s="24" t="s">
        <v>3582</v>
      </c>
      <c r="D159" s="151" t="s">
        <v>3607</v>
      </c>
      <c r="E159" s="151" t="s">
        <v>3608</v>
      </c>
      <c r="F159" s="151"/>
      <c r="G159" s="52" t="str">
        <f t="shared" si="2"/>
        <v>B5 FE:夜鸦薙刀镰</v>
      </c>
    </row>
    <row r="160" spans="1:7">
      <c r="A160" s="24" t="s">
        <v>3286</v>
      </c>
      <c r="B160" s="24" t="s">
        <v>3287</v>
      </c>
      <c r="C160" s="24" t="s">
        <v>3582</v>
      </c>
      <c r="D160" s="151" t="s">
        <v>3609</v>
      </c>
      <c r="E160" s="151" t="s">
        <v>3610</v>
      </c>
      <c r="F160" s="151"/>
      <c r="G160" s="52" t="str">
        <f t="shared" si="2"/>
        <v>BC 34:黑莲</v>
      </c>
    </row>
    <row r="161" spans="1:7">
      <c r="A161" s="24" t="s">
        <v>3286</v>
      </c>
      <c r="B161" s="24" t="s">
        <v>3287</v>
      </c>
      <c r="C161" s="24" t="s">
        <v>3582</v>
      </c>
      <c r="D161" s="151" t="s">
        <v>3611</v>
      </c>
      <c r="E161" s="151" t="s">
        <v>3612</v>
      </c>
      <c r="F161" s="151"/>
      <c r="G161" s="52" t="str">
        <f t="shared" si="2"/>
        <v>0F 6F:雷神爪</v>
      </c>
    </row>
    <row r="162" spans="1:7">
      <c r="A162" s="24" t="s">
        <v>3286</v>
      </c>
      <c r="B162" s="24" t="s">
        <v>3287</v>
      </c>
      <c r="C162" s="24" t="s">
        <v>3582</v>
      </c>
      <c r="D162" s="151" t="s">
        <v>3613</v>
      </c>
      <c r="E162" s="151" t="s">
        <v>3614</v>
      </c>
      <c r="F162" s="151"/>
      <c r="G162" s="52" t="str">
        <f t="shared" si="2"/>
        <v>A2 9B:绵津见</v>
      </c>
    </row>
    <row r="163" spans="1:7">
      <c r="A163" s="24" t="s">
        <v>3286</v>
      </c>
      <c r="B163" s="24" t="s">
        <v>3287</v>
      </c>
      <c r="C163" s="24" t="s">
        <v>3582</v>
      </c>
      <c r="D163" s="151" t="s">
        <v>3615</v>
      </c>
      <c r="E163" s="151" t="s">
        <v>3616</v>
      </c>
      <c r="F163" s="151"/>
      <c r="G163" s="52" t="str">
        <f t="shared" si="2"/>
        <v>E1 32:凤凰翼</v>
      </c>
    </row>
    <row r="164" spans="1:7">
      <c r="A164" s="24" t="s">
        <v>3286</v>
      </c>
      <c r="B164" s="24" t="s">
        <v>3287</v>
      </c>
      <c r="C164" s="24" t="s">
        <v>3582</v>
      </c>
      <c r="D164" s="151" t="s">
        <v>3617</v>
      </c>
      <c r="E164" s="151" t="s">
        <v>3618</v>
      </c>
      <c r="F164" s="151"/>
      <c r="G164" s="52" t="str">
        <f t="shared" si="2"/>
        <v>E9 D5:岩融</v>
      </c>
    </row>
    <row r="165" spans="1:7">
      <c r="A165" s="24" t="s">
        <v>3286</v>
      </c>
      <c r="B165" s="24" t="s">
        <v>3287</v>
      </c>
      <c r="C165" s="24" t="s">
        <v>3582</v>
      </c>
      <c r="D165" s="151" t="s">
        <v>3619</v>
      </c>
      <c r="E165" s="151" t="s">
        <v>3620</v>
      </c>
      <c r="F165" s="151"/>
      <c r="G165" s="52" t="str">
        <f t="shared" si="2"/>
        <v>60 85:破戒薙刀镰</v>
      </c>
    </row>
    <row r="166" spans="1:7">
      <c r="A166" s="24" t="s">
        <v>3286</v>
      </c>
      <c r="B166" s="24" t="s">
        <v>3287</v>
      </c>
      <c r="C166" s="24" t="s">
        <v>3582</v>
      </c>
      <c r="D166" s="151" t="s">
        <v>3621</v>
      </c>
      <c r="E166" s="151" t="s">
        <v>3622</v>
      </c>
      <c r="F166" s="151"/>
      <c r="G166" s="52" t="str">
        <f t="shared" si="2"/>
        <v>3C EA:明神镰</v>
      </c>
    </row>
    <row r="167" spans="1:7">
      <c r="A167" s="24" t="s">
        <v>3286</v>
      </c>
      <c r="B167" s="24" t="s">
        <v>3287</v>
      </c>
      <c r="C167" s="24" t="s">
        <v>3582</v>
      </c>
      <c r="D167" s="151" t="s">
        <v>3623</v>
      </c>
      <c r="E167" s="151" t="s">
        <v>3624</v>
      </c>
      <c r="F167" s="151"/>
      <c r="G167" s="52" t="str">
        <f t="shared" si="2"/>
        <v>6C C4:慈悲薙刀镰</v>
      </c>
    </row>
    <row r="168" spans="1:7">
      <c r="A168" s="24" t="s">
        <v>3286</v>
      </c>
      <c r="B168" s="24" t="s">
        <v>3287</v>
      </c>
      <c r="C168" s="24" t="s">
        <v>3582</v>
      </c>
      <c r="D168" s="151" t="s">
        <v>3625</v>
      </c>
      <c r="E168" s="151" t="s">
        <v>3626</v>
      </c>
      <c r="F168" s="151"/>
      <c r="G168" s="52" t="str">
        <f t="shared" si="2"/>
        <v>C9 C1:兼光薙刀镰</v>
      </c>
    </row>
    <row r="169" spans="1:7">
      <c r="A169" s="24" t="s">
        <v>3286</v>
      </c>
      <c r="B169" s="24" t="s">
        <v>3287</v>
      </c>
      <c r="C169" s="24" t="s">
        <v>3582</v>
      </c>
      <c r="D169" s="151" t="s">
        <v>3627</v>
      </c>
      <c r="E169" s="151" t="s">
        <v>3628</v>
      </c>
      <c r="F169" s="151"/>
      <c r="G169" s="52" t="str">
        <f t="shared" si="2"/>
        <v>58 C3:木曾紫薙刀镰</v>
      </c>
    </row>
    <row r="170" spans="1:7">
      <c r="A170" s="24" t="s">
        <v>3286</v>
      </c>
      <c r="B170" s="24" t="s">
        <v>3287</v>
      </c>
      <c r="C170" s="24" t="s">
        <v>3582</v>
      </c>
      <c r="D170" s="151" t="s">
        <v>3629</v>
      </c>
      <c r="E170" s="151" t="s">
        <v>3630</v>
      </c>
      <c r="F170" s="151"/>
      <c r="G170" s="52" t="str">
        <f t="shared" si="2"/>
        <v>90 66:狱妖薙刀镰</v>
      </c>
    </row>
    <row r="171" spans="1:7">
      <c r="A171" s="24" t="s">
        <v>3286</v>
      </c>
      <c r="B171" s="24" t="s">
        <v>3287</v>
      </c>
      <c r="C171" s="24" t="s">
        <v>3582</v>
      </c>
      <c r="D171" s="151" t="s">
        <v>3631</v>
      </c>
      <c r="E171" s="151" t="s">
        <v>3632</v>
      </c>
      <c r="F171" s="151"/>
      <c r="G171" s="52" t="str">
        <f t="shared" si="2"/>
        <v>FE D1:穴泽流薙刀镰</v>
      </c>
    </row>
    <row r="172" spans="1:7">
      <c r="A172" s="24" t="s">
        <v>3286</v>
      </c>
      <c r="B172" s="24" t="s">
        <v>3287</v>
      </c>
      <c r="C172" s="24" t="s">
        <v>3633</v>
      </c>
      <c r="D172" s="151" t="s">
        <v>3634</v>
      </c>
      <c r="E172" s="151" t="s">
        <v>3635</v>
      </c>
      <c r="F172" s="151"/>
      <c r="G172" s="52" t="str">
        <f t="shared" si="2"/>
        <v>BB CE:皮手甲</v>
      </c>
    </row>
    <row r="173" spans="1:7">
      <c r="A173" s="24" t="s">
        <v>3286</v>
      </c>
      <c r="B173" s="24" t="s">
        <v>3287</v>
      </c>
      <c r="C173" s="24" t="s">
        <v>3633</v>
      </c>
      <c r="D173" s="151" t="s">
        <v>3636</v>
      </c>
      <c r="E173" s="151" t="s">
        <v>3637</v>
      </c>
      <c r="F173" s="151"/>
      <c r="G173" s="52" t="str">
        <f t="shared" si="2"/>
        <v>5C 19:足轻手甲</v>
      </c>
    </row>
    <row r="174" spans="1:7">
      <c r="A174" s="24" t="s">
        <v>3286</v>
      </c>
      <c r="B174" s="24" t="s">
        <v>3287</v>
      </c>
      <c r="C174" s="24" t="s">
        <v>3633</v>
      </c>
      <c r="D174" s="151" t="s">
        <v>3638</v>
      </c>
      <c r="E174" s="151" t="s">
        <v>3639</v>
      </c>
      <c r="F174" s="151"/>
      <c r="G174" s="52" t="str">
        <f t="shared" si="2"/>
        <v>96 A6:足轻大将手甲</v>
      </c>
    </row>
    <row r="175" spans="1:7">
      <c r="A175" s="24" t="s">
        <v>3286</v>
      </c>
      <c r="B175" s="24" t="s">
        <v>3287</v>
      </c>
      <c r="C175" s="24" t="s">
        <v>3633</v>
      </c>
      <c r="D175" s="151" t="s">
        <v>3640</v>
      </c>
      <c r="E175" s="151" t="s">
        <v>3641</v>
      </c>
      <c r="F175" s="151"/>
      <c r="G175" s="52" t="str">
        <f t="shared" si="2"/>
        <v>CA 00:武艺者手甲</v>
      </c>
    </row>
    <row r="176" spans="1:7">
      <c r="A176" s="24" t="s">
        <v>3286</v>
      </c>
      <c r="B176" s="24" t="s">
        <v>3287</v>
      </c>
      <c r="C176" s="24" t="s">
        <v>3633</v>
      </c>
      <c r="D176" s="151" t="s">
        <v>3642</v>
      </c>
      <c r="E176" s="151" t="s">
        <v>3643</v>
      </c>
      <c r="F176" s="151"/>
      <c r="G176" s="52" t="str">
        <f t="shared" si="2"/>
        <v>63 D0:侍大将手甲</v>
      </c>
    </row>
    <row r="177" spans="1:7">
      <c r="A177" s="24" t="s">
        <v>3286</v>
      </c>
      <c r="B177" s="24" t="s">
        <v>3287</v>
      </c>
      <c r="C177" s="24" t="s">
        <v>3633</v>
      </c>
      <c r="D177" s="151" t="s">
        <v>3644</v>
      </c>
      <c r="E177" s="151" t="s">
        <v>3645</v>
      </c>
      <c r="F177" s="151"/>
      <c r="G177" s="52" t="str">
        <f t="shared" si="2"/>
        <v>13 82:钵屋众手甲</v>
      </c>
    </row>
    <row r="178" spans="1:7">
      <c r="A178" s="24" t="s">
        <v>3286</v>
      </c>
      <c r="B178" s="24" t="s">
        <v>3287</v>
      </c>
      <c r="C178" s="24" t="s">
        <v>3633</v>
      </c>
      <c r="D178" s="151" t="s">
        <v>3646</v>
      </c>
      <c r="E178" s="151" t="s">
        <v>3647</v>
      </c>
      <c r="F178" s="151"/>
      <c r="G178" s="52" t="str">
        <f t="shared" si="2"/>
        <v>3F DF:山伏手甲</v>
      </c>
    </row>
    <row r="179" spans="1:7">
      <c r="A179" s="24" t="s">
        <v>3286</v>
      </c>
      <c r="B179" s="24" t="s">
        <v>3287</v>
      </c>
      <c r="C179" s="24" t="s">
        <v>3633</v>
      </c>
      <c r="D179" s="151" t="s">
        <v>3648</v>
      </c>
      <c r="E179" s="151" t="s">
        <v>3649</v>
      </c>
      <c r="F179" s="151"/>
      <c r="G179" s="52" t="str">
        <f t="shared" si="2"/>
        <v>55 12:白莲手甲</v>
      </c>
    </row>
    <row r="180" spans="1:7">
      <c r="A180" s="24" t="s">
        <v>3286</v>
      </c>
      <c r="B180" s="24" t="s">
        <v>3287</v>
      </c>
      <c r="C180" s="24" t="s">
        <v>3633</v>
      </c>
      <c r="D180" s="151" t="s">
        <v>3650</v>
      </c>
      <c r="E180" s="151" t="s">
        <v>3651</v>
      </c>
      <c r="F180" s="151"/>
      <c r="G180" s="52" t="str">
        <f t="shared" si="2"/>
        <v>77 3B:朱漆手甲</v>
      </c>
    </row>
    <row r="181" spans="1:7">
      <c r="A181" s="24" t="s">
        <v>3286</v>
      </c>
      <c r="B181" s="24" t="s">
        <v>3287</v>
      </c>
      <c r="C181" s="24" t="s">
        <v>3633</v>
      </c>
      <c r="D181" s="151" t="s">
        <v>3652</v>
      </c>
      <c r="E181" s="151" t="s">
        <v>3653</v>
      </c>
      <c r="F181" s="151"/>
      <c r="G181" s="52" t="str">
        <f t="shared" si="2"/>
        <v>06 99:鬼腕甲</v>
      </c>
    </row>
    <row r="182" spans="1:7">
      <c r="A182" s="24" t="s">
        <v>3286</v>
      </c>
      <c r="B182" s="24" t="s">
        <v>3287</v>
      </c>
      <c r="C182" s="24" t="s">
        <v>3633</v>
      </c>
      <c r="D182" s="151" t="s">
        <v>3654</v>
      </c>
      <c r="E182" s="151" t="s">
        <v>3655</v>
      </c>
      <c r="F182" s="151"/>
      <c r="G182" s="52" t="str">
        <f t="shared" si="2"/>
        <v>8C D2:辟邪手甲</v>
      </c>
    </row>
    <row r="183" spans="1:7">
      <c r="A183" s="24" t="s">
        <v>3286</v>
      </c>
      <c r="B183" s="24" t="s">
        <v>3287</v>
      </c>
      <c r="C183" s="24" t="s">
        <v>3633</v>
      </c>
      <c r="D183" s="151" t="s">
        <v>3656</v>
      </c>
      <c r="E183" s="151" t="s">
        <v>3657</v>
      </c>
      <c r="F183" s="151"/>
      <c r="G183" s="52" t="str">
        <f t="shared" si="2"/>
        <v>AE 9C:风魔手甲</v>
      </c>
    </row>
    <row r="184" spans="1:7">
      <c r="A184" s="24" t="s">
        <v>3286</v>
      </c>
      <c r="B184" s="24" t="s">
        <v>3287</v>
      </c>
      <c r="C184" s="24" t="s">
        <v>3633</v>
      </c>
      <c r="D184" s="151" t="s">
        <v>3658</v>
      </c>
      <c r="E184" s="151" t="s">
        <v>3659</v>
      </c>
      <c r="F184" s="151"/>
      <c r="G184" s="52" t="str">
        <f t="shared" si="2"/>
        <v>76 D1:恶鬼手甲</v>
      </c>
    </row>
    <row r="185" spans="1:7">
      <c r="A185" s="24" t="s">
        <v>3286</v>
      </c>
      <c r="B185" s="24" t="s">
        <v>3287</v>
      </c>
      <c r="C185" s="24" t="s">
        <v>3633</v>
      </c>
      <c r="D185" s="151" t="s">
        <v>3660</v>
      </c>
      <c r="E185" s="151" t="s">
        <v>3661</v>
      </c>
      <c r="F185" s="151"/>
      <c r="G185" s="52" t="str">
        <f t="shared" si="2"/>
        <v>47 47:大名手甲</v>
      </c>
    </row>
    <row r="186" spans="1:7">
      <c r="A186" s="24" t="s">
        <v>3286</v>
      </c>
      <c r="B186" s="24" t="s">
        <v>3287</v>
      </c>
      <c r="C186" s="24" t="s">
        <v>3633</v>
      </c>
      <c r="D186" s="151" t="s">
        <v>3662</v>
      </c>
      <c r="E186" s="151" t="s">
        <v>3663</v>
      </c>
      <c r="F186" s="151"/>
      <c r="G186" s="52" t="str">
        <f t="shared" si="2"/>
        <v>73 31:高手手甲</v>
      </c>
    </row>
    <row r="187" spans="1:7">
      <c r="A187" s="24" t="s">
        <v>3286</v>
      </c>
      <c r="B187" s="24" t="s">
        <v>3287</v>
      </c>
      <c r="C187" s="24" t="s">
        <v>3633</v>
      </c>
      <c r="D187" s="151" t="s">
        <v>3664</v>
      </c>
      <c r="E187" s="151" t="s">
        <v>3665</v>
      </c>
      <c r="F187" s="151"/>
      <c r="G187" s="52" t="str">
        <f t="shared" si="2"/>
        <v>77 B1:大风手甲</v>
      </c>
    </row>
    <row r="188" spans="1:7">
      <c r="A188" s="24" t="s">
        <v>3286</v>
      </c>
      <c r="B188" s="24" t="s">
        <v>3287</v>
      </c>
      <c r="C188" s="24" t="s">
        <v>3633</v>
      </c>
      <c r="D188" s="151" t="s">
        <v>3666</v>
      </c>
      <c r="E188" s="151" t="s">
        <v>3667</v>
      </c>
      <c r="F188" s="151"/>
      <c r="G188" s="52" t="str">
        <f t="shared" si="2"/>
        <v>F1 01:冰华手甲</v>
      </c>
    </row>
    <row r="189" spans="1:7">
      <c r="A189" s="24" t="s">
        <v>3286</v>
      </c>
      <c r="B189" s="24" t="s">
        <v>3287</v>
      </c>
      <c r="C189" s="24" t="s">
        <v>3633</v>
      </c>
      <c r="D189" s="151" t="s">
        <v>3668</v>
      </c>
      <c r="E189" s="151" t="s">
        <v>3669</v>
      </c>
      <c r="F189" s="151"/>
      <c r="G189" s="52" t="str">
        <f t="shared" si="2"/>
        <v>85 D3:百雷手甲</v>
      </c>
    </row>
    <row r="190" spans="1:7">
      <c r="A190" s="24" t="s">
        <v>3286</v>
      </c>
      <c r="B190" s="24" t="s">
        <v>3287</v>
      </c>
      <c r="C190" s="24" t="s">
        <v>3633</v>
      </c>
      <c r="D190" s="151" t="s">
        <v>3670</v>
      </c>
      <c r="E190" s="151" t="s">
        <v>3671</v>
      </c>
      <c r="F190" s="151"/>
      <c r="G190" s="52" t="str">
        <f t="shared" si="2"/>
        <v>AD CA:焰怒手甲</v>
      </c>
    </row>
    <row r="191" spans="1:7">
      <c r="A191" s="24" t="s">
        <v>3286</v>
      </c>
      <c r="B191" s="24" t="s">
        <v>3287</v>
      </c>
      <c r="C191" s="24" t="s">
        <v>3633</v>
      </c>
      <c r="D191" s="151" t="s">
        <v>3672</v>
      </c>
      <c r="E191" s="151" t="s">
        <v>3673</v>
      </c>
      <c r="F191" s="151"/>
      <c r="G191" s="52" t="str">
        <f t="shared" si="2"/>
        <v>13 99:万两义贼手甲</v>
      </c>
    </row>
    <row r="192" spans="1:7">
      <c r="A192" s="24" t="s">
        <v>3286</v>
      </c>
      <c r="B192" s="24" t="s">
        <v>3287</v>
      </c>
      <c r="C192" s="24" t="s">
        <v>3633</v>
      </c>
      <c r="D192" s="151" t="s">
        <v>3674</v>
      </c>
      <c r="E192" s="151" t="s">
        <v>3675</v>
      </c>
      <c r="F192" s="151"/>
      <c r="G192" s="52" t="str">
        <f t="shared" si="2"/>
        <v>79 D1:副将军手甲</v>
      </c>
    </row>
    <row r="193" spans="1:7">
      <c r="A193" s="24" t="s">
        <v>3286</v>
      </c>
      <c r="B193" s="24" t="s">
        <v>3287</v>
      </c>
      <c r="C193" s="24" t="s">
        <v>3633</v>
      </c>
      <c r="D193" s="151" t="s">
        <v>3676</v>
      </c>
      <c r="E193" s="151" t="s">
        <v>3677</v>
      </c>
      <c r="F193" s="151"/>
      <c r="G193" s="52" t="str">
        <f t="shared" si="2"/>
        <v>27 59:狱妖手甲</v>
      </c>
    </row>
    <row r="194" spans="1:7">
      <c r="A194" s="24" t="s">
        <v>3286</v>
      </c>
      <c r="B194" s="24" t="s">
        <v>3287</v>
      </c>
      <c r="C194" s="24" t="s">
        <v>3678</v>
      </c>
      <c r="D194" s="151" t="s">
        <v>3679</v>
      </c>
      <c r="E194" s="151" t="s">
        <v>3680</v>
      </c>
      <c r="F194" s="151"/>
      <c r="G194" s="52" t="str">
        <f t="shared" ref="G194:G257" si="3">D194&amp;":"&amp;E194</f>
        <v>33 1D:步兵盾矛</v>
      </c>
    </row>
    <row r="195" spans="1:7">
      <c r="A195" s="24" t="s">
        <v>3286</v>
      </c>
      <c r="B195" s="24" t="s">
        <v>3287</v>
      </c>
      <c r="C195" s="24" t="s">
        <v>3678</v>
      </c>
      <c r="D195" s="151" t="s">
        <v>3681</v>
      </c>
      <c r="E195" s="151" t="s">
        <v>3682</v>
      </c>
      <c r="F195" s="151"/>
      <c r="G195" s="52" t="str">
        <f t="shared" si="3"/>
        <v>8C EE:御家人刀盾</v>
      </c>
    </row>
    <row r="196" spans="1:7">
      <c r="A196" s="24" t="s">
        <v>3286</v>
      </c>
      <c r="B196" s="24" t="s">
        <v>3287</v>
      </c>
      <c r="C196" s="24" t="s">
        <v>3678</v>
      </c>
      <c r="D196" s="151" t="s">
        <v>3683</v>
      </c>
      <c r="E196" s="151" t="s">
        <v>3684</v>
      </c>
      <c r="F196" s="151"/>
      <c r="G196" s="52" t="str">
        <f t="shared" si="3"/>
        <v>A0 85:宗近盾矛</v>
      </c>
    </row>
    <row r="197" spans="1:7">
      <c r="A197" s="24" t="s">
        <v>3286</v>
      </c>
      <c r="B197" s="24" t="s">
        <v>3287</v>
      </c>
      <c r="C197" s="24" t="s">
        <v>3678</v>
      </c>
      <c r="D197" s="151" t="s">
        <v>3685</v>
      </c>
      <c r="E197" s="151" t="s">
        <v>3686</v>
      </c>
      <c r="F197" s="151"/>
      <c r="G197" s="52" t="str">
        <f t="shared" si="3"/>
        <v>0B FC:本庄正宗·纯铁盾</v>
      </c>
    </row>
    <row r="198" spans="1:7">
      <c r="A198" s="24" t="s">
        <v>3286</v>
      </c>
      <c r="B198" s="24" t="s">
        <v>3287</v>
      </c>
      <c r="C198" s="24" t="s">
        <v>3678</v>
      </c>
      <c r="D198" s="151" t="s">
        <v>3687</v>
      </c>
      <c r="E198" s="151" t="s">
        <v>3688</v>
      </c>
      <c r="F198" s="151"/>
      <c r="G198" s="52" t="str">
        <f t="shared" si="3"/>
        <v>41 CE:不动明王剑盾</v>
      </c>
    </row>
    <row r="199" spans="1:7">
      <c r="A199" s="24" t="s">
        <v>3286</v>
      </c>
      <c r="B199" s="24" t="s">
        <v>3287</v>
      </c>
      <c r="C199" s="24" t="s">
        <v>3678</v>
      </c>
      <c r="D199" s="151" t="s">
        <v>3689</v>
      </c>
      <c r="E199" s="151" t="s">
        <v>3690</v>
      </c>
      <c r="F199" s="151"/>
      <c r="G199" s="52" t="str">
        <f t="shared" si="3"/>
        <v>CA EF:君真物盾矛</v>
      </c>
    </row>
    <row r="200" spans="1:7">
      <c r="A200" s="24" t="s">
        <v>3286</v>
      </c>
      <c r="B200" s="24" t="s">
        <v>3287</v>
      </c>
      <c r="C200" s="24" t="s">
        <v>3678</v>
      </c>
      <c r="D200" s="151" t="s">
        <v>3691</v>
      </c>
      <c r="E200" s="151" t="s">
        <v>3692</v>
      </c>
      <c r="F200" s="151"/>
      <c r="G200" s="52" t="str">
        <f t="shared" si="3"/>
        <v>46 81:雷公盾矛</v>
      </c>
    </row>
    <row r="201" spans="1:7">
      <c r="A201" s="24" t="s">
        <v>3286</v>
      </c>
      <c r="B201" s="24" t="s">
        <v>3287</v>
      </c>
      <c r="C201" s="24" t="s">
        <v>3678</v>
      </c>
      <c r="D201" s="151" t="s">
        <v>3693</v>
      </c>
      <c r="E201" s="151" t="s">
        <v>3694</v>
      </c>
      <c r="F201" s="151"/>
      <c r="G201" s="52" t="str">
        <f t="shared" si="3"/>
        <v>EB D7:诹访盾矛</v>
      </c>
    </row>
    <row r="202" spans="1:7">
      <c r="A202" s="24" t="s">
        <v>3286</v>
      </c>
      <c r="B202" s="24" t="s">
        <v>3287</v>
      </c>
      <c r="C202" s="24" t="s">
        <v>3678</v>
      </c>
      <c r="D202" s="151" t="s">
        <v>3695</v>
      </c>
      <c r="E202" s="151" t="s">
        <v>3696</v>
      </c>
      <c r="F202" s="151"/>
      <c r="G202" s="52" t="str">
        <f t="shared" si="3"/>
        <v>D8 98:怨嗟剑盾</v>
      </c>
    </row>
    <row r="203" spans="1:7">
      <c r="A203" s="24" t="s">
        <v>3286</v>
      </c>
      <c r="B203" s="24" t="s">
        <v>3287</v>
      </c>
      <c r="C203" s="24" t="s">
        <v>3678</v>
      </c>
      <c r="D203" s="151" t="s">
        <v>3697</v>
      </c>
      <c r="E203" s="151" t="s">
        <v>3698</v>
      </c>
      <c r="F203" s="151"/>
      <c r="G203" s="52" t="str">
        <f t="shared" si="3"/>
        <v>8A CE:先锋盾矛</v>
      </c>
    </row>
    <row r="204" spans="1:7">
      <c r="A204" s="24" t="s">
        <v>3286</v>
      </c>
      <c r="B204" s="24" t="s">
        <v>3287</v>
      </c>
      <c r="C204" s="24" t="s">
        <v>3678</v>
      </c>
      <c r="D204" s="151" t="s">
        <v>3699</v>
      </c>
      <c r="E204" s="151" t="s">
        <v>3700</v>
      </c>
      <c r="F204" s="151"/>
      <c r="G204" s="52" t="str">
        <f t="shared" si="3"/>
        <v>BB E1:武田兵刀盾</v>
      </c>
    </row>
    <row r="205" spans="1:7">
      <c r="A205" s="24" t="s">
        <v>3286</v>
      </c>
      <c r="B205" s="24" t="s">
        <v>3287</v>
      </c>
      <c r="C205" s="24" t="s">
        <v>3678</v>
      </c>
      <c r="D205" s="151" t="s">
        <v>3701</v>
      </c>
      <c r="E205" s="151" t="s">
        <v>3702</v>
      </c>
      <c r="F205" s="151"/>
      <c r="G205" s="52" t="str">
        <f t="shared" si="3"/>
        <v>10 06:古代将领盾矛</v>
      </c>
    </row>
    <row r="206" spans="1:7">
      <c r="A206" s="24" t="s">
        <v>3286</v>
      </c>
      <c r="B206" s="24" t="s">
        <v>3287</v>
      </c>
      <c r="C206" s="24" t="s">
        <v>3678</v>
      </c>
      <c r="D206" s="151" t="s">
        <v>3703</v>
      </c>
      <c r="E206" s="151" t="s">
        <v>3704</v>
      </c>
      <c r="F206" s="151"/>
      <c r="G206" s="52" t="str">
        <f t="shared" si="3"/>
        <v>E0 27:泷口武者盾矛</v>
      </c>
    </row>
    <row r="207" spans="1:7">
      <c r="A207" s="24" t="s">
        <v>3286</v>
      </c>
      <c r="B207" s="24" t="s">
        <v>3287</v>
      </c>
      <c r="C207" s="24" t="s">
        <v>3678</v>
      </c>
      <c r="D207" s="151" t="s">
        <v>3705</v>
      </c>
      <c r="E207" s="151" t="s">
        <v>3706</v>
      </c>
      <c r="F207" s="151"/>
      <c r="G207" s="52" t="str">
        <f t="shared" si="3"/>
        <v>22 A7:豪杰刀盾</v>
      </c>
    </row>
    <row r="208" spans="1:7">
      <c r="A208" s="24" t="s">
        <v>3286</v>
      </c>
      <c r="B208" s="24" t="s">
        <v>3287</v>
      </c>
      <c r="C208" s="24" t="s">
        <v>3678</v>
      </c>
      <c r="D208" s="151" t="s">
        <v>3707</v>
      </c>
      <c r="E208" s="151" t="s">
        <v>3708</v>
      </c>
      <c r="F208" s="151"/>
      <c r="G208" s="52" t="str">
        <f t="shared" si="3"/>
        <v>0D 50:三池典太・编笠</v>
      </c>
    </row>
    <row r="209" spans="1:7">
      <c r="A209" s="24" t="s">
        <v>3286</v>
      </c>
      <c r="B209" s="24" t="s">
        <v>3287</v>
      </c>
      <c r="C209" s="24" t="s">
        <v>3678</v>
      </c>
      <c r="D209" s="151" t="s">
        <v>3709</v>
      </c>
      <c r="E209" s="151" t="s">
        <v>3710</v>
      </c>
      <c r="F209" s="151"/>
      <c r="G209" s="52" t="str">
        <f t="shared" si="3"/>
        <v>03 CF:炼金术师剑盾</v>
      </c>
    </row>
    <row r="210" spans="1:7">
      <c r="A210" s="24" t="s">
        <v>3286</v>
      </c>
      <c r="B210" s="24" t="s">
        <v>3711</v>
      </c>
      <c r="C210" s="24" t="s">
        <v>3712</v>
      </c>
      <c r="D210" s="151" t="s">
        <v>3713</v>
      </c>
      <c r="E210" s="151" t="s">
        <v>3290</v>
      </c>
      <c r="F210" s="151"/>
      <c r="G210" s="52" t="str">
        <f t="shared" si="3"/>
        <v>17 50:木刀</v>
      </c>
    </row>
    <row r="211" spans="1:7">
      <c r="A211" s="24" t="s">
        <v>3286</v>
      </c>
      <c r="B211" s="24" t="s">
        <v>3711</v>
      </c>
      <c r="C211" s="24" t="s">
        <v>3712</v>
      </c>
      <c r="D211" s="151" t="s">
        <v>3714</v>
      </c>
      <c r="E211" s="151" t="s">
        <v>3715</v>
      </c>
      <c r="F211" s="151"/>
      <c r="G211" s="52" t="str">
        <f t="shared" si="3"/>
        <v>C8 B9:备前传打刀</v>
      </c>
    </row>
    <row r="212" spans="1:7">
      <c r="A212" s="24" t="s">
        <v>3286</v>
      </c>
      <c r="B212" s="24" t="s">
        <v>3711</v>
      </c>
      <c r="C212" s="24" t="s">
        <v>3712</v>
      </c>
      <c r="D212" s="151" t="s">
        <v>3716</v>
      </c>
      <c r="E212" s="151" t="s">
        <v>3717</v>
      </c>
      <c r="F212" s="151"/>
      <c r="G212" s="52" t="str">
        <f t="shared" si="3"/>
        <v>C4 D2:美浓传打刀</v>
      </c>
    </row>
    <row r="213" spans="1:7">
      <c r="A213" s="24" t="s">
        <v>3286</v>
      </c>
      <c r="B213" s="24" t="s">
        <v>3711</v>
      </c>
      <c r="C213" s="24" t="s">
        <v>3712</v>
      </c>
      <c r="D213" s="151" t="s">
        <v>3718</v>
      </c>
      <c r="E213" s="151" t="s">
        <v>3719</v>
      </c>
      <c r="F213" s="151"/>
      <c r="G213" s="52" t="str">
        <f t="shared" si="3"/>
        <v>50 34:大和传打刀</v>
      </c>
    </row>
    <row r="214" spans="1:7">
      <c r="A214" s="24" t="s">
        <v>3286</v>
      </c>
      <c r="B214" s="24" t="s">
        <v>3711</v>
      </c>
      <c r="C214" s="24" t="s">
        <v>3712</v>
      </c>
      <c r="D214" s="151" t="s">
        <v>3720</v>
      </c>
      <c r="E214" s="151" t="s">
        <v>3721</v>
      </c>
      <c r="F214" s="151"/>
      <c r="G214" s="52" t="str">
        <f t="shared" si="3"/>
        <v>A5 F7:千手院打刀</v>
      </c>
    </row>
    <row r="215" spans="1:7">
      <c r="A215" s="24" t="s">
        <v>3286</v>
      </c>
      <c r="B215" s="24" t="s">
        <v>3711</v>
      </c>
      <c r="C215" s="24" t="s">
        <v>3712</v>
      </c>
      <c r="D215" s="151" t="s">
        <v>3722</v>
      </c>
      <c r="E215" s="151" t="s">
        <v>3723</v>
      </c>
      <c r="F215" s="151"/>
      <c r="G215" s="52" t="str">
        <f t="shared" si="3"/>
        <v>F9 74:备前一文字</v>
      </c>
    </row>
    <row r="216" spans="1:7">
      <c r="A216" s="24" t="s">
        <v>3286</v>
      </c>
      <c r="B216" s="24" t="s">
        <v>3711</v>
      </c>
      <c r="C216" s="24" t="s">
        <v>3712</v>
      </c>
      <c r="D216" s="151" t="s">
        <v>3724</v>
      </c>
      <c r="E216" s="151" t="s">
        <v>3725</v>
      </c>
      <c r="F216" s="151"/>
      <c r="G216" s="52" t="str">
        <f t="shared" si="3"/>
        <v>8C D9:菊一文字</v>
      </c>
    </row>
    <row r="217" spans="1:7">
      <c r="A217" s="24" t="s">
        <v>3286</v>
      </c>
      <c r="B217" s="24" t="s">
        <v>3711</v>
      </c>
      <c r="C217" s="24" t="s">
        <v>3712</v>
      </c>
      <c r="D217" s="151" t="s">
        <v>3726</v>
      </c>
      <c r="E217" s="151" t="s">
        <v>3727</v>
      </c>
      <c r="F217" s="151"/>
      <c r="G217" s="52" t="str">
        <f t="shared" si="3"/>
        <v>1B 61:压切长谷部</v>
      </c>
    </row>
    <row r="218" spans="1:7">
      <c r="A218" s="24" t="s">
        <v>3286</v>
      </c>
      <c r="B218" s="24" t="s">
        <v>3711</v>
      </c>
      <c r="C218" s="24" t="s">
        <v>3712</v>
      </c>
      <c r="D218" s="151" t="s">
        <v>3728</v>
      </c>
      <c r="E218" s="151" t="s">
        <v>3729</v>
      </c>
      <c r="F218" s="151"/>
      <c r="G218" s="52" t="str">
        <f t="shared" si="3"/>
        <v>30 34:古备前友成</v>
      </c>
    </row>
    <row r="219" spans="1:7">
      <c r="A219" s="24" t="s">
        <v>3286</v>
      </c>
      <c r="B219" s="24" t="s">
        <v>3711</v>
      </c>
      <c r="C219" s="24" t="s">
        <v>3712</v>
      </c>
      <c r="D219" s="151" t="s">
        <v>3730</v>
      </c>
      <c r="E219" s="151" t="s">
        <v>3731</v>
      </c>
      <c r="F219" s="151"/>
      <c r="G219" s="52" t="str">
        <f t="shared" si="3"/>
        <v>26 CD:鬼泪村正</v>
      </c>
    </row>
    <row r="220" spans="1:7">
      <c r="A220" s="24" t="s">
        <v>3286</v>
      </c>
      <c r="B220" s="24" t="s">
        <v>3711</v>
      </c>
      <c r="C220" s="24" t="s">
        <v>3712</v>
      </c>
      <c r="D220" s="151" t="s">
        <v>3732</v>
      </c>
      <c r="E220" s="151" t="s">
        <v>3310</v>
      </c>
      <c r="F220" s="151"/>
      <c r="G220" s="52" t="str">
        <f t="shared" si="3"/>
        <v>3F 60:薄绿</v>
      </c>
    </row>
    <row r="221" spans="1:7">
      <c r="A221" s="24" t="s">
        <v>3286</v>
      </c>
      <c r="B221" s="24" t="s">
        <v>3711</v>
      </c>
      <c r="C221" s="24" t="s">
        <v>3712</v>
      </c>
      <c r="D221" s="151" t="s">
        <v>3733</v>
      </c>
      <c r="E221" s="151" t="s">
        <v>3734</v>
      </c>
      <c r="F221" s="151"/>
      <c r="G221" s="52" t="str">
        <f t="shared" si="3"/>
        <v>0F 2A:三日月宗近</v>
      </c>
    </row>
    <row r="222" spans="1:7">
      <c r="A222" s="24" t="s">
        <v>3286</v>
      </c>
      <c r="B222" s="24" t="s">
        <v>3711</v>
      </c>
      <c r="C222" s="24" t="s">
        <v>3712</v>
      </c>
      <c r="D222" s="151" t="s">
        <v>3735</v>
      </c>
      <c r="E222" s="151" t="s">
        <v>3736</v>
      </c>
      <c r="F222" s="151"/>
      <c r="G222" s="52" t="str">
        <f t="shared" si="3"/>
        <v>2E EF:早鹰</v>
      </c>
    </row>
    <row r="223" spans="1:7">
      <c r="A223" s="24" t="s">
        <v>3286</v>
      </c>
      <c r="B223" s="24" t="s">
        <v>3711</v>
      </c>
      <c r="C223" s="24" t="s">
        <v>3712</v>
      </c>
      <c r="D223" s="151" t="s">
        <v>3737</v>
      </c>
      <c r="E223" s="151" t="s">
        <v>3738</v>
      </c>
      <c r="F223" s="151"/>
      <c r="G223" s="52" t="str">
        <f t="shared" si="3"/>
        <v>1F 5A:安宅贞宗</v>
      </c>
    </row>
    <row r="224" spans="1:7">
      <c r="A224" s="24" t="s">
        <v>3286</v>
      </c>
      <c r="B224" s="24" t="s">
        <v>3711</v>
      </c>
      <c r="C224" s="24" t="s">
        <v>3712</v>
      </c>
      <c r="D224" s="151" t="s">
        <v>3739</v>
      </c>
      <c r="E224" s="151" t="s">
        <v>3740</v>
      </c>
      <c r="F224" s="151"/>
      <c r="G224" s="52" t="str">
        <f t="shared" si="3"/>
        <v>43 75:实休光忠</v>
      </c>
    </row>
    <row r="225" spans="1:7">
      <c r="A225" s="24" t="s">
        <v>3286</v>
      </c>
      <c r="B225" s="24" t="s">
        <v>3711</v>
      </c>
      <c r="C225" s="24" t="s">
        <v>3712</v>
      </c>
      <c r="D225" s="151" t="s">
        <v>3741</v>
      </c>
      <c r="E225" s="151" t="s">
        <v>3742</v>
      </c>
      <c r="F225" s="151"/>
      <c r="G225" s="52" t="str">
        <f t="shared" si="3"/>
        <v>D2 75:雷切</v>
      </c>
    </row>
    <row r="226" spans="1:7">
      <c r="A226" s="24" t="s">
        <v>3286</v>
      </c>
      <c r="B226" s="24" t="s">
        <v>3711</v>
      </c>
      <c r="C226" s="24" t="s">
        <v>3712</v>
      </c>
      <c r="D226" s="151" t="s">
        <v>3743</v>
      </c>
      <c r="E226" s="151" t="s">
        <v>3326</v>
      </c>
      <c r="F226" s="151"/>
      <c r="G226" s="52" t="str">
        <f t="shared" si="3"/>
        <v>E2 7F:蜥蜴丸</v>
      </c>
    </row>
    <row r="227" spans="1:7">
      <c r="A227" s="24" t="s">
        <v>3286</v>
      </c>
      <c r="B227" s="24" t="s">
        <v>3711</v>
      </c>
      <c r="C227" s="24" t="s">
        <v>3712</v>
      </c>
      <c r="D227" s="151" t="s">
        <v>3744</v>
      </c>
      <c r="E227" s="151" t="s">
        <v>3745</v>
      </c>
      <c r="F227" s="151"/>
      <c r="G227" s="52" t="str">
        <f t="shared" si="3"/>
        <v>FD 1A:念珠丸恒次</v>
      </c>
    </row>
    <row r="228" spans="1:7">
      <c r="A228" s="24" t="s">
        <v>3286</v>
      </c>
      <c r="B228" s="24" t="s">
        <v>3711</v>
      </c>
      <c r="C228" s="24" t="s">
        <v>3712</v>
      </c>
      <c r="D228" s="151" t="s">
        <v>3746</v>
      </c>
      <c r="E228" s="151" t="s">
        <v>3747</v>
      </c>
      <c r="F228" s="151"/>
      <c r="G228" s="52" t="str">
        <f t="shared" si="3"/>
        <v>56 90:藤原贞安</v>
      </c>
    </row>
    <row r="229" spans="1:7">
      <c r="A229" s="24" t="s">
        <v>3286</v>
      </c>
      <c r="B229" s="24" t="s">
        <v>3711</v>
      </c>
      <c r="C229" s="24" t="s">
        <v>3712</v>
      </c>
      <c r="D229" s="151" t="s">
        <v>3748</v>
      </c>
      <c r="E229" s="151" t="s">
        <v>3749</v>
      </c>
      <c r="F229" s="151"/>
      <c r="G229" s="52" t="str">
        <f t="shared" si="3"/>
        <v>94 1A:凶王之剑</v>
      </c>
    </row>
    <row r="230" spans="1:7">
      <c r="A230" s="24" t="s">
        <v>3286</v>
      </c>
      <c r="B230" s="24" t="s">
        <v>3711</v>
      </c>
      <c r="C230" s="24" t="s">
        <v>3712</v>
      </c>
      <c r="D230" s="151" t="s">
        <v>3750</v>
      </c>
      <c r="E230" s="151" t="s">
        <v>3332</v>
      </c>
      <c r="F230" s="151"/>
      <c r="G230" s="52" t="str">
        <f t="shared" si="3"/>
        <v>3E AD:家光的装饰刀</v>
      </c>
    </row>
    <row r="231" spans="1:7">
      <c r="A231" s="24" t="s">
        <v>3286</v>
      </c>
      <c r="B231" s="24" t="s">
        <v>3711</v>
      </c>
      <c r="C231" s="24" t="s">
        <v>3712</v>
      </c>
      <c r="D231" s="151" t="s">
        <v>3751</v>
      </c>
      <c r="E231" s="151" t="s">
        <v>3752</v>
      </c>
      <c r="F231" s="151"/>
      <c r="G231" s="52" t="str">
        <f t="shared" si="3"/>
        <v>18 0D:狱妖忍刀</v>
      </c>
    </row>
    <row r="232" spans="1:7">
      <c r="A232" s="24" t="s">
        <v>3286</v>
      </c>
      <c r="B232" s="24" t="s">
        <v>3711</v>
      </c>
      <c r="C232" s="24" t="s">
        <v>3712</v>
      </c>
      <c r="D232" s="151" t="s">
        <v>3753</v>
      </c>
      <c r="E232" s="151" t="s">
        <v>3754</v>
      </c>
      <c r="F232" s="151"/>
      <c r="G232" s="52" t="str">
        <f t="shared" si="3"/>
        <v>B4 43:大目付忍刀</v>
      </c>
    </row>
    <row r="233" spans="1:7">
      <c r="A233" s="24" t="s">
        <v>3286</v>
      </c>
      <c r="B233" s="24" t="s">
        <v>3711</v>
      </c>
      <c r="C233" s="24" t="s">
        <v>3755</v>
      </c>
      <c r="D233" s="151" t="s">
        <v>3756</v>
      </c>
      <c r="E233" s="151" t="s">
        <v>3341</v>
      </c>
      <c r="F233" s="151"/>
      <c r="G233" s="52" t="str">
        <f t="shared" si="3"/>
        <v>A1 A3:双木刀</v>
      </c>
    </row>
    <row r="234" spans="1:7">
      <c r="A234" s="24" t="s">
        <v>3286</v>
      </c>
      <c r="B234" s="24" t="s">
        <v>3711</v>
      </c>
      <c r="C234" s="24" t="s">
        <v>3755</v>
      </c>
      <c r="D234" s="151" t="s">
        <v>3757</v>
      </c>
      <c r="E234" s="151" t="s">
        <v>3758</v>
      </c>
      <c r="F234" s="151"/>
      <c r="G234" s="52" t="str">
        <f t="shared" si="3"/>
        <v>1B E3:美浓传打刀双刀</v>
      </c>
    </row>
    <row r="235" spans="1:7">
      <c r="A235" s="24" t="s">
        <v>3286</v>
      </c>
      <c r="B235" s="24" t="s">
        <v>3711</v>
      </c>
      <c r="C235" s="24" t="s">
        <v>3755</v>
      </c>
      <c r="D235" s="151" t="s">
        <v>3759</v>
      </c>
      <c r="E235" s="151" t="s">
        <v>3760</v>
      </c>
      <c r="F235" s="151"/>
      <c r="G235" s="52" t="str">
        <f t="shared" si="3"/>
        <v>BC 44:相州传打刀双刀</v>
      </c>
    </row>
    <row r="236" spans="1:7">
      <c r="A236" s="24" t="s">
        <v>3286</v>
      </c>
      <c r="B236" s="24" t="s">
        <v>3711</v>
      </c>
      <c r="C236" s="24" t="s">
        <v>3755</v>
      </c>
      <c r="D236" s="151" t="s">
        <v>3761</v>
      </c>
      <c r="E236" s="151" t="s">
        <v>3762</v>
      </c>
      <c r="F236" s="151"/>
      <c r="G236" s="52" t="str">
        <f t="shared" si="3"/>
        <v>3A 0D:关物打刀双刀</v>
      </c>
    </row>
    <row r="237" spans="1:7">
      <c r="A237" s="24" t="s">
        <v>3286</v>
      </c>
      <c r="B237" s="24" t="s">
        <v>3711</v>
      </c>
      <c r="C237" s="24" t="s">
        <v>3755</v>
      </c>
      <c r="D237" s="151" t="s">
        <v>3763</v>
      </c>
      <c r="E237" s="151" t="s">
        <v>3349</v>
      </c>
      <c r="F237" s="151"/>
      <c r="G237" s="52" t="str">
        <f t="shared" si="3"/>
        <v>03 42:地狱锯</v>
      </c>
    </row>
    <row r="238" spans="1:7">
      <c r="A238" s="24" t="s">
        <v>3286</v>
      </c>
      <c r="B238" s="24" t="s">
        <v>3711</v>
      </c>
      <c r="C238" s="24" t="s">
        <v>3755</v>
      </c>
      <c r="D238" s="151" t="s">
        <v>3764</v>
      </c>
      <c r="E238" s="151" t="s">
        <v>3765</v>
      </c>
      <c r="F238" s="151"/>
      <c r="G238" s="52" t="str">
        <f t="shared" si="3"/>
        <v>8F 2C:关兼吉双刀</v>
      </c>
    </row>
    <row r="239" spans="1:7">
      <c r="A239" s="24" t="s">
        <v>3286</v>
      </c>
      <c r="B239" s="24" t="s">
        <v>3711</v>
      </c>
      <c r="C239" s="24" t="s">
        <v>3755</v>
      </c>
      <c r="D239" s="151" t="s">
        <v>3766</v>
      </c>
      <c r="E239" s="151" t="s">
        <v>3767</v>
      </c>
      <c r="F239" s="151"/>
      <c r="G239" s="52" t="str">
        <f t="shared" si="3"/>
        <v>35 2F:笼钓瓶村正·猪切</v>
      </c>
    </row>
    <row r="240" spans="1:7">
      <c r="A240" s="24" t="s">
        <v>3286</v>
      </c>
      <c r="B240" s="24" t="s">
        <v>3711</v>
      </c>
      <c r="C240" s="24" t="s">
        <v>3755</v>
      </c>
      <c r="D240" s="151" t="s">
        <v>3768</v>
      </c>
      <c r="E240" s="151" t="s">
        <v>3355</v>
      </c>
      <c r="F240" s="151"/>
      <c r="G240" s="52" t="str">
        <f t="shared" si="3"/>
        <v>E8 BE:染血双锲</v>
      </c>
    </row>
    <row r="241" spans="1:7">
      <c r="A241" s="24" t="s">
        <v>3286</v>
      </c>
      <c r="B241" s="24" t="s">
        <v>3711</v>
      </c>
      <c r="C241" s="24" t="s">
        <v>3755</v>
      </c>
      <c r="D241" s="151" t="s">
        <v>3769</v>
      </c>
      <c r="E241" s="151" t="s">
        <v>3357</v>
      </c>
      <c r="F241" s="151"/>
      <c r="G241" s="52" t="str">
        <f t="shared" si="3"/>
        <v>09 C0:山姥菜刀</v>
      </c>
    </row>
    <row r="242" spans="1:7">
      <c r="A242" s="24" t="s">
        <v>3286</v>
      </c>
      <c r="B242" s="24" t="s">
        <v>3711</v>
      </c>
      <c r="C242" s="24" t="s">
        <v>3755</v>
      </c>
      <c r="D242" s="151" t="s">
        <v>3770</v>
      </c>
      <c r="E242" s="151" t="s">
        <v>3771</v>
      </c>
      <c r="F242" s="151"/>
      <c r="G242" s="52" t="str">
        <f t="shared" si="3"/>
        <v>8C 30:七星剑·丙子椒林剑</v>
      </c>
    </row>
    <row r="243" spans="1:7">
      <c r="A243" s="24" t="s">
        <v>3286</v>
      </c>
      <c r="B243" s="24" t="s">
        <v>3711</v>
      </c>
      <c r="C243" s="24" t="s">
        <v>3755</v>
      </c>
      <c r="D243" s="151" t="s">
        <v>3772</v>
      </c>
      <c r="E243" s="151" t="s">
        <v>3773</v>
      </c>
      <c r="F243" s="151"/>
      <c r="G243" s="52" t="str">
        <f t="shared" si="3"/>
        <v>49 C9:小乌丸·拔丸</v>
      </c>
    </row>
    <row r="244" spans="1:7">
      <c r="A244" s="24" t="s">
        <v>3286</v>
      </c>
      <c r="B244" s="24" t="s">
        <v>3711</v>
      </c>
      <c r="C244" s="24" t="s">
        <v>3755</v>
      </c>
      <c r="D244" s="151" t="s">
        <v>3774</v>
      </c>
      <c r="E244" s="151" t="s">
        <v>3775</v>
      </c>
      <c r="F244" s="151"/>
      <c r="G244" s="52" t="str">
        <f t="shared" si="3"/>
        <v>24 A2:孙六兼元双刀</v>
      </c>
    </row>
    <row r="245" spans="1:7">
      <c r="A245" s="24" t="s">
        <v>3286</v>
      </c>
      <c r="B245" s="24" t="s">
        <v>3711</v>
      </c>
      <c r="C245" s="24" t="s">
        <v>3755</v>
      </c>
      <c r="D245" s="151" t="s">
        <v>3776</v>
      </c>
      <c r="E245" s="151" t="s">
        <v>3777</v>
      </c>
      <c r="F245" s="151"/>
      <c r="G245" s="52" t="str">
        <f t="shared" si="3"/>
        <v>ED A3:曝野·白枝</v>
      </c>
    </row>
    <row r="246" spans="1:7">
      <c r="A246" s="24" t="s">
        <v>3286</v>
      </c>
      <c r="B246" s="24" t="s">
        <v>3711</v>
      </c>
      <c r="C246" s="24" t="s">
        <v>3755</v>
      </c>
      <c r="D246" s="151" t="s">
        <v>3778</v>
      </c>
      <c r="E246" s="151" t="s">
        <v>3779</v>
      </c>
      <c r="F246" s="151"/>
      <c r="G246" s="52" t="str">
        <f t="shared" si="3"/>
        <v>A2 D5:相州正宗双刀</v>
      </c>
    </row>
    <row r="247" spans="1:7">
      <c r="A247" s="24" t="s">
        <v>3286</v>
      </c>
      <c r="B247" s="24" t="s">
        <v>3711</v>
      </c>
      <c r="C247" s="24" t="s">
        <v>3755</v>
      </c>
      <c r="D247" s="151" t="s">
        <v>3780</v>
      </c>
      <c r="E247" s="151" t="s">
        <v>3781</v>
      </c>
      <c r="F247" s="151"/>
      <c r="G247" s="52" t="str">
        <f t="shared" si="3"/>
        <v>0C C2:乡义弘双刀</v>
      </c>
    </row>
    <row r="248" spans="1:7">
      <c r="A248" s="24" t="s">
        <v>3286</v>
      </c>
      <c r="B248" s="24" t="s">
        <v>3711</v>
      </c>
      <c r="C248" s="24" t="s">
        <v>3755</v>
      </c>
      <c r="D248" s="151" t="s">
        <v>3782</v>
      </c>
      <c r="E248" s="151" t="s">
        <v>3783</v>
      </c>
      <c r="F248" s="151"/>
      <c r="G248" s="52" t="str">
        <f t="shared" si="3"/>
        <v>28 22:之定双刀</v>
      </c>
    </row>
    <row r="249" spans="1:7">
      <c r="A249" s="24" t="s">
        <v>3286</v>
      </c>
      <c r="B249" s="24" t="s">
        <v>3711</v>
      </c>
      <c r="C249" s="24" t="s">
        <v>3755</v>
      </c>
      <c r="D249" s="151" t="s">
        <v>3784</v>
      </c>
      <c r="E249" s="151" t="s">
        <v>3785</v>
      </c>
      <c r="F249" s="151"/>
      <c r="G249" s="52" t="str">
        <f t="shared" si="3"/>
        <v>F7 BE:大包平·莺丸</v>
      </c>
    </row>
    <row r="250" spans="1:7">
      <c r="A250" s="24" t="s">
        <v>3286</v>
      </c>
      <c r="B250" s="24" t="s">
        <v>3711</v>
      </c>
      <c r="C250" s="24" t="s">
        <v>3755</v>
      </c>
      <c r="D250" s="151" t="s">
        <v>3786</v>
      </c>
      <c r="E250" s="151" t="s">
        <v>3787</v>
      </c>
      <c r="F250" s="151"/>
      <c r="G250" s="52" t="str">
        <f t="shared" si="3"/>
        <v>6C 77:狱妖忍双刀</v>
      </c>
    </row>
    <row r="251" spans="1:7">
      <c r="A251" s="24" t="s">
        <v>3286</v>
      </c>
      <c r="B251" s="24" t="s">
        <v>3711</v>
      </c>
      <c r="C251" s="24" t="s">
        <v>3755</v>
      </c>
      <c r="D251" s="151" t="s">
        <v>3788</v>
      </c>
      <c r="E251" s="151" t="s">
        <v>3789</v>
      </c>
      <c r="F251" s="151"/>
      <c r="G251" s="52" t="str">
        <f t="shared" si="3"/>
        <v>C1 5C:柳生众忍双刀</v>
      </c>
    </row>
    <row r="252" spans="1:7">
      <c r="A252" s="24" t="s">
        <v>3286</v>
      </c>
      <c r="B252" s="24" t="s">
        <v>3711</v>
      </c>
      <c r="C252" s="24" t="s">
        <v>3790</v>
      </c>
      <c r="D252" s="151" t="s">
        <v>3791</v>
      </c>
      <c r="E252" s="151" t="s">
        <v>3792</v>
      </c>
      <c r="F252" s="151"/>
      <c r="G252" s="52" t="str">
        <f t="shared" si="3"/>
        <v>5F E7:间谍锁镰</v>
      </c>
    </row>
    <row r="253" spans="1:7">
      <c r="A253" s="24" t="s">
        <v>3286</v>
      </c>
      <c r="B253" s="24" t="s">
        <v>3711</v>
      </c>
      <c r="C253" s="24" t="s">
        <v>3790</v>
      </c>
      <c r="D253" s="151" t="s">
        <v>3793</v>
      </c>
      <c r="E253" s="151" t="s">
        <v>3794</v>
      </c>
      <c r="F253" s="151"/>
      <c r="G253" s="52" t="str">
        <f t="shared" si="3"/>
        <v>E2 EA:黑竹锁镰</v>
      </c>
    </row>
    <row r="254" spans="1:7">
      <c r="A254" s="24" t="s">
        <v>3286</v>
      </c>
      <c r="B254" s="24" t="s">
        <v>3711</v>
      </c>
      <c r="C254" s="24" t="s">
        <v>3790</v>
      </c>
      <c r="D254" s="151" t="s">
        <v>3795</v>
      </c>
      <c r="E254" s="151" t="s">
        <v>3796</v>
      </c>
      <c r="F254" s="151"/>
      <c r="G254" s="52" t="str">
        <f t="shared" si="3"/>
        <v>9E 14:薙锁镰</v>
      </c>
    </row>
    <row r="255" spans="1:7">
      <c r="A255" s="24" t="s">
        <v>3286</v>
      </c>
      <c r="B255" s="24" t="s">
        <v>3711</v>
      </c>
      <c r="C255" s="24" t="s">
        <v>3790</v>
      </c>
      <c r="D255" s="151" t="s">
        <v>3797</v>
      </c>
      <c r="E255" s="151" t="s">
        <v>3798</v>
      </c>
      <c r="F255" s="151"/>
      <c r="G255" s="52" t="str">
        <f t="shared" si="3"/>
        <v>10 8F:斩朽绳</v>
      </c>
    </row>
    <row r="256" spans="1:7">
      <c r="A256" s="24" t="s">
        <v>3286</v>
      </c>
      <c r="B256" s="24" t="s">
        <v>3711</v>
      </c>
      <c r="C256" s="24" t="s">
        <v>3790</v>
      </c>
      <c r="D256" s="151" t="s">
        <v>3799</v>
      </c>
      <c r="E256" s="151" t="s">
        <v>3800</v>
      </c>
      <c r="F256" s="151"/>
      <c r="G256" s="52" t="str">
        <f t="shared" si="3"/>
        <v>C8 97:下忍锁镰</v>
      </c>
    </row>
    <row r="257" spans="1:7">
      <c r="A257" s="24" t="s">
        <v>3286</v>
      </c>
      <c r="B257" s="24" t="s">
        <v>3711</v>
      </c>
      <c r="C257" s="24" t="s">
        <v>3790</v>
      </c>
      <c r="D257" s="151" t="s">
        <v>3801</v>
      </c>
      <c r="E257" s="151" t="s">
        <v>3802</v>
      </c>
      <c r="F257" s="151"/>
      <c r="G257" s="52" t="str">
        <f t="shared" si="3"/>
        <v>08 49:三日月锁镰</v>
      </c>
    </row>
    <row r="258" spans="1:7">
      <c r="A258" s="24" t="s">
        <v>3286</v>
      </c>
      <c r="B258" s="24" t="s">
        <v>3711</v>
      </c>
      <c r="C258" s="24" t="s">
        <v>3790</v>
      </c>
      <c r="D258" s="151" t="s">
        <v>3803</v>
      </c>
      <c r="E258" s="151" t="s">
        <v>3804</v>
      </c>
      <c r="F258" s="151"/>
      <c r="G258" s="52" t="str">
        <f t="shared" ref="G258:G321" si="4">D258&amp;":"&amp;E258</f>
        <v>1C D1:枪尖锁镰</v>
      </c>
    </row>
    <row r="259" spans="1:7">
      <c r="A259" s="24" t="s">
        <v>3286</v>
      </c>
      <c r="B259" s="24" t="s">
        <v>3711</v>
      </c>
      <c r="C259" s="24" t="s">
        <v>3790</v>
      </c>
      <c r="D259" s="151" t="s">
        <v>3805</v>
      </c>
      <c r="E259" s="151" t="s">
        <v>3806</v>
      </c>
      <c r="F259" s="151"/>
      <c r="G259" s="52" t="str">
        <f t="shared" si="4"/>
        <v>5D 63:钩刃锁镰</v>
      </c>
    </row>
    <row r="260" spans="1:7">
      <c r="A260" s="24" t="s">
        <v>3286</v>
      </c>
      <c r="B260" s="24" t="s">
        <v>3711</v>
      </c>
      <c r="C260" s="24" t="s">
        <v>3790</v>
      </c>
      <c r="D260" s="151" t="s">
        <v>3807</v>
      </c>
      <c r="E260" s="151" t="s">
        <v>3808</v>
      </c>
      <c r="F260" s="151"/>
      <c r="G260" s="52" t="str">
        <f t="shared" si="4"/>
        <v>09 E1:中忍锁镰</v>
      </c>
    </row>
    <row r="261" spans="1:7">
      <c r="A261" s="24" t="s">
        <v>3286</v>
      </c>
      <c r="B261" s="24" t="s">
        <v>3711</v>
      </c>
      <c r="C261" s="24" t="s">
        <v>3790</v>
      </c>
      <c r="D261" s="151" t="s">
        <v>3809</v>
      </c>
      <c r="E261" s="151" t="s">
        <v>3810</v>
      </c>
      <c r="F261" s="151"/>
      <c r="G261" s="52" t="str">
        <f t="shared" si="4"/>
        <v>4F A1:户隐流锁镰</v>
      </c>
    </row>
    <row r="262" spans="1:7">
      <c r="A262" s="24" t="s">
        <v>3286</v>
      </c>
      <c r="B262" s="24" t="s">
        <v>3711</v>
      </c>
      <c r="C262" s="24" t="s">
        <v>3790</v>
      </c>
      <c r="D262" s="151" t="s">
        <v>3811</v>
      </c>
      <c r="E262" s="151" t="s">
        <v>3812</v>
      </c>
      <c r="F262" s="151"/>
      <c r="G262" s="52" t="str">
        <f t="shared" si="4"/>
        <v>F0 B1:风魔锁镰</v>
      </c>
    </row>
    <row r="263" spans="1:7">
      <c r="A263" s="24" t="s">
        <v>3286</v>
      </c>
      <c r="B263" s="24" t="s">
        <v>3711</v>
      </c>
      <c r="C263" s="24" t="s">
        <v>3790</v>
      </c>
      <c r="D263" s="151" t="s">
        <v>3813</v>
      </c>
      <c r="E263" s="151" t="s">
        <v>3814</v>
      </c>
      <c r="F263" s="151"/>
      <c r="G263" s="52" t="str">
        <f t="shared" si="4"/>
        <v>F6 68:上忍锁镰</v>
      </c>
    </row>
    <row r="264" spans="1:7">
      <c r="A264" s="24" t="s">
        <v>3286</v>
      </c>
      <c r="B264" s="24" t="s">
        <v>3711</v>
      </c>
      <c r="C264" s="24" t="s">
        <v>3790</v>
      </c>
      <c r="D264" s="151" t="s">
        <v>3815</v>
      </c>
      <c r="E264" s="151" t="s">
        <v>3816</v>
      </c>
      <c r="F264" s="151"/>
      <c r="G264" s="52" t="str">
        <f t="shared" si="4"/>
        <v>D7 38:肉户锁镰</v>
      </c>
    </row>
    <row r="265" spans="1:7">
      <c r="A265" s="24" t="s">
        <v>3286</v>
      </c>
      <c r="B265" s="24" t="s">
        <v>3711</v>
      </c>
      <c r="C265" s="24" t="s">
        <v>3790</v>
      </c>
      <c r="D265" s="151" t="s">
        <v>3817</v>
      </c>
      <c r="E265" s="151" t="s">
        <v>3818</v>
      </c>
      <c r="F265" s="151"/>
      <c r="G265" s="52" t="str">
        <f t="shared" si="4"/>
        <v>E8 1A:罗刹锁镰</v>
      </c>
    </row>
    <row r="266" spans="1:7">
      <c r="A266" s="24" t="s">
        <v>3286</v>
      </c>
      <c r="B266" s="24" t="s">
        <v>3711</v>
      </c>
      <c r="C266" s="24" t="s">
        <v>3790</v>
      </c>
      <c r="D266" s="151" t="s">
        <v>3819</v>
      </c>
      <c r="E266" s="151" t="s">
        <v>3820</v>
      </c>
      <c r="F266" s="151"/>
      <c r="G266" s="52" t="str">
        <f t="shared" si="4"/>
        <v>CE EF:夜叉锁镰</v>
      </c>
    </row>
    <row r="267" spans="1:7">
      <c r="A267" s="24" t="s">
        <v>3286</v>
      </c>
      <c r="B267" s="24" t="s">
        <v>3711</v>
      </c>
      <c r="C267" s="24" t="s">
        <v>3790</v>
      </c>
      <c r="D267" s="151" t="s">
        <v>3821</v>
      </c>
      <c r="E267" s="151" t="s">
        <v>3822</v>
      </c>
      <c r="F267" s="151"/>
      <c r="G267" s="52" t="str">
        <f t="shared" si="4"/>
        <v>84 A5:不知火</v>
      </c>
    </row>
    <row r="268" spans="1:7">
      <c r="A268" s="24" t="s">
        <v>3286</v>
      </c>
      <c r="B268" s="24" t="s">
        <v>3711</v>
      </c>
      <c r="C268" s="24" t="s">
        <v>3790</v>
      </c>
      <c r="D268" s="151" t="s">
        <v>3823</v>
      </c>
      <c r="E268" s="151" t="s">
        <v>3824</v>
      </c>
      <c r="F268" s="151"/>
      <c r="G268" s="52" t="str">
        <f t="shared" si="4"/>
        <v>3A 55:小夜岚</v>
      </c>
    </row>
    <row r="269" spans="1:7">
      <c r="A269" s="24" t="s">
        <v>3286</v>
      </c>
      <c r="B269" s="24" t="s">
        <v>3711</v>
      </c>
      <c r="C269" s="24" t="s">
        <v>3790</v>
      </c>
      <c r="D269" s="151" t="s">
        <v>3825</v>
      </c>
      <c r="E269" s="151" t="s">
        <v>3826</v>
      </c>
      <c r="F269" s="151"/>
      <c r="G269" s="52" t="str">
        <f t="shared" si="4"/>
        <v>59 8A:鬼牙锁镰</v>
      </c>
    </row>
    <row r="270" spans="1:7">
      <c r="A270" s="24" t="s">
        <v>3286</v>
      </c>
      <c r="B270" s="24" t="s">
        <v>3711</v>
      </c>
      <c r="C270" s="24" t="s">
        <v>3790</v>
      </c>
      <c r="D270" s="151" t="s">
        <v>3827</v>
      </c>
      <c r="E270" s="151" t="s">
        <v>3828</v>
      </c>
      <c r="F270" s="151"/>
      <c r="G270" s="52" t="str">
        <f t="shared" si="4"/>
        <v>91 86:鸣神</v>
      </c>
    </row>
    <row r="271" spans="1:7">
      <c r="A271" s="24" t="s">
        <v>3286</v>
      </c>
      <c r="B271" s="24" t="s">
        <v>3711</v>
      </c>
      <c r="C271" s="24" t="s">
        <v>3790</v>
      </c>
      <c r="D271" s="151" t="s">
        <v>3829</v>
      </c>
      <c r="E271" s="151" t="s">
        <v>3830</v>
      </c>
      <c r="F271" s="151"/>
      <c r="G271" s="52" t="str">
        <f t="shared" si="4"/>
        <v>95 50:雪代</v>
      </c>
    </row>
    <row r="272" spans="1:7">
      <c r="A272" s="24" t="s">
        <v>3286</v>
      </c>
      <c r="B272" s="24" t="s">
        <v>3711</v>
      </c>
      <c r="C272" s="24" t="s">
        <v>3790</v>
      </c>
      <c r="D272" s="151" t="s">
        <v>3831</v>
      </c>
      <c r="E272" s="151" t="s">
        <v>3832</v>
      </c>
      <c r="F272" s="151"/>
      <c r="G272" s="52" t="str">
        <f t="shared" si="4"/>
        <v>C9 01:百鬼锁镰</v>
      </c>
    </row>
    <row r="273" spans="1:7">
      <c r="A273" s="24" t="s">
        <v>3286</v>
      </c>
      <c r="B273" s="24" t="s">
        <v>3711</v>
      </c>
      <c r="C273" s="24" t="s">
        <v>3790</v>
      </c>
      <c r="D273" s="151" t="s">
        <v>3833</v>
      </c>
      <c r="E273" s="151" t="s">
        <v>3834</v>
      </c>
      <c r="F273" s="151"/>
      <c r="G273" s="52" t="str">
        <f t="shared" si="4"/>
        <v>51 8B:光世锁镰</v>
      </c>
    </row>
    <row r="274" spans="1:7">
      <c r="A274" s="24" t="s">
        <v>3286</v>
      </c>
      <c r="B274" s="24" t="s">
        <v>3711</v>
      </c>
      <c r="C274" s="24" t="s">
        <v>3790</v>
      </c>
      <c r="D274" s="151" t="s">
        <v>3835</v>
      </c>
      <c r="E274" s="151" t="s">
        <v>3836</v>
      </c>
      <c r="F274" s="151"/>
      <c r="G274" s="52" t="str">
        <f t="shared" si="4"/>
        <v>4E B4:诹访明神薙镰</v>
      </c>
    </row>
    <row r="275" spans="1:7">
      <c r="A275" s="24" t="s">
        <v>3286</v>
      </c>
      <c r="B275" s="24" t="s">
        <v>3711</v>
      </c>
      <c r="C275" s="24" t="s">
        <v>3790</v>
      </c>
      <c r="D275" s="151" t="s">
        <v>3837</v>
      </c>
      <c r="E275" s="151" t="s">
        <v>3838</v>
      </c>
      <c r="F275" s="151"/>
      <c r="G275" s="52" t="str">
        <f t="shared" si="4"/>
        <v>C5 9F:焦热锁镰</v>
      </c>
    </row>
    <row r="276" spans="1:7">
      <c r="A276" s="24" t="s">
        <v>3286</v>
      </c>
      <c r="B276" s="24" t="s">
        <v>3711</v>
      </c>
      <c r="C276" s="24" t="s">
        <v>3790</v>
      </c>
      <c r="D276" s="151" t="s">
        <v>3839</v>
      </c>
      <c r="E276" s="151" t="s">
        <v>3840</v>
      </c>
      <c r="F276" s="151"/>
      <c r="G276" s="52" t="str">
        <f t="shared" si="4"/>
        <v>39 60:狱妖锁镰</v>
      </c>
    </row>
    <row r="277" spans="1:7">
      <c r="A277" s="24" t="s">
        <v>3286</v>
      </c>
      <c r="B277" s="24" t="s">
        <v>3711</v>
      </c>
      <c r="C277" s="24" t="s">
        <v>3790</v>
      </c>
      <c r="D277" s="151" t="s">
        <v>3841</v>
      </c>
      <c r="E277" s="151" t="s">
        <v>3842</v>
      </c>
      <c r="F277" s="151"/>
      <c r="G277" s="52" t="str">
        <f t="shared" si="4"/>
        <v>7A 98:山田流锁镰</v>
      </c>
    </row>
    <row r="278" spans="1:7">
      <c r="A278" s="24" t="s">
        <v>3286</v>
      </c>
      <c r="B278" s="24" t="s">
        <v>3711</v>
      </c>
      <c r="C278" s="24" t="s">
        <v>3843</v>
      </c>
      <c r="D278" s="151" t="s">
        <v>3844</v>
      </c>
      <c r="E278" s="151" t="s">
        <v>3845</v>
      </c>
      <c r="F278" s="151"/>
      <c r="G278" s="52" t="str">
        <f t="shared" si="4"/>
        <v>5D 27:紫檀旋棍</v>
      </c>
    </row>
    <row r="279" spans="1:7">
      <c r="A279" s="24" t="s">
        <v>3286</v>
      </c>
      <c r="B279" s="24" t="s">
        <v>3711</v>
      </c>
      <c r="C279" s="24" t="s">
        <v>3843</v>
      </c>
      <c r="D279" s="151" t="s">
        <v>3846</v>
      </c>
      <c r="E279" s="151" t="s">
        <v>3847</v>
      </c>
      <c r="F279" s="151"/>
      <c r="G279" s="52" t="str">
        <f t="shared" si="4"/>
        <v>42 27:总铁旋棍</v>
      </c>
    </row>
    <row r="280" spans="1:7">
      <c r="A280" s="24" t="s">
        <v>3286</v>
      </c>
      <c r="B280" s="24" t="s">
        <v>3711</v>
      </c>
      <c r="C280" s="24" t="s">
        <v>3843</v>
      </c>
      <c r="D280" s="151" t="s">
        <v>3848</v>
      </c>
      <c r="E280" s="151" t="s">
        <v>3849</v>
      </c>
      <c r="F280" s="151"/>
      <c r="G280" s="52" t="str">
        <f t="shared" si="4"/>
        <v>57 E6:黑檀旋棍</v>
      </c>
    </row>
    <row r="281" spans="1:7">
      <c r="A281" s="24" t="s">
        <v>3286</v>
      </c>
      <c r="B281" s="24" t="s">
        <v>3711</v>
      </c>
      <c r="C281" s="24" t="s">
        <v>3843</v>
      </c>
      <c r="D281" s="151" t="s">
        <v>3850</v>
      </c>
      <c r="E281" s="151" t="s">
        <v>3851</v>
      </c>
      <c r="F281" s="151"/>
      <c r="G281" s="52" t="str">
        <f t="shared" si="4"/>
        <v>E5 D8:白骨精旋棍</v>
      </c>
    </row>
    <row r="282" spans="1:7">
      <c r="A282" s="24" t="s">
        <v>3286</v>
      </c>
      <c r="B282" s="24" t="s">
        <v>3711</v>
      </c>
      <c r="C282" s="24" t="s">
        <v>3843</v>
      </c>
      <c r="D282" s="151" t="s">
        <v>3852</v>
      </c>
      <c r="E282" s="151" t="s">
        <v>3853</v>
      </c>
      <c r="F282" s="151"/>
      <c r="G282" s="52" t="str">
        <f t="shared" si="4"/>
        <v>D4 D9:亲云上旋棍</v>
      </c>
    </row>
    <row r="283" spans="1:7">
      <c r="A283" s="24" t="s">
        <v>3286</v>
      </c>
      <c r="B283" s="24" t="s">
        <v>3711</v>
      </c>
      <c r="C283" s="24" t="s">
        <v>3843</v>
      </c>
      <c r="D283" s="151" t="s">
        <v>3854</v>
      </c>
      <c r="E283" s="151" t="s">
        <v>3855</v>
      </c>
      <c r="F283" s="151"/>
      <c r="G283" s="52" t="str">
        <f t="shared" si="4"/>
        <v>2D AC:忍者旋棍</v>
      </c>
    </row>
    <row r="284" spans="1:7">
      <c r="A284" s="24" t="s">
        <v>3286</v>
      </c>
      <c r="B284" s="24" t="s">
        <v>3711</v>
      </c>
      <c r="C284" s="24" t="s">
        <v>3843</v>
      </c>
      <c r="D284" s="151" t="s">
        <v>3856</v>
      </c>
      <c r="E284" s="151" t="s">
        <v>3857</v>
      </c>
      <c r="F284" s="151"/>
      <c r="G284" s="52" t="str">
        <f t="shared" si="4"/>
        <v>22 2E:亲方旋棍</v>
      </c>
    </row>
    <row r="285" spans="1:7">
      <c r="A285" s="24" t="s">
        <v>3286</v>
      </c>
      <c r="B285" s="24" t="s">
        <v>3711</v>
      </c>
      <c r="C285" s="24" t="s">
        <v>3843</v>
      </c>
      <c r="D285" s="151" t="s">
        <v>3858</v>
      </c>
      <c r="E285" s="151" t="s">
        <v>3859</v>
      </c>
      <c r="F285" s="151"/>
      <c r="G285" s="52" t="str">
        <f t="shared" si="4"/>
        <v>53 4E:武术家旋棍</v>
      </c>
    </row>
    <row r="286" spans="1:7">
      <c r="A286" s="24" t="s">
        <v>3286</v>
      </c>
      <c r="B286" s="24" t="s">
        <v>3711</v>
      </c>
      <c r="C286" s="24" t="s">
        <v>3843</v>
      </c>
      <c r="D286" s="151" t="s">
        <v>3860</v>
      </c>
      <c r="E286" s="151" t="s">
        <v>3861</v>
      </c>
      <c r="F286" s="151"/>
      <c r="G286" s="52" t="str">
        <f t="shared" si="4"/>
        <v>C1 7D:按司旋棍</v>
      </c>
    </row>
    <row r="287" spans="1:7">
      <c r="A287" s="24" t="s">
        <v>3286</v>
      </c>
      <c r="B287" s="24" t="s">
        <v>3711</v>
      </c>
      <c r="C287" s="24" t="s">
        <v>3843</v>
      </c>
      <c r="D287" s="151" t="s">
        <v>3862</v>
      </c>
      <c r="E287" s="151" t="s">
        <v>3863</v>
      </c>
      <c r="F287" s="151"/>
      <c r="G287" s="52" t="str">
        <f t="shared" si="4"/>
        <v>00 6D:击碎旋棍</v>
      </c>
    </row>
    <row r="288" spans="1:7">
      <c r="A288" s="24" t="s">
        <v>3286</v>
      </c>
      <c r="B288" s="24" t="s">
        <v>3711</v>
      </c>
      <c r="C288" s="24" t="s">
        <v>3843</v>
      </c>
      <c r="D288" s="151" t="s">
        <v>3864</v>
      </c>
      <c r="E288" s="151" t="s">
        <v>3865</v>
      </c>
      <c r="F288" s="151"/>
      <c r="G288" s="52" t="str">
        <f t="shared" si="4"/>
        <v>7D E4:双龙旋棍</v>
      </c>
    </row>
    <row r="289" spans="1:7">
      <c r="A289" s="24" t="s">
        <v>3286</v>
      </c>
      <c r="B289" s="24" t="s">
        <v>3711</v>
      </c>
      <c r="C289" s="24" t="s">
        <v>3843</v>
      </c>
      <c r="D289" s="151" t="s">
        <v>3866</v>
      </c>
      <c r="E289" s="151" t="s">
        <v>3867</v>
      </c>
      <c r="F289" s="151"/>
      <c r="G289" s="52" t="str">
        <f t="shared" si="4"/>
        <v>D0 8A:两仪旋棍</v>
      </c>
    </row>
    <row r="290" spans="1:7">
      <c r="A290" s="24" t="s">
        <v>3286</v>
      </c>
      <c r="B290" s="24" t="s">
        <v>3711</v>
      </c>
      <c r="C290" s="24" t="s">
        <v>3843</v>
      </c>
      <c r="D290" s="151" t="s">
        <v>3868</v>
      </c>
      <c r="E290" s="151" t="s">
        <v>3869</v>
      </c>
      <c r="F290" s="151"/>
      <c r="G290" s="52" t="str">
        <f t="shared" si="4"/>
        <v>6A 16:却邪旋棍</v>
      </c>
    </row>
    <row r="291" spans="1:7">
      <c r="A291" s="24" t="s">
        <v>3286</v>
      </c>
      <c r="B291" s="24" t="s">
        <v>3711</v>
      </c>
      <c r="C291" s="24" t="s">
        <v>3843</v>
      </c>
      <c r="D291" s="151" t="s">
        <v>3870</v>
      </c>
      <c r="E291" s="151" t="s">
        <v>3871</v>
      </c>
      <c r="F291" s="151"/>
      <c r="G291" s="52" t="str">
        <f t="shared" si="4"/>
        <v>B0 68:金刚旋杵</v>
      </c>
    </row>
    <row r="292" spans="1:7">
      <c r="A292" s="24" t="s">
        <v>3286</v>
      </c>
      <c r="B292" s="24" t="s">
        <v>3711</v>
      </c>
      <c r="C292" s="24" t="s">
        <v>3843</v>
      </c>
      <c r="D292" s="151" t="s">
        <v>3872</v>
      </c>
      <c r="E292" s="151" t="s">
        <v>3873</v>
      </c>
      <c r="F292" s="151"/>
      <c r="G292" s="52" t="str">
        <f t="shared" si="4"/>
        <v>FC 42:猿飞秘枪棍</v>
      </c>
    </row>
    <row r="293" spans="1:7">
      <c r="A293" s="24" t="s">
        <v>3286</v>
      </c>
      <c r="B293" s="24" t="s">
        <v>3711</v>
      </c>
      <c r="C293" s="24" t="s">
        <v>3843</v>
      </c>
      <c r="D293" s="151" t="s">
        <v>3874</v>
      </c>
      <c r="E293" s="151" t="s">
        <v>3875</v>
      </c>
      <c r="F293" s="151"/>
      <c r="G293" s="52" t="str">
        <f t="shared" si="4"/>
        <v>2F 23:王祖旋棍</v>
      </c>
    </row>
    <row r="294" spans="1:7">
      <c r="A294" s="24" t="s">
        <v>3286</v>
      </c>
      <c r="B294" s="24" t="s">
        <v>3711</v>
      </c>
      <c r="C294" s="24" t="s">
        <v>3843</v>
      </c>
      <c r="D294" s="151" t="s">
        <v>3876</v>
      </c>
      <c r="E294" s="151" t="s">
        <v>3877</v>
      </c>
      <c r="F294" s="151"/>
      <c r="G294" s="52" t="str">
        <f t="shared" si="4"/>
        <v>A4 89:宝塔旋棍</v>
      </c>
    </row>
    <row r="295" spans="1:7">
      <c r="A295" s="24" t="s">
        <v>3286</v>
      </c>
      <c r="B295" s="24" t="s">
        <v>3711</v>
      </c>
      <c r="C295" s="24" t="s">
        <v>3843</v>
      </c>
      <c r="D295" s="151" t="s">
        <v>3878</v>
      </c>
      <c r="E295" s="151" t="s">
        <v>3879</v>
      </c>
      <c r="F295" s="151"/>
      <c r="G295" s="52" t="str">
        <f t="shared" si="4"/>
        <v>40 81:雷火旋棍</v>
      </c>
    </row>
    <row r="296" spans="1:7">
      <c r="A296" s="24" t="s">
        <v>3286</v>
      </c>
      <c r="B296" s="24" t="s">
        <v>3711</v>
      </c>
      <c r="C296" s="24" t="s">
        <v>3843</v>
      </c>
      <c r="D296" s="151" t="s">
        <v>3880</v>
      </c>
      <c r="E296" s="151" t="s">
        <v>3881</v>
      </c>
      <c r="F296" s="151"/>
      <c r="G296" s="52" t="str">
        <f t="shared" si="4"/>
        <v>74 41:最后的忍者旋棍</v>
      </c>
    </row>
    <row r="297" spans="1:7">
      <c r="A297" s="24" t="s">
        <v>3286</v>
      </c>
      <c r="B297" s="24" t="s">
        <v>3711</v>
      </c>
      <c r="C297" s="24" t="s">
        <v>3843</v>
      </c>
      <c r="D297" s="151" t="s">
        <v>3882</v>
      </c>
      <c r="E297" s="151" t="s">
        <v>3883</v>
      </c>
      <c r="F297" s="151"/>
      <c r="G297" s="52" t="str">
        <f t="shared" si="4"/>
        <v>37 6A:狱妖旋棍</v>
      </c>
    </row>
    <row r="298" spans="1:7">
      <c r="A298" s="24" t="s">
        <v>3286</v>
      </c>
      <c r="B298" s="24" t="s">
        <v>3711</v>
      </c>
      <c r="C298" s="24" t="s">
        <v>3843</v>
      </c>
      <c r="D298" s="151" t="s">
        <v>3884</v>
      </c>
      <c r="E298" s="151" t="s">
        <v>3885</v>
      </c>
      <c r="F298" s="151"/>
      <c r="G298" s="52" t="str">
        <f t="shared" si="4"/>
        <v>9E A1:大目付旋棍</v>
      </c>
    </row>
    <row r="299" spans="1:7">
      <c r="A299" s="24" t="s">
        <v>3286</v>
      </c>
      <c r="B299" s="24" t="s">
        <v>3711</v>
      </c>
      <c r="C299" s="24" t="s">
        <v>3886</v>
      </c>
      <c r="D299" s="151" t="s">
        <v>3887</v>
      </c>
      <c r="E299" s="151" t="s">
        <v>3888</v>
      </c>
      <c r="F299" s="151"/>
      <c r="G299" s="52" t="str">
        <f t="shared" si="4"/>
        <v>55 43:山贼手斧(黑)</v>
      </c>
    </row>
    <row r="300" spans="1:7">
      <c r="A300" s="24" t="s">
        <v>3286</v>
      </c>
      <c r="B300" s="24" t="s">
        <v>3711</v>
      </c>
      <c r="C300" s="24" t="s">
        <v>3886</v>
      </c>
      <c r="D300" s="151" t="s">
        <v>3889</v>
      </c>
      <c r="E300" s="151" t="s">
        <v>3890</v>
      </c>
      <c r="F300" s="151"/>
      <c r="G300" s="52" t="str">
        <f t="shared" si="4"/>
        <v>BA 18:山贼手斧(红)</v>
      </c>
    </row>
    <row r="301" spans="1:7">
      <c r="A301" s="24" t="s">
        <v>3286</v>
      </c>
      <c r="B301" s="24" t="s">
        <v>3711</v>
      </c>
      <c r="C301" s="24" t="s">
        <v>3886</v>
      </c>
      <c r="D301" s="151" t="s">
        <v>3891</v>
      </c>
      <c r="E301" s="151" t="s">
        <v>3892</v>
      </c>
      <c r="F301" s="151"/>
      <c r="G301" s="52" t="str">
        <f t="shared" si="4"/>
        <v>27 70:户隐流手斧</v>
      </c>
    </row>
    <row r="302" spans="1:7">
      <c r="A302" s="24" t="s">
        <v>3286</v>
      </c>
      <c r="B302" s="24" t="s">
        <v>3711</v>
      </c>
      <c r="C302" s="24" t="s">
        <v>3886</v>
      </c>
      <c r="D302" s="151" t="s">
        <v>3893</v>
      </c>
      <c r="E302" s="151" t="s">
        <v>3894</v>
      </c>
      <c r="F302" s="151"/>
      <c r="G302" s="52" t="str">
        <f t="shared" si="4"/>
        <v>3F B1:凶贼手斧</v>
      </c>
    </row>
    <row r="303" spans="1:7">
      <c r="A303" s="24" t="s">
        <v>3286</v>
      </c>
      <c r="B303" s="24" t="s">
        <v>3711</v>
      </c>
      <c r="C303" s="24" t="s">
        <v>3886</v>
      </c>
      <c r="D303" s="151" t="s">
        <v>3895</v>
      </c>
      <c r="E303" s="151" t="s">
        <v>3896</v>
      </c>
      <c r="F303" s="151"/>
      <c r="G303" s="52" t="str">
        <f t="shared" si="4"/>
        <v>C6 6C:行者手斧</v>
      </c>
    </row>
    <row r="304" spans="1:7">
      <c r="A304" s="24" t="s">
        <v>3286</v>
      </c>
      <c r="B304" s="24" t="s">
        <v>3711</v>
      </c>
      <c r="C304" s="24" t="s">
        <v>3886</v>
      </c>
      <c r="D304" s="151" t="s">
        <v>3897</v>
      </c>
      <c r="E304" s="151" t="s">
        <v>3898</v>
      </c>
      <c r="F304" s="151"/>
      <c r="G304" s="52" t="str">
        <f t="shared" si="4"/>
        <v>32 E9:忍者手斧</v>
      </c>
    </row>
    <row r="305" spans="1:7">
      <c r="A305" s="24" t="s">
        <v>3286</v>
      </c>
      <c r="B305" s="24" t="s">
        <v>3711</v>
      </c>
      <c r="C305" s="24" t="s">
        <v>3886</v>
      </c>
      <c r="D305" s="151" t="s">
        <v>3899</v>
      </c>
      <c r="E305" s="151" t="s">
        <v>3900</v>
      </c>
      <c r="F305" s="151"/>
      <c r="G305" s="52" t="str">
        <f t="shared" si="4"/>
        <v>54 88:豪杰手斧</v>
      </c>
    </row>
    <row r="306" spans="1:7">
      <c r="A306" s="24" t="s">
        <v>3286</v>
      </c>
      <c r="B306" s="24" t="s">
        <v>3711</v>
      </c>
      <c r="C306" s="24" t="s">
        <v>3886</v>
      </c>
      <c r="D306" s="151" t="s">
        <v>3901</v>
      </c>
      <c r="E306" s="151" t="s">
        <v>3902</v>
      </c>
      <c r="F306" s="151"/>
      <c r="G306" s="52" t="str">
        <f t="shared" si="4"/>
        <v>38 7C:山伏手斧</v>
      </c>
    </row>
    <row r="307" spans="1:7">
      <c r="A307" s="24" t="s">
        <v>3286</v>
      </c>
      <c r="B307" s="24" t="s">
        <v>3711</v>
      </c>
      <c r="C307" s="24" t="s">
        <v>3886</v>
      </c>
      <c r="D307" s="151" t="s">
        <v>3903</v>
      </c>
      <c r="E307" s="151" t="s">
        <v>3904</v>
      </c>
      <c r="F307" s="151"/>
      <c r="G307" s="52" t="str">
        <f t="shared" si="4"/>
        <v>A4 95:风魔手斧</v>
      </c>
    </row>
    <row r="308" spans="1:7">
      <c r="A308" s="24" t="s">
        <v>3286</v>
      </c>
      <c r="B308" s="24" t="s">
        <v>3711</v>
      </c>
      <c r="C308" s="24" t="s">
        <v>3886</v>
      </c>
      <c r="D308" s="151" t="s">
        <v>3905</v>
      </c>
      <c r="E308" s="151" t="s">
        <v>3906</v>
      </c>
      <c r="F308" s="151"/>
      <c r="G308" s="52" t="str">
        <f t="shared" si="4"/>
        <v>46 E0:羽黑流手斧</v>
      </c>
    </row>
    <row r="309" spans="1:7">
      <c r="A309" s="24" t="s">
        <v>3286</v>
      </c>
      <c r="B309" s="24" t="s">
        <v>3711</v>
      </c>
      <c r="C309" s="24" t="s">
        <v>3886</v>
      </c>
      <c r="D309" s="151" t="s">
        <v>3907</v>
      </c>
      <c r="E309" s="151" t="s">
        <v>3908</v>
      </c>
      <c r="F309" s="151"/>
      <c r="G309" s="52" t="str">
        <f t="shared" si="4"/>
        <v>67 2B:武艺者手斧</v>
      </c>
    </row>
    <row r="310" spans="1:7">
      <c r="A310" s="24" t="s">
        <v>3286</v>
      </c>
      <c r="B310" s="24" t="s">
        <v>3711</v>
      </c>
      <c r="C310" s="24" t="s">
        <v>3886</v>
      </c>
      <c r="D310" s="151" t="s">
        <v>3909</v>
      </c>
      <c r="E310" s="151" t="s">
        <v>3910</v>
      </c>
      <c r="F310" s="151"/>
      <c r="G310" s="52" t="str">
        <f t="shared" si="4"/>
        <v>0D F9:灼炎</v>
      </c>
    </row>
    <row r="311" spans="1:7">
      <c r="A311" s="24" t="s">
        <v>3286</v>
      </c>
      <c r="B311" s="24" t="s">
        <v>3711</v>
      </c>
      <c r="C311" s="24" t="s">
        <v>3886</v>
      </c>
      <c r="D311" s="151" t="s">
        <v>3911</v>
      </c>
      <c r="E311" s="151" t="s">
        <v>3912</v>
      </c>
      <c r="F311" s="151"/>
      <c r="G311" s="52" t="str">
        <f t="shared" si="4"/>
        <v>33 F3:冰岳</v>
      </c>
    </row>
    <row r="312" spans="1:7">
      <c r="A312" s="24" t="s">
        <v>3286</v>
      </c>
      <c r="B312" s="24" t="s">
        <v>3711</v>
      </c>
      <c r="C312" s="24" t="s">
        <v>3886</v>
      </c>
      <c r="D312" s="151" t="s">
        <v>3913</v>
      </c>
      <c r="E312" s="151" t="s">
        <v>3914</v>
      </c>
      <c r="F312" s="151"/>
      <c r="G312" s="52" t="str">
        <f t="shared" si="4"/>
        <v>80 23:震雷</v>
      </c>
    </row>
    <row r="313" spans="1:7">
      <c r="A313" s="24" t="s">
        <v>3286</v>
      </c>
      <c r="B313" s="24" t="s">
        <v>3711</v>
      </c>
      <c r="C313" s="24" t="s">
        <v>3886</v>
      </c>
      <c r="D313" s="151" t="s">
        <v>3915</v>
      </c>
      <c r="E313" s="151" t="s">
        <v>3916</v>
      </c>
      <c r="F313" s="151"/>
      <c r="G313" s="52" t="str">
        <f t="shared" si="4"/>
        <v>6A 6C:前鬼·后鬼</v>
      </c>
    </row>
    <row r="314" spans="1:7">
      <c r="A314" s="24" t="s">
        <v>3286</v>
      </c>
      <c r="B314" s="24" t="s">
        <v>3711</v>
      </c>
      <c r="C314" s="24" t="s">
        <v>3886</v>
      </c>
      <c r="D314" s="151" t="s">
        <v>3917</v>
      </c>
      <c r="E314" s="151" t="s">
        <v>3918</v>
      </c>
      <c r="F314" s="151"/>
      <c r="G314" s="52" t="str">
        <f t="shared" si="4"/>
        <v>38 C8:日轮·月轮</v>
      </c>
    </row>
    <row r="315" spans="1:7">
      <c r="A315" s="24" t="s">
        <v>3286</v>
      </c>
      <c r="B315" s="24" t="s">
        <v>3711</v>
      </c>
      <c r="C315" s="24" t="s">
        <v>3886</v>
      </c>
      <c r="D315" s="151" t="s">
        <v>3919</v>
      </c>
      <c r="E315" s="151" t="s">
        <v>3920</v>
      </c>
      <c r="F315" s="151"/>
      <c r="G315" s="52" t="str">
        <f t="shared" si="4"/>
        <v>2E 82:波切二丁斧</v>
      </c>
    </row>
    <row r="316" spans="1:7">
      <c r="A316" s="24" t="s">
        <v>3286</v>
      </c>
      <c r="B316" s="24" t="s">
        <v>3711</v>
      </c>
      <c r="C316" s="24" t="s">
        <v>3886</v>
      </c>
      <c r="D316" s="151" t="s">
        <v>3921</v>
      </c>
      <c r="E316" s="151" t="s">
        <v>3922</v>
      </c>
      <c r="F316" s="151"/>
      <c r="G316" s="52" t="str">
        <f t="shared" si="4"/>
        <v>CE 48:黑雨·霹雳</v>
      </c>
    </row>
    <row r="317" spans="1:7">
      <c r="A317" s="24" t="s">
        <v>3286</v>
      </c>
      <c r="B317" s="24" t="s">
        <v>3711</v>
      </c>
      <c r="C317" s="24" t="s">
        <v>3886</v>
      </c>
      <c r="D317" s="151" t="s">
        <v>3923</v>
      </c>
      <c r="E317" s="151" t="s">
        <v>3924</v>
      </c>
      <c r="F317" s="151"/>
      <c r="G317" s="52" t="str">
        <f t="shared" si="4"/>
        <v>83 C7:平三手斧</v>
      </c>
    </row>
    <row r="318" spans="1:7">
      <c r="A318" s="24" t="s">
        <v>3286</v>
      </c>
      <c r="B318" s="24" t="s">
        <v>3711</v>
      </c>
      <c r="C318" s="24" t="s">
        <v>3886</v>
      </c>
      <c r="D318" s="151" t="s">
        <v>3925</v>
      </c>
      <c r="E318" s="151" t="s">
        <v>3926</v>
      </c>
      <c r="F318" s="151"/>
      <c r="G318" s="52" t="str">
        <f t="shared" si="4"/>
        <v>08 A5:污迹手斧·锈蚀镰</v>
      </c>
    </row>
    <row r="319" spans="1:7">
      <c r="A319" s="24" t="s">
        <v>3286</v>
      </c>
      <c r="B319" s="24" t="s">
        <v>3711</v>
      </c>
      <c r="C319" s="24" t="s">
        <v>3886</v>
      </c>
      <c r="D319" s="151" t="s">
        <v>3927</v>
      </c>
      <c r="E319" s="151" t="s">
        <v>3928</v>
      </c>
      <c r="F319" s="151"/>
      <c r="G319" s="52" t="str">
        <f t="shared" si="4"/>
        <v>32 3C:狱妖手斧</v>
      </c>
    </row>
    <row r="320" spans="1:7">
      <c r="A320" s="24" t="s">
        <v>3286</v>
      </c>
      <c r="B320" s="24" t="s">
        <v>3711</v>
      </c>
      <c r="C320" s="24" t="s">
        <v>3886</v>
      </c>
      <c r="D320" s="151" t="s">
        <v>3929</v>
      </c>
      <c r="E320" s="151" t="s">
        <v>3930</v>
      </c>
      <c r="F320" s="151"/>
      <c r="G320" s="52" t="str">
        <f t="shared" si="4"/>
        <v>E9 4F:投掷名手的手斧</v>
      </c>
    </row>
    <row r="321" spans="1:7">
      <c r="A321" s="24" t="s">
        <v>3286</v>
      </c>
      <c r="B321" s="24" t="s">
        <v>3711</v>
      </c>
      <c r="C321" s="24" t="s">
        <v>3931</v>
      </c>
      <c r="D321" s="151" t="s">
        <v>3932</v>
      </c>
      <c r="E321" s="151" t="s">
        <v>3933</v>
      </c>
      <c r="F321" s="151"/>
      <c r="G321" s="52" t="str">
        <f t="shared" si="4"/>
        <v>FD D2:下忍机关棍</v>
      </c>
    </row>
    <row r="322" spans="1:7">
      <c r="A322" s="24" t="s">
        <v>3286</v>
      </c>
      <c r="B322" s="24" t="s">
        <v>3711</v>
      </c>
      <c r="C322" s="24" t="s">
        <v>3931</v>
      </c>
      <c r="D322" s="151" t="s">
        <v>3934</v>
      </c>
      <c r="E322" s="151" t="s">
        <v>3935</v>
      </c>
      <c r="F322" s="151"/>
      <c r="G322" s="52" t="str">
        <f t="shared" ref="G322:G385" si="5">D322&amp;":"&amp;E322</f>
        <v>2A DB:行脚僧机关棍</v>
      </c>
    </row>
    <row r="323" spans="1:7">
      <c r="A323" s="24" t="s">
        <v>3286</v>
      </c>
      <c r="B323" s="24" t="s">
        <v>3711</v>
      </c>
      <c r="C323" s="24" t="s">
        <v>3931</v>
      </c>
      <c r="D323" s="151" t="s">
        <v>3936</v>
      </c>
      <c r="E323" s="151" t="s">
        <v>3937</v>
      </c>
      <c r="F323" s="151"/>
      <c r="G323" s="52" t="str">
        <f t="shared" si="5"/>
        <v>76 7D:猎人机关棍</v>
      </c>
    </row>
    <row r="324" spans="1:7">
      <c r="A324" s="24" t="s">
        <v>3286</v>
      </c>
      <c r="B324" s="24" t="s">
        <v>3711</v>
      </c>
      <c r="C324" s="24" t="s">
        <v>3931</v>
      </c>
      <c r="D324" s="151" t="s">
        <v>3938</v>
      </c>
      <c r="E324" s="151" t="s">
        <v>3939</v>
      </c>
      <c r="F324" s="151"/>
      <c r="G324" s="52" t="str">
        <f t="shared" si="5"/>
        <v>5E 14:魔缘锡杖</v>
      </c>
    </row>
    <row r="325" spans="1:7">
      <c r="A325" s="24" t="s">
        <v>3286</v>
      </c>
      <c r="B325" s="24" t="s">
        <v>3711</v>
      </c>
      <c r="C325" s="24" t="s">
        <v>3931</v>
      </c>
      <c r="D325" s="151" t="s">
        <v>3940</v>
      </c>
      <c r="E325" s="151" t="s">
        <v>3941</v>
      </c>
      <c r="F325" s="151"/>
      <c r="G325" s="52" t="str">
        <f t="shared" si="5"/>
        <v>E3 F7:僧兵机关棍</v>
      </c>
    </row>
    <row r="326" spans="1:7">
      <c r="A326" s="24" t="s">
        <v>3286</v>
      </c>
      <c r="B326" s="24" t="s">
        <v>3711</v>
      </c>
      <c r="C326" s="24" t="s">
        <v>3931</v>
      </c>
      <c r="D326" s="151" t="s">
        <v>3942</v>
      </c>
      <c r="E326" s="151" t="s">
        <v>3943</v>
      </c>
      <c r="F326" s="151"/>
      <c r="G326" s="52" t="str">
        <f t="shared" si="5"/>
        <v>DF 21:云水机关棍</v>
      </c>
    </row>
    <row r="327" spans="1:7">
      <c r="A327" s="24" t="s">
        <v>3286</v>
      </c>
      <c r="B327" s="24" t="s">
        <v>3711</v>
      </c>
      <c r="C327" s="24" t="s">
        <v>3931</v>
      </c>
      <c r="D327" s="151" t="s">
        <v>3944</v>
      </c>
      <c r="E327" s="151" t="s">
        <v>3945</v>
      </c>
      <c r="F327" s="151"/>
      <c r="G327" s="52" t="str">
        <f t="shared" si="5"/>
        <v>5A F9:中忍机关棍</v>
      </c>
    </row>
    <row r="328" spans="1:7">
      <c r="A328" s="24" t="s">
        <v>3286</v>
      </c>
      <c r="B328" s="24" t="s">
        <v>3711</v>
      </c>
      <c r="C328" s="24" t="s">
        <v>3931</v>
      </c>
      <c r="D328" s="151" t="s">
        <v>3946</v>
      </c>
      <c r="E328" s="151" t="s">
        <v>3947</v>
      </c>
      <c r="F328" s="151"/>
      <c r="G328" s="52" t="str">
        <f t="shared" si="5"/>
        <v>3A 63:勇僧机关棍</v>
      </c>
    </row>
    <row r="329" spans="1:7">
      <c r="A329" s="24" t="s">
        <v>3286</v>
      </c>
      <c r="B329" s="24" t="s">
        <v>3711</v>
      </c>
      <c r="C329" s="24" t="s">
        <v>3931</v>
      </c>
      <c r="D329" s="151" t="s">
        <v>3948</v>
      </c>
      <c r="E329" s="151" t="s">
        <v>3949</v>
      </c>
      <c r="F329" s="151"/>
      <c r="G329" s="52" t="str">
        <f t="shared" si="5"/>
        <v>5B 82:七杀机关棍</v>
      </c>
    </row>
    <row r="330" spans="1:7">
      <c r="A330" s="24" t="s">
        <v>3286</v>
      </c>
      <c r="B330" s="24" t="s">
        <v>3711</v>
      </c>
      <c r="C330" s="24" t="s">
        <v>3931</v>
      </c>
      <c r="D330" s="151" t="s">
        <v>3950</v>
      </c>
      <c r="E330" s="151" t="s">
        <v>3951</v>
      </c>
      <c r="F330" s="151"/>
      <c r="G330" s="52" t="str">
        <f t="shared" si="5"/>
        <v>17 F5:高手机关棍</v>
      </c>
    </row>
    <row r="331" spans="1:7">
      <c r="A331" s="24" t="s">
        <v>3286</v>
      </c>
      <c r="B331" s="24" t="s">
        <v>3711</v>
      </c>
      <c r="C331" s="24" t="s">
        <v>3931</v>
      </c>
      <c r="D331" s="151" t="s">
        <v>3952</v>
      </c>
      <c r="E331" s="151" t="s">
        <v>3953</v>
      </c>
      <c r="F331" s="151"/>
      <c r="G331" s="52" t="str">
        <f t="shared" si="5"/>
        <v>1D 1C:上忍机关棍</v>
      </c>
    </row>
    <row r="332" spans="1:7">
      <c r="A332" s="24" t="s">
        <v>3286</v>
      </c>
      <c r="B332" s="24" t="s">
        <v>3711</v>
      </c>
      <c r="C332" s="24" t="s">
        <v>3931</v>
      </c>
      <c r="D332" s="151" t="s">
        <v>3954</v>
      </c>
      <c r="E332" s="151" t="s">
        <v>3955</v>
      </c>
      <c r="F332" s="151"/>
      <c r="G332" s="52" t="str">
        <f t="shared" si="5"/>
        <v>78 59:首领机关棍</v>
      </c>
    </row>
    <row r="333" spans="1:7">
      <c r="A333" s="24" t="s">
        <v>3286</v>
      </c>
      <c r="B333" s="24" t="s">
        <v>3711</v>
      </c>
      <c r="C333" s="24" t="s">
        <v>3931</v>
      </c>
      <c r="D333" s="151" t="s">
        <v>3956</v>
      </c>
      <c r="E333" s="151" t="s">
        <v>3957</v>
      </c>
      <c r="F333" s="151"/>
      <c r="G333" s="52" t="str">
        <f t="shared" si="5"/>
        <v>E4 FA:破邪机关棍</v>
      </c>
    </row>
    <row r="334" spans="1:7">
      <c r="A334" s="24" t="s">
        <v>3286</v>
      </c>
      <c r="B334" s="24" t="s">
        <v>3711</v>
      </c>
      <c r="C334" s="24" t="s">
        <v>3931</v>
      </c>
      <c r="D334" s="151" t="s">
        <v>3958</v>
      </c>
      <c r="E334" s="151" t="s">
        <v>3959</v>
      </c>
      <c r="F334" s="151"/>
      <c r="G334" s="52" t="str">
        <f t="shared" si="5"/>
        <v>60 B9:怒涛机关棍</v>
      </c>
    </row>
    <row r="335" spans="1:7">
      <c r="A335" s="24" t="s">
        <v>3286</v>
      </c>
      <c r="B335" s="24" t="s">
        <v>3711</v>
      </c>
      <c r="C335" s="24" t="s">
        <v>3931</v>
      </c>
      <c r="D335" s="151" t="s">
        <v>3960</v>
      </c>
      <c r="E335" s="151" t="s">
        <v>3961</v>
      </c>
      <c r="F335" s="151"/>
      <c r="G335" s="52" t="str">
        <f t="shared" si="5"/>
        <v>1B 85:金刚杵机关棍</v>
      </c>
    </row>
    <row r="336" spans="1:7">
      <c r="A336" s="24" t="s">
        <v>3286</v>
      </c>
      <c r="B336" s="24" t="s">
        <v>3711</v>
      </c>
      <c r="C336" s="24" t="s">
        <v>3931</v>
      </c>
      <c r="D336" s="151" t="s">
        <v>3962</v>
      </c>
      <c r="E336" s="151" t="s">
        <v>3963</v>
      </c>
      <c r="F336" s="151"/>
      <c r="G336" s="52" t="str">
        <f t="shared" si="5"/>
        <v>E7 3C:火焰光机关棍</v>
      </c>
    </row>
    <row r="337" spans="1:7">
      <c r="A337" s="24" t="s">
        <v>3286</v>
      </c>
      <c r="B337" s="24" t="s">
        <v>3711</v>
      </c>
      <c r="C337" s="24" t="s">
        <v>3931</v>
      </c>
      <c r="D337" s="151" t="s">
        <v>3964</v>
      </c>
      <c r="E337" s="151" t="s">
        <v>3965</v>
      </c>
      <c r="F337" s="151"/>
      <c r="G337" s="52" t="str">
        <f t="shared" si="5"/>
        <v>45 9E:武藏坊机关棍</v>
      </c>
    </row>
    <row r="338" spans="1:7">
      <c r="A338" s="24" t="s">
        <v>3286</v>
      </c>
      <c r="B338" s="24" t="s">
        <v>3711</v>
      </c>
      <c r="C338" s="24" t="s">
        <v>3931</v>
      </c>
      <c r="D338" s="151" t="s">
        <v>3966</v>
      </c>
      <c r="E338" s="151" t="s">
        <v>3967</v>
      </c>
      <c r="F338" s="151"/>
      <c r="G338" s="52" t="str">
        <f t="shared" si="5"/>
        <v>4C 5D:龙王机关棍</v>
      </c>
    </row>
    <row r="339" spans="1:7">
      <c r="A339" s="24" t="s">
        <v>3286</v>
      </c>
      <c r="B339" s="24" t="s">
        <v>3711</v>
      </c>
      <c r="C339" s="24" t="s">
        <v>3931</v>
      </c>
      <c r="D339" s="151" t="s">
        <v>3968</v>
      </c>
      <c r="E339" s="151" t="s">
        <v>3969</v>
      </c>
      <c r="F339" s="151"/>
      <c r="G339" s="52" t="str">
        <f t="shared" si="5"/>
        <v>E8 60:弘法大师的锡杖</v>
      </c>
    </row>
    <row r="340" spans="1:7">
      <c r="A340" s="24" t="s">
        <v>3286</v>
      </c>
      <c r="B340" s="24" t="s">
        <v>3711</v>
      </c>
      <c r="C340" s="24" t="s">
        <v>3931</v>
      </c>
      <c r="D340" s="151" t="s">
        <v>3970</v>
      </c>
      <c r="E340" s="151" t="s">
        <v>3971</v>
      </c>
      <c r="F340" s="151"/>
      <c r="G340" s="52" t="str">
        <f t="shared" si="5"/>
        <v>B5 86:日巫女之杖</v>
      </c>
    </row>
    <row r="341" spans="1:7">
      <c r="A341" s="24" t="s">
        <v>3286</v>
      </c>
      <c r="B341" s="24" t="s">
        <v>3711</v>
      </c>
      <c r="C341" s="24" t="s">
        <v>3931</v>
      </c>
      <c r="D341" s="151" t="s">
        <v>3972</v>
      </c>
      <c r="E341" s="151" t="s">
        <v>3973</v>
      </c>
      <c r="F341" s="151"/>
      <c r="G341" s="52" t="str">
        <f t="shared" si="5"/>
        <v>2C 43:见越锡杖</v>
      </c>
    </row>
    <row r="342" spans="1:7">
      <c r="A342" s="24" t="s">
        <v>3286</v>
      </c>
      <c r="B342" s="24" t="s">
        <v>3711</v>
      </c>
      <c r="C342" s="24" t="s">
        <v>3931</v>
      </c>
      <c r="D342" s="151" t="s">
        <v>3974</v>
      </c>
      <c r="E342" s="151" t="s">
        <v>3975</v>
      </c>
      <c r="F342" s="151"/>
      <c r="G342" s="52" t="str">
        <f t="shared" si="5"/>
        <v>7D 7F:圣人锡杖</v>
      </c>
    </row>
    <row r="343" spans="1:7">
      <c r="A343" s="24" t="s">
        <v>3286</v>
      </c>
      <c r="B343" s="24" t="s">
        <v>3711</v>
      </c>
      <c r="C343" s="24" t="s">
        <v>3931</v>
      </c>
      <c r="D343" s="151" t="s">
        <v>3976</v>
      </c>
      <c r="E343" s="151" t="s">
        <v>3977</v>
      </c>
      <c r="F343" s="151"/>
      <c r="G343" s="52" t="str">
        <f t="shared" si="5"/>
        <v>12 2E:狱妖机关棍</v>
      </c>
    </row>
    <row r="344" spans="1:7">
      <c r="A344" s="24" t="s">
        <v>3286</v>
      </c>
      <c r="B344" s="24" t="s">
        <v>3711</v>
      </c>
      <c r="C344" s="24" t="s">
        <v>3931</v>
      </c>
      <c r="D344" s="151" t="s">
        <v>3978</v>
      </c>
      <c r="E344" s="151" t="s">
        <v>3979</v>
      </c>
      <c r="F344" s="151"/>
      <c r="G344" s="52" t="str">
        <f t="shared" si="5"/>
        <v>4C FD:牟庆梦想锡杖</v>
      </c>
    </row>
    <row r="345" spans="1:7">
      <c r="A345" s="24" t="s">
        <v>3286</v>
      </c>
      <c r="B345" s="24" t="s">
        <v>3711</v>
      </c>
      <c r="C345" s="24" t="s">
        <v>3980</v>
      </c>
      <c r="D345" s="151" t="s">
        <v>3981</v>
      </c>
      <c r="E345" s="151" t="s">
        <v>3982</v>
      </c>
      <c r="F345" s="151"/>
      <c r="G345" s="52" t="str">
        <f t="shared" si="5"/>
        <v>65 8C:皮手甲钩</v>
      </c>
    </row>
    <row r="346" spans="1:7">
      <c r="A346" s="24" t="s">
        <v>3286</v>
      </c>
      <c r="B346" s="24" t="s">
        <v>3711</v>
      </c>
      <c r="C346" s="24" t="s">
        <v>3980</v>
      </c>
      <c r="D346" s="151" t="s">
        <v>3983</v>
      </c>
      <c r="E346" s="151" t="s">
        <v>3984</v>
      </c>
      <c r="F346" s="151"/>
      <c r="G346" s="52" t="str">
        <f t="shared" si="5"/>
        <v>00 2F:下忍手甲钩</v>
      </c>
    </row>
    <row r="347" spans="1:7">
      <c r="A347" s="24" t="s">
        <v>3286</v>
      </c>
      <c r="B347" s="24" t="s">
        <v>3711</v>
      </c>
      <c r="C347" s="24" t="s">
        <v>3980</v>
      </c>
      <c r="D347" s="151" t="s">
        <v>3985</v>
      </c>
      <c r="E347" s="151" t="s">
        <v>3986</v>
      </c>
      <c r="F347" s="151"/>
      <c r="G347" s="52" t="str">
        <f t="shared" si="5"/>
        <v>5C 43:户隐流手甲钩</v>
      </c>
    </row>
    <row r="348" spans="1:7">
      <c r="A348" s="24" t="s">
        <v>3286</v>
      </c>
      <c r="B348" s="24" t="s">
        <v>3711</v>
      </c>
      <c r="C348" s="24" t="s">
        <v>3980</v>
      </c>
      <c r="D348" s="151" t="s">
        <v>3987</v>
      </c>
      <c r="E348" s="151" t="s">
        <v>3988</v>
      </c>
      <c r="F348" s="151"/>
      <c r="G348" s="52" t="str">
        <f t="shared" si="5"/>
        <v>A7 A3:轩猿手甲钩</v>
      </c>
    </row>
    <row r="349" spans="1:7">
      <c r="A349" s="24" t="s">
        <v>3286</v>
      </c>
      <c r="B349" s="24" t="s">
        <v>3711</v>
      </c>
      <c r="C349" s="24" t="s">
        <v>3980</v>
      </c>
      <c r="D349" s="151" t="s">
        <v>3989</v>
      </c>
      <c r="E349" s="151" t="s">
        <v>3990</v>
      </c>
      <c r="F349" s="151"/>
      <c r="G349" s="52" t="str">
        <f t="shared" si="5"/>
        <v>6F F4:中忍手甲钩</v>
      </c>
    </row>
    <row r="350" spans="1:7">
      <c r="A350" s="24" t="s">
        <v>3286</v>
      </c>
      <c r="B350" s="24" t="s">
        <v>3711</v>
      </c>
      <c r="C350" s="24" t="s">
        <v>3980</v>
      </c>
      <c r="D350" s="151" t="s">
        <v>3991</v>
      </c>
      <c r="E350" s="151" t="s">
        <v>3992</v>
      </c>
      <c r="F350" s="151"/>
      <c r="G350" s="52" t="str">
        <f t="shared" si="5"/>
        <v>D1 C5:武艺者手甲钩</v>
      </c>
    </row>
    <row r="351" spans="1:7">
      <c r="A351" s="24" t="s">
        <v>3286</v>
      </c>
      <c r="B351" s="24" t="s">
        <v>3711</v>
      </c>
      <c r="C351" s="24" t="s">
        <v>3980</v>
      </c>
      <c r="D351" s="151" t="s">
        <v>3993</v>
      </c>
      <c r="E351" s="151" t="s">
        <v>3994</v>
      </c>
      <c r="F351" s="151"/>
      <c r="G351" s="52" t="str">
        <f t="shared" si="5"/>
        <v>A3 AF:风魔首领手甲钩</v>
      </c>
    </row>
    <row r="352" spans="1:7">
      <c r="A352" s="24" t="s">
        <v>3286</v>
      </c>
      <c r="B352" s="24" t="s">
        <v>3711</v>
      </c>
      <c r="C352" s="24" t="s">
        <v>3980</v>
      </c>
      <c r="D352" s="151" t="s">
        <v>3995</v>
      </c>
      <c r="E352" s="151" t="s">
        <v>3996</v>
      </c>
      <c r="F352" s="151"/>
      <c r="G352" s="52" t="str">
        <f t="shared" si="5"/>
        <v>57 BC:上忍手甲钩</v>
      </c>
    </row>
    <row r="353" spans="1:7">
      <c r="A353" s="24" t="s">
        <v>3286</v>
      </c>
      <c r="B353" s="24" t="s">
        <v>3711</v>
      </c>
      <c r="C353" s="24" t="s">
        <v>3980</v>
      </c>
      <c r="D353" s="151" t="s">
        <v>3997</v>
      </c>
      <c r="E353" s="151" t="s">
        <v>3998</v>
      </c>
      <c r="F353" s="151"/>
      <c r="G353" s="52" t="str">
        <f t="shared" si="5"/>
        <v>16 F7:钵屋众手甲钩</v>
      </c>
    </row>
    <row r="354" spans="1:7">
      <c r="A354" s="24" t="s">
        <v>3286</v>
      </c>
      <c r="B354" s="24" t="s">
        <v>3711</v>
      </c>
      <c r="C354" s="24" t="s">
        <v>3980</v>
      </c>
      <c r="D354" s="151" t="s">
        <v>3999</v>
      </c>
      <c r="E354" s="151" t="s">
        <v>4000</v>
      </c>
      <c r="F354" s="151"/>
      <c r="G354" s="52" t="str">
        <f t="shared" si="5"/>
        <v>8E 08:土蜘蛛众手甲钩</v>
      </c>
    </row>
    <row r="355" spans="1:7">
      <c r="A355" s="24" t="s">
        <v>3286</v>
      </c>
      <c r="B355" s="24" t="s">
        <v>3711</v>
      </c>
      <c r="C355" s="24" t="s">
        <v>3980</v>
      </c>
      <c r="D355" s="151" t="s">
        <v>4001</v>
      </c>
      <c r="E355" s="151" t="s">
        <v>4002</v>
      </c>
      <c r="F355" s="151"/>
      <c r="G355" s="52" t="str">
        <f t="shared" si="5"/>
        <v>10 33:山伏手甲钩</v>
      </c>
    </row>
    <row r="356" spans="1:7">
      <c r="A356" s="24" t="s">
        <v>3286</v>
      </c>
      <c r="B356" s="24" t="s">
        <v>3711</v>
      </c>
      <c r="C356" s="24" t="s">
        <v>3980</v>
      </c>
      <c r="D356" s="151" t="s">
        <v>4003</v>
      </c>
      <c r="E356" s="151" t="s">
        <v>4004</v>
      </c>
      <c r="F356" s="151"/>
      <c r="G356" s="52" t="str">
        <f t="shared" si="5"/>
        <v>2D 65:白莲手甲钩</v>
      </c>
    </row>
    <row r="357" spans="1:7">
      <c r="A357" s="24" t="s">
        <v>3286</v>
      </c>
      <c r="B357" s="24" t="s">
        <v>3711</v>
      </c>
      <c r="C357" s="24" t="s">
        <v>3980</v>
      </c>
      <c r="D357" s="151" t="s">
        <v>4005</v>
      </c>
      <c r="E357" s="151" t="s">
        <v>4006</v>
      </c>
      <c r="F357" s="151"/>
      <c r="G357" s="52" t="str">
        <f t="shared" si="5"/>
        <v>FE 29:朱漆手甲钩</v>
      </c>
    </row>
    <row r="358" spans="1:7">
      <c r="A358" s="24" t="s">
        <v>3286</v>
      </c>
      <c r="B358" s="24" t="s">
        <v>3711</v>
      </c>
      <c r="C358" s="24" t="s">
        <v>3980</v>
      </c>
      <c r="D358" s="151" t="s">
        <v>4007</v>
      </c>
      <c r="E358" s="151" t="s">
        <v>4008</v>
      </c>
      <c r="F358" s="151"/>
      <c r="G358" s="52" t="str">
        <f t="shared" si="5"/>
        <v>6F 27:风魔手甲钩</v>
      </c>
    </row>
    <row r="359" spans="1:7">
      <c r="A359" s="24" t="s">
        <v>3286</v>
      </c>
      <c r="B359" s="24" t="s">
        <v>3711</v>
      </c>
      <c r="C359" s="24" t="s">
        <v>3980</v>
      </c>
      <c r="D359" s="151" t="s">
        <v>4009</v>
      </c>
      <c r="E359" s="151" t="s">
        <v>4010</v>
      </c>
      <c r="F359" s="151"/>
      <c r="G359" s="52" t="str">
        <f t="shared" si="5"/>
        <v>FD 92:首领手甲钩</v>
      </c>
    </row>
    <row r="360" spans="1:7">
      <c r="A360" s="24" t="s">
        <v>3286</v>
      </c>
      <c r="B360" s="24" t="s">
        <v>3711</v>
      </c>
      <c r="C360" s="24" t="s">
        <v>3980</v>
      </c>
      <c r="D360" s="151" t="s">
        <v>4011</v>
      </c>
      <c r="E360" s="151" t="s">
        <v>4012</v>
      </c>
      <c r="F360" s="151"/>
      <c r="G360" s="52" t="str">
        <f t="shared" si="5"/>
        <v>68 58:高手手甲钩</v>
      </c>
    </row>
    <row r="361" spans="1:7">
      <c r="A361" s="24" t="s">
        <v>3286</v>
      </c>
      <c r="B361" s="24" t="s">
        <v>3711</v>
      </c>
      <c r="C361" s="24" t="s">
        <v>3980</v>
      </c>
      <c r="D361" s="151" t="s">
        <v>4013</v>
      </c>
      <c r="E361" s="151" t="s">
        <v>4014</v>
      </c>
      <c r="F361" s="151"/>
      <c r="G361" s="52" t="str">
        <f t="shared" si="5"/>
        <v>1D 88:大风手甲钩</v>
      </c>
    </row>
    <row r="362" spans="1:7">
      <c r="A362" s="24" t="s">
        <v>3286</v>
      </c>
      <c r="B362" s="24" t="s">
        <v>3711</v>
      </c>
      <c r="C362" s="24" t="s">
        <v>3980</v>
      </c>
      <c r="D362" s="151" t="s">
        <v>4015</v>
      </c>
      <c r="E362" s="151" t="s">
        <v>4016</v>
      </c>
      <c r="F362" s="151"/>
      <c r="G362" s="52" t="str">
        <f t="shared" si="5"/>
        <v>59 A1:冰华手甲钩</v>
      </c>
    </row>
    <row r="363" spans="1:7">
      <c r="A363" s="24" t="s">
        <v>3286</v>
      </c>
      <c r="B363" s="24" t="s">
        <v>3711</v>
      </c>
      <c r="C363" s="24" t="s">
        <v>3980</v>
      </c>
      <c r="D363" s="151" t="s">
        <v>4017</v>
      </c>
      <c r="E363" s="151" t="s">
        <v>4018</v>
      </c>
      <c r="F363" s="151"/>
      <c r="G363" s="52" t="str">
        <f t="shared" si="5"/>
        <v>2C 67:百雷手甲钩</v>
      </c>
    </row>
    <row r="364" spans="1:7">
      <c r="A364" s="24" t="s">
        <v>3286</v>
      </c>
      <c r="B364" s="24" t="s">
        <v>3711</v>
      </c>
      <c r="C364" s="24" t="s">
        <v>3980</v>
      </c>
      <c r="D364" s="151" t="s">
        <v>4019</v>
      </c>
      <c r="E364" s="151" t="s">
        <v>4020</v>
      </c>
      <c r="F364" s="151"/>
      <c r="G364" s="52" t="str">
        <f t="shared" si="5"/>
        <v>94 D6:万两义贼手甲钩</v>
      </c>
    </row>
    <row r="365" spans="1:7">
      <c r="A365" s="24" t="s">
        <v>3286</v>
      </c>
      <c r="B365" s="24" t="s">
        <v>3711</v>
      </c>
      <c r="C365" s="24" t="s">
        <v>3980</v>
      </c>
      <c r="D365" s="151" t="s">
        <v>4021</v>
      </c>
      <c r="E365" s="151" t="s">
        <v>4022</v>
      </c>
      <c r="F365" s="151"/>
      <c r="G365" s="52" t="str">
        <f t="shared" si="5"/>
        <v>80 8E:焰怒手甲钩</v>
      </c>
    </row>
    <row r="366" spans="1:7">
      <c r="A366" s="24" t="s">
        <v>3286</v>
      </c>
      <c r="B366" s="24" t="s">
        <v>3711</v>
      </c>
      <c r="C366" s="24" t="s">
        <v>3980</v>
      </c>
      <c r="D366" s="151" t="s">
        <v>4023</v>
      </c>
      <c r="E366" s="151" t="s">
        <v>4024</v>
      </c>
      <c r="F366" s="151"/>
      <c r="G366" s="52" t="str">
        <f t="shared" si="5"/>
        <v>D8 A0:狱妖手甲钩</v>
      </c>
    </row>
    <row r="367" spans="1:7">
      <c r="A367" s="24" t="s">
        <v>3286</v>
      </c>
      <c r="B367" s="24" t="s">
        <v>3711</v>
      </c>
      <c r="C367" s="24" t="s">
        <v>3980</v>
      </c>
      <c r="D367" s="151" t="s">
        <v>4025</v>
      </c>
      <c r="E367" s="151" t="s">
        <v>4026</v>
      </c>
      <c r="F367" s="151"/>
      <c r="G367" s="52" t="str">
        <f t="shared" si="5"/>
        <v>D4 9A:牟庆梦想手甲钩</v>
      </c>
    </row>
    <row r="368" spans="1:7">
      <c r="A368" s="24" t="s">
        <v>3286</v>
      </c>
      <c r="B368" s="24" t="s">
        <v>3711</v>
      </c>
      <c r="C368" s="24" t="s">
        <v>4027</v>
      </c>
      <c r="D368" s="151" t="s">
        <v>4028</v>
      </c>
      <c r="E368" s="151" t="s">
        <v>4029</v>
      </c>
      <c r="F368" s="151"/>
      <c r="G368" s="52" t="str">
        <f t="shared" si="5"/>
        <v>5A 39:打刀·阵笠</v>
      </c>
    </row>
    <row r="369" spans="1:7">
      <c r="A369" s="24" t="s">
        <v>3286</v>
      </c>
      <c r="B369" s="24" t="s">
        <v>3711</v>
      </c>
      <c r="C369" s="24" t="s">
        <v>4027</v>
      </c>
      <c r="D369" s="151" t="s">
        <v>4030</v>
      </c>
      <c r="E369" s="151" t="s">
        <v>4031</v>
      </c>
      <c r="F369" s="151"/>
      <c r="G369" s="52" t="str">
        <f t="shared" si="5"/>
        <v>07 3D:琉球盾矛</v>
      </c>
    </row>
    <row r="370" spans="1:7">
      <c r="A370" s="24" t="s">
        <v>3286</v>
      </c>
      <c r="B370" s="24" t="s">
        <v>3711</v>
      </c>
      <c r="C370" s="24" t="s">
        <v>4027</v>
      </c>
      <c r="D370" s="151" t="s">
        <v>4032</v>
      </c>
      <c r="E370" s="151" t="s">
        <v>4033</v>
      </c>
      <c r="F370" s="151"/>
      <c r="G370" s="52" t="str">
        <f t="shared" si="5"/>
        <v>6C 95:古代兵盾矛</v>
      </c>
    </row>
    <row r="371" spans="1:7">
      <c r="A371" s="24" t="s">
        <v>3286</v>
      </c>
      <c r="B371" s="24" t="s">
        <v>3711</v>
      </c>
      <c r="C371" s="24" t="s">
        <v>4027</v>
      </c>
      <c r="D371" s="151" t="s">
        <v>4034</v>
      </c>
      <c r="E371" s="151" t="s">
        <v>4035</v>
      </c>
      <c r="F371" s="151"/>
      <c r="G371" s="52" t="str">
        <f t="shared" si="5"/>
        <v>04 B8:眉尖刀·团牌</v>
      </c>
    </row>
    <row r="372" spans="1:7">
      <c r="A372" s="24" t="s">
        <v>3286</v>
      </c>
      <c r="B372" s="24" t="s">
        <v>3711</v>
      </c>
      <c r="C372" s="24" t="s">
        <v>4027</v>
      </c>
      <c r="D372" s="151" t="s">
        <v>4036</v>
      </c>
      <c r="E372" s="151" t="s">
        <v>4037</v>
      </c>
      <c r="F372" s="151"/>
      <c r="G372" s="52" t="str">
        <f t="shared" si="5"/>
        <v>DA E0:亲方盾矛</v>
      </c>
    </row>
    <row r="373" spans="1:7">
      <c r="A373" s="24" t="s">
        <v>3286</v>
      </c>
      <c r="B373" s="24" t="s">
        <v>3711</v>
      </c>
      <c r="C373" s="24" t="s">
        <v>4027</v>
      </c>
      <c r="D373" s="151" t="s">
        <v>4038</v>
      </c>
      <c r="E373" s="151" t="s">
        <v>3696</v>
      </c>
      <c r="F373" s="151"/>
      <c r="G373" s="52" t="str">
        <f t="shared" si="5"/>
        <v>24 AC:怨嗟剑盾</v>
      </c>
    </row>
    <row r="374" spans="1:7">
      <c r="A374" s="24" t="s">
        <v>3286</v>
      </c>
      <c r="B374" s="24" t="s">
        <v>3711</v>
      </c>
      <c r="C374" s="24" t="s">
        <v>4027</v>
      </c>
      <c r="D374" s="151" t="s">
        <v>4039</v>
      </c>
      <c r="E374" s="151" t="s">
        <v>4040</v>
      </c>
      <c r="F374" s="151"/>
      <c r="G374" s="52" t="str">
        <f t="shared" si="5"/>
        <v>8F 68:仁屋盾矛</v>
      </c>
    </row>
    <row r="375" spans="1:7">
      <c r="A375" s="24" t="s">
        <v>3286</v>
      </c>
      <c r="B375" s="24" t="s">
        <v>3711</v>
      </c>
      <c r="C375" s="24" t="s">
        <v>4027</v>
      </c>
      <c r="D375" s="151" t="s">
        <v>4041</v>
      </c>
      <c r="E375" s="151" t="s">
        <v>4042</v>
      </c>
      <c r="F375" s="151"/>
      <c r="G375" s="52" t="str">
        <f t="shared" si="5"/>
        <v>3F 21:郎党刀盾</v>
      </c>
    </row>
    <row r="376" spans="1:7">
      <c r="A376" s="24" t="s">
        <v>3286</v>
      </c>
      <c r="B376" s="24" t="s">
        <v>3711</v>
      </c>
      <c r="C376" s="24" t="s">
        <v>4027</v>
      </c>
      <c r="D376" s="151" t="s">
        <v>4043</v>
      </c>
      <c r="E376" s="151" t="s">
        <v>4044</v>
      </c>
      <c r="F376" s="151"/>
      <c r="G376" s="52" t="str">
        <f t="shared" si="5"/>
        <v>8D 68:亲云上盾矛</v>
      </c>
    </row>
    <row r="377" spans="1:7">
      <c r="A377" s="24" t="s">
        <v>3286</v>
      </c>
      <c r="B377" s="24" t="s">
        <v>3711</v>
      </c>
      <c r="C377" s="24" t="s">
        <v>4027</v>
      </c>
      <c r="D377" s="151" t="s">
        <v>4045</v>
      </c>
      <c r="E377" s="151" t="s">
        <v>4046</v>
      </c>
      <c r="F377" s="151"/>
      <c r="G377" s="52" t="str">
        <f t="shared" si="5"/>
        <v>86 DC:按司盾矛</v>
      </c>
    </row>
    <row r="378" spans="1:7">
      <c r="A378" s="24" t="s">
        <v>3286</v>
      </c>
      <c r="B378" s="24" t="s">
        <v>3711</v>
      </c>
      <c r="C378" s="24" t="s">
        <v>4027</v>
      </c>
      <c r="D378" s="151" t="s">
        <v>4047</v>
      </c>
      <c r="E378" s="151" t="s">
        <v>4048</v>
      </c>
      <c r="F378" s="151"/>
      <c r="G378" s="52" t="str">
        <f t="shared" si="5"/>
        <v>CD FE:灵炎剑盾</v>
      </c>
    </row>
    <row r="379" spans="1:7">
      <c r="A379" s="24" t="s">
        <v>3286</v>
      </c>
      <c r="B379" s="24" t="s">
        <v>3711</v>
      </c>
      <c r="C379" s="24" t="s">
        <v>4027</v>
      </c>
      <c r="D379" s="151" t="s">
        <v>4049</v>
      </c>
      <c r="E379" s="151" t="s">
        <v>4050</v>
      </c>
      <c r="F379" s="151"/>
      <c r="G379" s="52" t="str">
        <f t="shared" si="5"/>
        <v>45 46:激浪盾矛</v>
      </c>
    </row>
    <row r="380" spans="1:7">
      <c r="A380" s="24" t="s">
        <v>3286</v>
      </c>
      <c r="B380" s="24" t="s">
        <v>3711</v>
      </c>
      <c r="C380" s="24" t="s">
        <v>4027</v>
      </c>
      <c r="D380" s="151" t="s">
        <v>4051</v>
      </c>
      <c r="E380" s="151" t="s">
        <v>4052</v>
      </c>
      <c r="F380" s="151"/>
      <c r="G380" s="52" t="str">
        <f t="shared" si="5"/>
        <v>00 4C:妖雷盾矛</v>
      </c>
    </row>
    <row r="381" spans="1:7">
      <c r="A381" s="24" t="s">
        <v>3286</v>
      </c>
      <c r="B381" s="24" t="s">
        <v>3711</v>
      </c>
      <c r="C381" s="24" t="s">
        <v>4027</v>
      </c>
      <c r="D381" s="151" t="s">
        <v>4053</v>
      </c>
      <c r="E381" s="151" t="s">
        <v>4054</v>
      </c>
      <c r="F381" s="151"/>
      <c r="G381" s="52" t="str">
        <f t="shared" si="5"/>
        <v>B2 BB:神风盾矛</v>
      </c>
    </row>
    <row r="382" spans="1:7">
      <c r="A382" s="24" t="s">
        <v>3286</v>
      </c>
      <c r="B382" s="24" t="s">
        <v>4055</v>
      </c>
      <c r="C382" s="24" t="s">
        <v>4056</v>
      </c>
      <c r="D382" s="151" t="s">
        <v>4057</v>
      </c>
      <c r="E382" s="151" t="s">
        <v>4058</v>
      </c>
      <c r="F382" s="151"/>
      <c r="G382" s="52" t="str">
        <f t="shared" si="5"/>
        <v>31 CC:长弓</v>
      </c>
    </row>
    <row r="383" spans="1:7">
      <c r="A383" s="24" t="s">
        <v>3286</v>
      </c>
      <c r="B383" s="24" t="s">
        <v>4055</v>
      </c>
      <c r="C383" s="24" t="s">
        <v>4056</v>
      </c>
      <c r="D383" s="151" t="s">
        <v>4059</v>
      </c>
      <c r="E383" s="151" t="s">
        <v>4060</v>
      </c>
      <c r="F383" s="151"/>
      <c r="G383" s="52" t="str">
        <f t="shared" si="5"/>
        <v>75 E5:重藤弓</v>
      </c>
    </row>
    <row r="384" spans="1:7">
      <c r="A384" s="24" t="s">
        <v>3286</v>
      </c>
      <c r="B384" s="24" t="s">
        <v>4055</v>
      </c>
      <c r="C384" s="24" t="s">
        <v>4056</v>
      </c>
      <c r="D384" s="151" t="s">
        <v>4061</v>
      </c>
      <c r="E384" s="151" t="s">
        <v>4062</v>
      </c>
      <c r="F384" s="151"/>
      <c r="G384" s="52" t="str">
        <f t="shared" si="5"/>
        <v>1A 8E:穿盾强弓</v>
      </c>
    </row>
    <row r="385" spans="1:7">
      <c r="A385" s="24" t="s">
        <v>3286</v>
      </c>
      <c r="B385" s="24" t="s">
        <v>4055</v>
      </c>
      <c r="C385" s="24" t="s">
        <v>4056</v>
      </c>
      <c r="D385" s="151" t="s">
        <v>4063</v>
      </c>
      <c r="E385" s="151" t="s">
        <v>4064</v>
      </c>
      <c r="F385" s="151"/>
      <c r="G385" s="52" t="str">
        <f t="shared" si="5"/>
        <v>DE 72:五人弓</v>
      </c>
    </row>
    <row r="386" spans="1:7">
      <c r="A386" s="24" t="s">
        <v>3286</v>
      </c>
      <c r="B386" s="24" t="s">
        <v>4055</v>
      </c>
      <c r="C386" s="24" t="s">
        <v>4056</v>
      </c>
      <c r="D386" s="151" t="s">
        <v>4065</v>
      </c>
      <c r="E386" s="151" t="s">
        <v>4066</v>
      </c>
      <c r="F386" s="151"/>
      <c r="G386" s="52" t="str">
        <f t="shared" ref="G386:G449" si="6">D386&amp;":"&amp;E386</f>
        <v>4D 36:两面宿傩之引</v>
      </c>
    </row>
    <row r="387" spans="1:7">
      <c r="A387" s="24" t="s">
        <v>3286</v>
      </c>
      <c r="B387" s="24" t="s">
        <v>4055</v>
      </c>
      <c r="C387" s="24" t="s">
        <v>4056</v>
      </c>
      <c r="D387" s="151" t="s">
        <v>4067</v>
      </c>
      <c r="E387" s="151" t="s">
        <v>4068</v>
      </c>
      <c r="F387" s="151"/>
      <c r="G387" s="52" t="str">
        <f t="shared" si="6"/>
        <v>7A 44:雷上动</v>
      </c>
    </row>
    <row r="388" spans="1:7">
      <c r="A388" s="24" t="s">
        <v>3286</v>
      </c>
      <c r="B388" s="24" t="s">
        <v>4055</v>
      </c>
      <c r="C388" s="24" t="s">
        <v>4056</v>
      </c>
      <c r="D388" s="151" t="s">
        <v>4069</v>
      </c>
      <c r="E388" s="151" t="s">
        <v>4070</v>
      </c>
      <c r="F388" s="151"/>
      <c r="G388" s="52" t="str">
        <f t="shared" si="6"/>
        <v>C1 63:射扇之弓</v>
      </c>
    </row>
    <row r="389" spans="1:7">
      <c r="A389" s="24" t="s">
        <v>3286</v>
      </c>
      <c r="B389" s="24" t="s">
        <v>4055</v>
      </c>
      <c r="C389" s="24" t="s">
        <v>4056</v>
      </c>
      <c r="D389" s="151" t="s">
        <v>4071</v>
      </c>
      <c r="E389" s="151" t="s">
        <v>4072</v>
      </c>
      <c r="F389" s="151"/>
      <c r="G389" s="52" t="str">
        <f t="shared" si="6"/>
        <v>B6 B9:御持弓</v>
      </c>
    </row>
    <row r="390" spans="1:7">
      <c r="A390" s="24" t="s">
        <v>3286</v>
      </c>
      <c r="B390" s="24" t="s">
        <v>4055</v>
      </c>
      <c r="C390" s="24" t="s">
        <v>4056</v>
      </c>
      <c r="D390" s="151" t="s">
        <v>4073</v>
      </c>
      <c r="E390" s="151" t="s">
        <v>4074</v>
      </c>
      <c r="F390" s="151"/>
      <c r="G390" s="52" t="str">
        <f t="shared" si="6"/>
        <v>14 84:镇西八郎之弓</v>
      </c>
    </row>
    <row r="391" spans="1:7">
      <c r="A391" s="24" t="s">
        <v>3286</v>
      </c>
      <c r="B391" s="24" t="s">
        <v>4055</v>
      </c>
      <c r="C391" s="24" t="s">
        <v>4056</v>
      </c>
      <c r="D391" s="151" t="s">
        <v>4075</v>
      </c>
      <c r="E391" s="151" t="s">
        <v>4076</v>
      </c>
      <c r="F391" s="151"/>
      <c r="G391" s="52" t="str">
        <f t="shared" si="6"/>
        <v>09 30:神通弓</v>
      </c>
    </row>
    <row r="392" spans="1:7">
      <c r="A392" s="24" t="s">
        <v>3286</v>
      </c>
      <c r="B392" s="24" t="s">
        <v>4055</v>
      </c>
      <c r="C392" s="24" t="s">
        <v>4056</v>
      </c>
      <c r="D392" s="151" t="s">
        <v>4077</v>
      </c>
      <c r="E392" s="151" t="s">
        <v>4078</v>
      </c>
      <c r="F392" s="151"/>
      <c r="G392" s="52" t="str">
        <f t="shared" si="6"/>
        <v>BC D9:镰仓大人之弓</v>
      </c>
    </row>
    <row r="393" spans="1:7">
      <c r="A393" s="24" t="s">
        <v>3286</v>
      </c>
      <c r="B393" s="24" t="s">
        <v>4055</v>
      </c>
      <c r="C393" s="24" t="s">
        <v>4056</v>
      </c>
      <c r="D393" s="151" t="s">
        <v>4079</v>
      </c>
      <c r="E393" s="151" t="s">
        <v>4080</v>
      </c>
      <c r="F393" s="151"/>
      <c r="G393" s="52" t="str">
        <f t="shared" si="6"/>
        <v>46 62:赤备大将之弓</v>
      </c>
    </row>
    <row r="394" spans="1:7">
      <c r="A394" s="24" t="s">
        <v>3286</v>
      </c>
      <c r="B394" s="24" t="s">
        <v>4055</v>
      </c>
      <c r="C394" s="24" t="s">
        <v>4056</v>
      </c>
      <c r="D394" s="151" t="s">
        <v>4081</v>
      </c>
      <c r="E394" s="151" t="s">
        <v>4082</v>
      </c>
      <c r="F394" s="151"/>
      <c r="G394" s="52" t="str">
        <f t="shared" si="6"/>
        <v>05 38:日置当流之弓</v>
      </c>
    </row>
    <row r="395" spans="1:7">
      <c r="A395" s="24" t="s">
        <v>3286</v>
      </c>
      <c r="B395" s="24" t="s">
        <v>4055</v>
      </c>
      <c r="C395" s="24" t="s">
        <v>4083</v>
      </c>
      <c r="D395" s="151" t="s">
        <v>4084</v>
      </c>
      <c r="E395" s="151" t="s">
        <v>4085</v>
      </c>
      <c r="F395" s="151"/>
      <c r="G395" s="52" t="str">
        <f t="shared" si="6"/>
        <v>CF B1:种子岛枪</v>
      </c>
    </row>
    <row r="396" spans="1:7">
      <c r="A396" s="24" t="s">
        <v>3286</v>
      </c>
      <c r="B396" s="24" t="s">
        <v>4055</v>
      </c>
      <c r="C396" s="24" t="s">
        <v>4083</v>
      </c>
      <c r="D396" s="151" t="s">
        <v>4086</v>
      </c>
      <c r="E396" s="151" t="s">
        <v>4087</v>
      </c>
      <c r="F396" s="151"/>
      <c r="G396" s="52" t="str">
        <f t="shared" si="6"/>
        <v>F8 E4:国友铁炮</v>
      </c>
    </row>
    <row r="397" spans="1:7">
      <c r="A397" s="24" t="s">
        <v>3286</v>
      </c>
      <c r="B397" s="24" t="s">
        <v>4055</v>
      </c>
      <c r="C397" s="24" t="s">
        <v>4083</v>
      </c>
      <c r="D397" s="151" t="s">
        <v>4088</v>
      </c>
      <c r="E397" s="151" t="s">
        <v>4089</v>
      </c>
      <c r="F397" s="151"/>
      <c r="G397" s="52" t="str">
        <f t="shared" si="6"/>
        <v>7A 7C:堺铁炮</v>
      </c>
    </row>
    <row r="398" spans="1:7">
      <c r="A398" s="24" t="s">
        <v>3286</v>
      </c>
      <c r="B398" s="24" t="s">
        <v>4055</v>
      </c>
      <c r="C398" s="24" t="s">
        <v>4083</v>
      </c>
      <c r="D398" s="151" t="s">
        <v>4090</v>
      </c>
      <c r="E398" s="151" t="s">
        <v>4091</v>
      </c>
      <c r="F398" s="151"/>
      <c r="G398" s="52" t="str">
        <f t="shared" si="6"/>
        <v>13 C8:日野铁炮</v>
      </c>
    </row>
    <row r="399" spans="1:7">
      <c r="A399" s="24" t="s">
        <v>3286</v>
      </c>
      <c r="B399" s="24" t="s">
        <v>4055</v>
      </c>
      <c r="C399" s="24" t="s">
        <v>4083</v>
      </c>
      <c r="D399" s="151" t="s">
        <v>4092</v>
      </c>
      <c r="E399" s="151" t="s">
        <v>4093</v>
      </c>
      <c r="F399" s="151"/>
      <c r="G399" s="52" t="str">
        <f t="shared" si="6"/>
        <v>C4 1B:根来铁炮</v>
      </c>
    </row>
    <row r="400" spans="1:7">
      <c r="A400" s="24" t="s">
        <v>3286</v>
      </c>
      <c r="B400" s="24" t="s">
        <v>4055</v>
      </c>
      <c r="C400" s="24" t="s">
        <v>4083</v>
      </c>
      <c r="D400" s="151" t="s">
        <v>4094</v>
      </c>
      <c r="E400" s="151" t="s">
        <v>4095</v>
      </c>
      <c r="F400" s="151"/>
      <c r="G400" s="52" t="str">
        <f t="shared" si="6"/>
        <v>C9 10:稻富流火绳枪</v>
      </c>
    </row>
    <row r="401" spans="1:7">
      <c r="A401" s="24" t="s">
        <v>3286</v>
      </c>
      <c r="B401" s="24" t="s">
        <v>4055</v>
      </c>
      <c r="C401" s="24" t="s">
        <v>4083</v>
      </c>
      <c r="D401" s="151" t="s">
        <v>4096</v>
      </c>
      <c r="E401" s="151" t="s">
        <v>4097</v>
      </c>
      <c r="F401" s="151"/>
      <c r="G401" s="52" t="str">
        <f t="shared" si="6"/>
        <v>A7 73:田付流火绳枪</v>
      </c>
    </row>
    <row r="402" spans="1:7">
      <c r="A402" s="24" t="s">
        <v>3286</v>
      </c>
      <c r="B402" s="24" t="s">
        <v>4055</v>
      </c>
      <c r="C402" s="24" t="s">
        <v>4098</v>
      </c>
      <c r="D402" s="151" t="s">
        <v>4099</v>
      </c>
      <c r="E402" s="151" t="s">
        <v>4100</v>
      </c>
      <c r="F402" s="151"/>
      <c r="G402" s="52" t="str">
        <f t="shared" si="6"/>
        <v>18 57:手持大炮</v>
      </c>
    </row>
    <row r="403" spans="1:7">
      <c r="A403" s="24" t="s">
        <v>3286</v>
      </c>
      <c r="B403" s="24" t="s">
        <v>4055</v>
      </c>
      <c r="C403" s="24" t="s">
        <v>4098</v>
      </c>
      <c r="D403" s="151" t="s">
        <v>4101</v>
      </c>
      <c r="E403" s="151" t="s">
        <v>4102</v>
      </c>
      <c r="F403" s="151"/>
      <c r="G403" s="52" t="str">
        <f t="shared" si="6"/>
        <v>5B BE:崩国大炮</v>
      </c>
    </row>
    <row r="404" spans="1:7">
      <c r="A404" s="24" t="s">
        <v>3286</v>
      </c>
      <c r="B404" s="24" t="s">
        <v>4055</v>
      </c>
      <c r="C404" s="24" t="s">
        <v>4098</v>
      </c>
      <c r="D404" s="151" t="s">
        <v>4103</v>
      </c>
      <c r="E404" s="151" t="s">
        <v>4104</v>
      </c>
      <c r="F404" s="151"/>
      <c r="G404" s="52" t="str">
        <f t="shared" si="6"/>
        <v>C8 1D:银朱大炮</v>
      </c>
    </row>
    <row r="405" spans="1:7">
      <c r="A405" s="24" t="s">
        <v>3286</v>
      </c>
      <c r="B405" s="24" t="s">
        <v>4055</v>
      </c>
      <c r="C405" s="24" t="s">
        <v>4098</v>
      </c>
      <c r="D405" s="151" t="s">
        <v>4105</v>
      </c>
      <c r="E405" s="151" t="s">
        <v>4106</v>
      </c>
      <c r="F405" s="151"/>
      <c r="G405" s="52" t="str">
        <f t="shared" si="6"/>
        <v>6F 1C:阳流秘传大炮</v>
      </c>
    </row>
    <row r="406" spans="1:7">
      <c r="A406" s="24" t="s">
        <v>3286</v>
      </c>
      <c r="B406" s="24" t="s">
        <v>4055</v>
      </c>
      <c r="C406" s="24" t="s">
        <v>4098</v>
      </c>
      <c r="D406" s="151" t="s">
        <v>4107</v>
      </c>
      <c r="E406" s="151" t="s">
        <v>4108</v>
      </c>
      <c r="F406" s="151"/>
      <c r="G406" s="52" t="str">
        <f t="shared" si="6"/>
        <v>69 1A:天龙大咆哮</v>
      </c>
    </row>
    <row r="407" spans="1:7">
      <c r="A407" s="24" t="s">
        <v>3286</v>
      </c>
      <c r="B407" s="24" t="s">
        <v>4055</v>
      </c>
      <c r="C407" s="24" t="s">
        <v>4098</v>
      </c>
      <c r="D407" s="151" t="s">
        <v>4109</v>
      </c>
      <c r="E407" s="151" t="s">
        <v>4110</v>
      </c>
      <c r="F407" s="151"/>
      <c r="G407" s="52" t="str">
        <f t="shared" si="6"/>
        <v>9B E2:雷火炮</v>
      </c>
    </row>
    <row r="408" spans="1:7">
      <c r="A408" s="24" t="s">
        <v>3286</v>
      </c>
      <c r="B408" s="24" t="s">
        <v>4055</v>
      </c>
      <c r="C408" s="24" t="s">
        <v>4098</v>
      </c>
      <c r="D408" s="151" t="s">
        <v>4111</v>
      </c>
      <c r="E408" s="151" t="s">
        <v>4112</v>
      </c>
      <c r="F408" s="151"/>
      <c r="G408" s="52" t="str">
        <f t="shared" si="6"/>
        <v>AA E3:田付流秘传大炮</v>
      </c>
    </row>
    <row r="409" spans="1:7">
      <c r="A409" s="24" t="s">
        <v>4113</v>
      </c>
      <c r="B409" s="24" t="s">
        <v>4114</v>
      </c>
      <c r="C409" s="24" t="s">
        <v>4115</v>
      </c>
      <c r="D409" s="151" t="s">
        <v>4116</v>
      </c>
      <c r="E409" s="151" t="s">
        <v>4117</v>
      </c>
      <c r="F409" s="151"/>
      <c r="G409" s="52" t="str">
        <f t="shared" si="6"/>
        <v>EB 9E:世嗣中铠 胸甲</v>
      </c>
    </row>
    <row r="410" spans="1:7">
      <c r="A410" s="24" t="s">
        <v>4113</v>
      </c>
      <c r="B410" s="24" t="s">
        <v>4114</v>
      </c>
      <c r="C410" s="24" t="s">
        <v>4118</v>
      </c>
      <c r="D410" s="151" t="s">
        <v>4119</v>
      </c>
      <c r="E410" s="151" t="s">
        <v>4120</v>
      </c>
      <c r="F410" s="151"/>
      <c r="G410" s="52" t="str">
        <f t="shared" si="6"/>
        <v>34 1D:世嗣中铠 臂甲</v>
      </c>
    </row>
    <row r="411" spans="1:7">
      <c r="A411" s="24" t="s">
        <v>4113</v>
      </c>
      <c r="B411" s="24" t="s">
        <v>4114</v>
      </c>
      <c r="C411" s="24" t="s">
        <v>4121</v>
      </c>
      <c r="D411" s="151" t="s">
        <v>4122</v>
      </c>
      <c r="E411" s="151" t="s">
        <v>4123</v>
      </c>
      <c r="F411" s="151"/>
      <c r="G411" s="52" t="str">
        <f t="shared" si="6"/>
        <v>F6 3E:世嗣中铠 膝甲</v>
      </c>
    </row>
    <row r="412" spans="1:7">
      <c r="A412" s="24" t="s">
        <v>4113</v>
      </c>
      <c r="B412" s="24" t="s">
        <v>4114</v>
      </c>
      <c r="C412" s="24" t="s">
        <v>4124</v>
      </c>
      <c r="D412" s="151" t="s">
        <v>4125</v>
      </c>
      <c r="E412" s="151" t="s">
        <v>4126</v>
      </c>
      <c r="F412" s="151"/>
      <c r="G412" s="52" t="str">
        <f t="shared" si="6"/>
        <v>26 C3:世嗣中铠 腿甲</v>
      </c>
    </row>
    <row r="413" spans="1:7">
      <c r="A413" s="24" t="s">
        <v>4113</v>
      </c>
      <c r="B413" s="24" t="s">
        <v>4114</v>
      </c>
      <c r="C413" s="24" t="s">
        <v>4115</v>
      </c>
      <c r="D413" s="151" t="s">
        <v>4127</v>
      </c>
      <c r="E413" s="151" t="s">
        <v>4128</v>
      </c>
      <c r="F413" s="151"/>
      <c r="G413" s="52" t="str">
        <f t="shared" si="6"/>
        <v>A3 D9:弟君锦衣 上衣</v>
      </c>
    </row>
    <row r="414" spans="1:7">
      <c r="A414" s="24" t="s">
        <v>4113</v>
      </c>
      <c r="B414" s="24" t="s">
        <v>4114</v>
      </c>
      <c r="C414" s="24" t="s">
        <v>4121</v>
      </c>
      <c r="D414" s="151" t="s">
        <v>4129</v>
      </c>
      <c r="E414" s="151" t="s">
        <v>4130</v>
      </c>
      <c r="F414" s="151"/>
      <c r="G414" s="52" t="str">
        <f t="shared" si="6"/>
        <v>1B 0F:弟君锦衣 裤裙</v>
      </c>
    </row>
    <row r="415" spans="1:7">
      <c r="A415" s="24" t="s">
        <v>4113</v>
      </c>
      <c r="B415" s="24" t="s">
        <v>4114</v>
      </c>
      <c r="C415" s="24" t="s">
        <v>4124</v>
      </c>
      <c r="D415" s="151" t="s">
        <v>4131</v>
      </c>
      <c r="E415" s="151" t="s">
        <v>4132</v>
      </c>
      <c r="F415" s="151"/>
      <c r="G415" s="52" t="str">
        <f t="shared" si="6"/>
        <v>71 32:弟君锦衣 足履</v>
      </c>
    </row>
    <row r="416" spans="1:7">
      <c r="A416" s="24" t="s">
        <v>4113</v>
      </c>
      <c r="B416" s="24" t="s">
        <v>4114</v>
      </c>
      <c r="C416" s="24" t="s">
        <v>4133</v>
      </c>
      <c r="D416" s="151" t="s">
        <v>4134</v>
      </c>
      <c r="E416" s="151" t="s">
        <v>4135</v>
      </c>
      <c r="F416" s="151"/>
      <c r="G416" s="52" t="str">
        <f t="shared" si="6"/>
        <v>A9 F5:甲斐之虎铠甲 头盔</v>
      </c>
    </row>
    <row r="417" spans="1:7">
      <c r="A417" s="24" t="s">
        <v>4113</v>
      </c>
      <c r="B417" s="24" t="s">
        <v>4114</v>
      </c>
      <c r="C417" s="24" t="s">
        <v>4115</v>
      </c>
      <c r="D417" s="151" t="s">
        <v>4136</v>
      </c>
      <c r="E417" s="151" t="s">
        <v>4137</v>
      </c>
      <c r="F417" s="151"/>
      <c r="G417" s="52" t="str">
        <f t="shared" si="6"/>
        <v>A1 DB:甲斐之虎铠甲 胸甲</v>
      </c>
    </row>
    <row r="418" spans="1:7">
      <c r="A418" s="24" t="s">
        <v>4113</v>
      </c>
      <c r="B418" s="24" t="s">
        <v>4114</v>
      </c>
      <c r="C418" s="24" t="s">
        <v>4118</v>
      </c>
      <c r="D418" s="151" t="s">
        <v>4138</v>
      </c>
      <c r="E418" s="151" t="s">
        <v>4139</v>
      </c>
      <c r="F418" s="151"/>
      <c r="G418" s="52" t="str">
        <f t="shared" si="6"/>
        <v>AC CC:甲斐之虎铠甲 臂甲</v>
      </c>
    </row>
    <row r="419" spans="1:7">
      <c r="A419" s="24" t="s">
        <v>4113</v>
      </c>
      <c r="B419" s="24" t="s">
        <v>4114</v>
      </c>
      <c r="C419" s="24" t="s">
        <v>4121</v>
      </c>
      <c r="D419" s="151" t="s">
        <v>4140</v>
      </c>
      <c r="E419" s="151" t="s">
        <v>4141</v>
      </c>
      <c r="F419" s="151"/>
      <c r="G419" s="52" t="str">
        <f t="shared" si="6"/>
        <v>20 68:甲斐之虎铠甲 膝甲</v>
      </c>
    </row>
    <row r="420" spans="1:7">
      <c r="A420" s="24" t="s">
        <v>4113</v>
      </c>
      <c r="B420" s="24" t="s">
        <v>4114</v>
      </c>
      <c r="C420" s="24" t="s">
        <v>4124</v>
      </c>
      <c r="D420" s="151" t="s">
        <v>4142</v>
      </c>
      <c r="E420" s="151" t="s">
        <v>4143</v>
      </c>
      <c r="F420" s="151"/>
      <c r="G420" s="52" t="str">
        <f t="shared" si="6"/>
        <v>B2 64:甲斐之虎铠甲 腿甲</v>
      </c>
    </row>
    <row r="421" spans="1:7">
      <c r="A421" s="24" t="s">
        <v>4113</v>
      </c>
      <c r="B421" s="24" t="s">
        <v>4114</v>
      </c>
      <c r="C421" s="24" t="s">
        <v>4133</v>
      </c>
      <c r="D421" s="151" t="s">
        <v>4144</v>
      </c>
      <c r="E421" s="151" t="s">
        <v>4145</v>
      </c>
      <c r="F421" s="151"/>
      <c r="G421" s="52" t="str">
        <f t="shared" si="6"/>
        <v>64 A5:大义之铠 头盔</v>
      </c>
    </row>
    <row r="422" spans="1:7">
      <c r="A422" s="24" t="s">
        <v>4113</v>
      </c>
      <c r="B422" s="24" t="s">
        <v>4114</v>
      </c>
      <c r="C422" s="24" t="s">
        <v>4115</v>
      </c>
      <c r="D422" s="151" t="s">
        <v>4146</v>
      </c>
      <c r="E422" s="151" t="s">
        <v>4147</v>
      </c>
      <c r="F422" s="151"/>
      <c r="G422" s="52" t="str">
        <f t="shared" si="6"/>
        <v>85 1D:大义之铠 胸甲</v>
      </c>
    </row>
    <row r="423" spans="1:7">
      <c r="A423" s="24" t="s">
        <v>4113</v>
      </c>
      <c r="B423" s="24" t="s">
        <v>4114</v>
      </c>
      <c r="C423" s="24" t="s">
        <v>4118</v>
      </c>
      <c r="D423" s="151" t="s">
        <v>4148</v>
      </c>
      <c r="E423" s="151" t="s">
        <v>4149</v>
      </c>
      <c r="F423" s="151"/>
      <c r="G423" s="52" t="str">
        <f t="shared" si="6"/>
        <v>37 49:大义之铠 臂甲</v>
      </c>
    </row>
    <row r="424" spans="1:7">
      <c r="A424" s="24" t="s">
        <v>4113</v>
      </c>
      <c r="B424" s="24" t="s">
        <v>4114</v>
      </c>
      <c r="C424" s="24" t="s">
        <v>4121</v>
      </c>
      <c r="D424" s="151" t="s">
        <v>4150</v>
      </c>
      <c r="E424" s="151" t="s">
        <v>4151</v>
      </c>
      <c r="F424" s="151"/>
      <c r="G424" s="52" t="str">
        <f t="shared" si="6"/>
        <v>FC CE:大义之铠 膝甲</v>
      </c>
    </row>
    <row r="425" spans="1:7">
      <c r="A425" s="24" t="s">
        <v>4113</v>
      </c>
      <c r="B425" s="24" t="s">
        <v>4114</v>
      </c>
      <c r="C425" s="24" t="s">
        <v>4124</v>
      </c>
      <c r="D425" s="151" t="s">
        <v>4152</v>
      </c>
      <c r="E425" s="151" t="s">
        <v>4153</v>
      </c>
      <c r="F425" s="151"/>
      <c r="G425" s="52" t="str">
        <f t="shared" si="6"/>
        <v>BF F0:大义之铠 腿甲</v>
      </c>
    </row>
    <row r="426" spans="1:7">
      <c r="A426" s="24" t="s">
        <v>4113</v>
      </c>
      <c r="B426" s="24" t="s">
        <v>4114</v>
      </c>
      <c r="C426" s="24" t="s">
        <v>4133</v>
      </c>
      <c r="D426" s="151" t="s">
        <v>4154</v>
      </c>
      <c r="E426" s="151" t="s">
        <v>4155</v>
      </c>
      <c r="F426" s="151"/>
      <c r="G426" s="52" t="str">
        <f t="shared" si="6"/>
        <v>8F 67:第一队队长队服 护额</v>
      </c>
    </row>
    <row r="427" spans="1:7">
      <c r="A427" s="24" t="s">
        <v>4113</v>
      </c>
      <c r="B427" s="24" t="s">
        <v>4114</v>
      </c>
      <c r="C427" s="24" t="s">
        <v>4115</v>
      </c>
      <c r="D427" s="151" t="s">
        <v>4156</v>
      </c>
      <c r="E427" s="151" t="s">
        <v>4157</v>
      </c>
      <c r="F427" s="151"/>
      <c r="G427" s="52" t="str">
        <f t="shared" si="6"/>
        <v>5D 14:第一队队长队服 羽织</v>
      </c>
    </row>
    <row r="428" spans="1:7">
      <c r="A428" s="24" t="s">
        <v>4113</v>
      </c>
      <c r="B428" s="24" t="s">
        <v>4114</v>
      </c>
      <c r="C428" s="24" t="s">
        <v>4118</v>
      </c>
      <c r="D428" s="151" t="s">
        <v>4158</v>
      </c>
      <c r="E428" s="151" t="s">
        <v>4159</v>
      </c>
      <c r="F428" s="151"/>
      <c r="G428" s="52" t="str">
        <f t="shared" si="6"/>
        <v>A5 83:第一队队长队服 袖套</v>
      </c>
    </row>
    <row r="429" spans="1:7">
      <c r="A429" s="24" t="s">
        <v>4113</v>
      </c>
      <c r="B429" s="24" t="s">
        <v>4114</v>
      </c>
      <c r="C429" s="24" t="s">
        <v>4121</v>
      </c>
      <c r="D429" s="151" t="s">
        <v>4160</v>
      </c>
      <c r="E429" s="151" t="s">
        <v>4161</v>
      </c>
      <c r="F429" s="151"/>
      <c r="G429" s="52" t="str">
        <f t="shared" si="6"/>
        <v>49 F5:第一队队长队服 裤裙</v>
      </c>
    </row>
    <row r="430" spans="1:7">
      <c r="A430" s="24" t="s">
        <v>4113</v>
      </c>
      <c r="B430" s="24" t="s">
        <v>4114</v>
      </c>
      <c r="C430" s="24" t="s">
        <v>4124</v>
      </c>
      <c r="D430" s="151" t="s">
        <v>4162</v>
      </c>
      <c r="E430" s="151" t="s">
        <v>4163</v>
      </c>
      <c r="F430" s="151"/>
      <c r="G430" s="52" t="str">
        <f t="shared" si="6"/>
        <v>D6 39:第一队队长队服 足履</v>
      </c>
    </row>
    <row r="431" spans="1:7">
      <c r="A431" s="24" t="s">
        <v>4113</v>
      </c>
      <c r="B431" s="24" t="s">
        <v>4114</v>
      </c>
      <c r="C431" s="24" t="s">
        <v>4133</v>
      </c>
      <c r="D431" s="151" t="s">
        <v>4164</v>
      </c>
      <c r="E431" s="151" t="s">
        <v>4165</v>
      </c>
      <c r="F431" s="151"/>
      <c r="G431" s="52" t="str">
        <f t="shared" si="6"/>
        <v>7A 94:九郎判官之铠 头盔</v>
      </c>
    </row>
    <row r="432" spans="1:7">
      <c r="A432" s="24" t="s">
        <v>4113</v>
      </c>
      <c r="B432" s="24" t="s">
        <v>4114</v>
      </c>
      <c r="C432" s="24" t="s">
        <v>4115</v>
      </c>
      <c r="D432" s="151" t="s">
        <v>4166</v>
      </c>
      <c r="E432" s="151" t="s">
        <v>4167</v>
      </c>
      <c r="F432" s="151"/>
      <c r="G432" s="52" t="str">
        <f t="shared" si="6"/>
        <v>BF 24:九郎判官之铠 胸甲</v>
      </c>
    </row>
    <row r="433" spans="1:7">
      <c r="A433" s="24" t="s">
        <v>4113</v>
      </c>
      <c r="B433" s="24" t="s">
        <v>4114</v>
      </c>
      <c r="C433" s="24" t="s">
        <v>4118</v>
      </c>
      <c r="D433" s="151" t="s">
        <v>4168</v>
      </c>
      <c r="E433" s="151" t="s">
        <v>4169</v>
      </c>
      <c r="F433" s="151"/>
      <c r="G433" s="52" t="str">
        <f t="shared" si="6"/>
        <v>F0 56:九郎判官之铠 臂甲</v>
      </c>
    </row>
    <row r="434" spans="1:7">
      <c r="A434" s="24" t="s">
        <v>4113</v>
      </c>
      <c r="B434" s="24" t="s">
        <v>4114</v>
      </c>
      <c r="C434" s="24" t="s">
        <v>4121</v>
      </c>
      <c r="D434" s="151" t="s">
        <v>4170</v>
      </c>
      <c r="E434" s="151" t="s">
        <v>4171</v>
      </c>
      <c r="F434" s="151"/>
      <c r="G434" s="52" t="str">
        <f t="shared" si="6"/>
        <v>9C A5:九郎判官之铠 膝甲</v>
      </c>
    </row>
    <row r="435" spans="1:7">
      <c r="A435" s="24" t="s">
        <v>4113</v>
      </c>
      <c r="B435" s="24" t="s">
        <v>4114</v>
      </c>
      <c r="C435" s="24" t="s">
        <v>4124</v>
      </c>
      <c r="D435" s="151" t="s">
        <v>4172</v>
      </c>
      <c r="E435" s="151" t="s">
        <v>4173</v>
      </c>
      <c r="F435" s="151"/>
      <c r="G435" s="52" t="str">
        <f t="shared" si="6"/>
        <v>CC 58:九郎判官之铠 腿甲</v>
      </c>
    </row>
    <row r="436" spans="1:7">
      <c r="A436" s="24" t="s">
        <v>4113</v>
      </c>
      <c r="B436" s="24" t="s">
        <v>4114</v>
      </c>
      <c r="C436" s="24" t="s">
        <v>4133</v>
      </c>
      <c r="D436" s="151" t="s">
        <v>4174</v>
      </c>
      <c r="E436" s="151" t="s">
        <v>4175</v>
      </c>
      <c r="F436" s="151"/>
      <c r="G436" s="52" t="str">
        <f t="shared" si="6"/>
        <v>23 FD:镰仓大人之铠 乌帽</v>
      </c>
    </row>
    <row r="437" spans="1:7">
      <c r="A437" s="24" t="s">
        <v>4113</v>
      </c>
      <c r="B437" s="24" t="s">
        <v>4114</v>
      </c>
      <c r="C437" s="24" t="s">
        <v>4115</v>
      </c>
      <c r="D437" s="151" t="s">
        <v>4176</v>
      </c>
      <c r="E437" s="151" t="s">
        <v>4177</v>
      </c>
      <c r="F437" s="151"/>
      <c r="G437" s="52" t="str">
        <f t="shared" si="6"/>
        <v>B1 C7:镰仓大人之铠 胸甲</v>
      </c>
    </row>
    <row r="438" spans="1:7">
      <c r="A438" s="24" t="s">
        <v>4113</v>
      </c>
      <c r="B438" s="24" t="s">
        <v>4114</v>
      </c>
      <c r="C438" s="24" t="s">
        <v>4118</v>
      </c>
      <c r="D438" s="151" t="s">
        <v>4178</v>
      </c>
      <c r="E438" s="151" t="s">
        <v>4179</v>
      </c>
      <c r="F438" s="151"/>
      <c r="G438" s="52" t="str">
        <f t="shared" si="6"/>
        <v>74 F8:镰仓大人之铠 弓挂</v>
      </c>
    </row>
    <row r="439" spans="1:7">
      <c r="A439" s="24" t="s">
        <v>4113</v>
      </c>
      <c r="B439" s="24" t="s">
        <v>4114</v>
      </c>
      <c r="C439" s="24" t="s">
        <v>4121</v>
      </c>
      <c r="D439" s="151" t="s">
        <v>4180</v>
      </c>
      <c r="E439" s="151" t="s">
        <v>4181</v>
      </c>
      <c r="F439" s="151"/>
      <c r="G439" s="52" t="str">
        <f t="shared" si="6"/>
        <v>DB F7:镰仓大人之铠 膝甲</v>
      </c>
    </row>
    <row r="440" spans="1:7">
      <c r="A440" s="24" t="s">
        <v>4113</v>
      </c>
      <c r="B440" s="24" t="s">
        <v>4114</v>
      </c>
      <c r="C440" s="24" t="s">
        <v>4124</v>
      </c>
      <c r="D440" s="151" t="s">
        <v>4182</v>
      </c>
      <c r="E440" s="151" t="s">
        <v>4183</v>
      </c>
      <c r="F440" s="151"/>
      <c r="G440" s="52" t="str">
        <f t="shared" si="6"/>
        <v>BE 34:镰仓大人之铠 腿甲</v>
      </c>
    </row>
    <row r="441" spans="1:7">
      <c r="A441" s="24" t="s">
        <v>4113</v>
      </c>
      <c r="B441" s="24" t="s">
        <v>4114</v>
      </c>
      <c r="C441" s="24" t="s">
        <v>4115</v>
      </c>
      <c r="D441" s="151" t="s">
        <v>4184</v>
      </c>
      <c r="E441" s="151" t="s">
        <v>4185</v>
      </c>
      <c r="F441" s="151"/>
      <c r="G441" s="52" t="str">
        <f t="shared" si="6"/>
        <v>64 55:剑术无双之衣 肩衣</v>
      </c>
    </row>
    <row r="442" spans="1:7">
      <c r="A442" s="24" t="s">
        <v>4113</v>
      </c>
      <c r="B442" s="24" t="s">
        <v>4114</v>
      </c>
      <c r="C442" s="24" t="s">
        <v>4118</v>
      </c>
      <c r="D442" s="151" t="s">
        <v>4186</v>
      </c>
      <c r="E442" s="151" t="s">
        <v>4187</v>
      </c>
      <c r="F442" s="151"/>
      <c r="G442" s="52" t="str">
        <f t="shared" si="6"/>
        <v>B4 EA:剑术无双之衣 臂甲</v>
      </c>
    </row>
    <row r="443" spans="1:7">
      <c r="A443" s="24" t="s">
        <v>4113</v>
      </c>
      <c r="B443" s="24" t="s">
        <v>4114</v>
      </c>
      <c r="C443" s="24" t="s">
        <v>4121</v>
      </c>
      <c r="D443" s="151" t="s">
        <v>4188</v>
      </c>
      <c r="E443" s="151" t="s">
        <v>4189</v>
      </c>
      <c r="F443" s="151"/>
      <c r="G443" s="52" t="str">
        <f t="shared" si="6"/>
        <v>B5 D1:剑术无双之衣 裤裙</v>
      </c>
    </row>
    <row r="444" spans="1:7">
      <c r="A444" s="24" t="s">
        <v>4113</v>
      </c>
      <c r="B444" s="24" t="s">
        <v>4114</v>
      </c>
      <c r="C444" s="24" t="s">
        <v>4124</v>
      </c>
      <c r="D444" s="151" t="s">
        <v>4190</v>
      </c>
      <c r="E444" s="151" t="s">
        <v>4191</v>
      </c>
      <c r="F444" s="151"/>
      <c r="G444" s="52" t="str">
        <f t="shared" si="6"/>
        <v>11 B7:剑术无双之衣 足履</v>
      </c>
    </row>
    <row r="445" spans="1:7">
      <c r="A445" s="24" t="s">
        <v>4113</v>
      </c>
      <c r="B445" s="24" t="s">
        <v>4114</v>
      </c>
      <c r="C445" s="24" t="s">
        <v>4115</v>
      </c>
      <c r="D445" s="151" t="s">
        <v>4192</v>
      </c>
      <c r="E445" s="151" t="s">
        <v>4193</v>
      </c>
      <c r="F445" s="151"/>
      <c r="G445" s="52" t="str">
        <f t="shared" si="6"/>
        <v>99 40:葵纹之铠 胸甲</v>
      </c>
    </row>
    <row r="446" spans="1:7">
      <c r="A446" s="24" t="s">
        <v>4113</v>
      </c>
      <c r="B446" s="24" t="s">
        <v>4114</v>
      </c>
      <c r="C446" s="24" t="s">
        <v>4118</v>
      </c>
      <c r="D446" s="151" t="s">
        <v>4194</v>
      </c>
      <c r="E446" s="151" t="s">
        <v>4195</v>
      </c>
      <c r="F446" s="151"/>
      <c r="G446" s="52" t="str">
        <f t="shared" si="6"/>
        <v>DE 0C:葵纹之铠 臂甲</v>
      </c>
    </row>
    <row r="447" spans="1:7">
      <c r="A447" s="24" t="s">
        <v>4113</v>
      </c>
      <c r="B447" s="24" t="s">
        <v>4114</v>
      </c>
      <c r="C447" s="24" t="s">
        <v>4121</v>
      </c>
      <c r="D447" s="151" t="s">
        <v>4196</v>
      </c>
      <c r="E447" s="151" t="s">
        <v>4197</v>
      </c>
      <c r="F447" s="151"/>
      <c r="G447" s="52" t="str">
        <f t="shared" si="6"/>
        <v>F9 92:葵纹之铠 裙裤</v>
      </c>
    </row>
    <row r="448" spans="1:7">
      <c r="A448" s="24" t="s">
        <v>4113</v>
      </c>
      <c r="B448" s="24" t="s">
        <v>4114</v>
      </c>
      <c r="C448" s="24" t="s">
        <v>4124</v>
      </c>
      <c r="D448" s="151" t="s">
        <v>4198</v>
      </c>
      <c r="E448" s="151" t="s">
        <v>4199</v>
      </c>
      <c r="F448" s="151"/>
      <c r="G448" s="52" t="str">
        <f t="shared" si="6"/>
        <v>D1 55:葵纹之铠 靴子</v>
      </c>
    </row>
    <row r="449" spans="1:7">
      <c r="A449" s="24" t="s">
        <v>4113</v>
      </c>
      <c r="B449" s="24" t="s">
        <v>4114</v>
      </c>
      <c r="C449" s="24" t="s">
        <v>4133</v>
      </c>
      <c r="D449" s="151" t="s">
        <v>4200</v>
      </c>
      <c r="E449" s="151" t="s">
        <v>4201</v>
      </c>
      <c r="F449" s="151"/>
      <c r="G449" s="52" t="str">
        <f t="shared" si="6"/>
        <v>86 46:赤备大将大铠 头盔</v>
      </c>
    </row>
    <row r="450" spans="1:7">
      <c r="A450" s="24" t="s">
        <v>4113</v>
      </c>
      <c r="B450" s="24" t="s">
        <v>4114</v>
      </c>
      <c r="C450" s="24" t="s">
        <v>4115</v>
      </c>
      <c r="D450" s="151" t="s">
        <v>4202</v>
      </c>
      <c r="E450" s="151" t="s">
        <v>4203</v>
      </c>
      <c r="F450" s="151"/>
      <c r="G450" s="52" t="str">
        <f t="shared" ref="G450:G513" si="7">D450&amp;":"&amp;E450</f>
        <v>08 BE:赤备大将大铠 胸甲</v>
      </c>
    </row>
    <row r="451" spans="1:7">
      <c r="A451" s="24" t="s">
        <v>4113</v>
      </c>
      <c r="B451" s="24" t="s">
        <v>4114</v>
      </c>
      <c r="C451" s="24" t="s">
        <v>4118</v>
      </c>
      <c r="D451" s="151" t="s">
        <v>4204</v>
      </c>
      <c r="E451" s="151" t="s">
        <v>4205</v>
      </c>
      <c r="F451" s="151"/>
      <c r="G451" s="52" t="str">
        <f t="shared" si="7"/>
        <v>F3 39:赤备大将大铠 臂甲</v>
      </c>
    </row>
    <row r="452" spans="1:7">
      <c r="A452" s="24" t="s">
        <v>4113</v>
      </c>
      <c r="B452" s="24" t="s">
        <v>4114</v>
      </c>
      <c r="C452" s="24" t="s">
        <v>4121</v>
      </c>
      <c r="D452" s="151" t="s">
        <v>4206</v>
      </c>
      <c r="E452" s="151" t="s">
        <v>4207</v>
      </c>
      <c r="F452" s="151"/>
      <c r="G452" s="52" t="str">
        <f t="shared" si="7"/>
        <v>77 26:赤备大将大铠 膝甲</v>
      </c>
    </row>
    <row r="453" spans="1:7">
      <c r="A453" s="24" t="s">
        <v>4113</v>
      </c>
      <c r="B453" s="24" t="s">
        <v>4114</v>
      </c>
      <c r="C453" s="24" t="s">
        <v>4124</v>
      </c>
      <c r="D453" s="151" t="s">
        <v>4208</v>
      </c>
      <c r="E453" s="151" t="s">
        <v>4209</v>
      </c>
      <c r="F453" s="151"/>
      <c r="G453" s="52" t="str">
        <f t="shared" si="7"/>
        <v>5C F8:赤备大将大铠 腿甲</v>
      </c>
    </row>
    <row r="454" spans="1:7">
      <c r="A454" s="24" t="s">
        <v>4113</v>
      </c>
      <c r="B454" s="24" t="s">
        <v>4114</v>
      </c>
      <c r="C454" s="24" t="s">
        <v>4133</v>
      </c>
      <c r="D454" s="151" t="s">
        <v>4210</v>
      </c>
      <c r="E454" s="151" t="s">
        <v>4211</v>
      </c>
      <c r="F454" s="151"/>
      <c r="G454" s="52" t="str">
        <f t="shared" si="7"/>
        <v>D2 19:新选组队服 护额</v>
      </c>
    </row>
    <row r="455" spans="1:7">
      <c r="A455" s="24" t="s">
        <v>4113</v>
      </c>
      <c r="B455" s="24" t="s">
        <v>4114</v>
      </c>
      <c r="C455" s="24" t="s">
        <v>4115</v>
      </c>
      <c r="D455" s="151" t="s">
        <v>4212</v>
      </c>
      <c r="E455" s="151" t="s">
        <v>4213</v>
      </c>
      <c r="F455" s="151"/>
      <c r="G455" s="52" t="str">
        <f t="shared" si="7"/>
        <v>55 80:新选组队服 羽织</v>
      </c>
    </row>
    <row r="456" spans="1:7">
      <c r="A456" s="24" t="s">
        <v>4113</v>
      </c>
      <c r="B456" s="24" t="s">
        <v>4114</v>
      </c>
      <c r="C456" s="24" t="s">
        <v>4118</v>
      </c>
      <c r="D456" s="151" t="s">
        <v>4214</v>
      </c>
      <c r="E456" s="151" t="s">
        <v>4215</v>
      </c>
      <c r="F456" s="151"/>
      <c r="G456" s="52" t="str">
        <f t="shared" si="7"/>
        <v>9B F8:新选组队服 袖套</v>
      </c>
    </row>
    <row r="457" spans="1:7">
      <c r="A457" s="24" t="s">
        <v>4113</v>
      </c>
      <c r="B457" s="24" t="s">
        <v>4114</v>
      </c>
      <c r="C457" s="24" t="s">
        <v>4121</v>
      </c>
      <c r="D457" s="151" t="s">
        <v>4216</v>
      </c>
      <c r="E457" s="151" t="s">
        <v>4217</v>
      </c>
      <c r="F457" s="151"/>
      <c r="G457" s="52" t="str">
        <f t="shared" si="7"/>
        <v>0A 63:新选组队服 裤裙</v>
      </c>
    </row>
    <row r="458" spans="1:7">
      <c r="A458" s="24" t="s">
        <v>4113</v>
      </c>
      <c r="B458" s="24" t="s">
        <v>4114</v>
      </c>
      <c r="C458" s="24" t="s">
        <v>4124</v>
      </c>
      <c r="D458" s="151" t="s">
        <v>4218</v>
      </c>
      <c r="E458" s="151" t="s">
        <v>4219</v>
      </c>
      <c r="F458" s="151"/>
      <c r="G458" s="52" t="str">
        <f t="shared" si="7"/>
        <v>CC AE:新选组队服 足履</v>
      </c>
    </row>
    <row r="459" spans="1:7">
      <c r="A459" s="24" t="s">
        <v>4113</v>
      </c>
      <c r="B459" s="24" t="s">
        <v>4114</v>
      </c>
      <c r="C459" s="24" t="s">
        <v>4133</v>
      </c>
      <c r="D459" s="151" t="s">
        <v>4220</v>
      </c>
      <c r="E459" s="151" t="s">
        <v>4221</v>
      </c>
      <c r="F459" s="151"/>
      <c r="G459" s="52" t="str">
        <f t="shared" si="7"/>
        <v>00 13:旗本之衣 阵笠</v>
      </c>
    </row>
    <row r="460" spans="1:7">
      <c r="A460" s="24" t="s">
        <v>4113</v>
      </c>
      <c r="B460" s="24" t="s">
        <v>4114</v>
      </c>
      <c r="C460" s="24" t="s">
        <v>4115</v>
      </c>
      <c r="D460" s="151" t="s">
        <v>4222</v>
      </c>
      <c r="E460" s="151" t="s">
        <v>4223</v>
      </c>
      <c r="F460" s="151"/>
      <c r="G460" s="52" t="str">
        <f t="shared" si="7"/>
        <v>86 02:旗本之衣 肩衣</v>
      </c>
    </row>
    <row r="461" spans="1:7">
      <c r="A461" s="24" t="s">
        <v>4113</v>
      </c>
      <c r="B461" s="24" t="s">
        <v>4114</v>
      </c>
      <c r="C461" s="24" t="s">
        <v>4121</v>
      </c>
      <c r="D461" s="151" t="s">
        <v>4224</v>
      </c>
      <c r="E461" s="151" t="s">
        <v>4225</v>
      </c>
      <c r="F461" s="151"/>
      <c r="G461" s="52" t="str">
        <f t="shared" si="7"/>
        <v>F9 2D:旗本之衣 裤裙</v>
      </c>
    </row>
    <row r="462" spans="1:7">
      <c r="A462" s="24" t="s">
        <v>4113</v>
      </c>
      <c r="B462" s="24" t="s">
        <v>4114</v>
      </c>
      <c r="C462" s="24" t="s">
        <v>4124</v>
      </c>
      <c r="D462" s="151" t="s">
        <v>4226</v>
      </c>
      <c r="E462" s="151" t="s">
        <v>4227</v>
      </c>
      <c r="F462" s="151"/>
      <c r="G462" s="52" t="str">
        <f t="shared" si="7"/>
        <v>88 CF:旗本之衣 足履</v>
      </c>
    </row>
    <row r="463" spans="1:7">
      <c r="A463" s="24" t="s">
        <v>4113</v>
      </c>
      <c r="B463" s="24" t="s">
        <v>4114</v>
      </c>
      <c r="C463" s="24" t="s">
        <v>4133</v>
      </c>
      <c r="D463" s="151" t="s">
        <v>4228</v>
      </c>
      <c r="E463" s="151" t="s">
        <v>4229</v>
      </c>
      <c r="F463" s="151"/>
      <c r="G463" s="52" t="str">
        <f t="shared" si="7"/>
        <v>56 01:邪马台国之铠 头盔</v>
      </c>
    </row>
    <row r="464" spans="1:7">
      <c r="A464" s="24" t="s">
        <v>4113</v>
      </c>
      <c r="B464" s="24" t="s">
        <v>4114</v>
      </c>
      <c r="C464" s="24" t="s">
        <v>4115</v>
      </c>
      <c r="D464" s="151" t="s">
        <v>4230</v>
      </c>
      <c r="E464" s="151" t="s">
        <v>4231</v>
      </c>
      <c r="F464" s="151"/>
      <c r="G464" s="52" t="str">
        <f t="shared" si="7"/>
        <v>E5 0F:邪马台国之铠 胸甲</v>
      </c>
    </row>
    <row r="465" spans="1:7">
      <c r="A465" s="24" t="s">
        <v>4113</v>
      </c>
      <c r="B465" s="24" t="s">
        <v>4114</v>
      </c>
      <c r="C465" s="24" t="s">
        <v>4118</v>
      </c>
      <c r="D465" s="151" t="s">
        <v>4232</v>
      </c>
      <c r="E465" s="151" t="s">
        <v>4233</v>
      </c>
      <c r="F465" s="151"/>
      <c r="G465" s="52" t="str">
        <f t="shared" si="7"/>
        <v>17 36:邪马台国之铠 臂甲</v>
      </c>
    </row>
    <row r="466" spans="1:7">
      <c r="A466" s="24" t="s">
        <v>4113</v>
      </c>
      <c r="B466" s="24" t="s">
        <v>4114</v>
      </c>
      <c r="C466" s="24" t="s">
        <v>4121</v>
      </c>
      <c r="D466" s="151" t="s">
        <v>4234</v>
      </c>
      <c r="E466" s="151" t="s">
        <v>4235</v>
      </c>
      <c r="F466" s="151"/>
      <c r="G466" s="52" t="str">
        <f t="shared" si="7"/>
        <v>33 F2:邪马台国之铠 下衣</v>
      </c>
    </row>
    <row r="467" spans="1:7">
      <c r="A467" s="24" t="s">
        <v>4113</v>
      </c>
      <c r="B467" s="24" t="s">
        <v>4114</v>
      </c>
      <c r="C467" s="24" t="s">
        <v>4124</v>
      </c>
      <c r="D467" s="151" t="s">
        <v>4236</v>
      </c>
      <c r="E467" s="151" t="s">
        <v>4237</v>
      </c>
      <c r="F467" s="151"/>
      <c r="G467" s="52" t="str">
        <f t="shared" si="7"/>
        <v>EB 40:邪马台国之铠 腿甲</v>
      </c>
    </row>
    <row r="468" spans="1:7">
      <c r="A468" s="24" t="s">
        <v>4113</v>
      </c>
      <c r="B468" s="24" t="s">
        <v>4114</v>
      </c>
      <c r="C468" s="24" t="s">
        <v>4133</v>
      </c>
      <c r="D468" s="151" t="s">
        <v>4238</v>
      </c>
      <c r="E468" s="151" t="s">
        <v>4239</v>
      </c>
      <c r="F468" s="151"/>
      <c r="G468" s="52" t="str">
        <f t="shared" si="7"/>
        <v>99 79:护国禅师的袈裟 斗笠</v>
      </c>
    </row>
    <row r="469" spans="1:7">
      <c r="A469" s="24" t="s">
        <v>4113</v>
      </c>
      <c r="B469" s="24" t="s">
        <v>4114</v>
      </c>
      <c r="C469" s="24" t="s">
        <v>4115</v>
      </c>
      <c r="D469" s="151" t="s">
        <v>4240</v>
      </c>
      <c r="E469" s="151" t="s">
        <v>4241</v>
      </c>
      <c r="F469" s="151"/>
      <c r="G469" s="52" t="str">
        <f t="shared" si="7"/>
        <v>94 CC:护国禅师的袈裟 上衣</v>
      </c>
    </row>
    <row r="470" spans="1:7">
      <c r="A470" s="24" t="s">
        <v>4113</v>
      </c>
      <c r="B470" s="24" t="s">
        <v>4114</v>
      </c>
      <c r="C470" s="24" t="s">
        <v>4118</v>
      </c>
      <c r="D470" s="151" t="s">
        <v>4242</v>
      </c>
      <c r="E470" s="151" t="s">
        <v>4243</v>
      </c>
      <c r="F470" s="151"/>
      <c r="G470" s="52" t="str">
        <f t="shared" si="7"/>
        <v>0B 06:护国禅师的袈裟 袖套</v>
      </c>
    </row>
    <row r="471" spans="1:7">
      <c r="A471" s="24" t="s">
        <v>4113</v>
      </c>
      <c r="B471" s="24" t="s">
        <v>4114</v>
      </c>
      <c r="C471" s="24" t="s">
        <v>4121</v>
      </c>
      <c r="D471" s="151" t="s">
        <v>4244</v>
      </c>
      <c r="E471" s="151" t="s">
        <v>4245</v>
      </c>
      <c r="F471" s="151"/>
      <c r="G471" s="52" t="str">
        <f t="shared" si="7"/>
        <v>3C F9:护国禅师的袈裟 裤裙</v>
      </c>
    </row>
    <row r="472" spans="1:7">
      <c r="A472" s="24" t="s">
        <v>4113</v>
      </c>
      <c r="B472" s="24" t="s">
        <v>4114</v>
      </c>
      <c r="C472" s="24" t="s">
        <v>4124</v>
      </c>
      <c r="D472" s="151" t="s">
        <v>4246</v>
      </c>
      <c r="E472" s="151" t="s">
        <v>4247</v>
      </c>
      <c r="F472" s="151"/>
      <c r="G472" s="52" t="str">
        <f t="shared" si="7"/>
        <v>D9 95:护国禅师的袈裟 绑腿</v>
      </c>
    </row>
    <row r="473" spans="1:7">
      <c r="A473" s="24" t="s">
        <v>4113</v>
      </c>
      <c r="B473" s="24" t="s">
        <v>4114</v>
      </c>
      <c r="C473" s="24" t="s">
        <v>4133</v>
      </c>
      <c r="D473" s="151" t="s">
        <v>4248</v>
      </c>
      <c r="E473" s="151" t="s">
        <v>4249</v>
      </c>
      <c r="F473" s="151"/>
      <c r="G473" s="52" t="str">
        <f t="shared" si="7"/>
        <v>F7 C3:御一门众之铠 头盔</v>
      </c>
    </row>
    <row r="474" spans="1:7">
      <c r="A474" s="24" t="s">
        <v>4113</v>
      </c>
      <c r="B474" s="24" t="s">
        <v>4114</v>
      </c>
      <c r="C474" s="24" t="s">
        <v>4115</v>
      </c>
      <c r="D474" s="151" t="s">
        <v>4250</v>
      </c>
      <c r="E474" s="151" t="s">
        <v>4251</v>
      </c>
      <c r="F474" s="151"/>
      <c r="G474" s="52" t="str">
        <f t="shared" si="7"/>
        <v>87 5A:御一门众之铠 胸甲</v>
      </c>
    </row>
    <row r="475" spans="1:7">
      <c r="A475" s="24" t="s">
        <v>4113</v>
      </c>
      <c r="B475" s="24" t="s">
        <v>4114</v>
      </c>
      <c r="C475" s="24" t="s">
        <v>4118</v>
      </c>
      <c r="D475" s="151" t="s">
        <v>4252</v>
      </c>
      <c r="E475" s="151" t="s">
        <v>4253</v>
      </c>
      <c r="F475" s="151"/>
      <c r="G475" s="52" t="str">
        <f t="shared" si="7"/>
        <v>78 9F:御一门众之铠 臂甲</v>
      </c>
    </row>
    <row r="476" spans="1:7">
      <c r="A476" s="24" t="s">
        <v>4113</v>
      </c>
      <c r="B476" s="24" t="s">
        <v>4114</v>
      </c>
      <c r="C476" s="24" t="s">
        <v>4121</v>
      </c>
      <c r="D476" s="151" t="s">
        <v>4254</v>
      </c>
      <c r="E476" s="151" t="s">
        <v>4255</v>
      </c>
      <c r="F476" s="151"/>
      <c r="G476" s="52" t="str">
        <f t="shared" si="7"/>
        <v>C4 9A:御一门众之铠 膝甲</v>
      </c>
    </row>
    <row r="477" spans="1:7">
      <c r="A477" s="24" t="s">
        <v>4113</v>
      </c>
      <c r="B477" s="24" t="s">
        <v>4114</v>
      </c>
      <c r="C477" s="24" t="s">
        <v>4124</v>
      </c>
      <c r="D477" s="151" t="s">
        <v>4256</v>
      </c>
      <c r="E477" s="151" t="s">
        <v>4257</v>
      </c>
      <c r="F477" s="151"/>
      <c r="G477" s="52" t="str">
        <f t="shared" si="7"/>
        <v>38 DE:御一门众之铠 腿甲</v>
      </c>
    </row>
    <row r="478" spans="1:7">
      <c r="A478" s="24" t="s">
        <v>4113</v>
      </c>
      <c r="B478" s="24" t="s">
        <v>4114</v>
      </c>
      <c r="C478" s="24" t="s">
        <v>4133</v>
      </c>
      <c r="D478" s="151" t="s">
        <v>4258</v>
      </c>
      <c r="E478" s="151" t="s">
        <v>4259</v>
      </c>
      <c r="F478" s="151"/>
      <c r="G478" s="52" t="str">
        <f t="shared" si="7"/>
        <v>FD D1:修理亮之铠 头盔</v>
      </c>
    </row>
    <row r="479" spans="1:7">
      <c r="A479" s="24" t="s">
        <v>4113</v>
      </c>
      <c r="B479" s="24" t="s">
        <v>4114</v>
      </c>
      <c r="C479" s="24" t="s">
        <v>4115</v>
      </c>
      <c r="D479" s="151" t="s">
        <v>4260</v>
      </c>
      <c r="E479" s="151" t="s">
        <v>4261</v>
      </c>
      <c r="F479" s="151"/>
      <c r="G479" s="52" t="str">
        <f t="shared" si="7"/>
        <v>05 F8:修理亮之铠 胸甲</v>
      </c>
    </row>
    <row r="480" spans="1:7">
      <c r="A480" s="24" t="s">
        <v>4113</v>
      </c>
      <c r="B480" s="24" t="s">
        <v>4114</v>
      </c>
      <c r="C480" s="24" t="s">
        <v>4118</v>
      </c>
      <c r="D480" s="151" t="s">
        <v>4262</v>
      </c>
      <c r="E480" s="151" t="s">
        <v>4263</v>
      </c>
      <c r="F480" s="151"/>
      <c r="G480" s="52" t="str">
        <f t="shared" si="7"/>
        <v>3F AD:修理亮之铠 臂甲</v>
      </c>
    </row>
    <row r="481" spans="1:7">
      <c r="A481" s="24" t="s">
        <v>4113</v>
      </c>
      <c r="B481" s="24" t="s">
        <v>4114</v>
      </c>
      <c r="C481" s="24" t="s">
        <v>4121</v>
      </c>
      <c r="D481" s="151" t="s">
        <v>4264</v>
      </c>
      <c r="E481" s="151" t="s">
        <v>4265</v>
      </c>
      <c r="F481" s="151"/>
      <c r="G481" s="52" t="str">
        <f t="shared" si="7"/>
        <v>BC 19:修理亮之铠 膝甲</v>
      </c>
    </row>
    <row r="482" spans="1:7">
      <c r="A482" s="24" t="s">
        <v>4113</v>
      </c>
      <c r="B482" s="24" t="s">
        <v>4114</v>
      </c>
      <c r="C482" s="24" t="s">
        <v>4124</v>
      </c>
      <c r="D482" s="151" t="s">
        <v>4266</v>
      </c>
      <c r="E482" s="151" t="s">
        <v>4267</v>
      </c>
      <c r="F482" s="151"/>
      <c r="G482" s="52" t="str">
        <f t="shared" si="7"/>
        <v>00 CC:修理亮之铠 腿甲</v>
      </c>
    </row>
    <row r="483" spans="1:7">
      <c r="A483" s="24" t="s">
        <v>4113</v>
      </c>
      <c r="B483" s="24" t="s">
        <v>4114</v>
      </c>
      <c r="C483" s="24" t="s">
        <v>4133</v>
      </c>
      <c r="D483" s="151" t="s">
        <v>4268</v>
      </c>
      <c r="E483" s="151" t="s">
        <v>4269</v>
      </c>
      <c r="F483" s="151"/>
      <c r="G483" s="52" t="str">
        <f t="shared" si="7"/>
        <v>A8 29:逃弹正之铠 头盔</v>
      </c>
    </row>
    <row r="484" spans="1:7">
      <c r="A484" s="24" t="s">
        <v>4113</v>
      </c>
      <c r="B484" s="24" t="s">
        <v>4114</v>
      </c>
      <c r="C484" s="24" t="s">
        <v>4115</v>
      </c>
      <c r="D484" s="151" t="s">
        <v>4270</v>
      </c>
      <c r="E484" s="151" t="s">
        <v>4271</v>
      </c>
      <c r="F484" s="151"/>
      <c r="G484" s="52" t="str">
        <f t="shared" si="7"/>
        <v>7A 30:逃弹正之铠 胸甲</v>
      </c>
    </row>
    <row r="485" spans="1:7">
      <c r="A485" s="24" t="s">
        <v>4113</v>
      </c>
      <c r="B485" s="24" t="s">
        <v>4114</v>
      </c>
      <c r="C485" s="24" t="s">
        <v>4118</v>
      </c>
      <c r="D485" s="151" t="s">
        <v>4272</v>
      </c>
      <c r="E485" s="151" t="s">
        <v>4273</v>
      </c>
      <c r="F485" s="151"/>
      <c r="G485" s="52" t="str">
        <f t="shared" si="7"/>
        <v>26 4B:逃弹正之铠 臂甲</v>
      </c>
    </row>
    <row r="486" spans="1:7">
      <c r="A486" s="24" t="s">
        <v>4113</v>
      </c>
      <c r="B486" s="24" t="s">
        <v>4114</v>
      </c>
      <c r="C486" s="24" t="s">
        <v>4121</v>
      </c>
      <c r="D486" s="151" t="s">
        <v>4274</v>
      </c>
      <c r="E486" s="151" t="s">
        <v>4275</v>
      </c>
      <c r="F486" s="151"/>
      <c r="G486" s="52" t="str">
        <f t="shared" si="7"/>
        <v>0C FF:逃弹正之铠 膝甲</v>
      </c>
    </row>
    <row r="487" spans="1:7">
      <c r="A487" s="24" t="s">
        <v>4113</v>
      </c>
      <c r="B487" s="24" t="s">
        <v>4114</v>
      </c>
      <c r="C487" s="24" t="s">
        <v>4124</v>
      </c>
      <c r="D487" s="151" t="s">
        <v>4276</v>
      </c>
      <c r="E487" s="151" t="s">
        <v>4277</v>
      </c>
      <c r="F487" s="151"/>
      <c r="G487" s="52" t="str">
        <f t="shared" si="7"/>
        <v>4F BF:逃弹正之铠 腿甲</v>
      </c>
    </row>
    <row r="488" spans="1:7">
      <c r="A488" s="24" t="s">
        <v>4113</v>
      </c>
      <c r="B488" s="24" t="s">
        <v>4114</v>
      </c>
      <c r="C488" s="24" t="s">
        <v>4115</v>
      </c>
      <c r="D488" s="151" t="s">
        <v>4278</v>
      </c>
      <c r="E488" s="151" t="s">
        <v>4279</v>
      </c>
      <c r="F488" s="151"/>
      <c r="G488" s="52" t="str">
        <f t="shared" si="7"/>
        <v>15 EC:海内无双之衣 肩衣</v>
      </c>
    </row>
    <row r="489" spans="1:7">
      <c r="A489" s="24" t="s">
        <v>4113</v>
      </c>
      <c r="B489" s="24" t="s">
        <v>4114</v>
      </c>
      <c r="C489" s="24" t="s">
        <v>4118</v>
      </c>
      <c r="D489" s="151" t="s">
        <v>4280</v>
      </c>
      <c r="E489" s="151" t="s">
        <v>4281</v>
      </c>
      <c r="F489" s="151"/>
      <c r="G489" s="52" t="str">
        <f t="shared" si="7"/>
        <v>10 71:海内无双之衣 臂甲</v>
      </c>
    </row>
    <row r="490" spans="1:7">
      <c r="A490" s="24" t="s">
        <v>4113</v>
      </c>
      <c r="B490" s="24" t="s">
        <v>4114</v>
      </c>
      <c r="C490" s="24" t="s">
        <v>4121</v>
      </c>
      <c r="D490" s="151" t="s">
        <v>4282</v>
      </c>
      <c r="E490" s="151" t="s">
        <v>4283</v>
      </c>
      <c r="F490" s="151"/>
      <c r="G490" s="52" t="str">
        <f t="shared" si="7"/>
        <v>E7 9D:海内无双之衣 裤裙</v>
      </c>
    </row>
    <row r="491" spans="1:7">
      <c r="A491" s="24" t="s">
        <v>4113</v>
      </c>
      <c r="B491" s="24" t="s">
        <v>4114</v>
      </c>
      <c r="C491" s="24" t="s">
        <v>4124</v>
      </c>
      <c r="D491" s="151" t="s">
        <v>4284</v>
      </c>
      <c r="E491" s="151" t="s">
        <v>4285</v>
      </c>
      <c r="F491" s="151"/>
      <c r="G491" s="52" t="str">
        <f t="shared" si="7"/>
        <v>54 CD:海内无双之衣 足履</v>
      </c>
    </row>
    <row r="492" spans="1:7">
      <c r="A492" s="24" t="s">
        <v>4113</v>
      </c>
      <c r="B492" s="24" t="s">
        <v>4114</v>
      </c>
      <c r="C492" s="24" t="s">
        <v>4115</v>
      </c>
      <c r="D492" s="151" t="s">
        <v>4286</v>
      </c>
      <c r="E492" s="151" t="s">
        <v>4287</v>
      </c>
      <c r="F492" s="151"/>
      <c r="G492" s="52" t="str">
        <f t="shared" si="7"/>
        <v>A9 AB:威光中铠 胸甲</v>
      </c>
    </row>
    <row r="493" spans="1:7">
      <c r="A493" s="24" t="s">
        <v>4113</v>
      </c>
      <c r="B493" s="24" t="s">
        <v>4114</v>
      </c>
      <c r="C493" s="24" t="s">
        <v>4118</v>
      </c>
      <c r="D493" s="151" t="s">
        <v>4288</v>
      </c>
      <c r="E493" s="151" t="s">
        <v>4289</v>
      </c>
      <c r="F493" s="151"/>
      <c r="G493" s="52" t="str">
        <f t="shared" si="7"/>
        <v>2C BA:威光中铠 臂甲</v>
      </c>
    </row>
    <row r="494" spans="1:7">
      <c r="A494" s="24" t="s">
        <v>4113</v>
      </c>
      <c r="B494" s="24" t="s">
        <v>4114</v>
      </c>
      <c r="C494" s="24" t="s">
        <v>4121</v>
      </c>
      <c r="D494" s="151" t="s">
        <v>4290</v>
      </c>
      <c r="E494" s="151" t="s">
        <v>4291</v>
      </c>
      <c r="F494" s="151"/>
      <c r="G494" s="52" t="str">
        <f t="shared" si="7"/>
        <v>4D 2C:威光中铠 膝甲</v>
      </c>
    </row>
    <row r="495" spans="1:7">
      <c r="A495" s="24" t="s">
        <v>4113</v>
      </c>
      <c r="B495" s="24" t="s">
        <v>4114</v>
      </c>
      <c r="C495" s="24" t="s">
        <v>4124</v>
      </c>
      <c r="D495" s="151" t="s">
        <v>4292</v>
      </c>
      <c r="E495" s="151" t="s">
        <v>4293</v>
      </c>
      <c r="F495" s="151"/>
      <c r="G495" s="52" t="str">
        <f t="shared" si="7"/>
        <v>37 C2:威光中铠 腿甲</v>
      </c>
    </row>
    <row r="496" spans="1:7">
      <c r="A496" s="24" t="s">
        <v>4113</v>
      </c>
      <c r="B496" s="24" t="s">
        <v>4114</v>
      </c>
      <c r="C496" s="24" t="s">
        <v>4133</v>
      </c>
      <c r="D496" s="151" t="s">
        <v>4294</v>
      </c>
      <c r="E496" s="151" t="s">
        <v>4295</v>
      </c>
      <c r="F496" s="151"/>
      <c r="G496" s="52" t="str">
        <f t="shared" si="7"/>
        <v>DD FA:游历剑士装束 头巾</v>
      </c>
    </row>
    <row r="497" spans="1:7">
      <c r="A497" s="24" t="s">
        <v>4113</v>
      </c>
      <c r="B497" s="24" t="s">
        <v>4114</v>
      </c>
      <c r="C497" s="24" t="s">
        <v>4115</v>
      </c>
      <c r="D497" s="151" t="s">
        <v>4296</v>
      </c>
      <c r="E497" s="151" t="s">
        <v>4297</v>
      </c>
      <c r="F497" s="151"/>
      <c r="G497" s="52" t="str">
        <f t="shared" si="7"/>
        <v>0B 73:游历剑士装束 上衣</v>
      </c>
    </row>
    <row r="498" spans="1:7">
      <c r="A498" s="24" t="s">
        <v>4113</v>
      </c>
      <c r="B498" s="24" t="s">
        <v>4114</v>
      </c>
      <c r="C498" s="24" t="s">
        <v>4118</v>
      </c>
      <c r="D498" s="151" t="s">
        <v>4298</v>
      </c>
      <c r="E498" s="151" t="s">
        <v>4299</v>
      </c>
      <c r="F498" s="151"/>
      <c r="G498" s="52" t="str">
        <f t="shared" si="7"/>
        <v>75 AB:游历剑士装束 袖套</v>
      </c>
    </row>
    <row r="499" spans="1:7">
      <c r="A499" s="24" t="s">
        <v>4113</v>
      </c>
      <c r="B499" s="24" t="s">
        <v>4114</v>
      </c>
      <c r="C499" s="24" t="s">
        <v>4121</v>
      </c>
      <c r="D499" s="151" t="s">
        <v>4300</v>
      </c>
      <c r="E499" s="151" t="s">
        <v>4301</v>
      </c>
      <c r="F499" s="151"/>
      <c r="G499" s="52" t="str">
        <f t="shared" si="7"/>
        <v>67 B9:游历剑士装束 裤裙</v>
      </c>
    </row>
    <row r="500" spans="1:7">
      <c r="A500" s="24" t="s">
        <v>4113</v>
      </c>
      <c r="B500" s="24" t="s">
        <v>4114</v>
      </c>
      <c r="C500" s="24" t="s">
        <v>4124</v>
      </c>
      <c r="D500" s="151" t="s">
        <v>4302</v>
      </c>
      <c r="E500" s="151" t="s">
        <v>4303</v>
      </c>
      <c r="F500" s="151"/>
      <c r="G500" s="52" t="str">
        <f t="shared" si="7"/>
        <v>D4 C6:游历剑士装束 足履</v>
      </c>
    </row>
    <row r="501" spans="1:7">
      <c r="A501" s="24" t="s">
        <v>4113</v>
      </c>
      <c r="B501" s="24" t="s">
        <v>4114</v>
      </c>
      <c r="C501" s="24" t="s">
        <v>4133</v>
      </c>
      <c r="D501" s="151" t="s">
        <v>4304</v>
      </c>
      <c r="E501" s="151" t="s">
        <v>4305</v>
      </c>
      <c r="F501" s="151"/>
      <c r="G501" s="52" t="str">
        <f t="shared" si="7"/>
        <v>71 C1:木曾紫之铠 乌帽子</v>
      </c>
    </row>
    <row r="502" spans="1:7">
      <c r="A502" s="24" t="s">
        <v>4113</v>
      </c>
      <c r="B502" s="24" t="s">
        <v>4114</v>
      </c>
      <c r="C502" s="24" t="s">
        <v>4115</v>
      </c>
      <c r="D502" s="151" t="s">
        <v>4306</v>
      </c>
      <c r="E502" s="151" t="s">
        <v>4307</v>
      </c>
      <c r="F502" s="151"/>
      <c r="G502" s="52" t="str">
        <f t="shared" si="7"/>
        <v>A5 1B:木曾紫之铠 胸甲</v>
      </c>
    </row>
    <row r="503" spans="1:7">
      <c r="A503" s="24" t="s">
        <v>4113</v>
      </c>
      <c r="B503" s="24" t="s">
        <v>4114</v>
      </c>
      <c r="C503" s="24" t="s">
        <v>4118</v>
      </c>
      <c r="D503" s="151" t="s">
        <v>4308</v>
      </c>
      <c r="E503" s="151" t="s">
        <v>4309</v>
      </c>
      <c r="F503" s="151"/>
      <c r="G503" s="52" t="str">
        <f t="shared" si="7"/>
        <v>99 47:木曾紫之铠 臂甲</v>
      </c>
    </row>
    <row r="504" spans="1:7">
      <c r="A504" s="24" t="s">
        <v>4113</v>
      </c>
      <c r="B504" s="24" t="s">
        <v>4114</v>
      </c>
      <c r="C504" s="24" t="s">
        <v>4121</v>
      </c>
      <c r="D504" s="151" t="s">
        <v>4310</v>
      </c>
      <c r="E504" s="151" t="s">
        <v>4311</v>
      </c>
      <c r="F504" s="151"/>
      <c r="G504" s="52" t="str">
        <f t="shared" si="7"/>
        <v>45 1E:木曾紫之铠 膝甲</v>
      </c>
    </row>
    <row r="505" spans="1:7">
      <c r="A505" s="24" t="s">
        <v>4113</v>
      </c>
      <c r="B505" s="24" t="s">
        <v>4114</v>
      </c>
      <c r="C505" s="24" t="s">
        <v>4124</v>
      </c>
      <c r="D505" s="151" t="s">
        <v>4312</v>
      </c>
      <c r="E505" s="151" t="s">
        <v>4313</v>
      </c>
      <c r="F505" s="151"/>
      <c r="G505" s="52" t="str">
        <f t="shared" si="7"/>
        <v>C7 A3:木曾紫之铠 腿甲</v>
      </c>
    </row>
    <row r="506" spans="1:7">
      <c r="A506" s="24" t="s">
        <v>4113</v>
      </c>
      <c r="B506" s="24" t="s">
        <v>4114</v>
      </c>
      <c r="C506" s="24" t="s">
        <v>4133</v>
      </c>
      <c r="D506" s="151" t="s">
        <v>4314</v>
      </c>
      <c r="E506" s="151" t="s">
        <v>4315</v>
      </c>
      <c r="F506" s="151"/>
      <c r="G506" s="52" t="str">
        <f t="shared" si="7"/>
        <v>41 EF:西洋炮术家装束 阵笠</v>
      </c>
    </row>
    <row r="507" spans="1:7">
      <c r="A507" s="24" t="s">
        <v>4113</v>
      </c>
      <c r="B507" s="24" t="s">
        <v>4114</v>
      </c>
      <c r="C507" s="24" t="s">
        <v>4115</v>
      </c>
      <c r="D507" s="151" t="s">
        <v>4316</v>
      </c>
      <c r="E507" s="151" t="s">
        <v>4317</v>
      </c>
      <c r="F507" s="151"/>
      <c r="G507" s="52" t="str">
        <f t="shared" si="7"/>
        <v>0C 88:西洋炮术家装束 上衣</v>
      </c>
    </row>
    <row r="508" spans="1:7">
      <c r="A508" s="24" t="s">
        <v>4113</v>
      </c>
      <c r="B508" s="24" t="s">
        <v>4114</v>
      </c>
      <c r="C508" s="24" t="s">
        <v>4121</v>
      </c>
      <c r="D508" s="151" t="s">
        <v>4318</v>
      </c>
      <c r="E508" s="151" t="s">
        <v>4319</v>
      </c>
      <c r="F508" s="151"/>
      <c r="G508" s="52" t="str">
        <f t="shared" si="7"/>
        <v>47 28:西洋炮术家装束 裤裙</v>
      </c>
    </row>
    <row r="509" spans="1:7">
      <c r="A509" s="24" t="s">
        <v>4113</v>
      </c>
      <c r="B509" s="24" t="s">
        <v>4114</v>
      </c>
      <c r="C509" s="24" t="s">
        <v>4124</v>
      </c>
      <c r="D509" s="151" t="s">
        <v>4320</v>
      </c>
      <c r="E509" s="151" t="s">
        <v>4321</v>
      </c>
      <c r="F509" s="151"/>
      <c r="G509" s="52" t="str">
        <f t="shared" si="7"/>
        <v>99 34:西洋炮术家装束 绑腿</v>
      </c>
    </row>
    <row r="510" spans="1:7">
      <c r="A510" s="24" t="s">
        <v>4113</v>
      </c>
      <c r="B510" s="24" t="s">
        <v>4114</v>
      </c>
      <c r="C510" s="24" t="s">
        <v>4133</v>
      </c>
      <c r="D510" s="151" t="s">
        <v>4322</v>
      </c>
      <c r="E510" s="151" t="s">
        <v>4323</v>
      </c>
      <c r="F510" s="151"/>
      <c r="G510" s="52" t="str">
        <f t="shared" si="7"/>
        <v>DB 43:御家人之铠 头盔</v>
      </c>
    </row>
    <row r="511" spans="1:7">
      <c r="A511" s="24" t="s">
        <v>4113</v>
      </c>
      <c r="B511" s="24" t="s">
        <v>4114</v>
      </c>
      <c r="C511" s="24" t="s">
        <v>4115</v>
      </c>
      <c r="D511" s="151" t="s">
        <v>4324</v>
      </c>
      <c r="E511" s="151" t="s">
        <v>4325</v>
      </c>
      <c r="F511" s="151"/>
      <c r="G511" s="52" t="str">
        <f t="shared" si="7"/>
        <v>C0 65:御家人之铠 胸甲</v>
      </c>
    </row>
    <row r="512" spans="1:7">
      <c r="A512" s="24" t="s">
        <v>4113</v>
      </c>
      <c r="B512" s="24" t="s">
        <v>4114</v>
      </c>
      <c r="C512" s="24" t="s">
        <v>4118</v>
      </c>
      <c r="D512" s="151" t="s">
        <v>4326</v>
      </c>
      <c r="E512" s="151" t="s">
        <v>4327</v>
      </c>
      <c r="F512" s="151"/>
      <c r="G512" s="52" t="str">
        <f t="shared" si="7"/>
        <v>D1 84:御家人之铠 臂甲</v>
      </c>
    </row>
    <row r="513" spans="1:7">
      <c r="A513" s="24" t="s">
        <v>4113</v>
      </c>
      <c r="B513" s="24" t="s">
        <v>4114</v>
      </c>
      <c r="C513" s="24" t="s">
        <v>4121</v>
      </c>
      <c r="D513" s="151" t="s">
        <v>4328</v>
      </c>
      <c r="E513" s="151" t="s">
        <v>4329</v>
      </c>
      <c r="F513" s="151"/>
      <c r="G513" s="52" t="str">
        <f t="shared" si="7"/>
        <v>82 D7:御家人之铠 膝甲</v>
      </c>
    </row>
    <row r="514" spans="1:7">
      <c r="A514" s="24" t="s">
        <v>4113</v>
      </c>
      <c r="B514" s="24" t="s">
        <v>4114</v>
      </c>
      <c r="C514" s="24" t="s">
        <v>4124</v>
      </c>
      <c r="D514" s="151" t="s">
        <v>4330</v>
      </c>
      <c r="E514" s="151" t="s">
        <v>4331</v>
      </c>
      <c r="F514" s="151"/>
      <c r="G514" s="52" t="str">
        <f t="shared" ref="G514:G577" si="8">D514&amp;":"&amp;E514</f>
        <v>88 30:御家人之铠 腿甲</v>
      </c>
    </row>
    <row r="515" spans="1:7">
      <c r="A515" s="24" t="s">
        <v>4113</v>
      </c>
      <c r="B515" s="24" t="s">
        <v>4114</v>
      </c>
      <c r="C515" s="24" t="s">
        <v>4133</v>
      </c>
      <c r="D515" s="151" t="s">
        <v>4332</v>
      </c>
      <c r="E515" s="151" t="s">
        <v>4333</v>
      </c>
      <c r="F515" s="151"/>
      <c r="G515" s="52" t="str">
        <f t="shared" si="8"/>
        <v>28 DE:炎狱武者之铠 头盔</v>
      </c>
    </row>
    <row r="516" spans="1:7">
      <c r="A516" s="24" t="s">
        <v>4113</v>
      </c>
      <c r="B516" s="24" t="s">
        <v>4114</v>
      </c>
      <c r="C516" s="24" t="s">
        <v>4115</v>
      </c>
      <c r="D516" s="151" t="s">
        <v>4334</v>
      </c>
      <c r="E516" s="151" t="s">
        <v>4335</v>
      </c>
      <c r="F516" s="151"/>
      <c r="G516" s="52" t="str">
        <f t="shared" si="8"/>
        <v>50 9B:炎狱武者之铠 胸甲</v>
      </c>
    </row>
    <row r="517" spans="1:7">
      <c r="A517" s="24" t="s">
        <v>4113</v>
      </c>
      <c r="B517" s="24" t="s">
        <v>4114</v>
      </c>
      <c r="C517" s="24" t="s">
        <v>4118</v>
      </c>
      <c r="D517" s="151" t="s">
        <v>4336</v>
      </c>
      <c r="E517" s="151" t="s">
        <v>4337</v>
      </c>
      <c r="F517" s="151"/>
      <c r="G517" s="52" t="str">
        <f t="shared" si="8"/>
        <v>EF AD:炎狱武者之铠 臂甲</v>
      </c>
    </row>
    <row r="518" spans="1:7">
      <c r="A518" s="24" t="s">
        <v>4113</v>
      </c>
      <c r="B518" s="24" t="s">
        <v>4114</v>
      </c>
      <c r="C518" s="24" t="s">
        <v>4121</v>
      </c>
      <c r="D518" s="151" t="s">
        <v>4338</v>
      </c>
      <c r="E518" s="151" t="s">
        <v>4339</v>
      </c>
      <c r="F518" s="151"/>
      <c r="G518" s="52" t="str">
        <f t="shared" si="8"/>
        <v>F9 B9:炎狱武者之铠 膝甲</v>
      </c>
    </row>
    <row r="519" spans="1:7">
      <c r="A519" s="24" t="s">
        <v>4113</v>
      </c>
      <c r="B519" s="24" t="s">
        <v>4114</v>
      </c>
      <c r="C519" s="24" t="s">
        <v>4124</v>
      </c>
      <c r="D519" s="151" t="s">
        <v>4340</v>
      </c>
      <c r="E519" s="151" t="s">
        <v>4341</v>
      </c>
      <c r="F519" s="151"/>
      <c r="G519" s="52" t="str">
        <f t="shared" si="8"/>
        <v>F3 5C:炎狱武者之铠 腿甲</v>
      </c>
    </row>
    <row r="520" spans="1:7">
      <c r="A520" s="24" t="s">
        <v>4113</v>
      </c>
      <c r="B520" s="24" t="s">
        <v>4114</v>
      </c>
      <c r="C520" s="24" t="s">
        <v>4133</v>
      </c>
      <c r="D520" s="151" t="s">
        <v>4342</v>
      </c>
      <c r="E520" s="151" t="s">
        <v>4343</v>
      </c>
      <c r="F520" s="151"/>
      <c r="G520" s="52" t="str">
        <f t="shared" si="8"/>
        <v>0A CA:冰狱武者之铠 头盔</v>
      </c>
    </row>
    <row r="521" spans="1:7">
      <c r="A521" s="24" t="s">
        <v>4113</v>
      </c>
      <c r="B521" s="24" t="s">
        <v>4114</v>
      </c>
      <c r="C521" s="24" t="s">
        <v>4115</v>
      </c>
      <c r="D521" s="151" t="s">
        <v>4344</v>
      </c>
      <c r="E521" s="151" t="s">
        <v>4345</v>
      </c>
      <c r="F521" s="151"/>
      <c r="G521" s="52" t="str">
        <f t="shared" si="8"/>
        <v>36 04:冰狱武者之铠 胸甲</v>
      </c>
    </row>
    <row r="522" spans="1:7">
      <c r="A522" s="24" t="s">
        <v>4113</v>
      </c>
      <c r="B522" s="24" t="s">
        <v>4114</v>
      </c>
      <c r="C522" s="24" t="s">
        <v>4118</v>
      </c>
      <c r="D522" s="151" t="s">
        <v>4346</v>
      </c>
      <c r="E522" s="151" t="s">
        <v>4347</v>
      </c>
      <c r="F522" s="151"/>
      <c r="G522" s="52" t="str">
        <f t="shared" si="8"/>
        <v>C9 38:冰狱武者之铠 臂甲</v>
      </c>
    </row>
    <row r="523" spans="1:7">
      <c r="A523" s="24" t="s">
        <v>4113</v>
      </c>
      <c r="B523" s="24" t="s">
        <v>4114</v>
      </c>
      <c r="C523" s="24" t="s">
        <v>4121</v>
      </c>
      <c r="D523" s="151" t="s">
        <v>4348</v>
      </c>
      <c r="E523" s="151" t="s">
        <v>4349</v>
      </c>
      <c r="F523" s="151"/>
      <c r="G523" s="52" t="str">
        <f t="shared" si="8"/>
        <v>27 CA:冰狱武者之铠 膝甲</v>
      </c>
    </row>
    <row r="524" spans="1:7">
      <c r="A524" s="24" t="s">
        <v>4113</v>
      </c>
      <c r="B524" s="24" t="s">
        <v>4114</v>
      </c>
      <c r="C524" s="24" t="s">
        <v>4124</v>
      </c>
      <c r="D524" s="151" t="s">
        <v>4350</v>
      </c>
      <c r="E524" s="151" t="s">
        <v>4351</v>
      </c>
      <c r="F524" s="151"/>
      <c r="G524" s="52" t="str">
        <f t="shared" si="8"/>
        <v>03 B0:冰狱武者之铠 腿甲</v>
      </c>
    </row>
    <row r="525" spans="1:7">
      <c r="A525" s="24" t="s">
        <v>4113</v>
      </c>
      <c r="B525" s="24" t="s">
        <v>4114</v>
      </c>
      <c r="C525" s="24" t="s">
        <v>4133</v>
      </c>
      <c r="D525" s="151" t="s">
        <v>4352</v>
      </c>
      <c r="E525" s="151" t="s">
        <v>4353</v>
      </c>
      <c r="F525" s="151"/>
      <c r="G525" s="52" t="str">
        <f t="shared" si="8"/>
        <v>41 8D:万雷武士之铠 头盔</v>
      </c>
    </row>
    <row r="526" spans="1:7">
      <c r="A526" s="24" t="s">
        <v>4113</v>
      </c>
      <c r="B526" s="24" t="s">
        <v>4114</v>
      </c>
      <c r="C526" s="24" t="s">
        <v>4115</v>
      </c>
      <c r="D526" s="151" t="s">
        <v>4354</v>
      </c>
      <c r="E526" s="151" t="s">
        <v>4355</v>
      </c>
      <c r="F526" s="151"/>
      <c r="G526" s="52" t="str">
        <f t="shared" si="8"/>
        <v>6D 16:万雷武士之铠 胸甲</v>
      </c>
    </row>
    <row r="527" spans="1:7">
      <c r="A527" s="24" t="s">
        <v>4113</v>
      </c>
      <c r="B527" s="24" t="s">
        <v>4114</v>
      </c>
      <c r="C527" s="24" t="s">
        <v>4118</v>
      </c>
      <c r="D527" s="151" t="s">
        <v>4356</v>
      </c>
      <c r="E527" s="151" t="s">
        <v>4357</v>
      </c>
      <c r="F527" s="151"/>
      <c r="G527" s="52" t="str">
        <f t="shared" si="8"/>
        <v>81 39:万雷武士之铠 臂甲</v>
      </c>
    </row>
    <row r="528" spans="1:7">
      <c r="A528" s="24" t="s">
        <v>4113</v>
      </c>
      <c r="B528" s="24" t="s">
        <v>4114</v>
      </c>
      <c r="C528" s="24" t="s">
        <v>4121</v>
      </c>
      <c r="D528" s="151" t="s">
        <v>4358</v>
      </c>
      <c r="E528" s="151" t="s">
        <v>4359</v>
      </c>
      <c r="F528" s="151"/>
      <c r="G528" s="52" t="str">
        <f t="shared" si="8"/>
        <v>43 BD:万雷武士之铠 膝甲</v>
      </c>
    </row>
    <row r="529" spans="1:7">
      <c r="A529" s="24" t="s">
        <v>4113</v>
      </c>
      <c r="B529" s="24" t="s">
        <v>4114</v>
      </c>
      <c r="C529" s="24" t="s">
        <v>4124</v>
      </c>
      <c r="D529" s="151" t="s">
        <v>4360</v>
      </c>
      <c r="E529" s="151" t="s">
        <v>4361</v>
      </c>
      <c r="F529" s="151"/>
      <c r="G529" s="52" t="str">
        <f t="shared" si="8"/>
        <v>58 1B:万雷武士之铠 腿甲</v>
      </c>
    </row>
    <row r="530" spans="1:7">
      <c r="A530" s="24" t="s">
        <v>4113</v>
      </c>
      <c r="B530" s="24" t="s">
        <v>4114</v>
      </c>
      <c r="C530" s="24" t="s">
        <v>4115</v>
      </c>
      <c r="D530" s="151" t="s">
        <v>4362</v>
      </c>
      <c r="E530" s="151" t="s">
        <v>4363</v>
      </c>
      <c r="F530" s="151"/>
      <c r="G530" s="52" t="str">
        <f t="shared" si="8"/>
        <v>4B 59:道服上衣</v>
      </c>
    </row>
    <row r="531" spans="1:7">
      <c r="A531" s="24" t="s">
        <v>4113</v>
      </c>
      <c r="B531" s="24" t="s">
        <v>4114</v>
      </c>
      <c r="C531" s="24" t="s">
        <v>4121</v>
      </c>
      <c r="D531" s="151" t="s">
        <v>4364</v>
      </c>
      <c r="E531" s="151" t="s">
        <v>4365</v>
      </c>
      <c r="F531" s="151"/>
      <c r="G531" s="52" t="str">
        <f t="shared" si="8"/>
        <v>4F A8:道服裤裙</v>
      </c>
    </row>
    <row r="532" spans="1:7">
      <c r="A532" s="24" t="s">
        <v>4113</v>
      </c>
      <c r="B532" s="24" t="s">
        <v>4114</v>
      </c>
      <c r="C532" s="24" t="s">
        <v>4133</v>
      </c>
      <c r="D532" s="151" t="s">
        <v>4366</v>
      </c>
      <c r="E532" s="151" t="s">
        <v>4367</v>
      </c>
      <c r="F532" s="151"/>
      <c r="G532" s="52" t="str">
        <f t="shared" si="8"/>
        <v>AE AC:不请自来者之铠 阵笠</v>
      </c>
    </row>
    <row r="533" spans="1:7">
      <c r="A533" s="24" t="s">
        <v>4113</v>
      </c>
      <c r="B533" s="24" t="s">
        <v>4114</v>
      </c>
      <c r="C533" s="24" t="s">
        <v>4115</v>
      </c>
      <c r="D533" s="151" t="s">
        <v>4368</v>
      </c>
      <c r="E533" s="151" t="s">
        <v>4369</v>
      </c>
      <c r="F533" s="151"/>
      <c r="G533" s="52" t="str">
        <f t="shared" si="8"/>
        <v>06 59:不请自来者之铠 胸甲</v>
      </c>
    </row>
    <row r="534" spans="1:7">
      <c r="A534" s="24" t="s">
        <v>4113</v>
      </c>
      <c r="B534" s="24" t="s">
        <v>4114</v>
      </c>
      <c r="C534" s="24" t="s">
        <v>4118</v>
      </c>
      <c r="D534" s="151" t="s">
        <v>4370</v>
      </c>
      <c r="E534" s="151" t="s">
        <v>4371</v>
      </c>
      <c r="F534" s="151"/>
      <c r="G534" s="52" t="str">
        <f t="shared" si="8"/>
        <v>CB D7:不请自来者之铠 臂甲</v>
      </c>
    </row>
    <row r="535" spans="1:7">
      <c r="A535" s="24" t="s">
        <v>4113</v>
      </c>
      <c r="B535" s="24" t="s">
        <v>4114</v>
      </c>
      <c r="C535" s="24" t="s">
        <v>4121</v>
      </c>
      <c r="D535" s="151" t="s">
        <v>4372</v>
      </c>
      <c r="E535" s="151" t="s">
        <v>4373</v>
      </c>
      <c r="F535" s="151"/>
      <c r="G535" s="52" t="str">
        <f t="shared" si="8"/>
        <v>15 C0:不请自来者之铠 膝甲</v>
      </c>
    </row>
    <row r="536" spans="1:7">
      <c r="A536" s="24" t="s">
        <v>4113</v>
      </c>
      <c r="B536" s="24" t="s">
        <v>4114</v>
      </c>
      <c r="C536" s="24" t="s">
        <v>4124</v>
      </c>
      <c r="D536" s="151" t="s">
        <v>4374</v>
      </c>
      <c r="E536" s="151" t="s">
        <v>4375</v>
      </c>
      <c r="F536" s="151"/>
      <c r="G536" s="52" t="str">
        <f t="shared" si="8"/>
        <v>F8 08:不请自来者之铠 腿甲</v>
      </c>
    </row>
    <row r="537" spans="1:7">
      <c r="A537" s="24" t="s">
        <v>4113</v>
      </c>
      <c r="B537" s="24" t="s">
        <v>4114</v>
      </c>
      <c r="C537" s="24" t="s">
        <v>4133</v>
      </c>
      <c r="D537" s="151" t="s">
        <v>4376</v>
      </c>
      <c r="E537" s="151" t="s">
        <v>4377</v>
      </c>
      <c r="F537" s="151"/>
      <c r="G537" s="52" t="str">
        <f t="shared" si="8"/>
        <v>CF 38:弓手斗笠</v>
      </c>
    </row>
    <row r="538" spans="1:7">
      <c r="A538" s="24" t="s">
        <v>4113</v>
      </c>
      <c r="B538" s="24" t="s">
        <v>4114</v>
      </c>
      <c r="C538" s="24" t="s">
        <v>4115</v>
      </c>
      <c r="D538" s="151" t="s">
        <v>4378</v>
      </c>
      <c r="E538" s="151" t="s">
        <v>4379</v>
      </c>
      <c r="F538" s="151"/>
      <c r="G538" s="52" t="str">
        <f t="shared" si="8"/>
        <v>B3 6A:弓手上衣</v>
      </c>
    </row>
    <row r="539" spans="1:7">
      <c r="A539" s="24" t="s">
        <v>4113</v>
      </c>
      <c r="B539" s="24" t="s">
        <v>4114</v>
      </c>
      <c r="C539" s="24" t="s">
        <v>4118</v>
      </c>
      <c r="D539" s="151" t="s">
        <v>4380</v>
      </c>
      <c r="E539" s="151" t="s">
        <v>4381</v>
      </c>
      <c r="F539" s="151"/>
      <c r="G539" s="52" t="str">
        <f t="shared" si="8"/>
        <v>B2 79:弓手臂甲</v>
      </c>
    </row>
    <row r="540" spans="1:7">
      <c r="A540" s="24" t="s">
        <v>4113</v>
      </c>
      <c r="B540" s="24" t="s">
        <v>4114</v>
      </c>
      <c r="C540" s="24" t="s">
        <v>4121</v>
      </c>
      <c r="D540" s="151" t="s">
        <v>4382</v>
      </c>
      <c r="E540" s="151" t="s">
        <v>4383</v>
      </c>
      <c r="F540" s="151"/>
      <c r="G540" s="52" t="str">
        <f t="shared" si="8"/>
        <v>CA F5:弓手裤裙</v>
      </c>
    </row>
    <row r="541" spans="1:7">
      <c r="A541" s="24" t="s">
        <v>4113</v>
      </c>
      <c r="B541" s="24" t="s">
        <v>4114</v>
      </c>
      <c r="C541" s="24" t="s">
        <v>4124</v>
      </c>
      <c r="D541" s="151" t="s">
        <v>4384</v>
      </c>
      <c r="E541" s="151" t="s">
        <v>4385</v>
      </c>
      <c r="F541" s="151"/>
      <c r="G541" s="52" t="str">
        <f t="shared" si="8"/>
        <v>E4 35:弓手草鞋</v>
      </c>
    </row>
    <row r="542" spans="1:7">
      <c r="A542" s="24" t="s">
        <v>4113</v>
      </c>
      <c r="B542" s="24" t="s">
        <v>4114</v>
      </c>
      <c r="C542" s="24" t="s">
        <v>4115</v>
      </c>
      <c r="D542" s="151" t="s">
        <v>4386</v>
      </c>
      <c r="E542" s="151" t="s">
        <v>4387</v>
      </c>
      <c r="F542" s="151"/>
      <c r="G542" s="52" t="str">
        <f t="shared" si="8"/>
        <v>E6 24:少武者中铠 胸甲</v>
      </c>
    </row>
    <row r="543" spans="1:7">
      <c r="A543" s="24" t="s">
        <v>4113</v>
      </c>
      <c r="B543" s="24" t="s">
        <v>4114</v>
      </c>
      <c r="C543" s="24" t="s">
        <v>4118</v>
      </c>
      <c r="D543" s="151" t="s">
        <v>4388</v>
      </c>
      <c r="E543" s="151" t="s">
        <v>4389</v>
      </c>
      <c r="F543" s="151"/>
      <c r="G543" s="52" t="str">
        <f t="shared" si="8"/>
        <v>6D 8A:少武者中铠 臂甲</v>
      </c>
    </row>
    <row r="544" spans="1:7">
      <c r="A544" s="24" t="s">
        <v>4113</v>
      </c>
      <c r="B544" s="24" t="s">
        <v>4114</v>
      </c>
      <c r="C544" s="24" t="s">
        <v>4121</v>
      </c>
      <c r="D544" s="151" t="s">
        <v>4390</v>
      </c>
      <c r="E544" s="151" t="s">
        <v>4391</v>
      </c>
      <c r="F544" s="151"/>
      <c r="G544" s="52" t="str">
        <f t="shared" si="8"/>
        <v>31 29:少武者中铠 膝甲</v>
      </c>
    </row>
    <row r="545" spans="1:7">
      <c r="A545" s="24" t="s">
        <v>4113</v>
      </c>
      <c r="B545" s="24" t="s">
        <v>4114</v>
      </c>
      <c r="C545" s="24" t="s">
        <v>4124</v>
      </c>
      <c r="D545" s="151" t="s">
        <v>4392</v>
      </c>
      <c r="E545" s="151" t="s">
        <v>4393</v>
      </c>
      <c r="F545" s="151"/>
      <c r="G545" s="52" t="str">
        <f t="shared" si="8"/>
        <v>C1 40:少武者中铠 腿甲</v>
      </c>
    </row>
    <row r="546" spans="1:7">
      <c r="A546" s="24" t="s">
        <v>4113</v>
      </c>
      <c r="B546" s="24" t="s">
        <v>4114</v>
      </c>
      <c r="C546" s="24" t="s">
        <v>4133</v>
      </c>
      <c r="D546" s="151" t="s">
        <v>4394</v>
      </c>
      <c r="E546" s="151" t="s">
        <v>4395</v>
      </c>
      <c r="F546" s="151"/>
      <c r="G546" s="52" t="str">
        <f t="shared" si="8"/>
        <v>D7 BF:足轻中铠 阵笠</v>
      </c>
    </row>
    <row r="547" spans="1:7">
      <c r="A547" s="24" t="s">
        <v>4113</v>
      </c>
      <c r="B547" s="24" t="s">
        <v>4114</v>
      </c>
      <c r="C547" s="24" t="s">
        <v>4115</v>
      </c>
      <c r="D547" s="151" t="s">
        <v>4396</v>
      </c>
      <c r="E547" s="151" t="s">
        <v>4397</v>
      </c>
      <c r="F547" s="151"/>
      <c r="G547" s="52" t="str">
        <f t="shared" si="8"/>
        <v>BC 35:足轻中铠 胸甲</v>
      </c>
    </row>
    <row r="548" spans="1:7">
      <c r="A548" s="24" t="s">
        <v>4113</v>
      </c>
      <c r="B548" s="24" t="s">
        <v>4114</v>
      </c>
      <c r="C548" s="24" t="s">
        <v>4118</v>
      </c>
      <c r="D548" s="151" t="s">
        <v>4398</v>
      </c>
      <c r="E548" s="151" t="s">
        <v>4399</v>
      </c>
      <c r="F548" s="151"/>
      <c r="G548" s="52" t="str">
        <f t="shared" si="8"/>
        <v>1C CF:足轻中铠 臂甲</v>
      </c>
    </row>
    <row r="549" spans="1:7">
      <c r="A549" s="24" t="s">
        <v>4113</v>
      </c>
      <c r="B549" s="24" t="s">
        <v>4114</v>
      </c>
      <c r="C549" s="24" t="s">
        <v>4121</v>
      </c>
      <c r="D549" s="151" t="s">
        <v>4400</v>
      </c>
      <c r="E549" s="151" t="s">
        <v>4401</v>
      </c>
      <c r="F549" s="151"/>
      <c r="G549" s="52" t="str">
        <f t="shared" si="8"/>
        <v>FA C1:足轻中铠 膝甲</v>
      </c>
    </row>
    <row r="550" spans="1:7">
      <c r="A550" s="24" t="s">
        <v>4113</v>
      </c>
      <c r="B550" s="24" t="s">
        <v>4114</v>
      </c>
      <c r="C550" s="24" t="s">
        <v>4124</v>
      </c>
      <c r="D550" s="151" t="s">
        <v>4402</v>
      </c>
      <c r="E550" s="151" t="s">
        <v>4403</v>
      </c>
      <c r="F550" s="151"/>
      <c r="G550" s="52" t="str">
        <f t="shared" si="8"/>
        <v>B6 9B:足轻中铠 腿甲</v>
      </c>
    </row>
    <row r="551" spans="1:7">
      <c r="A551" s="24" t="s">
        <v>4113</v>
      </c>
      <c r="B551" s="24" t="s">
        <v>4114</v>
      </c>
      <c r="C551" s="24" t="s">
        <v>4133</v>
      </c>
      <c r="D551" s="151" t="s">
        <v>4404</v>
      </c>
      <c r="E551" s="151" t="s">
        <v>4405</v>
      </c>
      <c r="F551" s="151"/>
      <c r="G551" s="52" t="str">
        <f t="shared" si="8"/>
        <v>7A FA:浪人中铠 面具</v>
      </c>
    </row>
    <row r="552" spans="1:7">
      <c r="A552" s="24" t="s">
        <v>4113</v>
      </c>
      <c r="B552" s="24" t="s">
        <v>4114</v>
      </c>
      <c r="C552" s="24" t="s">
        <v>4115</v>
      </c>
      <c r="D552" s="151" t="s">
        <v>4406</v>
      </c>
      <c r="E552" s="151" t="s">
        <v>4407</v>
      </c>
      <c r="F552" s="151"/>
      <c r="G552" s="52" t="str">
        <f t="shared" si="8"/>
        <v>17 A3:浪人中铠 胸甲</v>
      </c>
    </row>
    <row r="553" spans="1:7">
      <c r="A553" s="24" t="s">
        <v>4113</v>
      </c>
      <c r="B553" s="24" t="s">
        <v>4114</v>
      </c>
      <c r="C553" s="24" t="s">
        <v>4118</v>
      </c>
      <c r="D553" s="151" t="s">
        <v>4408</v>
      </c>
      <c r="E553" s="151" t="s">
        <v>4409</v>
      </c>
      <c r="F553" s="151"/>
      <c r="G553" s="52" t="str">
        <f t="shared" si="8"/>
        <v>44 50:浪人中铠 臂甲</v>
      </c>
    </row>
    <row r="554" spans="1:7">
      <c r="A554" s="24" t="s">
        <v>4113</v>
      </c>
      <c r="B554" s="24" t="s">
        <v>4114</v>
      </c>
      <c r="C554" s="24" t="s">
        <v>4121</v>
      </c>
      <c r="D554" s="151" t="s">
        <v>4410</v>
      </c>
      <c r="E554" s="151" t="s">
        <v>4411</v>
      </c>
      <c r="F554" s="151"/>
      <c r="G554" s="52" t="str">
        <f t="shared" si="8"/>
        <v>CE 32:浪人中铠 膝甲</v>
      </c>
    </row>
    <row r="555" spans="1:7">
      <c r="A555" s="24" t="s">
        <v>4113</v>
      </c>
      <c r="B555" s="24" t="s">
        <v>4114</v>
      </c>
      <c r="C555" s="24" t="s">
        <v>4124</v>
      </c>
      <c r="D555" s="151" t="s">
        <v>4412</v>
      </c>
      <c r="E555" s="151" t="s">
        <v>4413</v>
      </c>
      <c r="F555" s="151"/>
      <c r="G555" s="52" t="str">
        <f t="shared" si="8"/>
        <v>6E 7D:浪人中铠 腿甲</v>
      </c>
    </row>
    <row r="556" spans="1:7">
      <c r="A556" s="24" t="s">
        <v>4113</v>
      </c>
      <c r="B556" s="24" t="s">
        <v>4114</v>
      </c>
      <c r="C556" s="24" t="s">
        <v>4133</v>
      </c>
      <c r="D556" s="151" t="s">
        <v>4414</v>
      </c>
      <c r="E556" s="151" t="s">
        <v>4415</v>
      </c>
      <c r="F556" s="151"/>
      <c r="G556" s="52" t="str">
        <f t="shared" si="8"/>
        <v>82 AB:燕尾中铠 头盔</v>
      </c>
    </row>
    <row r="557" spans="1:7">
      <c r="A557" s="24" t="s">
        <v>4113</v>
      </c>
      <c r="B557" s="24" t="s">
        <v>4114</v>
      </c>
      <c r="C557" s="24" t="s">
        <v>4115</v>
      </c>
      <c r="D557" s="151" t="s">
        <v>4416</v>
      </c>
      <c r="E557" s="151" t="s">
        <v>4417</v>
      </c>
      <c r="F557" s="151"/>
      <c r="G557" s="52" t="str">
        <f t="shared" si="8"/>
        <v>BD 63:燕尾中铠 胸甲</v>
      </c>
    </row>
    <row r="558" spans="1:7">
      <c r="A558" s="24" t="s">
        <v>4113</v>
      </c>
      <c r="B558" s="24" t="s">
        <v>4114</v>
      </c>
      <c r="C558" s="24" t="s">
        <v>4118</v>
      </c>
      <c r="D558" s="151" t="s">
        <v>4418</v>
      </c>
      <c r="E558" s="151" t="s">
        <v>4419</v>
      </c>
      <c r="F558" s="151"/>
      <c r="G558" s="52" t="str">
        <f t="shared" si="8"/>
        <v>13 72:燕尾中铠 臂甲</v>
      </c>
    </row>
    <row r="559" spans="1:7">
      <c r="A559" s="24" t="s">
        <v>4113</v>
      </c>
      <c r="B559" s="24" t="s">
        <v>4114</v>
      </c>
      <c r="C559" s="24" t="s">
        <v>4121</v>
      </c>
      <c r="D559" s="151" t="s">
        <v>4420</v>
      </c>
      <c r="E559" s="151" t="s">
        <v>4421</v>
      </c>
      <c r="F559" s="151"/>
      <c r="G559" s="52" t="str">
        <f t="shared" si="8"/>
        <v>4B 52:燕尾中铠 膝甲</v>
      </c>
    </row>
    <row r="560" spans="1:7">
      <c r="A560" s="24" t="s">
        <v>4113</v>
      </c>
      <c r="B560" s="24" t="s">
        <v>4114</v>
      </c>
      <c r="C560" s="24" t="s">
        <v>4124</v>
      </c>
      <c r="D560" s="151" t="s">
        <v>4422</v>
      </c>
      <c r="E560" s="151" t="s">
        <v>4423</v>
      </c>
      <c r="F560" s="151"/>
      <c r="G560" s="52" t="str">
        <f t="shared" si="8"/>
        <v>F6 7F:燕尾中铠 腿甲</v>
      </c>
    </row>
    <row r="561" spans="1:7">
      <c r="A561" s="24" t="s">
        <v>4113</v>
      </c>
      <c r="B561" s="24" t="s">
        <v>4114</v>
      </c>
      <c r="C561" s="24" t="s">
        <v>4133</v>
      </c>
      <c r="D561" s="151" t="s">
        <v>4424</v>
      </c>
      <c r="E561" s="151" t="s">
        <v>4425</v>
      </c>
      <c r="F561" s="151"/>
      <c r="G561" s="52" t="str">
        <f t="shared" si="8"/>
        <v>F0 DE:祈月斗将之铠 头盔</v>
      </c>
    </row>
    <row r="562" spans="1:7">
      <c r="A562" s="24" t="s">
        <v>4113</v>
      </c>
      <c r="B562" s="24" t="s">
        <v>4114</v>
      </c>
      <c r="C562" s="24" t="s">
        <v>4115</v>
      </c>
      <c r="D562" s="151" t="s">
        <v>4426</v>
      </c>
      <c r="E562" s="151" t="s">
        <v>4427</v>
      </c>
      <c r="F562" s="151"/>
      <c r="G562" s="52" t="str">
        <f t="shared" si="8"/>
        <v>4D 61:祈月斗将之铠 胸甲</v>
      </c>
    </row>
    <row r="563" spans="1:7">
      <c r="A563" s="24" t="s">
        <v>4113</v>
      </c>
      <c r="B563" s="24" t="s">
        <v>4114</v>
      </c>
      <c r="C563" s="24" t="s">
        <v>4118</v>
      </c>
      <c r="D563" s="151" t="s">
        <v>4428</v>
      </c>
      <c r="E563" s="151" t="s">
        <v>4429</v>
      </c>
      <c r="F563" s="151"/>
      <c r="G563" s="52" t="str">
        <f t="shared" si="8"/>
        <v>76 AF:祈月斗将之铠 臂甲</v>
      </c>
    </row>
    <row r="564" spans="1:7">
      <c r="A564" s="24" t="s">
        <v>4113</v>
      </c>
      <c r="B564" s="24" t="s">
        <v>4114</v>
      </c>
      <c r="C564" s="24" t="s">
        <v>4121</v>
      </c>
      <c r="D564" s="151" t="s">
        <v>4430</v>
      </c>
      <c r="E564" s="151" t="s">
        <v>4431</v>
      </c>
      <c r="F564" s="151"/>
      <c r="G564" s="52" t="str">
        <f t="shared" si="8"/>
        <v>8D CC:祈月斗将之铠 膝甲</v>
      </c>
    </row>
    <row r="565" spans="1:7">
      <c r="A565" s="24" t="s">
        <v>4113</v>
      </c>
      <c r="B565" s="24" t="s">
        <v>4114</v>
      </c>
      <c r="C565" s="24" t="s">
        <v>4124</v>
      </c>
      <c r="D565" s="151" t="s">
        <v>4432</v>
      </c>
      <c r="E565" s="151" t="s">
        <v>4433</v>
      </c>
      <c r="F565" s="151"/>
      <c r="G565" s="52" t="str">
        <f t="shared" si="8"/>
        <v>37 C9:祈月斗将之铠 腿甲</v>
      </c>
    </row>
    <row r="566" spans="1:7">
      <c r="A566" s="24" t="s">
        <v>4113</v>
      </c>
      <c r="B566" s="24" t="s">
        <v>4114</v>
      </c>
      <c r="C566" s="24" t="s">
        <v>4133</v>
      </c>
      <c r="D566" s="151" t="s">
        <v>4434</v>
      </c>
      <c r="E566" s="151" t="s">
        <v>4435</v>
      </c>
      <c r="F566" s="151"/>
      <c r="G566" s="52" t="str">
        <f t="shared" si="8"/>
        <v>45 C7:侍大将中铠 头盔</v>
      </c>
    </row>
    <row r="567" spans="1:7">
      <c r="A567" s="24" t="s">
        <v>4113</v>
      </c>
      <c r="B567" s="24" t="s">
        <v>4114</v>
      </c>
      <c r="C567" s="24" t="s">
        <v>4115</v>
      </c>
      <c r="D567" s="151" t="s">
        <v>4436</v>
      </c>
      <c r="E567" s="151" t="s">
        <v>4437</v>
      </c>
      <c r="F567" s="151"/>
      <c r="G567" s="52" t="str">
        <f t="shared" si="8"/>
        <v>10 21:侍大将中铠 胸甲</v>
      </c>
    </row>
    <row r="568" spans="1:7">
      <c r="A568" s="24" t="s">
        <v>4113</v>
      </c>
      <c r="B568" s="24" t="s">
        <v>4114</v>
      </c>
      <c r="C568" s="24" t="s">
        <v>4118</v>
      </c>
      <c r="D568" s="151" t="s">
        <v>4438</v>
      </c>
      <c r="E568" s="151" t="s">
        <v>4439</v>
      </c>
      <c r="F568" s="151"/>
      <c r="G568" s="52" t="str">
        <f t="shared" si="8"/>
        <v>55 88:侍大将中铠 臂甲</v>
      </c>
    </row>
    <row r="569" spans="1:7">
      <c r="A569" s="24" t="s">
        <v>4113</v>
      </c>
      <c r="B569" s="24" t="s">
        <v>4114</v>
      </c>
      <c r="C569" s="24" t="s">
        <v>4121</v>
      </c>
      <c r="D569" s="151" t="s">
        <v>4440</v>
      </c>
      <c r="E569" s="151" t="s">
        <v>4441</v>
      </c>
      <c r="F569" s="151"/>
      <c r="G569" s="52" t="str">
        <f t="shared" si="8"/>
        <v>11 A5:侍大将中铠 膝甲</v>
      </c>
    </row>
    <row r="570" spans="1:7">
      <c r="A570" s="24" t="s">
        <v>4113</v>
      </c>
      <c r="B570" s="24" t="s">
        <v>4114</v>
      </c>
      <c r="C570" s="24" t="s">
        <v>4124</v>
      </c>
      <c r="D570" s="151" t="s">
        <v>4442</v>
      </c>
      <c r="E570" s="151" t="s">
        <v>4443</v>
      </c>
      <c r="F570" s="151"/>
      <c r="G570" s="52" t="str">
        <f t="shared" si="8"/>
        <v>AA 46:侍大将中铠 腿甲</v>
      </c>
    </row>
    <row r="571" spans="1:7">
      <c r="A571" s="24" t="s">
        <v>4113</v>
      </c>
      <c r="B571" s="24" t="s">
        <v>4114</v>
      </c>
      <c r="C571" s="24" t="s">
        <v>4133</v>
      </c>
      <c r="D571" s="151" t="s">
        <v>4444</v>
      </c>
      <c r="E571" s="151" t="s">
        <v>4445</v>
      </c>
      <c r="F571" s="151"/>
      <c r="G571" s="52" t="str">
        <f t="shared" si="8"/>
        <v>94 AA:百战武者中铠 头盔</v>
      </c>
    </row>
    <row r="572" spans="1:7">
      <c r="A572" s="24" t="s">
        <v>4113</v>
      </c>
      <c r="B572" s="24" t="s">
        <v>4114</v>
      </c>
      <c r="C572" s="24" t="s">
        <v>4115</v>
      </c>
      <c r="D572" s="151" t="s">
        <v>4446</v>
      </c>
      <c r="E572" s="151" t="s">
        <v>4447</v>
      </c>
      <c r="F572" s="151"/>
      <c r="G572" s="52" t="str">
        <f t="shared" si="8"/>
        <v>ED 14:百战武者中铠 胸甲</v>
      </c>
    </row>
    <row r="573" spans="1:7">
      <c r="A573" s="24" t="s">
        <v>4113</v>
      </c>
      <c r="B573" s="24" t="s">
        <v>4114</v>
      </c>
      <c r="C573" s="24" t="s">
        <v>4118</v>
      </c>
      <c r="D573" s="151" t="s">
        <v>4448</v>
      </c>
      <c r="E573" s="151" t="s">
        <v>4449</v>
      </c>
      <c r="F573" s="151"/>
      <c r="G573" s="52" t="str">
        <f t="shared" si="8"/>
        <v>85 C3:百战武者中铠 臂甲</v>
      </c>
    </row>
    <row r="574" spans="1:7">
      <c r="A574" s="24" t="s">
        <v>4113</v>
      </c>
      <c r="B574" s="24" t="s">
        <v>4114</v>
      </c>
      <c r="C574" s="24" t="s">
        <v>4121</v>
      </c>
      <c r="D574" s="151" t="s">
        <v>4450</v>
      </c>
      <c r="E574" s="151" t="s">
        <v>4451</v>
      </c>
      <c r="F574" s="151"/>
      <c r="G574" s="52" t="str">
        <f t="shared" si="8"/>
        <v>FB DE:百战武者中铠 膝甲</v>
      </c>
    </row>
    <row r="575" spans="1:7">
      <c r="A575" s="24" t="s">
        <v>4113</v>
      </c>
      <c r="B575" s="24" t="s">
        <v>4114</v>
      </c>
      <c r="C575" s="24" t="s">
        <v>4124</v>
      </c>
      <c r="D575" s="151" t="s">
        <v>4452</v>
      </c>
      <c r="E575" s="151" t="s">
        <v>4453</v>
      </c>
      <c r="F575" s="151"/>
      <c r="G575" s="52" t="str">
        <f t="shared" si="8"/>
        <v>01 46:百战武者中铠 腿甲</v>
      </c>
    </row>
    <row r="576" spans="1:7">
      <c r="A576" s="24" t="s">
        <v>4113</v>
      </c>
      <c r="B576" s="24" t="s">
        <v>4114</v>
      </c>
      <c r="C576" s="24" t="s">
        <v>4133</v>
      </c>
      <c r="D576" s="151" t="s">
        <v>4454</v>
      </c>
      <c r="E576" s="151" t="s">
        <v>4455</v>
      </c>
      <c r="F576" s="151"/>
      <c r="G576" s="52" t="str">
        <f t="shared" si="8"/>
        <v>ED EF:绝群倾奇之铠 头盔</v>
      </c>
    </row>
    <row r="577" spans="1:7">
      <c r="A577" s="24" t="s">
        <v>4113</v>
      </c>
      <c r="B577" s="24" t="s">
        <v>4114</v>
      </c>
      <c r="C577" s="24" t="s">
        <v>4115</v>
      </c>
      <c r="D577" s="151" t="s">
        <v>4456</v>
      </c>
      <c r="E577" s="151" t="s">
        <v>4457</v>
      </c>
      <c r="F577" s="151"/>
      <c r="G577" s="52" t="str">
        <f t="shared" si="8"/>
        <v>F2 DE:绝群倾奇之铠 胸甲</v>
      </c>
    </row>
    <row r="578" spans="1:7">
      <c r="A578" s="24" t="s">
        <v>4113</v>
      </c>
      <c r="B578" s="24" t="s">
        <v>4114</v>
      </c>
      <c r="C578" s="24" t="s">
        <v>4118</v>
      </c>
      <c r="D578" s="151" t="s">
        <v>4458</v>
      </c>
      <c r="E578" s="151" t="s">
        <v>4459</v>
      </c>
      <c r="F578" s="151"/>
      <c r="G578" s="52" t="str">
        <f t="shared" ref="G578:G641" si="9">D578&amp;":"&amp;E578</f>
        <v>15 96:绝群倾奇之铠 臂甲</v>
      </c>
    </row>
    <row r="579" spans="1:7">
      <c r="A579" s="24" t="s">
        <v>4113</v>
      </c>
      <c r="B579" s="24" t="s">
        <v>4114</v>
      </c>
      <c r="C579" s="24" t="s">
        <v>4121</v>
      </c>
      <c r="D579" s="151" t="s">
        <v>4460</v>
      </c>
      <c r="E579" s="151" t="s">
        <v>4461</v>
      </c>
      <c r="F579" s="151"/>
      <c r="G579" s="52" t="str">
        <f t="shared" si="9"/>
        <v>54 84:绝群倾奇之铠 膝甲</v>
      </c>
    </row>
    <row r="580" spans="1:7">
      <c r="A580" s="24" t="s">
        <v>4113</v>
      </c>
      <c r="B580" s="24" t="s">
        <v>4114</v>
      </c>
      <c r="C580" s="24" t="s">
        <v>4124</v>
      </c>
      <c r="D580" s="151" t="s">
        <v>4462</v>
      </c>
      <c r="E580" s="151" t="s">
        <v>4463</v>
      </c>
      <c r="F580" s="151"/>
      <c r="G580" s="52" t="str">
        <f t="shared" si="9"/>
        <v>56 9F:绝群倾奇之铠 腿甲</v>
      </c>
    </row>
    <row r="581" spans="1:7">
      <c r="A581" s="24" t="s">
        <v>4113</v>
      </c>
      <c r="B581" s="24" t="s">
        <v>4114</v>
      </c>
      <c r="C581" s="24" t="s">
        <v>4133</v>
      </c>
      <c r="D581" s="151" t="s">
        <v>4464</v>
      </c>
      <c r="E581" s="151" t="s">
        <v>4465</v>
      </c>
      <c r="F581" s="151"/>
      <c r="G581" s="52" t="str">
        <f t="shared" si="9"/>
        <v>77 B8:大型八龙 头盔</v>
      </c>
    </row>
    <row r="582" spans="1:7">
      <c r="A582" s="24" t="s">
        <v>4113</v>
      </c>
      <c r="B582" s="24" t="s">
        <v>4114</v>
      </c>
      <c r="C582" s="24" t="s">
        <v>4115</v>
      </c>
      <c r="D582" s="151" t="s">
        <v>4466</v>
      </c>
      <c r="E582" s="151" t="s">
        <v>4467</v>
      </c>
      <c r="F582" s="151"/>
      <c r="G582" s="52" t="str">
        <f t="shared" si="9"/>
        <v>FF E8:大型八龙 胸甲</v>
      </c>
    </row>
    <row r="583" spans="1:7">
      <c r="A583" s="24" t="s">
        <v>4113</v>
      </c>
      <c r="B583" s="24" t="s">
        <v>4114</v>
      </c>
      <c r="C583" s="24" t="s">
        <v>4118</v>
      </c>
      <c r="D583" s="151" t="s">
        <v>4468</v>
      </c>
      <c r="E583" s="151" t="s">
        <v>4469</v>
      </c>
      <c r="F583" s="151"/>
      <c r="G583" s="52" t="str">
        <f t="shared" si="9"/>
        <v>B8 3D:大型八龙 臂甲</v>
      </c>
    </row>
    <row r="584" spans="1:7">
      <c r="A584" s="24" t="s">
        <v>4113</v>
      </c>
      <c r="B584" s="24" t="s">
        <v>4114</v>
      </c>
      <c r="C584" s="24" t="s">
        <v>4121</v>
      </c>
      <c r="D584" s="151" t="s">
        <v>4470</v>
      </c>
      <c r="E584" s="151" t="s">
        <v>4471</v>
      </c>
      <c r="F584" s="151"/>
      <c r="G584" s="52" t="str">
        <f t="shared" si="9"/>
        <v>9F 4C:大型八龙 膝甲</v>
      </c>
    </row>
    <row r="585" spans="1:7">
      <c r="A585" s="24" t="s">
        <v>4113</v>
      </c>
      <c r="B585" s="24" t="s">
        <v>4114</v>
      </c>
      <c r="C585" s="24" t="s">
        <v>4124</v>
      </c>
      <c r="D585" s="151" t="s">
        <v>4472</v>
      </c>
      <c r="E585" s="151" t="s">
        <v>4473</v>
      </c>
      <c r="F585" s="151"/>
      <c r="G585" s="52" t="str">
        <f t="shared" si="9"/>
        <v>87 29:大型八龙 腿甲</v>
      </c>
    </row>
    <row r="586" spans="1:7">
      <c r="A586" s="24" t="s">
        <v>4113</v>
      </c>
      <c r="B586" s="24" t="s">
        <v>4114</v>
      </c>
      <c r="C586" s="24" t="s">
        <v>4133</v>
      </c>
      <c r="D586" s="151" t="s">
        <v>4474</v>
      </c>
      <c r="E586" s="151" t="s">
        <v>4475</v>
      </c>
      <c r="F586" s="151"/>
      <c r="G586" s="52" t="str">
        <f t="shared" si="9"/>
        <v>9D 89:讨鬼勇猛之铠 头盔</v>
      </c>
    </row>
    <row r="587" spans="1:7">
      <c r="A587" s="24" t="s">
        <v>4113</v>
      </c>
      <c r="B587" s="24" t="s">
        <v>4114</v>
      </c>
      <c r="C587" s="24" t="s">
        <v>4115</v>
      </c>
      <c r="D587" s="151" t="s">
        <v>4476</v>
      </c>
      <c r="E587" s="151" t="s">
        <v>4477</v>
      </c>
      <c r="F587" s="151"/>
      <c r="G587" s="52" t="str">
        <f t="shared" si="9"/>
        <v>77 19:讨鬼勇猛之铠 胸甲</v>
      </c>
    </row>
    <row r="588" spans="1:7">
      <c r="A588" s="24" t="s">
        <v>4113</v>
      </c>
      <c r="B588" s="24" t="s">
        <v>4114</v>
      </c>
      <c r="C588" s="24" t="s">
        <v>4118</v>
      </c>
      <c r="D588" s="151" t="s">
        <v>4478</v>
      </c>
      <c r="E588" s="151" t="s">
        <v>4479</v>
      </c>
      <c r="F588" s="151"/>
      <c r="G588" s="52" t="str">
        <f t="shared" si="9"/>
        <v>33 31:讨鬼勇猛之铠 臂甲</v>
      </c>
    </row>
    <row r="589" spans="1:7">
      <c r="A589" s="24" t="s">
        <v>4113</v>
      </c>
      <c r="B589" s="24" t="s">
        <v>4114</v>
      </c>
      <c r="C589" s="24" t="s">
        <v>4121</v>
      </c>
      <c r="D589" s="151" t="s">
        <v>4480</v>
      </c>
      <c r="E589" s="151" t="s">
        <v>4481</v>
      </c>
      <c r="F589" s="151"/>
      <c r="G589" s="52" t="str">
        <f t="shared" si="9"/>
        <v>A7 04:讨鬼勇猛之铠 膝甲</v>
      </c>
    </row>
    <row r="590" spans="1:7">
      <c r="A590" s="24" t="s">
        <v>4113</v>
      </c>
      <c r="B590" s="24" t="s">
        <v>4114</v>
      </c>
      <c r="C590" s="24" t="s">
        <v>4124</v>
      </c>
      <c r="D590" s="151" t="s">
        <v>4482</v>
      </c>
      <c r="E590" s="151" t="s">
        <v>4483</v>
      </c>
      <c r="F590" s="151"/>
      <c r="G590" s="52" t="str">
        <f t="shared" si="9"/>
        <v>38 EA:讨鬼勇猛之铠 腿甲</v>
      </c>
    </row>
    <row r="591" spans="1:7">
      <c r="A591" s="24" t="s">
        <v>4113</v>
      </c>
      <c r="B591" s="24" t="s">
        <v>4114</v>
      </c>
      <c r="C591" s="24" t="s">
        <v>4133</v>
      </c>
      <c r="D591" s="151" t="s">
        <v>4484</v>
      </c>
      <c r="E591" s="151" t="s">
        <v>4485</v>
      </c>
      <c r="F591" s="151"/>
      <c r="G591" s="52" t="str">
        <f t="shared" si="9"/>
        <v>D9 42:传家大铠 头盔</v>
      </c>
    </row>
    <row r="592" spans="1:7">
      <c r="A592" s="24" t="s">
        <v>4113</v>
      </c>
      <c r="B592" s="24" t="s">
        <v>4114</v>
      </c>
      <c r="C592" s="24" t="s">
        <v>4115</v>
      </c>
      <c r="D592" s="151" t="s">
        <v>4486</v>
      </c>
      <c r="E592" s="151" t="s">
        <v>4487</v>
      </c>
      <c r="F592" s="151"/>
      <c r="G592" s="52" t="str">
        <f t="shared" si="9"/>
        <v>07 4A:传家大铠 胸甲</v>
      </c>
    </row>
    <row r="593" spans="1:7">
      <c r="A593" s="24" t="s">
        <v>4113</v>
      </c>
      <c r="B593" s="24" t="s">
        <v>4114</v>
      </c>
      <c r="C593" s="24" t="s">
        <v>4118</v>
      </c>
      <c r="D593" s="151" t="s">
        <v>4488</v>
      </c>
      <c r="E593" s="151" t="s">
        <v>4489</v>
      </c>
      <c r="F593" s="151"/>
      <c r="G593" s="52" t="str">
        <f t="shared" si="9"/>
        <v>E8 3A:传家大铠 臂甲</v>
      </c>
    </row>
    <row r="594" spans="1:7">
      <c r="A594" s="24" t="s">
        <v>4113</v>
      </c>
      <c r="B594" s="24" t="s">
        <v>4114</v>
      </c>
      <c r="C594" s="24" t="s">
        <v>4121</v>
      </c>
      <c r="D594" s="151" t="s">
        <v>4490</v>
      </c>
      <c r="E594" s="151" t="s">
        <v>4491</v>
      </c>
      <c r="F594" s="151"/>
      <c r="G594" s="52" t="str">
        <f t="shared" si="9"/>
        <v>10 05:传家大铠 膝甲</v>
      </c>
    </row>
    <row r="595" spans="1:7">
      <c r="A595" s="24" t="s">
        <v>4113</v>
      </c>
      <c r="B595" s="24" t="s">
        <v>4114</v>
      </c>
      <c r="C595" s="24" t="s">
        <v>4124</v>
      </c>
      <c r="D595" s="151" t="s">
        <v>4492</v>
      </c>
      <c r="E595" s="151" t="s">
        <v>4493</v>
      </c>
      <c r="F595" s="151"/>
      <c r="G595" s="52" t="str">
        <f t="shared" si="9"/>
        <v>60 C0:传家大铠 腿甲</v>
      </c>
    </row>
    <row r="596" spans="1:7">
      <c r="A596" s="24" t="s">
        <v>4113</v>
      </c>
      <c r="B596" s="24" t="s">
        <v>4114</v>
      </c>
      <c r="C596" s="24" t="s">
        <v>4133</v>
      </c>
      <c r="D596" s="151" t="s">
        <v>4494</v>
      </c>
      <c r="E596" s="151" t="s">
        <v>4495</v>
      </c>
      <c r="F596" s="151"/>
      <c r="G596" s="52" t="str">
        <f t="shared" si="9"/>
        <v>D8 B5:美浓宿老之铠 头盔</v>
      </c>
    </row>
    <row r="597" spans="1:7">
      <c r="A597" s="24" t="s">
        <v>4113</v>
      </c>
      <c r="B597" s="24" t="s">
        <v>4114</v>
      </c>
      <c r="C597" s="24" t="s">
        <v>4115</v>
      </c>
      <c r="D597" s="151" t="s">
        <v>4496</v>
      </c>
      <c r="E597" s="151" t="s">
        <v>4497</v>
      </c>
      <c r="F597" s="151"/>
      <c r="G597" s="52" t="str">
        <f t="shared" si="9"/>
        <v>2B D4:美浓宿老之铠 胸甲</v>
      </c>
    </row>
    <row r="598" spans="1:7">
      <c r="A598" s="24" t="s">
        <v>4113</v>
      </c>
      <c r="B598" s="24" t="s">
        <v>4114</v>
      </c>
      <c r="C598" s="24" t="s">
        <v>4118</v>
      </c>
      <c r="D598" s="151" t="s">
        <v>4498</v>
      </c>
      <c r="E598" s="151" t="s">
        <v>4499</v>
      </c>
      <c r="F598" s="151"/>
      <c r="G598" s="52" t="str">
        <f t="shared" si="9"/>
        <v>0D 82:美浓宿老之铠 臂甲</v>
      </c>
    </row>
    <row r="599" spans="1:7">
      <c r="A599" s="24" t="s">
        <v>4113</v>
      </c>
      <c r="B599" s="24" t="s">
        <v>4114</v>
      </c>
      <c r="C599" s="24" t="s">
        <v>4121</v>
      </c>
      <c r="D599" s="151" t="s">
        <v>4500</v>
      </c>
      <c r="E599" s="151" t="s">
        <v>4501</v>
      </c>
      <c r="F599" s="151"/>
      <c r="G599" s="52" t="str">
        <f t="shared" si="9"/>
        <v>99 3C:美浓宿老之铠 膝甲</v>
      </c>
    </row>
    <row r="600" spans="1:7">
      <c r="A600" s="24" t="s">
        <v>4113</v>
      </c>
      <c r="B600" s="24" t="s">
        <v>4114</v>
      </c>
      <c r="C600" s="24" t="s">
        <v>4124</v>
      </c>
      <c r="D600" s="151" t="s">
        <v>4502</v>
      </c>
      <c r="E600" s="151" t="s">
        <v>4503</v>
      </c>
      <c r="F600" s="151"/>
      <c r="G600" s="52" t="str">
        <f t="shared" si="9"/>
        <v>F7 99:美浓宿老之铠 腿甲</v>
      </c>
    </row>
    <row r="601" spans="1:7">
      <c r="A601" s="24" t="s">
        <v>4113</v>
      </c>
      <c r="B601" s="24" t="s">
        <v>4114</v>
      </c>
      <c r="C601" s="24" t="s">
        <v>4133</v>
      </c>
      <c r="D601" s="151" t="s">
        <v>4504</v>
      </c>
      <c r="E601" s="151" t="s">
        <v>4505</v>
      </c>
      <c r="F601" s="151"/>
      <c r="G601" s="52" t="str">
        <f t="shared" si="9"/>
        <v>2F 1C:盾无 头盔</v>
      </c>
    </row>
    <row r="602" spans="1:7">
      <c r="A602" s="24" t="s">
        <v>4113</v>
      </c>
      <c r="B602" s="24" t="s">
        <v>4114</v>
      </c>
      <c r="C602" s="24" t="s">
        <v>4115</v>
      </c>
      <c r="D602" s="151" t="s">
        <v>4506</v>
      </c>
      <c r="E602" s="151" t="s">
        <v>4507</v>
      </c>
      <c r="F602" s="151"/>
      <c r="G602" s="52" t="str">
        <f t="shared" si="9"/>
        <v>88 C2:盾无 胸甲</v>
      </c>
    </row>
    <row r="603" spans="1:7">
      <c r="A603" s="24" t="s">
        <v>4113</v>
      </c>
      <c r="B603" s="24" t="s">
        <v>4114</v>
      </c>
      <c r="C603" s="24" t="s">
        <v>4118</v>
      </c>
      <c r="D603" s="151" t="s">
        <v>4508</v>
      </c>
      <c r="E603" s="151" t="s">
        <v>4509</v>
      </c>
      <c r="F603" s="151"/>
      <c r="G603" s="52" t="str">
        <f t="shared" si="9"/>
        <v>92 D3:盾无 臂甲</v>
      </c>
    </row>
    <row r="604" spans="1:7">
      <c r="A604" s="24" t="s">
        <v>4113</v>
      </c>
      <c r="B604" s="24" t="s">
        <v>4114</v>
      </c>
      <c r="C604" s="24" t="s">
        <v>4121</v>
      </c>
      <c r="D604" s="151" t="s">
        <v>4510</v>
      </c>
      <c r="E604" s="151" t="s">
        <v>4511</v>
      </c>
      <c r="F604" s="151"/>
      <c r="G604" s="52" t="str">
        <f t="shared" si="9"/>
        <v>76 03:盾无 膝甲</v>
      </c>
    </row>
    <row r="605" spans="1:7">
      <c r="A605" s="24" t="s">
        <v>4113</v>
      </c>
      <c r="B605" s="24" t="s">
        <v>4114</v>
      </c>
      <c r="C605" s="24" t="s">
        <v>4124</v>
      </c>
      <c r="D605" s="151" t="s">
        <v>4512</v>
      </c>
      <c r="E605" s="151" t="s">
        <v>4513</v>
      </c>
      <c r="F605" s="151"/>
      <c r="G605" s="52" t="str">
        <f t="shared" si="9"/>
        <v>3A FB:盾无 腿甲</v>
      </c>
    </row>
    <row r="606" spans="1:7">
      <c r="A606" s="24" t="s">
        <v>4113</v>
      </c>
      <c r="B606" s="24" t="s">
        <v>4114</v>
      </c>
      <c r="C606" s="24" t="s">
        <v>4133</v>
      </c>
      <c r="D606" s="151" t="s">
        <v>4514</v>
      </c>
      <c r="E606" s="151" t="s">
        <v>4515</v>
      </c>
      <c r="F606" s="151"/>
      <c r="G606" s="52" t="str">
        <f t="shared" si="9"/>
        <v>E6 6D:东国无双之铠 头盔</v>
      </c>
    </row>
    <row r="607" spans="1:7">
      <c r="A607" s="24" t="s">
        <v>4113</v>
      </c>
      <c r="B607" s="24" t="s">
        <v>4114</v>
      </c>
      <c r="C607" s="24" t="s">
        <v>4115</v>
      </c>
      <c r="D607" s="151" t="s">
        <v>4516</v>
      </c>
      <c r="E607" s="151" t="s">
        <v>4517</v>
      </c>
      <c r="F607" s="151"/>
      <c r="G607" s="52" t="str">
        <f t="shared" si="9"/>
        <v>41 37:东国无双之铠 胸甲</v>
      </c>
    </row>
    <row r="608" spans="1:7">
      <c r="A608" s="24" t="s">
        <v>4113</v>
      </c>
      <c r="B608" s="24" t="s">
        <v>4114</v>
      </c>
      <c r="C608" s="24" t="s">
        <v>4118</v>
      </c>
      <c r="D608" s="151" t="s">
        <v>4518</v>
      </c>
      <c r="E608" s="151" t="s">
        <v>4519</v>
      </c>
      <c r="F608" s="151"/>
      <c r="G608" s="52" t="str">
        <f t="shared" si="9"/>
        <v>D9 E7:东国无双之铠 臂甲</v>
      </c>
    </row>
    <row r="609" spans="1:7">
      <c r="A609" s="24" t="s">
        <v>4113</v>
      </c>
      <c r="B609" s="24" t="s">
        <v>4114</v>
      </c>
      <c r="C609" s="24" t="s">
        <v>4121</v>
      </c>
      <c r="D609" s="151" t="s">
        <v>4520</v>
      </c>
      <c r="E609" s="151" t="s">
        <v>4521</v>
      </c>
      <c r="F609" s="151"/>
      <c r="G609" s="52" t="str">
        <f t="shared" si="9"/>
        <v>D6 5F:东国无双之铠 膝甲</v>
      </c>
    </row>
    <row r="610" spans="1:7">
      <c r="A610" s="24" t="s">
        <v>4113</v>
      </c>
      <c r="B610" s="24" t="s">
        <v>4114</v>
      </c>
      <c r="C610" s="24" t="s">
        <v>4124</v>
      </c>
      <c r="D610" s="151" t="s">
        <v>4522</v>
      </c>
      <c r="E610" s="151" t="s">
        <v>4523</v>
      </c>
      <c r="F610" s="151"/>
      <c r="G610" s="52" t="str">
        <f t="shared" si="9"/>
        <v>28 4A:东国无双之铠 腿甲</v>
      </c>
    </row>
    <row r="611" spans="1:7">
      <c r="A611" s="24" t="s">
        <v>4113</v>
      </c>
      <c r="B611" s="24" t="s">
        <v>4114</v>
      </c>
      <c r="C611" s="24" t="s">
        <v>4133</v>
      </c>
      <c r="D611" s="151" t="s">
        <v>4524</v>
      </c>
      <c r="E611" s="151" t="s">
        <v>4525</v>
      </c>
      <c r="F611" s="151"/>
      <c r="G611" s="52" t="str">
        <f t="shared" si="9"/>
        <v>17 75:枭雄之铠 头盔</v>
      </c>
    </row>
    <row r="612" spans="1:7">
      <c r="A612" s="24" t="s">
        <v>4113</v>
      </c>
      <c r="B612" s="24" t="s">
        <v>4114</v>
      </c>
      <c r="C612" s="24" t="s">
        <v>4115</v>
      </c>
      <c r="D612" s="151" t="s">
        <v>4526</v>
      </c>
      <c r="E612" s="151" t="s">
        <v>4527</v>
      </c>
      <c r="F612" s="151"/>
      <c r="G612" s="52" t="str">
        <f t="shared" si="9"/>
        <v>B9 CD:枭雄之铠 胸甲</v>
      </c>
    </row>
    <row r="613" spans="1:7">
      <c r="A613" s="24" t="s">
        <v>4113</v>
      </c>
      <c r="B613" s="24" t="s">
        <v>4114</v>
      </c>
      <c r="C613" s="24" t="s">
        <v>4118</v>
      </c>
      <c r="D613" s="151" t="s">
        <v>4528</v>
      </c>
      <c r="E613" s="151" t="s">
        <v>4529</v>
      </c>
      <c r="F613" s="151"/>
      <c r="G613" s="52" t="str">
        <f t="shared" si="9"/>
        <v>CD AF:枭雄之铠 臂甲</v>
      </c>
    </row>
    <row r="614" spans="1:7">
      <c r="A614" s="24" t="s">
        <v>4113</v>
      </c>
      <c r="B614" s="24" t="s">
        <v>4114</v>
      </c>
      <c r="C614" s="24" t="s">
        <v>4121</v>
      </c>
      <c r="D614" s="151" t="s">
        <v>4530</v>
      </c>
      <c r="E614" s="151" t="s">
        <v>4531</v>
      </c>
      <c r="F614" s="151"/>
      <c r="G614" s="52" t="str">
        <f t="shared" si="9"/>
        <v>4A B5:枭雄之铠 膝甲</v>
      </c>
    </row>
    <row r="615" spans="1:7">
      <c r="A615" s="24" t="s">
        <v>4113</v>
      </c>
      <c r="B615" s="24" t="s">
        <v>4114</v>
      </c>
      <c r="C615" s="24" t="s">
        <v>4124</v>
      </c>
      <c r="D615" s="151" t="s">
        <v>4532</v>
      </c>
      <c r="E615" s="151" t="s">
        <v>4533</v>
      </c>
      <c r="F615" s="151"/>
      <c r="G615" s="52" t="str">
        <f t="shared" si="9"/>
        <v>DB 51:枭雄之铠 腿甲</v>
      </c>
    </row>
    <row r="616" spans="1:7">
      <c r="A616" s="24" t="s">
        <v>4113</v>
      </c>
      <c r="B616" s="24" t="s">
        <v>4114</v>
      </c>
      <c r="C616" s="24" t="s">
        <v>4133</v>
      </c>
      <c r="D616" s="151" t="s">
        <v>4534</v>
      </c>
      <c r="E616" s="151" t="s">
        <v>4535</v>
      </c>
      <c r="F616" s="151"/>
      <c r="G616" s="52" t="str">
        <f t="shared" si="9"/>
        <v>E7 30:怪童大铠 头巾</v>
      </c>
    </row>
    <row r="617" spans="1:7">
      <c r="A617" s="24" t="s">
        <v>4113</v>
      </c>
      <c r="B617" s="24" t="s">
        <v>4114</v>
      </c>
      <c r="C617" s="24" t="s">
        <v>4115</v>
      </c>
      <c r="D617" s="151" t="s">
        <v>4536</v>
      </c>
      <c r="E617" s="151" t="s">
        <v>4537</v>
      </c>
      <c r="F617" s="151"/>
      <c r="G617" s="52" t="str">
        <f t="shared" si="9"/>
        <v>76 C9:怪童大铠 胸甲</v>
      </c>
    </row>
    <row r="618" spans="1:7">
      <c r="A618" s="24" t="s">
        <v>4113</v>
      </c>
      <c r="B618" s="24" t="s">
        <v>4114</v>
      </c>
      <c r="C618" s="24" t="s">
        <v>4118</v>
      </c>
      <c r="D618" s="151" t="s">
        <v>4538</v>
      </c>
      <c r="E618" s="151" t="s">
        <v>4539</v>
      </c>
      <c r="F618" s="151"/>
      <c r="G618" s="52" t="str">
        <f t="shared" si="9"/>
        <v>71 6F:怪童大铠 臂甲</v>
      </c>
    </row>
    <row r="619" spans="1:7">
      <c r="A619" s="24" t="s">
        <v>4113</v>
      </c>
      <c r="B619" s="24" t="s">
        <v>4114</v>
      </c>
      <c r="C619" s="24" t="s">
        <v>4121</v>
      </c>
      <c r="D619" s="151" t="s">
        <v>4540</v>
      </c>
      <c r="E619" s="151" t="s">
        <v>4541</v>
      </c>
      <c r="F619" s="151"/>
      <c r="G619" s="52" t="str">
        <f t="shared" si="9"/>
        <v>0D 9E:怪童大铠 膝甲</v>
      </c>
    </row>
    <row r="620" spans="1:7">
      <c r="A620" s="24" t="s">
        <v>4113</v>
      </c>
      <c r="B620" s="24" t="s">
        <v>4114</v>
      </c>
      <c r="C620" s="24" t="s">
        <v>4124</v>
      </c>
      <c r="D620" s="151" t="s">
        <v>4542</v>
      </c>
      <c r="E620" s="151" t="s">
        <v>4543</v>
      </c>
      <c r="F620" s="151"/>
      <c r="G620" s="52" t="str">
        <f t="shared" si="9"/>
        <v>06 65:怪童大铠 腿甲</v>
      </c>
    </row>
    <row r="621" spans="1:7">
      <c r="A621" s="24" t="s">
        <v>4113</v>
      </c>
      <c r="B621" s="24" t="s">
        <v>4114</v>
      </c>
      <c r="C621" s="24" t="s">
        <v>4133</v>
      </c>
      <c r="D621" s="151" t="s">
        <v>4544</v>
      </c>
      <c r="E621" s="151" t="s">
        <v>4545</v>
      </c>
      <c r="F621" s="151"/>
      <c r="G621" s="52" t="str">
        <f t="shared" si="9"/>
        <v>EC 81:崇佛诚心之铠 头盔</v>
      </c>
    </row>
    <row r="622" spans="1:7">
      <c r="A622" s="24" t="s">
        <v>4113</v>
      </c>
      <c r="B622" s="24" t="s">
        <v>4114</v>
      </c>
      <c r="C622" s="24" t="s">
        <v>4115</v>
      </c>
      <c r="D622" s="151" t="s">
        <v>4546</v>
      </c>
      <c r="E622" s="151" t="s">
        <v>4547</v>
      </c>
      <c r="F622" s="151"/>
      <c r="G622" s="52" t="str">
        <f t="shared" si="9"/>
        <v>2A 60:崇佛诚心之铠 胸甲</v>
      </c>
    </row>
    <row r="623" spans="1:7">
      <c r="A623" s="24" t="s">
        <v>4113</v>
      </c>
      <c r="B623" s="24" t="s">
        <v>4114</v>
      </c>
      <c r="C623" s="24" t="s">
        <v>4118</v>
      </c>
      <c r="D623" s="151" t="s">
        <v>4548</v>
      </c>
      <c r="E623" s="151" t="s">
        <v>4549</v>
      </c>
      <c r="F623" s="151"/>
      <c r="G623" s="52" t="str">
        <f t="shared" si="9"/>
        <v>0A 5E:崇佛诚心之铠 臂甲</v>
      </c>
    </row>
    <row r="624" spans="1:7">
      <c r="A624" s="24" t="s">
        <v>4113</v>
      </c>
      <c r="B624" s="24" t="s">
        <v>4114</v>
      </c>
      <c r="C624" s="24" t="s">
        <v>4121</v>
      </c>
      <c r="D624" s="151" t="s">
        <v>4550</v>
      </c>
      <c r="E624" s="151" t="s">
        <v>4551</v>
      </c>
      <c r="F624" s="151"/>
      <c r="G624" s="52" t="str">
        <f t="shared" si="9"/>
        <v>B6 CA:崇佛诚心之铠 膝甲</v>
      </c>
    </row>
    <row r="625" spans="1:7">
      <c r="A625" s="24" t="s">
        <v>4113</v>
      </c>
      <c r="B625" s="24" t="s">
        <v>4114</v>
      </c>
      <c r="C625" s="24" t="s">
        <v>4124</v>
      </c>
      <c r="D625" s="151" t="s">
        <v>4552</v>
      </c>
      <c r="E625" s="151" t="s">
        <v>4553</v>
      </c>
      <c r="F625" s="151"/>
      <c r="G625" s="52" t="str">
        <f t="shared" si="9"/>
        <v>73 C1:崇佛诚心之铠 腿甲</v>
      </c>
    </row>
    <row r="626" spans="1:7">
      <c r="A626" s="24" t="s">
        <v>4113</v>
      </c>
      <c r="B626" s="24" t="s">
        <v>4114</v>
      </c>
      <c r="C626" s="24" t="s">
        <v>4133</v>
      </c>
      <c r="D626" s="151" t="s">
        <v>4554</v>
      </c>
      <c r="E626" s="151" t="s">
        <v>4555</v>
      </c>
      <c r="F626" s="151"/>
      <c r="G626" s="52" t="str">
        <f t="shared" si="9"/>
        <v>79 D6:田村后裔之铠 斗笠</v>
      </c>
    </row>
    <row r="627" spans="1:7">
      <c r="A627" s="24" t="s">
        <v>4113</v>
      </c>
      <c r="B627" s="24" t="s">
        <v>4114</v>
      </c>
      <c r="C627" s="24" t="s">
        <v>4115</v>
      </c>
      <c r="D627" s="151" t="s">
        <v>4556</v>
      </c>
      <c r="E627" s="151" t="s">
        <v>4557</v>
      </c>
      <c r="F627" s="151"/>
      <c r="G627" s="52" t="str">
        <f t="shared" si="9"/>
        <v>B2 9B:田村后裔之铠 胸甲</v>
      </c>
    </row>
    <row r="628" spans="1:7">
      <c r="A628" s="24" t="s">
        <v>4113</v>
      </c>
      <c r="B628" s="24" t="s">
        <v>4114</v>
      </c>
      <c r="C628" s="24" t="s">
        <v>4118</v>
      </c>
      <c r="D628" s="151" t="s">
        <v>4558</v>
      </c>
      <c r="E628" s="151" t="s">
        <v>4559</v>
      </c>
      <c r="F628" s="151"/>
      <c r="G628" s="52" t="str">
        <f t="shared" si="9"/>
        <v>42 6F:田村后裔之铠 臂甲</v>
      </c>
    </row>
    <row r="629" spans="1:7">
      <c r="A629" s="24" t="s">
        <v>4113</v>
      </c>
      <c r="B629" s="24" t="s">
        <v>4114</v>
      </c>
      <c r="C629" s="24" t="s">
        <v>4121</v>
      </c>
      <c r="D629" s="151" t="s">
        <v>4560</v>
      </c>
      <c r="E629" s="151" t="s">
        <v>4561</v>
      </c>
      <c r="F629" s="151"/>
      <c r="G629" s="52" t="str">
        <f t="shared" si="9"/>
        <v>3C FB:田村后裔之铠 膝甲</v>
      </c>
    </row>
    <row r="630" spans="1:7">
      <c r="A630" s="24" t="s">
        <v>4113</v>
      </c>
      <c r="B630" s="24" t="s">
        <v>4114</v>
      </c>
      <c r="C630" s="24" t="s">
        <v>4124</v>
      </c>
      <c r="D630" s="151" t="s">
        <v>4562</v>
      </c>
      <c r="E630" s="151" t="s">
        <v>4563</v>
      </c>
      <c r="F630" s="151"/>
      <c r="G630" s="52" t="str">
        <f t="shared" si="9"/>
        <v>11 F3:田村后裔之铠 腿甲</v>
      </c>
    </row>
    <row r="631" spans="1:7">
      <c r="A631" s="24" t="s">
        <v>4113</v>
      </c>
      <c r="B631" s="24" t="s">
        <v>4114</v>
      </c>
      <c r="C631" s="24" t="s">
        <v>4133</v>
      </c>
      <c r="D631" s="151" t="s">
        <v>4564</v>
      </c>
      <c r="E631" s="151" t="s">
        <v>4565</v>
      </c>
      <c r="F631" s="151"/>
      <c r="G631" s="52" t="str">
        <f t="shared" si="9"/>
        <v>D7 52:叛军浪士之铠 斗笠</v>
      </c>
    </row>
    <row r="632" spans="1:7">
      <c r="A632" s="24" t="s">
        <v>4113</v>
      </c>
      <c r="B632" s="24" t="s">
        <v>4114</v>
      </c>
      <c r="C632" s="24" t="s">
        <v>4115</v>
      </c>
      <c r="D632" s="151" t="s">
        <v>4566</v>
      </c>
      <c r="E632" s="151" t="s">
        <v>4567</v>
      </c>
      <c r="F632" s="151"/>
      <c r="G632" s="52" t="str">
        <f t="shared" si="9"/>
        <v>C8 8E:叛军浪士之铠 胸甲</v>
      </c>
    </row>
    <row r="633" spans="1:7">
      <c r="A633" s="24" t="s">
        <v>4113</v>
      </c>
      <c r="B633" s="24" t="s">
        <v>4114</v>
      </c>
      <c r="C633" s="24" t="s">
        <v>4118</v>
      </c>
      <c r="D633" s="151" t="s">
        <v>4568</v>
      </c>
      <c r="E633" s="151" t="s">
        <v>4569</v>
      </c>
      <c r="F633" s="151"/>
      <c r="G633" s="52" t="str">
        <f t="shared" si="9"/>
        <v>27 34:叛军浪士之铠 臂甲</v>
      </c>
    </row>
    <row r="634" spans="1:7">
      <c r="A634" s="24" t="s">
        <v>4113</v>
      </c>
      <c r="B634" s="24" t="s">
        <v>4114</v>
      </c>
      <c r="C634" s="24" t="s">
        <v>4121</v>
      </c>
      <c r="D634" s="151" t="s">
        <v>4570</v>
      </c>
      <c r="E634" s="151" t="s">
        <v>4571</v>
      </c>
      <c r="F634" s="151"/>
      <c r="G634" s="52" t="str">
        <f t="shared" si="9"/>
        <v>B0 37:叛军浪士之铠 膝甲</v>
      </c>
    </row>
    <row r="635" spans="1:7">
      <c r="A635" s="24" t="s">
        <v>4113</v>
      </c>
      <c r="B635" s="24" t="s">
        <v>4114</v>
      </c>
      <c r="C635" s="24" t="s">
        <v>4124</v>
      </c>
      <c r="D635" s="151" t="s">
        <v>4572</v>
      </c>
      <c r="E635" s="151" t="s">
        <v>4573</v>
      </c>
      <c r="F635" s="151"/>
      <c r="G635" s="52" t="str">
        <f t="shared" si="9"/>
        <v>D1 AE:叛军浪士之铠 腿甲</v>
      </c>
    </row>
    <row r="636" spans="1:7">
      <c r="A636" s="24" t="s">
        <v>4113</v>
      </c>
      <c r="B636" s="24" t="s">
        <v>4114</v>
      </c>
      <c r="C636" s="24" t="s">
        <v>4133</v>
      </c>
      <c r="D636" s="151" t="s">
        <v>4574</v>
      </c>
      <c r="E636" s="151" t="s">
        <v>4575</v>
      </c>
      <c r="F636" s="151"/>
      <c r="G636" s="52" t="str">
        <f t="shared" si="9"/>
        <v>A5 6F:百万石之铠 头盔</v>
      </c>
    </row>
    <row r="637" spans="1:7">
      <c r="A637" s="24" t="s">
        <v>4113</v>
      </c>
      <c r="B637" s="24" t="s">
        <v>4114</v>
      </c>
      <c r="C637" s="24" t="s">
        <v>4115</v>
      </c>
      <c r="D637" s="151" t="s">
        <v>4576</v>
      </c>
      <c r="E637" s="151" t="s">
        <v>4577</v>
      </c>
      <c r="F637" s="151"/>
      <c r="G637" s="52" t="str">
        <f t="shared" si="9"/>
        <v>C5 44:百万石之铠 胸甲</v>
      </c>
    </row>
    <row r="638" spans="1:7">
      <c r="A638" s="24" t="s">
        <v>4113</v>
      </c>
      <c r="B638" s="24" t="s">
        <v>4114</v>
      </c>
      <c r="C638" s="24" t="s">
        <v>4118</v>
      </c>
      <c r="D638" s="151" t="s">
        <v>4578</v>
      </c>
      <c r="E638" s="151" t="s">
        <v>4579</v>
      </c>
      <c r="F638" s="151"/>
      <c r="G638" s="52" t="str">
        <f t="shared" si="9"/>
        <v>20 A7:百万石之铠 臂甲</v>
      </c>
    </row>
    <row r="639" spans="1:7">
      <c r="A639" s="24" t="s">
        <v>4113</v>
      </c>
      <c r="B639" s="24" t="s">
        <v>4114</v>
      </c>
      <c r="C639" s="24" t="s">
        <v>4121</v>
      </c>
      <c r="D639" s="151" t="s">
        <v>4580</v>
      </c>
      <c r="E639" s="151" t="s">
        <v>4581</v>
      </c>
      <c r="F639" s="151"/>
      <c r="G639" s="52" t="str">
        <f t="shared" si="9"/>
        <v>41 16:百万石之铠 膝甲</v>
      </c>
    </row>
    <row r="640" spans="1:7">
      <c r="A640" s="24" t="s">
        <v>4113</v>
      </c>
      <c r="B640" s="24" t="s">
        <v>4114</v>
      </c>
      <c r="C640" s="24" t="s">
        <v>4124</v>
      </c>
      <c r="D640" s="151" t="s">
        <v>4582</v>
      </c>
      <c r="E640" s="151" t="s">
        <v>4583</v>
      </c>
      <c r="F640" s="151"/>
      <c r="G640" s="52" t="str">
        <f t="shared" si="9"/>
        <v>3C 7A:百万石之铠 腿甲</v>
      </c>
    </row>
    <row r="641" spans="1:7">
      <c r="A641" s="24" t="s">
        <v>4113</v>
      </c>
      <c r="B641" s="24" t="s">
        <v>4114</v>
      </c>
      <c r="C641" s="24" t="s">
        <v>4133</v>
      </c>
      <c r="D641" s="151" t="s">
        <v>4584</v>
      </c>
      <c r="E641" s="151" t="s">
        <v>4585</v>
      </c>
      <c r="F641" s="151"/>
      <c r="G641" s="52" t="str">
        <f t="shared" si="9"/>
        <v>F3 63:一玄居士之衣 面具</v>
      </c>
    </row>
    <row r="642" spans="1:7">
      <c r="A642" s="24" t="s">
        <v>4113</v>
      </c>
      <c r="B642" s="24" t="s">
        <v>4114</v>
      </c>
      <c r="C642" s="24" t="s">
        <v>4115</v>
      </c>
      <c r="D642" s="151" t="s">
        <v>4586</v>
      </c>
      <c r="E642" s="151" t="s">
        <v>4587</v>
      </c>
      <c r="F642" s="151"/>
      <c r="G642" s="52" t="str">
        <f t="shared" ref="G642:G705" si="10">D642&amp;":"&amp;E642</f>
        <v>0C CE:一玄居士之衣 上衣</v>
      </c>
    </row>
    <row r="643" spans="1:7">
      <c r="A643" s="24" t="s">
        <v>4113</v>
      </c>
      <c r="B643" s="24" t="s">
        <v>4114</v>
      </c>
      <c r="C643" s="24" t="s">
        <v>4118</v>
      </c>
      <c r="D643" s="151" t="s">
        <v>4588</v>
      </c>
      <c r="E643" s="151" t="s">
        <v>4589</v>
      </c>
      <c r="F643" s="151"/>
      <c r="G643" s="52" t="str">
        <f t="shared" si="10"/>
        <v>93 5E:一玄居士之衣 袖套</v>
      </c>
    </row>
    <row r="644" spans="1:7">
      <c r="A644" s="24" t="s">
        <v>4113</v>
      </c>
      <c r="B644" s="24" t="s">
        <v>4114</v>
      </c>
      <c r="C644" s="24" t="s">
        <v>4121</v>
      </c>
      <c r="D644" s="151" t="s">
        <v>4590</v>
      </c>
      <c r="E644" s="151" t="s">
        <v>4591</v>
      </c>
      <c r="F644" s="151"/>
      <c r="G644" s="52" t="str">
        <f t="shared" si="10"/>
        <v>53 7B:一玄居士之衣 裤裙</v>
      </c>
    </row>
    <row r="645" spans="1:7">
      <c r="A645" s="24" t="s">
        <v>4113</v>
      </c>
      <c r="B645" s="24" t="s">
        <v>4114</v>
      </c>
      <c r="C645" s="24" t="s">
        <v>4124</v>
      </c>
      <c r="D645" s="151" t="s">
        <v>4592</v>
      </c>
      <c r="E645" s="151" t="s">
        <v>4593</v>
      </c>
      <c r="F645" s="151"/>
      <c r="G645" s="52" t="str">
        <f t="shared" si="10"/>
        <v>6C 01:一玄居士之衣 足履</v>
      </c>
    </row>
    <row r="646" spans="1:7">
      <c r="A646" s="24" t="s">
        <v>4113</v>
      </c>
      <c r="B646" s="24" t="s">
        <v>4114</v>
      </c>
      <c r="C646" s="24" t="s">
        <v>4133</v>
      </c>
      <c r="D646" s="151" t="s">
        <v>4594</v>
      </c>
      <c r="E646" s="151" t="s">
        <v>4595</v>
      </c>
      <c r="F646" s="151"/>
      <c r="G646" s="52" t="str">
        <f t="shared" si="10"/>
        <v>88 F7:副将军之铠 头盔</v>
      </c>
    </row>
    <row r="647" spans="1:7">
      <c r="A647" s="24" t="s">
        <v>4113</v>
      </c>
      <c r="B647" s="24" t="s">
        <v>4114</v>
      </c>
      <c r="C647" s="24" t="s">
        <v>4115</v>
      </c>
      <c r="D647" s="151" t="s">
        <v>4596</v>
      </c>
      <c r="E647" s="151" t="s">
        <v>4597</v>
      </c>
      <c r="F647" s="151"/>
      <c r="G647" s="52" t="str">
        <f t="shared" si="10"/>
        <v>1F 90:副将军之铠 胸甲</v>
      </c>
    </row>
    <row r="648" spans="1:7">
      <c r="A648" s="24" t="s">
        <v>4113</v>
      </c>
      <c r="B648" s="24" t="s">
        <v>4114</v>
      </c>
      <c r="C648" s="24" t="s">
        <v>4118</v>
      </c>
      <c r="D648" s="151" t="s">
        <v>4598</v>
      </c>
      <c r="E648" s="151" t="s">
        <v>4599</v>
      </c>
      <c r="F648" s="151"/>
      <c r="G648" s="52" t="str">
        <f t="shared" si="10"/>
        <v>89 B3:副将军之铠 臂甲</v>
      </c>
    </row>
    <row r="649" spans="1:7">
      <c r="A649" s="24" t="s">
        <v>4113</v>
      </c>
      <c r="B649" s="24" t="s">
        <v>4114</v>
      </c>
      <c r="C649" s="24" t="s">
        <v>4121</v>
      </c>
      <c r="D649" s="151" t="s">
        <v>4600</v>
      </c>
      <c r="E649" s="151" t="s">
        <v>4601</v>
      </c>
      <c r="F649" s="151"/>
      <c r="G649" s="52" t="str">
        <f t="shared" si="10"/>
        <v>62 7C:副将军之铠 膝甲</v>
      </c>
    </row>
    <row r="650" spans="1:7">
      <c r="A650" s="24" t="s">
        <v>4113</v>
      </c>
      <c r="B650" s="24" t="s">
        <v>4114</v>
      </c>
      <c r="C650" s="24" t="s">
        <v>4124</v>
      </c>
      <c r="D650" s="151" t="s">
        <v>4602</v>
      </c>
      <c r="E650" s="151" t="s">
        <v>4603</v>
      </c>
      <c r="F650" s="151"/>
      <c r="G650" s="52" t="str">
        <f t="shared" si="10"/>
        <v>FB 9A:副将军之铠 腿甲</v>
      </c>
    </row>
    <row r="651" spans="1:7">
      <c r="A651" s="24" t="s">
        <v>4113</v>
      </c>
      <c r="B651" s="24" t="s">
        <v>4114</v>
      </c>
      <c r="C651" s="24" t="s">
        <v>4133</v>
      </c>
      <c r="D651" s="151" t="s">
        <v>4604</v>
      </c>
      <c r="E651" s="151" t="s">
        <v>4605</v>
      </c>
      <c r="F651" s="151"/>
      <c r="G651" s="52" t="str">
        <f t="shared" si="10"/>
        <v>8A BC:智慧伊豆之衣 头巾</v>
      </c>
    </row>
    <row r="652" spans="1:7">
      <c r="A652" s="24" t="s">
        <v>4113</v>
      </c>
      <c r="B652" s="24" t="s">
        <v>4114</v>
      </c>
      <c r="C652" s="24" t="s">
        <v>4115</v>
      </c>
      <c r="D652" s="151" t="s">
        <v>4606</v>
      </c>
      <c r="E652" s="151" t="s">
        <v>4607</v>
      </c>
      <c r="F652" s="151"/>
      <c r="G652" s="52" t="str">
        <f t="shared" si="10"/>
        <v>0A 7D:智慧伊豆之衣 肩衣</v>
      </c>
    </row>
    <row r="653" spans="1:7">
      <c r="A653" s="24" t="s">
        <v>4113</v>
      </c>
      <c r="B653" s="24" t="s">
        <v>4114</v>
      </c>
      <c r="C653" s="24" t="s">
        <v>4118</v>
      </c>
      <c r="D653" s="151" t="s">
        <v>4608</v>
      </c>
      <c r="E653" s="151" t="s">
        <v>4609</v>
      </c>
      <c r="F653" s="151"/>
      <c r="G653" s="52" t="str">
        <f t="shared" si="10"/>
        <v>5B 87:智慧伊豆之衣 臂甲</v>
      </c>
    </row>
    <row r="654" spans="1:7">
      <c r="A654" s="24" t="s">
        <v>4113</v>
      </c>
      <c r="B654" s="24" t="s">
        <v>4114</v>
      </c>
      <c r="C654" s="24" t="s">
        <v>4121</v>
      </c>
      <c r="D654" s="151" t="s">
        <v>4610</v>
      </c>
      <c r="E654" s="151" t="s">
        <v>4611</v>
      </c>
      <c r="F654" s="151"/>
      <c r="G654" s="52" t="str">
        <f t="shared" si="10"/>
        <v>33 D6:智慧伊豆之衣 裤裙</v>
      </c>
    </row>
    <row r="655" spans="1:7">
      <c r="A655" s="24" t="s">
        <v>4113</v>
      </c>
      <c r="B655" s="24" t="s">
        <v>4114</v>
      </c>
      <c r="C655" s="24" t="s">
        <v>4124</v>
      </c>
      <c r="D655" s="151" t="s">
        <v>4612</v>
      </c>
      <c r="E655" s="151" t="s">
        <v>4613</v>
      </c>
      <c r="F655" s="151"/>
      <c r="G655" s="52" t="str">
        <f t="shared" si="10"/>
        <v>4C 80:智慧伊豆之衣 草鞋</v>
      </c>
    </row>
    <row r="656" spans="1:7">
      <c r="A656" s="24" t="s">
        <v>4113</v>
      </c>
      <c r="B656" s="24" t="s">
        <v>4114</v>
      </c>
      <c r="C656" s="24" t="s">
        <v>4115</v>
      </c>
      <c r="D656" s="151" t="s">
        <v>4614</v>
      </c>
      <c r="E656" s="151" t="s">
        <v>4615</v>
      </c>
      <c r="F656" s="151"/>
      <c r="G656" s="52" t="str">
        <f t="shared" si="10"/>
        <v>18 04:又右卫门之衣 胸甲</v>
      </c>
    </row>
    <row r="657" spans="1:7">
      <c r="A657" s="24" t="s">
        <v>4113</v>
      </c>
      <c r="B657" s="24" t="s">
        <v>4114</v>
      </c>
      <c r="C657" s="24" t="s">
        <v>4118</v>
      </c>
      <c r="D657" s="151" t="s">
        <v>4616</v>
      </c>
      <c r="E657" s="151" t="s">
        <v>4617</v>
      </c>
      <c r="F657" s="151"/>
      <c r="G657" s="52" t="str">
        <f t="shared" si="10"/>
        <v>D3 E2:又右卫门之衣 臂甲</v>
      </c>
    </row>
    <row r="658" spans="1:7">
      <c r="A658" s="24" t="s">
        <v>4113</v>
      </c>
      <c r="B658" s="24" t="s">
        <v>4114</v>
      </c>
      <c r="C658" s="24" t="s">
        <v>4121</v>
      </c>
      <c r="D658" s="151" t="s">
        <v>4618</v>
      </c>
      <c r="E658" s="151" t="s">
        <v>4619</v>
      </c>
      <c r="F658" s="151"/>
      <c r="G658" s="52" t="str">
        <f t="shared" si="10"/>
        <v>CD 33:又右卫门之衣 膝甲</v>
      </c>
    </row>
    <row r="659" spans="1:7">
      <c r="A659" s="24" t="s">
        <v>4113</v>
      </c>
      <c r="B659" s="24" t="s">
        <v>4114</v>
      </c>
      <c r="C659" s="24" t="s">
        <v>4124</v>
      </c>
      <c r="D659" s="151" t="s">
        <v>4620</v>
      </c>
      <c r="E659" s="151" t="s">
        <v>4621</v>
      </c>
      <c r="F659" s="151"/>
      <c r="G659" s="52" t="str">
        <f t="shared" si="10"/>
        <v>6E 18:又右卫门之衣 腿甲</v>
      </c>
    </row>
    <row r="660" spans="1:7">
      <c r="A660" s="24" t="s">
        <v>4113</v>
      </c>
      <c r="B660" s="24" t="s">
        <v>4114</v>
      </c>
      <c r="C660" s="24" t="s">
        <v>4133</v>
      </c>
      <c r="D660" s="151" t="s">
        <v>4622</v>
      </c>
      <c r="E660" s="151" t="s">
        <v>4623</v>
      </c>
      <c r="F660" s="151"/>
      <c r="G660" s="52" t="str">
        <f t="shared" si="10"/>
        <v>7F D7:独眼剑豪之衣 斗笠</v>
      </c>
    </row>
    <row r="661" spans="1:7">
      <c r="A661" s="24" t="s">
        <v>4113</v>
      </c>
      <c r="B661" s="24" t="s">
        <v>4114</v>
      </c>
      <c r="C661" s="24" t="s">
        <v>4115</v>
      </c>
      <c r="D661" s="151" t="s">
        <v>4624</v>
      </c>
      <c r="E661" s="151" t="s">
        <v>4625</v>
      </c>
      <c r="F661" s="151"/>
      <c r="G661" s="52" t="str">
        <f t="shared" si="10"/>
        <v>6C 80:独眼剑豪之衣 胸甲</v>
      </c>
    </row>
    <row r="662" spans="1:7">
      <c r="A662" s="24" t="s">
        <v>4113</v>
      </c>
      <c r="B662" s="24" t="s">
        <v>4114</v>
      </c>
      <c r="C662" s="24" t="s">
        <v>4118</v>
      </c>
      <c r="D662" s="151" t="s">
        <v>4626</v>
      </c>
      <c r="E662" s="151" t="s">
        <v>4627</v>
      </c>
      <c r="F662" s="151"/>
      <c r="G662" s="52" t="str">
        <f t="shared" si="10"/>
        <v>BB 32:独眼剑豪之衣 臂甲</v>
      </c>
    </row>
    <row r="663" spans="1:7">
      <c r="A663" s="24" t="s">
        <v>4113</v>
      </c>
      <c r="B663" s="24" t="s">
        <v>4114</v>
      </c>
      <c r="C663" s="24" t="s">
        <v>4121</v>
      </c>
      <c r="D663" s="151" t="s">
        <v>4628</v>
      </c>
      <c r="E663" s="151" t="s">
        <v>4629</v>
      </c>
      <c r="F663" s="151"/>
      <c r="G663" s="52" t="str">
        <f t="shared" si="10"/>
        <v>7F 95:独眼剑豪之衣 膝甲</v>
      </c>
    </row>
    <row r="664" spans="1:7">
      <c r="A664" s="24" t="s">
        <v>4113</v>
      </c>
      <c r="B664" s="24" t="s">
        <v>4114</v>
      </c>
      <c r="C664" s="24" t="s">
        <v>4124</v>
      </c>
      <c r="D664" s="151" t="s">
        <v>4630</v>
      </c>
      <c r="E664" s="151" t="s">
        <v>4631</v>
      </c>
      <c r="F664" s="151"/>
      <c r="G664" s="52" t="str">
        <f t="shared" si="10"/>
        <v>D3 9B:独眼剑豪之衣 腿甲</v>
      </c>
    </row>
    <row r="665" spans="1:7">
      <c r="A665" s="24" t="s">
        <v>4113</v>
      </c>
      <c r="B665" s="24" t="s">
        <v>4114</v>
      </c>
      <c r="C665" s="24" t="s">
        <v>4133</v>
      </c>
      <c r="D665" s="151" t="s">
        <v>4632</v>
      </c>
      <c r="E665" s="151" t="s">
        <v>4633</v>
      </c>
      <c r="F665" s="151"/>
      <c r="G665" s="52" t="str">
        <f t="shared" si="10"/>
        <v>D2 E5:黑漆涂雁金形盔</v>
      </c>
    </row>
    <row r="666" spans="1:7">
      <c r="A666" s="24" t="s">
        <v>4113</v>
      </c>
      <c r="B666" s="24" t="s">
        <v>4114</v>
      </c>
      <c r="C666" s="24" t="s">
        <v>4133</v>
      </c>
      <c r="D666" s="151" t="s">
        <v>4634</v>
      </c>
      <c r="E666" s="151" t="s">
        <v>4635</v>
      </c>
      <c r="F666" s="151"/>
      <c r="G666" s="52" t="str">
        <f t="shared" si="10"/>
        <v>24 E1:猪前立头盔</v>
      </c>
    </row>
    <row r="667" spans="1:7">
      <c r="A667" s="24" t="s">
        <v>4113</v>
      </c>
      <c r="B667" s="24" t="s">
        <v>4114</v>
      </c>
      <c r="C667" s="24" t="s">
        <v>4133</v>
      </c>
      <c r="D667" s="151" t="s">
        <v>4636</v>
      </c>
      <c r="E667" s="151" t="s">
        <v>4637</v>
      </c>
      <c r="F667" s="151"/>
      <c r="G667" s="52" t="str">
        <f t="shared" si="10"/>
        <v>DD 1A:扇前立头盔</v>
      </c>
    </row>
    <row r="668" spans="1:7">
      <c r="A668" s="24" t="s">
        <v>4113</v>
      </c>
      <c r="B668" s="24" t="s">
        <v>4114</v>
      </c>
      <c r="C668" s="24" t="s">
        <v>4133</v>
      </c>
      <c r="D668" s="151" t="s">
        <v>4638</v>
      </c>
      <c r="E668" s="151" t="s">
        <v>4639</v>
      </c>
      <c r="F668" s="151"/>
      <c r="G668" s="52" t="str">
        <f t="shared" si="10"/>
        <v>97 DD:三钴剑前立头盔</v>
      </c>
    </row>
    <row r="669" spans="1:7">
      <c r="A669" s="24" t="s">
        <v>4113</v>
      </c>
      <c r="B669" s="24" t="s">
        <v>4114</v>
      </c>
      <c r="C669" s="24" t="s">
        <v>4133</v>
      </c>
      <c r="D669" s="151" t="s">
        <v>4640</v>
      </c>
      <c r="E669" s="151" t="s">
        <v>4641</v>
      </c>
      <c r="F669" s="151"/>
      <c r="G669" s="52" t="str">
        <f t="shared" si="10"/>
        <v>E3 A6:蝾螺形盔</v>
      </c>
    </row>
    <row r="670" spans="1:7">
      <c r="A670" s="24" t="s">
        <v>4113</v>
      </c>
      <c r="B670" s="24" t="s">
        <v>4114</v>
      </c>
      <c r="C670" s="24" t="s">
        <v>4133</v>
      </c>
      <c r="D670" s="151" t="s">
        <v>4642</v>
      </c>
      <c r="E670" s="151" t="s">
        <v>4643</v>
      </c>
      <c r="F670" s="151"/>
      <c r="G670" s="52" t="str">
        <f t="shared" si="10"/>
        <v>33 89:铁三枚张峰界形盔</v>
      </c>
    </row>
    <row r="671" spans="1:7">
      <c r="A671" s="24" t="s">
        <v>4113</v>
      </c>
      <c r="B671" s="24" t="s">
        <v>4114</v>
      </c>
      <c r="C671" s="24" t="s">
        <v>4133</v>
      </c>
      <c r="D671" s="151" t="s">
        <v>4644</v>
      </c>
      <c r="E671" s="151" t="s">
        <v>4645</v>
      </c>
      <c r="F671" s="151"/>
      <c r="G671" s="52" t="str">
        <f t="shared" si="10"/>
        <v>F5 10:六字名号头盔</v>
      </c>
    </row>
    <row r="672" spans="1:7">
      <c r="A672" s="24" t="s">
        <v>4113</v>
      </c>
      <c r="B672" s="24" t="s">
        <v>4114</v>
      </c>
      <c r="C672" s="24" t="s">
        <v>4133</v>
      </c>
      <c r="D672" s="151" t="s">
        <v>4646</v>
      </c>
      <c r="E672" s="151" t="s">
        <v>4647</v>
      </c>
      <c r="F672" s="151"/>
      <c r="G672" s="52" t="str">
        <f t="shared" si="10"/>
        <v>B7 0F:稿编笠形盔</v>
      </c>
    </row>
    <row r="673" spans="1:7">
      <c r="A673" s="24" t="s">
        <v>4113</v>
      </c>
      <c r="B673" s="24" t="s">
        <v>4114</v>
      </c>
      <c r="C673" s="24" t="s">
        <v>4133</v>
      </c>
      <c r="D673" s="151" t="s">
        <v>4648</v>
      </c>
      <c r="E673" s="151" t="s">
        <v>4649</v>
      </c>
      <c r="F673" s="151"/>
      <c r="G673" s="52" t="str">
        <f t="shared" si="10"/>
        <v>50 ED:爱字前立头盔</v>
      </c>
    </row>
    <row r="674" spans="1:7">
      <c r="A674" s="24" t="s">
        <v>4113</v>
      </c>
      <c r="B674" s="24" t="s">
        <v>4114</v>
      </c>
      <c r="C674" s="24" t="s">
        <v>4133</v>
      </c>
      <c r="D674" s="151" t="s">
        <v>4650</v>
      </c>
      <c r="E674" s="151" t="s">
        <v>4651</v>
      </c>
      <c r="F674" s="151"/>
      <c r="G674" s="52" t="str">
        <f t="shared" si="10"/>
        <v>6A 65:改良冠形盔</v>
      </c>
    </row>
    <row r="675" spans="1:7">
      <c r="A675" s="24" t="s">
        <v>4113</v>
      </c>
      <c r="B675" s="24" t="s">
        <v>4114</v>
      </c>
      <c r="C675" s="24" t="s">
        <v>4133</v>
      </c>
      <c r="D675" s="151" t="s">
        <v>4652</v>
      </c>
      <c r="E675" s="151" t="s">
        <v>4653</v>
      </c>
      <c r="F675" s="151"/>
      <c r="G675" s="52" t="str">
        <f t="shared" si="10"/>
        <v>1B C4:龙头形盔</v>
      </c>
    </row>
    <row r="676" spans="1:7">
      <c r="A676" s="24" t="s">
        <v>4113</v>
      </c>
      <c r="B676" s="24" t="s">
        <v>4114</v>
      </c>
      <c r="C676" s="24" t="s">
        <v>4133</v>
      </c>
      <c r="D676" s="151" t="s">
        <v>4654</v>
      </c>
      <c r="E676" s="151" t="s">
        <v>4655</v>
      </c>
      <c r="F676" s="151"/>
      <c r="G676" s="52" t="str">
        <f t="shared" si="10"/>
        <v>1F 40:蜷曲蛇形盔</v>
      </c>
    </row>
    <row r="677" spans="1:7">
      <c r="A677" s="24" t="s">
        <v>4113</v>
      </c>
      <c r="B677" s="24" t="s">
        <v>4114</v>
      </c>
      <c r="C677" s="24" t="s">
        <v>4133</v>
      </c>
      <c r="D677" s="151" t="s">
        <v>4656</v>
      </c>
      <c r="E677" s="151" t="s">
        <v>4657</v>
      </c>
      <c r="F677" s="151"/>
      <c r="G677" s="52" t="str">
        <f t="shared" si="10"/>
        <v>94 54:毛虫前立鸟毛胁立头盔</v>
      </c>
    </row>
    <row r="678" spans="1:7">
      <c r="A678" s="24" t="s">
        <v>4113</v>
      </c>
      <c r="B678" s="24" t="s">
        <v>4114</v>
      </c>
      <c r="C678" s="24" t="s">
        <v>4133</v>
      </c>
      <c r="D678" s="151" t="s">
        <v>4658</v>
      </c>
      <c r="E678" s="151" t="s">
        <v>4659</v>
      </c>
      <c r="F678" s="151"/>
      <c r="G678" s="52" t="str">
        <f t="shared" si="10"/>
        <v>44 F0:富士山形盔</v>
      </c>
    </row>
    <row r="679" spans="1:7">
      <c r="A679" s="24" t="s">
        <v>4113</v>
      </c>
      <c r="B679" s="24" t="s">
        <v>4114</v>
      </c>
      <c r="C679" s="24" t="s">
        <v>4133</v>
      </c>
      <c r="D679" s="151" t="s">
        <v>4660</v>
      </c>
      <c r="E679" s="151" t="s">
        <v>4661</v>
      </c>
      <c r="F679" s="151"/>
      <c r="G679" s="52" t="str">
        <f t="shared" si="10"/>
        <v>43 80:螺形乌帽子</v>
      </c>
    </row>
    <row r="680" spans="1:7">
      <c r="A680" s="24" t="s">
        <v>4113</v>
      </c>
      <c r="B680" s="24" t="s">
        <v>4114</v>
      </c>
      <c r="C680" s="24" t="s">
        <v>4133</v>
      </c>
      <c r="D680" s="151" t="s">
        <v>4662</v>
      </c>
      <c r="E680" s="151" t="s">
        <v>4663</v>
      </c>
      <c r="F680" s="151"/>
      <c r="G680" s="52" t="str">
        <f t="shared" si="10"/>
        <v>A3 6B:千千古头盔</v>
      </c>
    </row>
    <row r="681" spans="1:7">
      <c r="A681" s="24" t="s">
        <v>4113</v>
      </c>
      <c r="B681" s="24" t="s">
        <v>4114</v>
      </c>
      <c r="C681" s="24" t="s">
        <v>4133</v>
      </c>
      <c r="D681" s="151" t="s">
        <v>4664</v>
      </c>
      <c r="E681" s="151" t="s">
        <v>4665</v>
      </c>
      <c r="F681" s="151"/>
      <c r="G681" s="52" t="str">
        <f t="shared" si="10"/>
        <v>43 77:草薙形盔</v>
      </c>
    </row>
    <row r="682" spans="1:7">
      <c r="A682" s="24" t="s">
        <v>4113</v>
      </c>
      <c r="B682" s="24" t="s">
        <v>4114</v>
      </c>
      <c r="C682" s="24" t="s">
        <v>4133</v>
      </c>
      <c r="D682" s="151" t="s">
        <v>4666</v>
      </c>
      <c r="E682" s="151" t="s">
        <v>4667</v>
      </c>
      <c r="F682" s="151"/>
      <c r="G682" s="52" t="str">
        <f t="shared" si="10"/>
        <v>62 DA:丹青双蛇头盔</v>
      </c>
    </row>
    <row r="683" spans="1:7">
      <c r="A683" s="24" t="s">
        <v>4113</v>
      </c>
      <c r="B683" s="24" t="s">
        <v>4114</v>
      </c>
      <c r="C683" s="24" t="s">
        <v>4133</v>
      </c>
      <c r="D683" s="151" t="s">
        <v>4668</v>
      </c>
      <c r="E683" s="151" t="s">
        <v>4669</v>
      </c>
      <c r="F683" s="151"/>
      <c r="G683" s="52" t="str">
        <f t="shared" si="10"/>
        <v>41 4D:雷神头盔</v>
      </c>
    </row>
    <row r="684" spans="1:7">
      <c r="A684" s="24" t="s">
        <v>4113</v>
      </c>
      <c r="B684" s="24" t="s">
        <v>4114</v>
      </c>
      <c r="C684" s="24" t="s">
        <v>4133</v>
      </c>
      <c r="D684" s="151" t="s">
        <v>4670</v>
      </c>
      <c r="E684" s="151" t="s">
        <v>4671</v>
      </c>
      <c r="F684" s="151"/>
      <c r="G684" s="52" t="str">
        <f t="shared" si="10"/>
        <v>DD B3:总黑熊毛植盔</v>
      </c>
    </row>
    <row r="685" spans="1:7">
      <c r="A685" s="24" t="s">
        <v>4113</v>
      </c>
      <c r="B685" s="24" t="s">
        <v>4114</v>
      </c>
      <c r="C685" s="24" t="s">
        <v>4133</v>
      </c>
      <c r="D685" s="151" t="s">
        <v>4672</v>
      </c>
      <c r="E685" s="151" t="s">
        <v>4673</v>
      </c>
      <c r="F685" s="151"/>
      <c r="G685" s="52" t="str">
        <f t="shared" si="10"/>
        <v>E4 65:一之谷形盔</v>
      </c>
    </row>
    <row r="686" spans="1:7">
      <c r="A686" s="24" t="s">
        <v>4113</v>
      </c>
      <c r="B686" s="24" t="s">
        <v>4114</v>
      </c>
      <c r="C686" s="24" t="s">
        <v>4133</v>
      </c>
      <c r="D686" s="151" t="s">
        <v>4674</v>
      </c>
      <c r="E686" s="151" t="s">
        <v>4675</v>
      </c>
      <c r="F686" s="151"/>
      <c r="G686" s="52" t="str">
        <f t="shared" si="10"/>
        <v>F7 09:神符八日月前立头盔</v>
      </c>
    </row>
    <row r="687" spans="1:7">
      <c r="A687" s="24" t="s">
        <v>4113</v>
      </c>
      <c r="B687" s="24" t="s">
        <v>4114</v>
      </c>
      <c r="C687" s="24" t="s">
        <v>4133</v>
      </c>
      <c r="D687" s="151" t="s">
        <v>4676</v>
      </c>
      <c r="E687" s="151" t="s">
        <v>4677</v>
      </c>
      <c r="F687" s="151"/>
      <c r="G687" s="52" t="str">
        <f t="shared" si="10"/>
        <v>D4 DF:日轮前立头盔</v>
      </c>
    </row>
    <row r="688" spans="1:7">
      <c r="A688" s="24" t="s">
        <v>4113</v>
      </c>
      <c r="B688" s="24" t="s">
        <v>4114</v>
      </c>
      <c r="C688" s="24" t="s">
        <v>4133</v>
      </c>
      <c r="D688" s="151" t="s">
        <v>4678</v>
      </c>
      <c r="E688" s="151" t="s">
        <v>4679</v>
      </c>
      <c r="F688" s="151"/>
      <c r="G688" s="52" t="str">
        <f t="shared" si="10"/>
        <v>01 54:夜袭护颊</v>
      </c>
    </row>
    <row r="689" spans="1:7">
      <c r="A689" s="24" t="s">
        <v>4113</v>
      </c>
      <c r="B689" s="24" t="s">
        <v>4680</v>
      </c>
      <c r="C689" s="24" t="s">
        <v>4133</v>
      </c>
      <c r="D689" s="151" t="s">
        <v>4681</v>
      </c>
      <c r="E689" s="151" t="s">
        <v>4682</v>
      </c>
      <c r="F689" s="151"/>
      <c r="G689" s="52" t="str">
        <f t="shared" si="10"/>
        <v>89 AA:世嗣忍者装束 护额</v>
      </c>
    </row>
    <row r="690" spans="1:7">
      <c r="A690" s="24" t="s">
        <v>4113</v>
      </c>
      <c r="B690" s="24" t="s">
        <v>4680</v>
      </c>
      <c r="C690" s="24" t="s">
        <v>4115</v>
      </c>
      <c r="D690" s="151" t="s">
        <v>4683</v>
      </c>
      <c r="E690" s="151" t="s">
        <v>4684</v>
      </c>
      <c r="F690" s="151"/>
      <c r="G690" s="52" t="str">
        <f t="shared" si="10"/>
        <v>C6 DD:世嗣忍者装束 上衣</v>
      </c>
    </row>
    <row r="691" spans="1:7">
      <c r="A691" s="24" t="s">
        <v>4113</v>
      </c>
      <c r="B691" s="24" t="s">
        <v>4680</v>
      </c>
      <c r="C691" s="24" t="s">
        <v>4118</v>
      </c>
      <c r="D691" s="151" t="s">
        <v>4685</v>
      </c>
      <c r="E691" s="151" t="s">
        <v>4686</v>
      </c>
      <c r="F691" s="151"/>
      <c r="G691" s="52" t="str">
        <f t="shared" si="10"/>
        <v>68 1A:世嗣忍者装束 臂甲</v>
      </c>
    </row>
    <row r="692" spans="1:7">
      <c r="A692" s="24" t="s">
        <v>4113</v>
      </c>
      <c r="B692" s="24" t="s">
        <v>4680</v>
      </c>
      <c r="C692" s="24" t="s">
        <v>4121</v>
      </c>
      <c r="D692" s="151" t="s">
        <v>4687</v>
      </c>
      <c r="E692" s="151" t="s">
        <v>4688</v>
      </c>
      <c r="F692" s="151"/>
      <c r="G692" s="52" t="str">
        <f t="shared" si="10"/>
        <v>66 82:世嗣忍者装束 膝甲</v>
      </c>
    </row>
    <row r="693" spans="1:7">
      <c r="A693" s="24" t="s">
        <v>4113</v>
      </c>
      <c r="B693" s="24" t="s">
        <v>4680</v>
      </c>
      <c r="C693" s="24" t="s">
        <v>4124</v>
      </c>
      <c r="D693" s="151" t="s">
        <v>4689</v>
      </c>
      <c r="E693" s="151" t="s">
        <v>4690</v>
      </c>
      <c r="F693" s="151"/>
      <c r="G693" s="52" t="str">
        <f t="shared" si="10"/>
        <v>58 3D:世嗣忍者装束 腿甲</v>
      </c>
    </row>
    <row r="694" spans="1:7">
      <c r="A694" s="24" t="s">
        <v>4113</v>
      </c>
      <c r="B694" s="24" t="s">
        <v>4680</v>
      </c>
      <c r="C694" s="24" t="s">
        <v>4133</v>
      </c>
      <c r="D694" s="151" t="s">
        <v>4691</v>
      </c>
      <c r="E694" s="151" t="s">
        <v>4692</v>
      </c>
      <c r="F694" s="151"/>
      <c r="G694" s="52" t="str">
        <f t="shared" si="10"/>
        <v>47 43:凶王之衣 头冠</v>
      </c>
    </row>
    <row r="695" spans="1:7">
      <c r="A695" s="24" t="s">
        <v>4113</v>
      </c>
      <c r="B695" s="24" t="s">
        <v>4680</v>
      </c>
      <c r="C695" s="24" t="s">
        <v>4115</v>
      </c>
      <c r="D695" s="151" t="s">
        <v>4693</v>
      </c>
      <c r="E695" s="151" t="s">
        <v>4694</v>
      </c>
      <c r="F695" s="151"/>
      <c r="G695" s="52" t="str">
        <f t="shared" si="10"/>
        <v>C8 87:凶王之衣 项链</v>
      </c>
    </row>
    <row r="696" spans="1:7">
      <c r="A696" s="24" t="s">
        <v>4113</v>
      </c>
      <c r="B696" s="24" t="s">
        <v>4680</v>
      </c>
      <c r="C696" s="24" t="s">
        <v>4118</v>
      </c>
      <c r="D696" s="151" t="s">
        <v>4695</v>
      </c>
      <c r="E696" s="151" t="s">
        <v>4696</v>
      </c>
      <c r="F696" s="151"/>
      <c r="G696" s="52" t="str">
        <f t="shared" si="10"/>
        <v>45 D7:凶王之衣 臂甲</v>
      </c>
    </row>
    <row r="697" spans="1:7">
      <c r="A697" s="24" t="s">
        <v>4113</v>
      </c>
      <c r="B697" s="24" t="s">
        <v>4680</v>
      </c>
      <c r="C697" s="24" t="s">
        <v>4121</v>
      </c>
      <c r="D697" s="151" t="s">
        <v>4697</v>
      </c>
      <c r="E697" s="151" t="s">
        <v>4698</v>
      </c>
      <c r="F697" s="151"/>
      <c r="G697" s="52" t="str">
        <f t="shared" si="10"/>
        <v>F9 FA:凶王之衣 下衣</v>
      </c>
    </row>
    <row r="698" spans="1:7">
      <c r="A698" s="24" t="s">
        <v>4113</v>
      </c>
      <c r="B698" s="24" t="s">
        <v>4680</v>
      </c>
      <c r="C698" s="24" t="s">
        <v>4124</v>
      </c>
      <c r="D698" s="151" t="s">
        <v>4699</v>
      </c>
      <c r="E698" s="151" t="s">
        <v>4700</v>
      </c>
      <c r="F698" s="151"/>
      <c r="G698" s="52" t="str">
        <f t="shared" si="10"/>
        <v>9C B8:凶王之衣 足履</v>
      </c>
    </row>
    <row r="699" spans="1:7">
      <c r="A699" s="24" t="s">
        <v>4113</v>
      </c>
      <c r="B699" s="24" t="s">
        <v>4680</v>
      </c>
      <c r="C699" s="24" t="s">
        <v>4115</v>
      </c>
      <c r="D699" s="151" t="s">
        <v>4701</v>
      </c>
      <c r="E699" s="151" t="s">
        <v>4702</v>
      </c>
      <c r="F699" s="151"/>
      <c r="G699" s="52" t="str">
        <f t="shared" si="10"/>
        <v>16 29:奇兵队长装束 上衣</v>
      </c>
    </row>
    <row r="700" spans="1:7">
      <c r="A700" s="24" t="s">
        <v>4113</v>
      </c>
      <c r="B700" s="24" t="s">
        <v>4680</v>
      </c>
      <c r="C700" s="24" t="s">
        <v>4118</v>
      </c>
      <c r="D700" s="151" t="s">
        <v>4703</v>
      </c>
      <c r="E700" s="151" t="s">
        <v>4704</v>
      </c>
      <c r="F700" s="151"/>
      <c r="G700" s="52" t="str">
        <f t="shared" si="10"/>
        <v>EE EE:奇兵队长装束 臂甲</v>
      </c>
    </row>
    <row r="701" spans="1:7">
      <c r="A701" s="24" t="s">
        <v>4113</v>
      </c>
      <c r="B701" s="24" t="s">
        <v>4680</v>
      </c>
      <c r="C701" s="24" t="s">
        <v>4121</v>
      </c>
      <c r="D701" s="151" t="s">
        <v>4705</v>
      </c>
      <c r="E701" s="151" t="s">
        <v>4706</v>
      </c>
      <c r="F701" s="151"/>
      <c r="G701" s="52" t="str">
        <f t="shared" si="10"/>
        <v>61 7F:奇兵队长装束 下衣</v>
      </c>
    </row>
    <row r="702" spans="1:7">
      <c r="A702" s="24" t="s">
        <v>4113</v>
      </c>
      <c r="B702" s="24" t="s">
        <v>4680</v>
      </c>
      <c r="C702" s="24" t="s">
        <v>4124</v>
      </c>
      <c r="D702" s="151" t="s">
        <v>4707</v>
      </c>
      <c r="E702" s="151" t="s">
        <v>4708</v>
      </c>
      <c r="F702" s="151"/>
      <c r="G702" s="52" t="str">
        <f t="shared" si="10"/>
        <v>21 D9:奇兵队长装束 腿甲</v>
      </c>
    </row>
    <row r="703" spans="1:7">
      <c r="A703" s="24" t="s">
        <v>4113</v>
      </c>
      <c r="B703" s="24" t="s">
        <v>4680</v>
      </c>
      <c r="C703" s="24" t="s">
        <v>4133</v>
      </c>
      <c r="D703" s="151" t="s">
        <v>4709</v>
      </c>
      <c r="E703" s="151" t="s">
        <v>4710</v>
      </c>
      <c r="F703" s="151"/>
      <c r="G703" s="52" t="str">
        <f t="shared" si="10"/>
        <v>B0 FB:幕府军装束 阵笠</v>
      </c>
    </row>
    <row r="704" spans="1:7">
      <c r="A704" s="24" t="s">
        <v>4113</v>
      </c>
      <c r="B704" s="24" t="s">
        <v>4680</v>
      </c>
      <c r="C704" s="24" t="s">
        <v>4115</v>
      </c>
      <c r="D704" s="151" t="s">
        <v>4711</v>
      </c>
      <c r="E704" s="151" t="s">
        <v>4712</v>
      </c>
      <c r="F704" s="151"/>
      <c r="G704" s="52" t="str">
        <f t="shared" si="10"/>
        <v>02 1B:幕府军装束 上衣</v>
      </c>
    </row>
    <row r="705" spans="1:7">
      <c r="A705" s="24" t="s">
        <v>4113</v>
      </c>
      <c r="B705" s="24" t="s">
        <v>4680</v>
      </c>
      <c r="C705" s="24" t="s">
        <v>4121</v>
      </c>
      <c r="D705" s="151" t="s">
        <v>4713</v>
      </c>
      <c r="E705" s="151" t="s">
        <v>4714</v>
      </c>
      <c r="F705" s="151"/>
      <c r="G705" s="52" t="str">
        <f t="shared" si="10"/>
        <v>46 C5:幕府军装束 裤裙</v>
      </c>
    </row>
    <row r="706" spans="1:7">
      <c r="A706" s="24" t="s">
        <v>4113</v>
      </c>
      <c r="B706" s="24" t="s">
        <v>4680</v>
      </c>
      <c r="C706" s="24" t="s">
        <v>4124</v>
      </c>
      <c r="D706" s="151" t="s">
        <v>4715</v>
      </c>
      <c r="E706" s="151" t="s">
        <v>4716</v>
      </c>
      <c r="F706" s="151"/>
      <c r="G706" s="52" t="str">
        <f t="shared" ref="G706:G769" si="11">D706&amp;":"&amp;E706</f>
        <v>B5 AC:幕府军装束 绑腿</v>
      </c>
    </row>
    <row r="707" spans="1:7">
      <c r="A707" s="24" t="s">
        <v>4113</v>
      </c>
      <c r="B707" s="24" t="s">
        <v>4680</v>
      </c>
      <c r="C707" s="24" t="s">
        <v>4133</v>
      </c>
      <c r="D707" s="151" t="s">
        <v>4717</v>
      </c>
      <c r="E707" s="151" t="s">
        <v>4718</v>
      </c>
      <c r="F707" s="151"/>
      <c r="G707" s="52" t="str">
        <f t="shared" si="11"/>
        <v>1E DE:邪马台国轻铠 头盔</v>
      </c>
    </row>
    <row r="708" spans="1:7">
      <c r="A708" s="24" t="s">
        <v>4113</v>
      </c>
      <c r="B708" s="24" t="s">
        <v>4680</v>
      </c>
      <c r="C708" s="24" t="s">
        <v>4115</v>
      </c>
      <c r="D708" s="151" t="s">
        <v>4719</v>
      </c>
      <c r="E708" s="151" t="s">
        <v>4720</v>
      </c>
      <c r="F708" s="151"/>
      <c r="G708" s="52" t="str">
        <f t="shared" si="11"/>
        <v>16 55:邪马台国轻铠 胸甲</v>
      </c>
    </row>
    <row r="709" spans="1:7">
      <c r="A709" s="24" t="s">
        <v>4113</v>
      </c>
      <c r="B709" s="24" t="s">
        <v>4680</v>
      </c>
      <c r="C709" s="24" t="s">
        <v>4118</v>
      </c>
      <c r="D709" s="151" t="s">
        <v>4721</v>
      </c>
      <c r="E709" s="151" t="s">
        <v>4722</v>
      </c>
      <c r="F709" s="151"/>
      <c r="G709" s="52" t="str">
        <f t="shared" si="11"/>
        <v>22 87:邪马台国轻铠 臂甲</v>
      </c>
    </row>
    <row r="710" spans="1:7">
      <c r="A710" s="24" t="s">
        <v>4113</v>
      </c>
      <c r="B710" s="24" t="s">
        <v>4680</v>
      </c>
      <c r="C710" s="24" t="s">
        <v>4121</v>
      </c>
      <c r="D710" s="151" t="s">
        <v>4723</v>
      </c>
      <c r="E710" s="151" t="s">
        <v>4724</v>
      </c>
      <c r="F710" s="151"/>
      <c r="G710" s="52" t="str">
        <f t="shared" si="11"/>
        <v>D2 EB:邪马台国轻铠 下衣</v>
      </c>
    </row>
    <row r="711" spans="1:7">
      <c r="A711" s="24" t="s">
        <v>4113</v>
      </c>
      <c r="B711" s="24" t="s">
        <v>4680</v>
      </c>
      <c r="C711" s="24" t="s">
        <v>4124</v>
      </c>
      <c r="D711" s="151" t="s">
        <v>4725</v>
      </c>
      <c r="E711" s="151" t="s">
        <v>4726</v>
      </c>
      <c r="F711" s="151"/>
      <c r="G711" s="52" t="str">
        <f t="shared" si="11"/>
        <v>D9 00:邪马台国轻铠 腿甲</v>
      </c>
    </row>
    <row r="712" spans="1:7">
      <c r="A712" s="24" t="s">
        <v>4113</v>
      </c>
      <c r="B712" s="24" t="s">
        <v>4680</v>
      </c>
      <c r="C712" s="24" t="s">
        <v>4133</v>
      </c>
      <c r="D712" s="151" t="s">
        <v>4727</v>
      </c>
      <c r="E712" s="151" t="s">
        <v>4728</v>
      </c>
      <c r="F712" s="151"/>
      <c r="G712" s="52" t="str">
        <f t="shared" si="11"/>
        <v>31 79:风魔头领忍者装束 覆面</v>
      </c>
    </row>
    <row r="713" spans="1:7">
      <c r="A713" s="24" t="s">
        <v>4113</v>
      </c>
      <c r="B713" s="24" t="s">
        <v>4680</v>
      </c>
      <c r="C713" s="24" t="s">
        <v>4115</v>
      </c>
      <c r="D713" s="151" t="s">
        <v>4729</v>
      </c>
      <c r="E713" s="151" t="s">
        <v>4730</v>
      </c>
      <c r="F713" s="151"/>
      <c r="G713" s="52" t="str">
        <f t="shared" si="11"/>
        <v>22 20:风魔头领忍者装束 上衣</v>
      </c>
    </row>
    <row r="714" spans="1:7">
      <c r="A714" s="24" t="s">
        <v>4113</v>
      </c>
      <c r="B714" s="24" t="s">
        <v>4680</v>
      </c>
      <c r="C714" s="24" t="s">
        <v>4118</v>
      </c>
      <c r="D714" s="151" t="s">
        <v>4731</v>
      </c>
      <c r="E714" s="151" t="s">
        <v>4732</v>
      </c>
      <c r="F714" s="151"/>
      <c r="G714" s="52" t="str">
        <f t="shared" si="11"/>
        <v>D6 6C:风魔头领忍者装束 臂甲</v>
      </c>
    </row>
    <row r="715" spans="1:7">
      <c r="A715" s="24" t="s">
        <v>4113</v>
      </c>
      <c r="B715" s="24" t="s">
        <v>4680</v>
      </c>
      <c r="C715" s="24" t="s">
        <v>4121</v>
      </c>
      <c r="D715" s="151" t="s">
        <v>4733</v>
      </c>
      <c r="E715" s="151" t="s">
        <v>4734</v>
      </c>
      <c r="F715" s="151"/>
      <c r="G715" s="52" t="str">
        <f t="shared" si="11"/>
        <v>24 9E:风魔头领忍者装束 膝甲</v>
      </c>
    </row>
    <row r="716" spans="1:7">
      <c r="A716" s="24" t="s">
        <v>4113</v>
      </c>
      <c r="B716" s="24" t="s">
        <v>4680</v>
      </c>
      <c r="C716" s="24" t="s">
        <v>4124</v>
      </c>
      <c r="D716" s="151" t="s">
        <v>4735</v>
      </c>
      <c r="E716" s="151" t="s">
        <v>4736</v>
      </c>
      <c r="F716" s="151"/>
      <c r="G716" s="52" t="str">
        <f t="shared" si="11"/>
        <v>43 CC:风魔头领忍者装束 腿甲</v>
      </c>
    </row>
    <row r="717" spans="1:7">
      <c r="A717" s="24" t="s">
        <v>4113</v>
      </c>
      <c r="B717" s="24" t="s">
        <v>4680</v>
      </c>
      <c r="C717" s="24" t="s">
        <v>4133</v>
      </c>
      <c r="D717" s="151" t="s">
        <v>4737</v>
      </c>
      <c r="E717" s="151" t="s">
        <v>4738</v>
      </c>
      <c r="F717" s="151"/>
      <c r="G717" s="52" t="str">
        <f t="shared" si="11"/>
        <v>B7 9A:万两义贼之铠 面具</v>
      </c>
    </row>
    <row r="718" spans="1:7">
      <c r="A718" s="24" t="s">
        <v>4113</v>
      </c>
      <c r="B718" s="24" t="s">
        <v>4680</v>
      </c>
      <c r="C718" s="24" t="s">
        <v>4115</v>
      </c>
      <c r="D718" s="151" t="s">
        <v>4739</v>
      </c>
      <c r="E718" s="151" t="s">
        <v>4740</v>
      </c>
      <c r="F718" s="151"/>
      <c r="G718" s="52" t="str">
        <f t="shared" si="11"/>
        <v>83 A1:万两义贼之铠 胸甲</v>
      </c>
    </row>
    <row r="719" spans="1:7">
      <c r="A719" s="24" t="s">
        <v>4113</v>
      </c>
      <c r="B719" s="24" t="s">
        <v>4680</v>
      </c>
      <c r="C719" s="24" t="s">
        <v>4118</v>
      </c>
      <c r="D719" s="151" t="s">
        <v>4741</v>
      </c>
      <c r="E719" s="151" t="s">
        <v>4742</v>
      </c>
      <c r="F719" s="151"/>
      <c r="G719" s="52" t="str">
        <f t="shared" si="11"/>
        <v>EC 77:万两义贼之铠 臂甲</v>
      </c>
    </row>
    <row r="720" spans="1:7">
      <c r="A720" s="24" t="s">
        <v>4113</v>
      </c>
      <c r="B720" s="24" t="s">
        <v>4680</v>
      </c>
      <c r="C720" s="24" t="s">
        <v>4121</v>
      </c>
      <c r="D720" s="151" t="s">
        <v>4743</v>
      </c>
      <c r="E720" s="151" t="s">
        <v>4744</v>
      </c>
      <c r="F720" s="151"/>
      <c r="G720" s="52" t="str">
        <f t="shared" si="11"/>
        <v>DC D7:万两义贼之铠 膝甲</v>
      </c>
    </row>
    <row r="721" spans="1:7">
      <c r="A721" s="24" t="s">
        <v>4113</v>
      </c>
      <c r="B721" s="24" t="s">
        <v>4680</v>
      </c>
      <c r="C721" s="24" t="s">
        <v>4124</v>
      </c>
      <c r="D721" s="151" t="s">
        <v>4745</v>
      </c>
      <c r="E721" s="151" t="s">
        <v>4746</v>
      </c>
      <c r="F721" s="151"/>
      <c r="G721" s="52" t="str">
        <f t="shared" si="11"/>
        <v>26 EA:万两义贼之铠 腿甲</v>
      </c>
    </row>
    <row r="722" spans="1:7">
      <c r="A722" s="24" t="s">
        <v>4113</v>
      </c>
      <c r="B722" s="24" t="s">
        <v>4680</v>
      </c>
      <c r="C722" s="24" t="s">
        <v>4133</v>
      </c>
      <c r="D722" s="151" t="s">
        <v>4747</v>
      </c>
      <c r="E722" s="151" t="s">
        <v>4748</v>
      </c>
      <c r="F722" s="151"/>
      <c r="G722" s="52" t="str">
        <f t="shared" si="11"/>
        <v>59 F2:最后的忍者装束 面具</v>
      </c>
    </row>
    <row r="723" spans="1:7">
      <c r="A723" s="24" t="s">
        <v>4113</v>
      </c>
      <c r="B723" s="24" t="s">
        <v>4680</v>
      </c>
      <c r="C723" s="24" t="s">
        <v>4115</v>
      </c>
      <c r="D723" s="151" t="s">
        <v>4749</v>
      </c>
      <c r="E723" s="151" t="s">
        <v>4750</v>
      </c>
      <c r="F723" s="151"/>
      <c r="G723" s="52" t="str">
        <f t="shared" si="11"/>
        <v>72 D8:最后的忍者装束 胸甲</v>
      </c>
    </row>
    <row r="724" spans="1:7">
      <c r="A724" s="24" t="s">
        <v>4113</v>
      </c>
      <c r="B724" s="24" t="s">
        <v>4680</v>
      </c>
      <c r="C724" s="24" t="s">
        <v>4118</v>
      </c>
      <c r="D724" s="151" t="s">
        <v>4751</v>
      </c>
      <c r="E724" s="151" t="s">
        <v>4752</v>
      </c>
      <c r="F724" s="151"/>
      <c r="G724" s="52" t="str">
        <f t="shared" si="11"/>
        <v>E8 3B:最后的忍者装束 臂甲</v>
      </c>
    </row>
    <row r="725" spans="1:7">
      <c r="A725" s="24" t="s">
        <v>4113</v>
      </c>
      <c r="B725" s="24" t="s">
        <v>4680</v>
      </c>
      <c r="C725" s="24" t="s">
        <v>4121</v>
      </c>
      <c r="D725" s="151" t="s">
        <v>4753</v>
      </c>
      <c r="E725" s="151" t="s">
        <v>4754</v>
      </c>
      <c r="F725" s="151"/>
      <c r="G725" s="52" t="str">
        <f t="shared" si="11"/>
        <v>59 0A:最后的忍者装束 膝甲</v>
      </c>
    </row>
    <row r="726" spans="1:7">
      <c r="A726" s="24" t="s">
        <v>4113</v>
      </c>
      <c r="B726" s="24" t="s">
        <v>4680</v>
      </c>
      <c r="C726" s="24" t="s">
        <v>4124</v>
      </c>
      <c r="D726" s="151" t="s">
        <v>4755</v>
      </c>
      <c r="E726" s="151" t="s">
        <v>4756</v>
      </c>
      <c r="F726" s="151"/>
      <c r="G726" s="52" t="str">
        <f t="shared" si="11"/>
        <v>B5 BE:最后的忍者装束 腿甲</v>
      </c>
    </row>
    <row r="727" spans="1:7">
      <c r="A727" s="24" t="s">
        <v>4113</v>
      </c>
      <c r="B727" s="24" t="s">
        <v>4680</v>
      </c>
      <c r="C727" s="24" t="s">
        <v>4133</v>
      </c>
      <c r="D727" s="151" t="s">
        <v>4757</v>
      </c>
      <c r="E727" s="151" t="s">
        <v>4758</v>
      </c>
      <c r="F727" s="151"/>
      <c r="G727" s="52" t="str">
        <f t="shared" si="11"/>
        <v>4C AC:御庭番忍者装束 护额</v>
      </c>
    </row>
    <row r="728" spans="1:7">
      <c r="A728" s="24" t="s">
        <v>4113</v>
      </c>
      <c r="B728" s="24" t="s">
        <v>4680</v>
      </c>
      <c r="C728" s="24" t="s">
        <v>4115</v>
      </c>
      <c r="D728" s="151" t="s">
        <v>4759</v>
      </c>
      <c r="E728" s="151" t="s">
        <v>4760</v>
      </c>
      <c r="F728" s="151"/>
      <c r="G728" s="52" t="str">
        <f t="shared" si="11"/>
        <v>E0 D7:御庭番忍者装束 胸甲</v>
      </c>
    </row>
    <row r="729" spans="1:7">
      <c r="A729" s="24" t="s">
        <v>4113</v>
      </c>
      <c r="B729" s="24" t="s">
        <v>4680</v>
      </c>
      <c r="C729" s="24" t="s">
        <v>4118</v>
      </c>
      <c r="D729" s="151" t="s">
        <v>4761</v>
      </c>
      <c r="E729" s="151" t="s">
        <v>4762</v>
      </c>
      <c r="F729" s="151"/>
      <c r="G729" s="52" t="str">
        <f t="shared" si="11"/>
        <v>C0 08:御庭番忍者装束 臂甲</v>
      </c>
    </row>
    <row r="730" spans="1:7">
      <c r="A730" s="24" t="s">
        <v>4113</v>
      </c>
      <c r="B730" s="24" t="s">
        <v>4680</v>
      </c>
      <c r="C730" s="24" t="s">
        <v>4121</v>
      </c>
      <c r="D730" s="151" t="s">
        <v>4763</v>
      </c>
      <c r="E730" s="151" t="s">
        <v>4764</v>
      </c>
      <c r="F730" s="151"/>
      <c r="G730" s="52" t="str">
        <f t="shared" si="11"/>
        <v>14 C8:御庭番忍者装束 膝甲</v>
      </c>
    </row>
    <row r="731" spans="1:7">
      <c r="A731" s="24" t="s">
        <v>4113</v>
      </c>
      <c r="B731" s="24" t="s">
        <v>4680</v>
      </c>
      <c r="C731" s="24" t="s">
        <v>4124</v>
      </c>
      <c r="D731" s="151" t="s">
        <v>4765</v>
      </c>
      <c r="E731" s="151" t="s">
        <v>4766</v>
      </c>
      <c r="F731" s="151"/>
      <c r="G731" s="52" t="str">
        <f t="shared" si="11"/>
        <v>96 42:御庭番忍者装束 腿甲</v>
      </c>
    </row>
    <row r="732" spans="1:7">
      <c r="A732" s="24" t="s">
        <v>4113</v>
      </c>
      <c r="B732" s="24" t="s">
        <v>4680</v>
      </c>
      <c r="C732" s="24" t="s">
        <v>4133</v>
      </c>
      <c r="D732" s="151" t="s">
        <v>4767</v>
      </c>
      <c r="E732" s="151" t="s">
        <v>4768</v>
      </c>
      <c r="F732" s="151"/>
      <c r="G732" s="52" t="str">
        <f t="shared" si="11"/>
        <v>7B 7C:屈之装束 头巾</v>
      </c>
    </row>
    <row r="733" spans="1:7">
      <c r="A733" s="24" t="s">
        <v>4113</v>
      </c>
      <c r="B733" s="24" t="s">
        <v>4680</v>
      </c>
      <c r="C733" s="24" t="s">
        <v>4115</v>
      </c>
      <c r="D733" s="151" t="s">
        <v>4769</v>
      </c>
      <c r="E733" s="151" t="s">
        <v>4770</v>
      </c>
      <c r="F733" s="151"/>
      <c r="G733" s="52" t="str">
        <f t="shared" si="11"/>
        <v>A9 60:屈之装束 上衣</v>
      </c>
    </row>
    <row r="734" spans="1:7">
      <c r="A734" s="24" t="s">
        <v>4113</v>
      </c>
      <c r="B734" s="24" t="s">
        <v>4680</v>
      </c>
      <c r="C734" s="24" t="s">
        <v>4118</v>
      </c>
      <c r="D734" s="151" t="s">
        <v>4771</v>
      </c>
      <c r="E734" s="151" t="s">
        <v>4772</v>
      </c>
      <c r="F734" s="151"/>
      <c r="G734" s="52" t="str">
        <f t="shared" si="11"/>
        <v>8A 75:屈之装束 臂甲</v>
      </c>
    </row>
    <row r="735" spans="1:7">
      <c r="A735" s="24" t="s">
        <v>4113</v>
      </c>
      <c r="B735" s="24" t="s">
        <v>4680</v>
      </c>
      <c r="C735" s="24" t="s">
        <v>4121</v>
      </c>
      <c r="D735" s="151" t="s">
        <v>4773</v>
      </c>
      <c r="E735" s="151" t="s">
        <v>4774</v>
      </c>
      <c r="F735" s="151"/>
      <c r="G735" s="52" t="str">
        <f t="shared" si="11"/>
        <v>E0 88:屈之装束 裤裙</v>
      </c>
    </row>
    <row r="736" spans="1:7">
      <c r="A736" s="24" t="s">
        <v>4113</v>
      </c>
      <c r="B736" s="24" t="s">
        <v>4680</v>
      </c>
      <c r="C736" s="24" t="s">
        <v>4124</v>
      </c>
      <c r="D736" s="151" t="s">
        <v>4775</v>
      </c>
      <c r="E736" s="151" t="s">
        <v>4776</v>
      </c>
      <c r="F736" s="151"/>
      <c r="G736" s="52" t="str">
        <f t="shared" si="11"/>
        <v>4D D2:屈之装束 绑腿</v>
      </c>
    </row>
    <row r="737" spans="1:7">
      <c r="A737" s="24" t="s">
        <v>4113</v>
      </c>
      <c r="B737" s="24" t="s">
        <v>4680</v>
      </c>
      <c r="C737" s="24" t="s">
        <v>4133</v>
      </c>
      <c r="D737" s="151" t="s">
        <v>4777</v>
      </c>
      <c r="E737" s="151" t="s">
        <v>4778</v>
      </c>
      <c r="F737" s="151"/>
      <c r="G737" s="52" t="str">
        <f t="shared" si="11"/>
        <v>34 95:三者忍者装束 面具</v>
      </c>
    </row>
    <row r="738" spans="1:7">
      <c r="A738" s="24" t="s">
        <v>4113</v>
      </c>
      <c r="B738" s="24" t="s">
        <v>4680</v>
      </c>
      <c r="C738" s="24" t="s">
        <v>4115</v>
      </c>
      <c r="D738" s="151" t="s">
        <v>4779</v>
      </c>
      <c r="E738" s="151" t="s">
        <v>4780</v>
      </c>
      <c r="F738" s="151"/>
      <c r="G738" s="52" t="str">
        <f t="shared" si="11"/>
        <v>69 72:三者忍者装束 上衣</v>
      </c>
    </row>
    <row r="739" spans="1:7">
      <c r="A739" s="24" t="s">
        <v>4113</v>
      </c>
      <c r="B739" s="24" t="s">
        <v>4680</v>
      </c>
      <c r="C739" s="24" t="s">
        <v>4118</v>
      </c>
      <c r="D739" s="151" t="s">
        <v>4781</v>
      </c>
      <c r="E739" s="151" t="s">
        <v>4782</v>
      </c>
      <c r="F739" s="151"/>
      <c r="G739" s="52" t="str">
        <f t="shared" si="11"/>
        <v>A3 FB:三者忍者装束 臂甲</v>
      </c>
    </row>
    <row r="740" spans="1:7">
      <c r="A740" s="24" t="s">
        <v>4113</v>
      </c>
      <c r="B740" s="24" t="s">
        <v>4680</v>
      </c>
      <c r="C740" s="24" t="s">
        <v>4121</v>
      </c>
      <c r="D740" s="151" t="s">
        <v>4783</v>
      </c>
      <c r="E740" s="151" t="s">
        <v>4784</v>
      </c>
      <c r="F740" s="151"/>
      <c r="G740" s="52" t="str">
        <f t="shared" si="11"/>
        <v>BC AD:三者忍者装束 裤裙</v>
      </c>
    </row>
    <row r="741" spans="1:7">
      <c r="A741" s="24" t="s">
        <v>4113</v>
      </c>
      <c r="B741" s="24" t="s">
        <v>4680</v>
      </c>
      <c r="C741" s="24" t="s">
        <v>4124</v>
      </c>
      <c r="D741" s="151" t="s">
        <v>4785</v>
      </c>
      <c r="E741" s="151" t="s">
        <v>4786</v>
      </c>
      <c r="F741" s="151"/>
      <c r="G741" s="52" t="str">
        <f t="shared" si="11"/>
        <v>6B 16:三者忍者装束 腿甲</v>
      </c>
    </row>
    <row r="742" spans="1:7">
      <c r="A742" s="24" t="s">
        <v>4113</v>
      </c>
      <c r="B742" s="24" t="s">
        <v>4680</v>
      </c>
      <c r="C742" s="24" t="s">
        <v>4133</v>
      </c>
      <c r="D742" s="151" t="s">
        <v>4787</v>
      </c>
      <c r="E742" s="151" t="s">
        <v>4788</v>
      </c>
      <c r="F742" s="151"/>
      <c r="G742" s="52" t="str">
        <f t="shared" si="11"/>
        <v>90 30:修验者装束 头襟</v>
      </c>
    </row>
    <row r="743" spans="1:7">
      <c r="A743" s="24" t="s">
        <v>4113</v>
      </c>
      <c r="B743" s="24" t="s">
        <v>4680</v>
      </c>
      <c r="C743" s="24" t="s">
        <v>4115</v>
      </c>
      <c r="D743" s="151" t="s">
        <v>4789</v>
      </c>
      <c r="E743" s="151" t="s">
        <v>4790</v>
      </c>
      <c r="F743" s="151"/>
      <c r="G743" s="52" t="str">
        <f t="shared" si="11"/>
        <v>82 CE:修验者装束 上衣</v>
      </c>
    </row>
    <row r="744" spans="1:7">
      <c r="A744" s="24" t="s">
        <v>4113</v>
      </c>
      <c r="B744" s="24" t="s">
        <v>4680</v>
      </c>
      <c r="C744" s="24" t="s">
        <v>4118</v>
      </c>
      <c r="D744" s="151" t="s">
        <v>4791</v>
      </c>
      <c r="E744" s="151" t="s">
        <v>4792</v>
      </c>
      <c r="F744" s="151"/>
      <c r="G744" s="52" t="str">
        <f t="shared" si="11"/>
        <v>11 64:修验者装束 臂甲</v>
      </c>
    </row>
    <row r="745" spans="1:7">
      <c r="A745" s="24" t="s">
        <v>4113</v>
      </c>
      <c r="B745" s="24" t="s">
        <v>4680</v>
      </c>
      <c r="C745" s="24" t="s">
        <v>4121</v>
      </c>
      <c r="D745" s="151" t="s">
        <v>4793</v>
      </c>
      <c r="E745" s="151" t="s">
        <v>4794</v>
      </c>
      <c r="F745" s="151"/>
      <c r="G745" s="52" t="str">
        <f t="shared" si="11"/>
        <v>E7 9B:修验者装束 裤裙</v>
      </c>
    </row>
    <row r="746" spans="1:7">
      <c r="A746" s="24" t="s">
        <v>4113</v>
      </c>
      <c r="B746" s="24" t="s">
        <v>4680</v>
      </c>
      <c r="C746" s="24" t="s">
        <v>4124</v>
      </c>
      <c r="D746" s="151" t="s">
        <v>4795</v>
      </c>
      <c r="E746" s="151" t="s">
        <v>4796</v>
      </c>
      <c r="F746" s="151"/>
      <c r="G746" s="52" t="str">
        <f t="shared" si="11"/>
        <v>86 88:修验者装束 草鞋</v>
      </c>
    </row>
    <row r="747" spans="1:7">
      <c r="A747" s="24" t="s">
        <v>4113</v>
      </c>
      <c r="B747" s="24" t="s">
        <v>4680</v>
      </c>
      <c r="C747" s="24" t="s">
        <v>4133</v>
      </c>
      <c r="D747" s="151" t="s">
        <v>4797</v>
      </c>
      <c r="E747" s="151" t="s">
        <v>4798</v>
      </c>
      <c r="F747" s="151"/>
      <c r="G747" s="52" t="str">
        <f t="shared" si="11"/>
        <v>E8 8E:水军装束 头巾</v>
      </c>
    </row>
    <row r="748" spans="1:7">
      <c r="A748" s="24" t="s">
        <v>4113</v>
      </c>
      <c r="B748" s="24" t="s">
        <v>4680</v>
      </c>
      <c r="C748" s="24" t="s">
        <v>4115</v>
      </c>
      <c r="D748" s="151" t="s">
        <v>4799</v>
      </c>
      <c r="E748" s="151" t="s">
        <v>4800</v>
      </c>
      <c r="F748" s="151"/>
      <c r="G748" s="52" t="str">
        <f t="shared" si="11"/>
        <v>0A E6:水军装束 上衣</v>
      </c>
    </row>
    <row r="749" spans="1:7">
      <c r="A749" s="24" t="s">
        <v>4113</v>
      </c>
      <c r="B749" s="24" t="s">
        <v>4680</v>
      </c>
      <c r="C749" s="24" t="s">
        <v>4118</v>
      </c>
      <c r="D749" s="151" t="s">
        <v>4801</v>
      </c>
      <c r="E749" s="151" t="s">
        <v>4802</v>
      </c>
      <c r="F749" s="151"/>
      <c r="G749" s="52" t="str">
        <f t="shared" si="11"/>
        <v>69 0A:水军装束 臂甲</v>
      </c>
    </row>
    <row r="750" spans="1:7">
      <c r="A750" s="24" t="s">
        <v>4113</v>
      </c>
      <c r="B750" s="24" t="s">
        <v>4680</v>
      </c>
      <c r="C750" s="24" t="s">
        <v>4121</v>
      </c>
      <c r="D750" s="151" t="s">
        <v>4803</v>
      </c>
      <c r="E750" s="151" t="s">
        <v>4804</v>
      </c>
      <c r="F750" s="151"/>
      <c r="G750" s="52" t="str">
        <f t="shared" si="11"/>
        <v>4D F0:水军装束 裤裙</v>
      </c>
    </row>
    <row r="751" spans="1:7">
      <c r="A751" s="24" t="s">
        <v>4113</v>
      </c>
      <c r="B751" s="24" t="s">
        <v>4680</v>
      </c>
      <c r="C751" s="24" t="s">
        <v>4124</v>
      </c>
      <c r="D751" s="151" t="s">
        <v>4805</v>
      </c>
      <c r="E751" s="151" t="s">
        <v>4806</v>
      </c>
      <c r="F751" s="151"/>
      <c r="G751" s="52" t="str">
        <f t="shared" si="11"/>
        <v>0A 73:水军装束 腿甲</v>
      </c>
    </row>
    <row r="752" spans="1:7">
      <c r="A752" s="24" t="s">
        <v>4113</v>
      </c>
      <c r="B752" s="24" t="s">
        <v>4680</v>
      </c>
      <c r="C752" s="24" t="s">
        <v>4133</v>
      </c>
      <c r="D752" s="151" t="s">
        <v>4807</v>
      </c>
      <c r="E752" s="151" t="s">
        <v>4808</v>
      </c>
      <c r="F752" s="151"/>
      <c r="G752" s="52" t="str">
        <f t="shared" si="11"/>
        <v>29 DC:射手装束 乌帽子</v>
      </c>
    </row>
    <row r="753" spans="1:7">
      <c r="A753" s="24" t="s">
        <v>4113</v>
      </c>
      <c r="B753" s="24" t="s">
        <v>4680</v>
      </c>
      <c r="C753" s="24" t="s">
        <v>4115</v>
      </c>
      <c r="D753" s="151" t="s">
        <v>4809</v>
      </c>
      <c r="E753" s="151" t="s">
        <v>4810</v>
      </c>
      <c r="F753" s="151"/>
      <c r="G753" s="52" t="str">
        <f t="shared" si="11"/>
        <v>67 71:射手装束 胸甲</v>
      </c>
    </row>
    <row r="754" spans="1:7">
      <c r="A754" s="24" t="s">
        <v>4113</v>
      </c>
      <c r="B754" s="24" t="s">
        <v>4680</v>
      </c>
      <c r="C754" s="24" t="s">
        <v>4118</v>
      </c>
      <c r="D754" s="151" t="s">
        <v>4811</v>
      </c>
      <c r="E754" s="151" t="s">
        <v>4812</v>
      </c>
      <c r="F754" s="151"/>
      <c r="G754" s="52" t="str">
        <f t="shared" si="11"/>
        <v>7E ED:射手装束 臂甲</v>
      </c>
    </row>
    <row r="755" spans="1:7">
      <c r="A755" s="24" t="s">
        <v>4113</v>
      </c>
      <c r="B755" s="24" t="s">
        <v>4680</v>
      </c>
      <c r="C755" s="24" t="s">
        <v>4121</v>
      </c>
      <c r="D755" s="151" t="s">
        <v>4813</v>
      </c>
      <c r="E755" s="151" t="s">
        <v>4814</v>
      </c>
      <c r="F755" s="151"/>
      <c r="G755" s="52" t="str">
        <f t="shared" si="11"/>
        <v>03 36:射手装束 膝甲</v>
      </c>
    </row>
    <row r="756" spans="1:7">
      <c r="A756" s="24" t="s">
        <v>4113</v>
      </c>
      <c r="B756" s="24" t="s">
        <v>4680</v>
      </c>
      <c r="C756" s="24" t="s">
        <v>4124</v>
      </c>
      <c r="D756" s="151" t="s">
        <v>4815</v>
      </c>
      <c r="E756" s="151" t="s">
        <v>4816</v>
      </c>
      <c r="F756" s="151"/>
      <c r="G756" s="52" t="str">
        <f t="shared" si="11"/>
        <v>06 AA:射手装束 腿甲</v>
      </c>
    </row>
    <row r="757" spans="1:7">
      <c r="A757" s="24" t="s">
        <v>4113</v>
      </c>
      <c r="B757" s="24" t="s">
        <v>4680</v>
      </c>
      <c r="C757" s="24" t="s">
        <v>4115</v>
      </c>
      <c r="D757" s="151" t="s">
        <v>4817</v>
      </c>
      <c r="E757" s="151" t="s">
        <v>4818</v>
      </c>
      <c r="F757" s="151"/>
      <c r="G757" s="52" t="str">
        <f t="shared" si="11"/>
        <v>D4 CC:落难御曹司装束 胸甲</v>
      </c>
    </row>
    <row r="758" spans="1:7">
      <c r="A758" s="24" t="s">
        <v>4113</v>
      </c>
      <c r="B758" s="24" t="s">
        <v>4680</v>
      </c>
      <c r="C758" s="24" t="s">
        <v>4118</v>
      </c>
      <c r="D758" s="151" t="s">
        <v>4819</v>
      </c>
      <c r="E758" s="151" t="s">
        <v>4820</v>
      </c>
      <c r="F758" s="151"/>
      <c r="G758" s="52" t="str">
        <f t="shared" si="11"/>
        <v>D6 6F:落难御曹司装束 臂甲</v>
      </c>
    </row>
    <row r="759" spans="1:7">
      <c r="A759" s="24" t="s">
        <v>4113</v>
      </c>
      <c r="B759" s="24" t="s">
        <v>4680</v>
      </c>
      <c r="C759" s="24" t="s">
        <v>4121</v>
      </c>
      <c r="D759" s="151" t="s">
        <v>4821</v>
      </c>
      <c r="E759" s="151" t="s">
        <v>4822</v>
      </c>
      <c r="F759" s="151"/>
      <c r="G759" s="52" t="str">
        <f t="shared" si="11"/>
        <v>1C 77:落难御曹司装束 裤裙</v>
      </c>
    </row>
    <row r="760" spans="1:7">
      <c r="A760" s="24" t="s">
        <v>4113</v>
      </c>
      <c r="B760" s="24" t="s">
        <v>4680</v>
      </c>
      <c r="C760" s="24" t="s">
        <v>4124</v>
      </c>
      <c r="D760" s="151" t="s">
        <v>4823</v>
      </c>
      <c r="E760" s="151" t="s">
        <v>4824</v>
      </c>
      <c r="F760" s="151"/>
      <c r="G760" s="52" t="str">
        <f t="shared" si="11"/>
        <v>F2 4C:落难御曹司装束 腿甲</v>
      </c>
    </row>
    <row r="761" spans="1:7">
      <c r="A761" s="24" t="s">
        <v>4113</v>
      </c>
      <c r="B761" s="24" t="s">
        <v>4680</v>
      </c>
      <c r="C761" s="24" t="s">
        <v>4133</v>
      </c>
      <c r="D761" s="151" t="s">
        <v>4825</v>
      </c>
      <c r="E761" s="151" t="s">
        <v>4826</v>
      </c>
      <c r="F761" s="151"/>
      <c r="G761" s="52" t="str">
        <f t="shared" si="11"/>
        <v>9C 60:暗行忍者装束 护额</v>
      </c>
    </row>
    <row r="762" spans="1:7">
      <c r="A762" s="24" t="s">
        <v>4113</v>
      </c>
      <c r="B762" s="24" t="s">
        <v>4680</v>
      </c>
      <c r="C762" s="24" t="s">
        <v>4115</v>
      </c>
      <c r="D762" s="151" t="s">
        <v>4827</v>
      </c>
      <c r="E762" s="151" t="s">
        <v>4828</v>
      </c>
      <c r="F762" s="151"/>
      <c r="G762" s="52" t="str">
        <f t="shared" si="11"/>
        <v>A0 53:暗行忍者装束 上衣</v>
      </c>
    </row>
    <row r="763" spans="1:7">
      <c r="A763" s="24" t="s">
        <v>4113</v>
      </c>
      <c r="B763" s="24" t="s">
        <v>4680</v>
      </c>
      <c r="C763" s="24" t="s">
        <v>4118</v>
      </c>
      <c r="D763" s="151" t="s">
        <v>4829</v>
      </c>
      <c r="E763" s="151" t="s">
        <v>4830</v>
      </c>
      <c r="F763" s="151"/>
      <c r="G763" s="52" t="str">
        <f t="shared" si="11"/>
        <v>A4 C2:暗行忍者装束 臂甲</v>
      </c>
    </row>
    <row r="764" spans="1:7">
      <c r="A764" s="24" t="s">
        <v>4113</v>
      </c>
      <c r="B764" s="24" t="s">
        <v>4680</v>
      </c>
      <c r="C764" s="24" t="s">
        <v>4121</v>
      </c>
      <c r="D764" s="151" t="s">
        <v>4831</v>
      </c>
      <c r="E764" s="151" t="s">
        <v>4832</v>
      </c>
      <c r="F764" s="151"/>
      <c r="G764" s="52" t="str">
        <f t="shared" si="11"/>
        <v>4B 95:暗行忍者装束 膝甲</v>
      </c>
    </row>
    <row r="765" spans="1:7">
      <c r="A765" s="24" t="s">
        <v>4113</v>
      </c>
      <c r="B765" s="24" t="s">
        <v>4680</v>
      </c>
      <c r="C765" s="24" t="s">
        <v>4124</v>
      </c>
      <c r="D765" s="151" t="s">
        <v>4833</v>
      </c>
      <c r="E765" s="151" t="s">
        <v>4834</v>
      </c>
      <c r="F765" s="151"/>
      <c r="G765" s="52" t="str">
        <f t="shared" si="11"/>
        <v>29 82:暗行忍者装束 腿甲</v>
      </c>
    </row>
    <row r="766" spans="1:7">
      <c r="A766" s="24" t="s">
        <v>4113</v>
      </c>
      <c r="B766" s="24" t="s">
        <v>4680</v>
      </c>
      <c r="C766" s="24" t="s">
        <v>4133</v>
      </c>
      <c r="D766" s="151" t="s">
        <v>4835</v>
      </c>
      <c r="E766" s="151" t="s">
        <v>4836</v>
      </c>
      <c r="F766" s="151"/>
      <c r="G766" s="52" t="str">
        <f t="shared" si="11"/>
        <v>53 88:霸王狙击装束 阵笠</v>
      </c>
    </row>
    <row r="767" spans="1:7">
      <c r="A767" s="24" t="s">
        <v>4113</v>
      </c>
      <c r="B767" s="24" t="s">
        <v>4680</v>
      </c>
      <c r="C767" s="24" t="s">
        <v>4115</v>
      </c>
      <c r="D767" s="151" t="s">
        <v>4837</v>
      </c>
      <c r="E767" s="151" t="s">
        <v>4838</v>
      </c>
      <c r="F767" s="151"/>
      <c r="G767" s="52" t="str">
        <f t="shared" si="11"/>
        <v>13 FF:霸王狙击装束 胸甲</v>
      </c>
    </row>
    <row r="768" spans="1:7">
      <c r="A768" s="24" t="s">
        <v>4113</v>
      </c>
      <c r="B768" s="24" t="s">
        <v>4680</v>
      </c>
      <c r="C768" s="24" t="s">
        <v>4118</v>
      </c>
      <c r="D768" s="151" t="s">
        <v>4839</v>
      </c>
      <c r="E768" s="151" t="s">
        <v>4840</v>
      </c>
      <c r="F768" s="151"/>
      <c r="G768" s="52" t="str">
        <f t="shared" si="11"/>
        <v>1A 2C:霸王狙击装束 臂甲</v>
      </c>
    </row>
    <row r="769" spans="1:7">
      <c r="A769" s="24" t="s">
        <v>4113</v>
      </c>
      <c r="B769" s="24" t="s">
        <v>4680</v>
      </c>
      <c r="C769" s="24" t="s">
        <v>4121</v>
      </c>
      <c r="D769" s="151" t="s">
        <v>4841</v>
      </c>
      <c r="E769" s="151" t="s">
        <v>4842</v>
      </c>
      <c r="F769" s="151"/>
      <c r="G769" s="52" t="str">
        <f t="shared" si="11"/>
        <v>DC 16:霸王狙击装束 膝甲</v>
      </c>
    </row>
    <row r="770" spans="1:7">
      <c r="A770" s="24" t="s">
        <v>4113</v>
      </c>
      <c r="B770" s="24" t="s">
        <v>4680</v>
      </c>
      <c r="C770" s="24" t="s">
        <v>4124</v>
      </c>
      <c r="D770" s="151" t="s">
        <v>4843</v>
      </c>
      <c r="E770" s="151" t="s">
        <v>4844</v>
      </c>
      <c r="F770" s="151"/>
      <c r="G770" s="52" t="str">
        <f t="shared" ref="G770:G833" si="12">D770&amp;":"&amp;E770</f>
        <v>6E 4E:霸王狙击装束 腿甲</v>
      </c>
    </row>
    <row r="771" spans="1:7">
      <c r="A771" s="24" t="s">
        <v>4113</v>
      </c>
      <c r="B771" s="24" t="s">
        <v>4680</v>
      </c>
      <c r="C771" s="24" t="s">
        <v>4133</v>
      </c>
      <c r="D771" s="151" t="s">
        <v>4845</v>
      </c>
      <c r="E771" s="151" t="s">
        <v>4846</v>
      </c>
      <c r="F771" s="151"/>
      <c r="G771" s="52" t="str">
        <f t="shared" si="12"/>
        <v>3C 55:平三之铠 面具</v>
      </c>
    </row>
    <row r="772" spans="1:7">
      <c r="A772" s="24" t="s">
        <v>4113</v>
      </c>
      <c r="B772" s="24" t="s">
        <v>4680</v>
      </c>
      <c r="C772" s="24" t="s">
        <v>4115</v>
      </c>
      <c r="D772" s="151" t="s">
        <v>4847</v>
      </c>
      <c r="E772" s="151" t="s">
        <v>4848</v>
      </c>
      <c r="F772" s="151"/>
      <c r="G772" s="52" t="str">
        <f t="shared" si="12"/>
        <v>A8 16:平三之铠 胸甲</v>
      </c>
    </row>
    <row r="773" spans="1:7">
      <c r="A773" s="24" t="s">
        <v>4113</v>
      </c>
      <c r="B773" s="24" t="s">
        <v>4680</v>
      </c>
      <c r="C773" s="24" t="s">
        <v>4118</v>
      </c>
      <c r="D773" s="151" t="s">
        <v>4849</v>
      </c>
      <c r="E773" s="151" t="s">
        <v>4850</v>
      </c>
      <c r="F773" s="151"/>
      <c r="G773" s="52" t="str">
        <f t="shared" si="12"/>
        <v>4F 28:平三之铠 臂甲</v>
      </c>
    </row>
    <row r="774" spans="1:7">
      <c r="A774" s="24" t="s">
        <v>4113</v>
      </c>
      <c r="B774" s="24" t="s">
        <v>4680</v>
      </c>
      <c r="C774" s="24" t="s">
        <v>4121</v>
      </c>
      <c r="D774" s="151" t="s">
        <v>4851</v>
      </c>
      <c r="E774" s="151" t="s">
        <v>4852</v>
      </c>
      <c r="F774" s="151"/>
      <c r="G774" s="52" t="str">
        <f t="shared" si="12"/>
        <v>E0 A5:平三之铠 膝甲</v>
      </c>
    </row>
    <row r="775" spans="1:7">
      <c r="A775" s="24" t="s">
        <v>4113</v>
      </c>
      <c r="B775" s="24" t="s">
        <v>4680</v>
      </c>
      <c r="C775" s="24" t="s">
        <v>4124</v>
      </c>
      <c r="D775" s="151" t="s">
        <v>4853</v>
      </c>
      <c r="E775" s="151" t="s">
        <v>4854</v>
      </c>
      <c r="F775" s="151"/>
      <c r="G775" s="52" t="str">
        <f t="shared" si="12"/>
        <v>2F CA:平三之铠 腿甲</v>
      </c>
    </row>
    <row r="776" spans="1:7">
      <c r="A776" s="24" t="s">
        <v>4113</v>
      </c>
      <c r="B776" s="24" t="s">
        <v>4680</v>
      </c>
      <c r="C776" s="24" t="s">
        <v>4133</v>
      </c>
      <c r="D776" s="151" t="s">
        <v>4855</v>
      </c>
      <c r="E776" s="151" t="s">
        <v>4856</v>
      </c>
      <c r="F776" s="151"/>
      <c r="G776" s="52" t="str">
        <f t="shared" si="12"/>
        <v>41 C6:圣人旅装 斗笠</v>
      </c>
    </row>
    <row r="777" spans="1:7">
      <c r="A777" s="24" t="s">
        <v>4113</v>
      </c>
      <c r="B777" s="24" t="s">
        <v>4680</v>
      </c>
      <c r="C777" s="24" t="s">
        <v>4115</v>
      </c>
      <c r="D777" s="151" t="s">
        <v>4857</v>
      </c>
      <c r="E777" s="151" t="s">
        <v>4858</v>
      </c>
      <c r="F777" s="151"/>
      <c r="G777" s="52" t="str">
        <f t="shared" si="12"/>
        <v>77 CD:圣人旅装 上衣</v>
      </c>
    </row>
    <row r="778" spans="1:7">
      <c r="A778" s="24" t="s">
        <v>4113</v>
      </c>
      <c r="B778" s="24" t="s">
        <v>4680</v>
      </c>
      <c r="C778" s="24" t="s">
        <v>4118</v>
      </c>
      <c r="D778" s="151" t="s">
        <v>4859</v>
      </c>
      <c r="E778" s="151" t="s">
        <v>4860</v>
      </c>
      <c r="F778" s="151"/>
      <c r="G778" s="52" t="str">
        <f t="shared" si="12"/>
        <v>C7 D7:圣人旅装 臂甲</v>
      </c>
    </row>
    <row r="779" spans="1:7">
      <c r="A779" s="24" t="s">
        <v>4113</v>
      </c>
      <c r="B779" s="24" t="s">
        <v>4680</v>
      </c>
      <c r="C779" s="24" t="s">
        <v>4121</v>
      </c>
      <c r="D779" s="151" t="s">
        <v>4861</v>
      </c>
      <c r="E779" s="151" t="s">
        <v>4862</v>
      </c>
      <c r="F779" s="151"/>
      <c r="G779" s="52" t="str">
        <f t="shared" si="12"/>
        <v>8B CF:圣人旅装 裤裙</v>
      </c>
    </row>
    <row r="780" spans="1:7">
      <c r="A780" s="24" t="s">
        <v>4113</v>
      </c>
      <c r="B780" s="24" t="s">
        <v>4680</v>
      </c>
      <c r="C780" s="24" t="s">
        <v>4124</v>
      </c>
      <c r="D780" s="151" t="s">
        <v>4863</v>
      </c>
      <c r="E780" s="151" t="s">
        <v>4864</v>
      </c>
      <c r="F780" s="151"/>
      <c r="G780" s="52" t="str">
        <f t="shared" si="12"/>
        <v>51 A0:圣人旅装 草鞋</v>
      </c>
    </row>
    <row r="781" spans="1:7">
      <c r="A781" s="24" t="s">
        <v>4113</v>
      </c>
      <c r="B781" s="24" t="s">
        <v>4680</v>
      </c>
      <c r="C781" s="24" t="s">
        <v>4133</v>
      </c>
      <c r="D781" s="151" t="s">
        <v>4865</v>
      </c>
      <c r="E781" s="151" t="s">
        <v>4866</v>
      </c>
      <c r="F781" s="151"/>
      <c r="G781" s="52" t="str">
        <f t="shared" si="12"/>
        <v>5E FF:八重垣流装束 面具</v>
      </c>
    </row>
    <row r="782" spans="1:7">
      <c r="A782" s="24" t="s">
        <v>4113</v>
      </c>
      <c r="B782" s="24" t="s">
        <v>4680</v>
      </c>
      <c r="C782" s="24" t="s">
        <v>4115</v>
      </c>
      <c r="D782" s="151" t="s">
        <v>4867</v>
      </c>
      <c r="E782" s="151" t="s">
        <v>4868</v>
      </c>
      <c r="F782" s="151"/>
      <c r="G782" s="52" t="str">
        <f t="shared" si="12"/>
        <v>5A 7A:八重垣流装束 胸甲</v>
      </c>
    </row>
    <row r="783" spans="1:7">
      <c r="A783" s="24" t="s">
        <v>4113</v>
      </c>
      <c r="B783" s="24" t="s">
        <v>4680</v>
      </c>
      <c r="C783" s="24" t="s">
        <v>4118</v>
      </c>
      <c r="D783" s="151" t="s">
        <v>4869</v>
      </c>
      <c r="E783" s="151" t="s">
        <v>4870</v>
      </c>
      <c r="F783" s="151"/>
      <c r="G783" s="52" t="str">
        <f t="shared" si="12"/>
        <v>C7 BD:八重垣流装束 臂甲</v>
      </c>
    </row>
    <row r="784" spans="1:7">
      <c r="A784" s="24" t="s">
        <v>4113</v>
      </c>
      <c r="B784" s="24" t="s">
        <v>4680</v>
      </c>
      <c r="C784" s="24" t="s">
        <v>4121</v>
      </c>
      <c r="D784" s="151" t="s">
        <v>4871</v>
      </c>
      <c r="E784" s="151" t="s">
        <v>4872</v>
      </c>
      <c r="F784" s="151"/>
      <c r="G784" s="52" t="str">
        <f t="shared" si="12"/>
        <v>46 54:八重垣流装束 膝甲</v>
      </c>
    </row>
    <row r="785" spans="1:7">
      <c r="A785" s="24" t="s">
        <v>4113</v>
      </c>
      <c r="B785" s="24" t="s">
        <v>4680</v>
      </c>
      <c r="C785" s="24" t="s">
        <v>4124</v>
      </c>
      <c r="D785" s="151" t="s">
        <v>4873</v>
      </c>
      <c r="E785" s="151" t="s">
        <v>4874</v>
      </c>
      <c r="F785" s="151"/>
      <c r="G785" s="52" t="str">
        <f t="shared" si="12"/>
        <v>5E BC:八重垣流装束 腿甲</v>
      </c>
    </row>
    <row r="786" spans="1:7">
      <c r="A786" s="24" t="s">
        <v>4113</v>
      </c>
      <c r="B786" s="24" t="s">
        <v>4680</v>
      </c>
      <c r="C786" s="24" t="s">
        <v>4115</v>
      </c>
      <c r="D786" s="151" t="s">
        <v>4875</v>
      </c>
      <c r="E786" s="151" t="s">
        <v>4876</v>
      </c>
      <c r="F786" s="151"/>
      <c r="G786" s="52" t="str">
        <f t="shared" si="12"/>
        <v>C4 32:凛然装束 上衣</v>
      </c>
    </row>
    <row r="787" spans="1:7">
      <c r="A787" s="24" t="s">
        <v>4113</v>
      </c>
      <c r="B787" s="24" t="s">
        <v>4680</v>
      </c>
      <c r="C787" s="24" t="s">
        <v>4118</v>
      </c>
      <c r="D787" s="151" t="s">
        <v>4877</v>
      </c>
      <c r="E787" s="151" t="s">
        <v>4878</v>
      </c>
      <c r="F787" s="151"/>
      <c r="G787" s="52" t="str">
        <f t="shared" si="12"/>
        <v>CB 2B:凛然装束 手套</v>
      </c>
    </row>
    <row r="788" spans="1:7">
      <c r="A788" s="24" t="s">
        <v>4113</v>
      </c>
      <c r="B788" s="24" t="s">
        <v>4680</v>
      </c>
      <c r="C788" s="24" t="s">
        <v>4121</v>
      </c>
      <c r="D788" s="151" t="s">
        <v>4879</v>
      </c>
      <c r="E788" s="151" t="s">
        <v>4880</v>
      </c>
      <c r="F788" s="151"/>
      <c r="G788" s="52" t="str">
        <f t="shared" si="12"/>
        <v>1D F3:凛然装束 下衣</v>
      </c>
    </row>
    <row r="789" spans="1:7">
      <c r="A789" s="24" t="s">
        <v>4113</v>
      </c>
      <c r="B789" s="24" t="s">
        <v>4680</v>
      </c>
      <c r="C789" s="24" t="s">
        <v>4124</v>
      </c>
      <c r="D789" s="151" t="s">
        <v>4881</v>
      </c>
      <c r="E789" s="151" t="s">
        <v>4882</v>
      </c>
      <c r="F789" s="151"/>
      <c r="G789" s="52" t="str">
        <f t="shared" si="12"/>
        <v>29 F6:凛然装束 靴子</v>
      </c>
    </row>
    <row r="790" spans="1:7">
      <c r="A790" s="24" t="s">
        <v>4113</v>
      </c>
      <c r="B790" s="24" t="s">
        <v>4680</v>
      </c>
      <c r="C790" s="24" t="s">
        <v>4133</v>
      </c>
      <c r="D790" s="151" t="s">
        <v>4883</v>
      </c>
      <c r="E790" s="151" t="s">
        <v>4884</v>
      </c>
      <c r="F790" s="151"/>
      <c r="G790" s="52" t="str">
        <f t="shared" si="12"/>
        <v>BF 1A:炎狱忍者装束 面具</v>
      </c>
    </row>
    <row r="791" spans="1:7">
      <c r="A791" s="24" t="s">
        <v>4113</v>
      </c>
      <c r="B791" s="24" t="s">
        <v>4680</v>
      </c>
      <c r="C791" s="24" t="s">
        <v>4115</v>
      </c>
      <c r="D791" s="151" t="s">
        <v>4885</v>
      </c>
      <c r="E791" s="151" t="s">
        <v>4886</v>
      </c>
      <c r="F791" s="151"/>
      <c r="G791" s="52" t="str">
        <f t="shared" si="12"/>
        <v>8D 1F:炎狱忍者装束 上衣</v>
      </c>
    </row>
    <row r="792" spans="1:7">
      <c r="A792" s="24" t="s">
        <v>4113</v>
      </c>
      <c r="B792" s="24" t="s">
        <v>4680</v>
      </c>
      <c r="C792" s="24" t="s">
        <v>4118</v>
      </c>
      <c r="D792" s="151" t="s">
        <v>4887</v>
      </c>
      <c r="E792" s="151" t="s">
        <v>4888</v>
      </c>
      <c r="F792" s="151"/>
      <c r="G792" s="52" t="str">
        <f t="shared" si="12"/>
        <v>B2 D5:炎狱忍者装束 臂甲</v>
      </c>
    </row>
    <row r="793" spans="1:7">
      <c r="A793" s="24" t="s">
        <v>4113</v>
      </c>
      <c r="B793" s="24" t="s">
        <v>4680</v>
      </c>
      <c r="C793" s="24" t="s">
        <v>4121</v>
      </c>
      <c r="D793" s="151" t="s">
        <v>4889</v>
      </c>
      <c r="E793" s="151" t="s">
        <v>4890</v>
      </c>
      <c r="F793" s="151"/>
      <c r="G793" s="52" t="str">
        <f t="shared" si="12"/>
        <v>20 67:炎狱忍者装束 膝甲</v>
      </c>
    </row>
    <row r="794" spans="1:7">
      <c r="A794" s="24" t="s">
        <v>4113</v>
      </c>
      <c r="B794" s="24" t="s">
        <v>4680</v>
      </c>
      <c r="C794" s="24" t="s">
        <v>4124</v>
      </c>
      <c r="D794" s="151" t="s">
        <v>4891</v>
      </c>
      <c r="E794" s="151" t="s">
        <v>4892</v>
      </c>
      <c r="F794" s="151"/>
      <c r="G794" s="52" t="str">
        <f t="shared" si="12"/>
        <v>9C 3B:炎狱忍者装束 腿甲</v>
      </c>
    </row>
    <row r="795" spans="1:7">
      <c r="A795" s="24" t="s">
        <v>4113</v>
      </c>
      <c r="B795" s="24" t="s">
        <v>4680</v>
      </c>
      <c r="C795" s="24" t="s">
        <v>4133</v>
      </c>
      <c r="D795" s="151" t="s">
        <v>4893</v>
      </c>
      <c r="E795" s="151" t="s">
        <v>4894</v>
      </c>
      <c r="F795" s="151"/>
      <c r="G795" s="52" t="str">
        <f t="shared" si="12"/>
        <v>52 7B:冰狱忍者装束 面具</v>
      </c>
    </row>
    <row r="796" spans="1:7">
      <c r="A796" s="24" t="s">
        <v>4113</v>
      </c>
      <c r="B796" s="24" t="s">
        <v>4680</v>
      </c>
      <c r="C796" s="24" t="s">
        <v>4115</v>
      </c>
      <c r="D796" s="151" t="s">
        <v>4895</v>
      </c>
      <c r="E796" s="151" t="s">
        <v>4896</v>
      </c>
      <c r="F796" s="151"/>
      <c r="G796" s="52" t="str">
        <f t="shared" si="12"/>
        <v>47 F2:冰狱忍者装束 上衣</v>
      </c>
    </row>
    <row r="797" spans="1:7">
      <c r="A797" s="24" t="s">
        <v>4113</v>
      </c>
      <c r="B797" s="24" t="s">
        <v>4680</v>
      </c>
      <c r="C797" s="24" t="s">
        <v>4118</v>
      </c>
      <c r="D797" s="151" t="s">
        <v>4897</v>
      </c>
      <c r="E797" s="151" t="s">
        <v>4898</v>
      </c>
      <c r="F797" s="151"/>
      <c r="G797" s="52" t="str">
        <f t="shared" si="12"/>
        <v>C9 A9:冰狱忍者装束 臂甲</v>
      </c>
    </row>
    <row r="798" spans="1:7">
      <c r="A798" s="24" t="s">
        <v>4113</v>
      </c>
      <c r="B798" s="24" t="s">
        <v>4680</v>
      </c>
      <c r="C798" s="24" t="s">
        <v>4121</v>
      </c>
      <c r="D798" s="151" t="s">
        <v>4899</v>
      </c>
      <c r="E798" s="151" t="s">
        <v>4900</v>
      </c>
      <c r="F798" s="151"/>
      <c r="G798" s="52" t="str">
        <f t="shared" si="12"/>
        <v>73 04:冰狱忍者装束 膝甲</v>
      </c>
    </row>
    <row r="799" spans="1:7">
      <c r="A799" s="24" t="s">
        <v>4113</v>
      </c>
      <c r="B799" s="24" t="s">
        <v>4680</v>
      </c>
      <c r="C799" s="24" t="s">
        <v>4124</v>
      </c>
      <c r="D799" s="151" t="s">
        <v>4901</v>
      </c>
      <c r="E799" s="151" t="s">
        <v>4902</v>
      </c>
      <c r="F799" s="151"/>
      <c r="G799" s="52" t="str">
        <f t="shared" si="12"/>
        <v>5D 18:冰狱忍者装束 腿甲</v>
      </c>
    </row>
    <row r="800" spans="1:7">
      <c r="A800" s="24" t="s">
        <v>4113</v>
      </c>
      <c r="B800" s="24" t="s">
        <v>4680</v>
      </c>
      <c r="C800" s="24" t="s">
        <v>4133</v>
      </c>
      <c r="D800" s="151" t="s">
        <v>4903</v>
      </c>
      <c r="E800" s="151" t="s">
        <v>4904</v>
      </c>
      <c r="F800" s="151"/>
      <c r="G800" s="52" t="str">
        <f t="shared" si="12"/>
        <v>B4 C5:万雷忍者装束 面具</v>
      </c>
    </row>
    <row r="801" spans="1:7">
      <c r="A801" s="24" t="s">
        <v>4113</v>
      </c>
      <c r="B801" s="24" t="s">
        <v>4680</v>
      </c>
      <c r="C801" s="24" t="s">
        <v>4115</v>
      </c>
      <c r="D801" s="151" t="s">
        <v>4905</v>
      </c>
      <c r="E801" s="151" t="s">
        <v>4906</v>
      </c>
      <c r="F801" s="151"/>
      <c r="G801" s="52" t="str">
        <f t="shared" si="12"/>
        <v>3F 96:万雷忍者装束 上衣</v>
      </c>
    </row>
    <row r="802" spans="1:7">
      <c r="A802" s="24" t="s">
        <v>4113</v>
      </c>
      <c r="B802" s="24" t="s">
        <v>4680</v>
      </c>
      <c r="C802" s="24" t="s">
        <v>4118</v>
      </c>
      <c r="D802" s="151" t="s">
        <v>4907</v>
      </c>
      <c r="E802" s="151" t="s">
        <v>4908</v>
      </c>
      <c r="F802" s="151"/>
      <c r="G802" s="52" t="str">
        <f t="shared" si="12"/>
        <v>A1 5A:万雷忍者装束 臂甲</v>
      </c>
    </row>
    <row r="803" spans="1:7">
      <c r="A803" s="24" t="s">
        <v>4113</v>
      </c>
      <c r="B803" s="24" t="s">
        <v>4680</v>
      </c>
      <c r="C803" s="24" t="s">
        <v>4121</v>
      </c>
      <c r="D803" s="151" t="s">
        <v>4909</v>
      </c>
      <c r="E803" s="151" t="s">
        <v>4910</v>
      </c>
      <c r="F803" s="151"/>
      <c r="G803" s="52" t="str">
        <f t="shared" si="12"/>
        <v>F7 B9:万雷忍者装束 膝甲</v>
      </c>
    </row>
    <row r="804" spans="1:7">
      <c r="A804" s="24" t="s">
        <v>4113</v>
      </c>
      <c r="B804" s="24" t="s">
        <v>4680</v>
      </c>
      <c r="C804" s="24" t="s">
        <v>4124</v>
      </c>
      <c r="D804" s="151" t="s">
        <v>4911</v>
      </c>
      <c r="E804" s="151" t="s">
        <v>4912</v>
      </c>
      <c r="F804" s="151"/>
      <c r="G804" s="52" t="str">
        <f t="shared" si="12"/>
        <v>A4 A1:万雷忍者装束 腿甲</v>
      </c>
    </row>
    <row r="805" spans="1:7">
      <c r="A805" s="24" t="s">
        <v>4113</v>
      </c>
      <c r="B805" s="24" t="s">
        <v>4680</v>
      </c>
      <c r="C805" s="24" t="s">
        <v>4115</v>
      </c>
      <c r="D805" s="151" t="s">
        <v>4913</v>
      </c>
      <c r="E805" s="151" t="s">
        <v>4363</v>
      </c>
      <c r="F805" s="151"/>
      <c r="G805" s="52" t="str">
        <f t="shared" si="12"/>
        <v>75 89:道服上衣</v>
      </c>
    </row>
    <row r="806" spans="1:7">
      <c r="A806" s="24" t="s">
        <v>4113</v>
      </c>
      <c r="B806" s="24" t="s">
        <v>4680</v>
      </c>
      <c r="C806" s="24" t="s">
        <v>4121</v>
      </c>
      <c r="D806" s="151" t="s">
        <v>4914</v>
      </c>
      <c r="E806" s="151" t="s">
        <v>4365</v>
      </c>
      <c r="F806" s="151"/>
      <c r="G806" s="52" t="str">
        <f t="shared" si="12"/>
        <v>0B 15:道服裤裙</v>
      </c>
    </row>
    <row r="807" spans="1:7">
      <c r="A807" s="24" t="s">
        <v>4113</v>
      </c>
      <c r="B807" s="24" t="s">
        <v>4680</v>
      </c>
      <c r="C807" s="24" t="s">
        <v>4133</v>
      </c>
      <c r="D807" s="151" t="s">
        <v>4915</v>
      </c>
      <c r="E807" s="151" t="s">
        <v>4916</v>
      </c>
      <c r="F807" s="151"/>
      <c r="G807" s="52" t="str">
        <f t="shared" si="12"/>
        <v>C9 8C:盗贼轻铠 面具</v>
      </c>
    </row>
    <row r="808" spans="1:7">
      <c r="A808" s="24" t="s">
        <v>4113</v>
      </c>
      <c r="B808" s="24" t="s">
        <v>4680</v>
      </c>
      <c r="C808" s="24" t="s">
        <v>4115</v>
      </c>
      <c r="D808" s="151" t="s">
        <v>4917</v>
      </c>
      <c r="E808" s="151" t="s">
        <v>4918</v>
      </c>
      <c r="F808" s="151"/>
      <c r="G808" s="52" t="str">
        <f t="shared" si="12"/>
        <v>8E C1:盗贼轻铠 胸甲</v>
      </c>
    </row>
    <row r="809" spans="1:7">
      <c r="A809" s="24" t="s">
        <v>4113</v>
      </c>
      <c r="B809" s="24" t="s">
        <v>4680</v>
      </c>
      <c r="C809" s="24" t="s">
        <v>4118</v>
      </c>
      <c r="D809" s="151" t="s">
        <v>4919</v>
      </c>
      <c r="E809" s="151" t="s">
        <v>4920</v>
      </c>
      <c r="F809" s="151"/>
      <c r="G809" s="52" t="str">
        <f t="shared" si="12"/>
        <v>6F F3:盗贼轻铠 臂甲</v>
      </c>
    </row>
    <row r="810" spans="1:7">
      <c r="A810" s="24" t="s">
        <v>4113</v>
      </c>
      <c r="B810" s="24" t="s">
        <v>4680</v>
      </c>
      <c r="C810" s="24" t="s">
        <v>4121</v>
      </c>
      <c r="D810" s="151" t="s">
        <v>4921</v>
      </c>
      <c r="E810" s="151" t="s">
        <v>4922</v>
      </c>
      <c r="F810" s="151"/>
      <c r="G810" s="52" t="str">
        <f t="shared" si="12"/>
        <v>F2 1C:盗贼轻铠 膝甲</v>
      </c>
    </row>
    <row r="811" spans="1:7">
      <c r="A811" s="24" t="s">
        <v>4113</v>
      </c>
      <c r="B811" s="24" t="s">
        <v>4680</v>
      </c>
      <c r="C811" s="24" t="s">
        <v>4124</v>
      </c>
      <c r="D811" s="151" t="s">
        <v>4923</v>
      </c>
      <c r="E811" s="151" t="s">
        <v>4924</v>
      </c>
      <c r="F811" s="151"/>
      <c r="G811" s="52" t="str">
        <f t="shared" si="12"/>
        <v>55 D3:盗贼轻铠 腿甲</v>
      </c>
    </row>
    <row r="812" spans="1:7">
      <c r="A812" s="24" t="s">
        <v>4113</v>
      </c>
      <c r="B812" s="24" t="s">
        <v>4680</v>
      </c>
      <c r="C812" s="24" t="s">
        <v>4133</v>
      </c>
      <c r="D812" s="151" t="s">
        <v>4925</v>
      </c>
      <c r="E812" s="151" t="s">
        <v>4926</v>
      </c>
      <c r="F812" s="151"/>
      <c r="G812" s="52" t="str">
        <f t="shared" si="12"/>
        <v>51 62:忍者装束 头巾</v>
      </c>
    </row>
    <row r="813" spans="1:7">
      <c r="A813" s="24" t="s">
        <v>4113</v>
      </c>
      <c r="B813" s="24" t="s">
        <v>4680</v>
      </c>
      <c r="C813" s="24" t="s">
        <v>4115</v>
      </c>
      <c r="D813" s="151" t="s">
        <v>4927</v>
      </c>
      <c r="E813" s="151" t="s">
        <v>4928</v>
      </c>
      <c r="F813" s="151"/>
      <c r="G813" s="52" t="str">
        <f t="shared" si="12"/>
        <v>9C 72:忍者装束 上衣</v>
      </c>
    </row>
    <row r="814" spans="1:7">
      <c r="A814" s="24" t="s">
        <v>4113</v>
      </c>
      <c r="B814" s="24" t="s">
        <v>4680</v>
      </c>
      <c r="C814" s="24" t="s">
        <v>4118</v>
      </c>
      <c r="D814" s="151" t="s">
        <v>4929</v>
      </c>
      <c r="E814" s="151" t="s">
        <v>4930</v>
      </c>
      <c r="F814" s="151"/>
      <c r="G814" s="52" t="str">
        <f t="shared" si="12"/>
        <v>E2 6B:忍者装束 臂甲</v>
      </c>
    </row>
    <row r="815" spans="1:7">
      <c r="A815" s="24" t="s">
        <v>4113</v>
      </c>
      <c r="B815" s="24" t="s">
        <v>4680</v>
      </c>
      <c r="C815" s="24" t="s">
        <v>4121</v>
      </c>
      <c r="D815" s="151" t="s">
        <v>4931</v>
      </c>
      <c r="E815" s="151" t="s">
        <v>4932</v>
      </c>
      <c r="F815" s="151"/>
      <c r="G815" s="52" t="str">
        <f t="shared" si="12"/>
        <v>60 EA:忍者装束 裤裙</v>
      </c>
    </row>
    <row r="816" spans="1:7">
      <c r="A816" s="24" t="s">
        <v>4113</v>
      </c>
      <c r="B816" s="24" t="s">
        <v>4680</v>
      </c>
      <c r="C816" s="24" t="s">
        <v>4124</v>
      </c>
      <c r="D816" s="151" t="s">
        <v>4933</v>
      </c>
      <c r="E816" s="151" t="s">
        <v>4934</v>
      </c>
      <c r="F816" s="151"/>
      <c r="G816" s="52" t="str">
        <f t="shared" si="12"/>
        <v>18 3C:忍者装束 绑腿</v>
      </c>
    </row>
    <row r="817" spans="1:7">
      <c r="A817" s="24" t="s">
        <v>4113</v>
      </c>
      <c r="B817" s="24" t="s">
        <v>4680</v>
      </c>
      <c r="C817" s="24" t="s">
        <v>4133</v>
      </c>
      <c r="D817" s="151" t="s">
        <v>4935</v>
      </c>
      <c r="E817" s="151" t="s">
        <v>4936</v>
      </c>
      <c r="F817" s="151"/>
      <c r="G817" s="52" t="str">
        <f t="shared" si="12"/>
        <v>DC B9:神官净衣 头冠／巫女净衣 头饰</v>
      </c>
    </row>
    <row r="818" spans="1:7">
      <c r="A818" s="24" t="s">
        <v>4113</v>
      </c>
      <c r="B818" s="24" t="s">
        <v>4680</v>
      </c>
      <c r="C818" s="24" t="s">
        <v>4115</v>
      </c>
      <c r="D818" s="151" t="s">
        <v>4937</v>
      </c>
      <c r="E818" s="151" t="s">
        <v>4938</v>
      </c>
      <c r="F818" s="151"/>
      <c r="G818" s="52" t="str">
        <f t="shared" si="12"/>
        <v>55 58:神官净衣 狩衣／巫女净衣 白衣</v>
      </c>
    </row>
    <row r="819" spans="1:7">
      <c r="A819" s="24" t="s">
        <v>4113</v>
      </c>
      <c r="B819" s="24" t="s">
        <v>4680</v>
      </c>
      <c r="C819" s="24" t="s">
        <v>4118</v>
      </c>
      <c r="D819" s="151" t="s">
        <v>4939</v>
      </c>
      <c r="E819" s="151" t="s">
        <v>4940</v>
      </c>
      <c r="F819" s="151"/>
      <c r="G819" s="52" t="str">
        <f t="shared" si="12"/>
        <v>3B E5:神官净衣 臂甲／巫女净衣 臂甲</v>
      </c>
    </row>
    <row r="820" spans="1:7">
      <c r="A820" s="24" t="s">
        <v>4113</v>
      </c>
      <c r="B820" s="24" t="s">
        <v>4680</v>
      </c>
      <c r="C820" s="24" t="s">
        <v>4121</v>
      </c>
      <c r="D820" s="151" t="s">
        <v>4941</v>
      </c>
      <c r="E820" s="151" t="s">
        <v>4942</v>
      </c>
      <c r="F820" s="151"/>
      <c r="G820" s="52" t="str">
        <f t="shared" si="12"/>
        <v>97 F5:神官净衣 裤裙／巫女净衣 绯裤裙</v>
      </c>
    </row>
    <row r="821" spans="1:7">
      <c r="A821" s="24" t="s">
        <v>4113</v>
      </c>
      <c r="B821" s="24" t="s">
        <v>4680</v>
      </c>
      <c r="C821" s="24" t="s">
        <v>4124</v>
      </c>
      <c r="D821" s="151" t="s">
        <v>4943</v>
      </c>
      <c r="E821" s="151" t="s">
        <v>4944</v>
      </c>
      <c r="F821" s="151"/>
      <c r="G821" s="52" t="str">
        <f t="shared" si="12"/>
        <v>9E CE:神官净衣 足履／巫女净衣 足履</v>
      </c>
    </row>
    <row r="822" spans="1:7">
      <c r="A822" s="24" t="s">
        <v>4113</v>
      </c>
      <c r="B822" s="24" t="s">
        <v>4680</v>
      </c>
      <c r="C822" s="24" t="s">
        <v>4133</v>
      </c>
      <c r="D822" s="151" t="s">
        <v>4945</v>
      </c>
      <c r="E822" s="151" t="s">
        <v>4946</v>
      </c>
      <c r="F822" s="151"/>
      <c r="G822" s="52" t="str">
        <f t="shared" si="12"/>
        <v>4F 95:风魔忍者装束 面具</v>
      </c>
    </row>
    <row r="823" spans="1:7">
      <c r="A823" s="24" t="s">
        <v>4113</v>
      </c>
      <c r="B823" s="24" t="s">
        <v>4680</v>
      </c>
      <c r="C823" s="24" t="s">
        <v>4115</v>
      </c>
      <c r="D823" s="151" t="s">
        <v>4947</v>
      </c>
      <c r="E823" s="151" t="s">
        <v>4948</v>
      </c>
      <c r="F823" s="151"/>
      <c r="G823" s="52" t="str">
        <f t="shared" si="12"/>
        <v>41 FC:风魔忍者装束 上衣</v>
      </c>
    </row>
    <row r="824" spans="1:7">
      <c r="A824" s="24" t="s">
        <v>4113</v>
      </c>
      <c r="B824" s="24" t="s">
        <v>4680</v>
      </c>
      <c r="C824" s="24" t="s">
        <v>4118</v>
      </c>
      <c r="D824" s="151" t="s">
        <v>4949</v>
      </c>
      <c r="E824" s="151" t="s">
        <v>4950</v>
      </c>
      <c r="F824" s="151"/>
      <c r="G824" s="52" t="str">
        <f t="shared" si="12"/>
        <v>5B 86:风魔忍者装束 臂甲</v>
      </c>
    </row>
    <row r="825" spans="1:7">
      <c r="A825" s="24" t="s">
        <v>4113</v>
      </c>
      <c r="B825" s="24" t="s">
        <v>4680</v>
      </c>
      <c r="C825" s="24" t="s">
        <v>4121</v>
      </c>
      <c r="D825" s="151" t="s">
        <v>4951</v>
      </c>
      <c r="E825" s="151" t="s">
        <v>4952</v>
      </c>
      <c r="F825" s="151"/>
      <c r="G825" s="52" t="str">
        <f t="shared" si="12"/>
        <v>52 0C:风魔忍者装束 裤裙</v>
      </c>
    </row>
    <row r="826" spans="1:7">
      <c r="A826" s="24" t="s">
        <v>4113</v>
      </c>
      <c r="B826" s="24" t="s">
        <v>4680</v>
      </c>
      <c r="C826" s="24" t="s">
        <v>4124</v>
      </c>
      <c r="D826" s="151" t="s">
        <v>4953</v>
      </c>
      <c r="E826" s="151" t="s">
        <v>4954</v>
      </c>
      <c r="F826" s="151"/>
      <c r="G826" s="52" t="str">
        <f t="shared" si="12"/>
        <v>4B 74:风魔忍者装束 腿甲</v>
      </c>
    </row>
    <row r="827" spans="1:7">
      <c r="A827" s="24" t="s">
        <v>4113</v>
      </c>
      <c r="B827" s="24" t="s">
        <v>4680</v>
      </c>
      <c r="C827" s="24" t="s">
        <v>4133</v>
      </c>
      <c r="D827" s="151" t="s">
        <v>4955</v>
      </c>
      <c r="E827" s="151" t="s">
        <v>4956</v>
      </c>
      <c r="F827" s="151"/>
      <c r="G827" s="52" t="str">
        <f t="shared" si="12"/>
        <v>49 C0:摆渡者装束 头巾</v>
      </c>
    </row>
    <row r="828" spans="1:7">
      <c r="A828" s="24" t="s">
        <v>4113</v>
      </c>
      <c r="B828" s="24" t="s">
        <v>4680</v>
      </c>
      <c r="C828" s="24" t="s">
        <v>4115</v>
      </c>
      <c r="D828" s="151" t="s">
        <v>4957</v>
      </c>
      <c r="E828" s="151" t="s">
        <v>4958</v>
      </c>
      <c r="F828" s="151"/>
      <c r="G828" s="52" t="str">
        <f t="shared" si="12"/>
        <v>A4 27:摆渡者装束 上衣</v>
      </c>
    </row>
    <row r="829" spans="1:7">
      <c r="A829" s="24" t="s">
        <v>4113</v>
      </c>
      <c r="B829" s="24" t="s">
        <v>4680</v>
      </c>
      <c r="C829" s="24" t="s">
        <v>4118</v>
      </c>
      <c r="D829" s="151" t="s">
        <v>4959</v>
      </c>
      <c r="E829" s="151" t="s">
        <v>4960</v>
      </c>
      <c r="F829" s="151"/>
      <c r="G829" s="52" t="str">
        <f t="shared" si="12"/>
        <v>D2 0F:摆渡者装束 臂甲</v>
      </c>
    </row>
    <row r="830" spans="1:7">
      <c r="A830" s="24" t="s">
        <v>4113</v>
      </c>
      <c r="B830" s="24" t="s">
        <v>4680</v>
      </c>
      <c r="C830" s="24" t="s">
        <v>4121</v>
      </c>
      <c r="D830" s="151" t="s">
        <v>4961</v>
      </c>
      <c r="E830" s="151" t="s">
        <v>4962</v>
      </c>
      <c r="F830" s="151"/>
      <c r="G830" s="52" t="str">
        <f t="shared" si="12"/>
        <v>3F ED:摆渡者装束 裤裙</v>
      </c>
    </row>
    <row r="831" spans="1:7">
      <c r="A831" s="24" t="s">
        <v>4113</v>
      </c>
      <c r="B831" s="24" t="s">
        <v>4680</v>
      </c>
      <c r="C831" s="24" t="s">
        <v>4124</v>
      </c>
      <c r="D831" s="151" t="s">
        <v>4963</v>
      </c>
      <c r="E831" s="151" t="s">
        <v>4964</v>
      </c>
      <c r="F831" s="151"/>
      <c r="G831" s="52" t="str">
        <f t="shared" si="12"/>
        <v>7C C2:摆渡者装束 腿甲</v>
      </c>
    </row>
    <row r="832" spans="1:7">
      <c r="A832" s="24" t="s">
        <v>4113</v>
      </c>
      <c r="B832" s="24" t="s">
        <v>4680</v>
      </c>
      <c r="C832" s="24" t="s">
        <v>4133</v>
      </c>
      <c r="D832" s="151" t="s">
        <v>4965</v>
      </c>
      <c r="E832" s="151" t="s">
        <v>4966</v>
      </c>
      <c r="F832" s="151"/>
      <c r="G832" s="52" t="str">
        <f t="shared" si="12"/>
        <v>4F 69:山伏装束 头襟</v>
      </c>
    </row>
    <row r="833" spans="1:7">
      <c r="A833" s="24" t="s">
        <v>4113</v>
      </c>
      <c r="B833" s="24" t="s">
        <v>4680</v>
      </c>
      <c r="C833" s="24" t="s">
        <v>4115</v>
      </c>
      <c r="D833" s="151" t="s">
        <v>4967</v>
      </c>
      <c r="E833" s="151" t="s">
        <v>4968</v>
      </c>
      <c r="F833" s="151"/>
      <c r="G833" s="52" t="str">
        <f t="shared" si="12"/>
        <v>AE B1:山伏装束 上衣</v>
      </c>
    </row>
    <row r="834" spans="1:7">
      <c r="A834" s="24" t="s">
        <v>4113</v>
      </c>
      <c r="B834" s="24" t="s">
        <v>4680</v>
      </c>
      <c r="C834" s="24" t="s">
        <v>4118</v>
      </c>
      <c r="D834" s="151" t="s">
        <v>4969</v>
      </c>
      <c r="E834" s="151" t="s">
        <v>4970</v>
      </c>
      <c r="F834" s="151"/>
      <c r="G834" s="52" t="str">
        <f t="shared" ref="G834:G897" si="13">D834&amp;":"&amp;E834</f>
        <v>56 12:山伏装束 臂甲</v>
      </c>
    </row>
    <row r="835" spans="1:7">
      <c r="A835" s="24" t="s">
        <v>4113</v>
      </c>
      <c r="B835" s="24" t="s">
        <v>4680</v>
      </c>
      <c r="C835" s="24" t="s">
        <v>4121</v>
      </c>
      <c r="D835" s="151" t="s">
        <v>4971</v>
      </c>
      <c r="E835" s="151" t="s">
        <v>4972</v>
      </c>
      <c r="F835" s="151"/>
      <c r="G835" s="52" t="str">
        <f t="shared" si="13"/>
        <v>2D 73:山伏装束 裤裙</v>
      </c>
    </row>
    <row r="836" spans="1:7">
      <c r="A836" s="24" t="s">
        <v>4113</v>
      </c>
      <c r="B836" s="24" t="s">
        <v>4680</v>
      </c>
      <c r="C836" s="24" t="s">
        <v>4124</v>
      </c>
      <c r="D836" s="151" t="s">
        <v>4973</v>
      </c>
      <c r="E836" s="151" t="s">
        <v>4974</v>
      </c>
      <c r="F836" s="151"/>
      <c r="G836" s="52" t="str">
        <f t="shared" si="13"/>
        <v>B4 38:山伏装束 草鞋</v>
      </c>
    </row>
    <row r="837" spans="1:7">
      <c r="A837" s="24" t="s">
        <v>4113</v>
      </c>
      <c r="B837" s="24" t="s">
        <v>4680</v>
      </c>
      <c r="C837" s="24" t="s">
        <v>4133</v>
      </c>
      <c r="D837" s="151" t="s">
        <v>4975</v>
      </c>
      <c r="E837" s="151" t="s">
        <v>4976</v>
      </c>
      <c r="F837" s="151"/>
      <c r="G837" s="52" t="str">
        <f t="shared" si="13"/>
        <v>43 1F:阴阳师狩衣 乌帽子</v>
      </c>
    </row>
    <row r="838" spans="1:7">
      <c r="A838" s="24" t="s">
        <v>4113</v>
      </c>
      <c r="B838" s="24" t="s">
        <v>4680</v>
      </c>
      <c r="C838" s="24" t="s">
        <v>4115</v>
      </c>
      <c r="D838" s="151" t="s">
        <v>4977</v>
      </c>
      <c r="E838" s="151" t="s">
        <v>4978</v>
      </c>
      <c r="F838" s="151"/>
      <c r="G838" s="52" t="str">
        <f t="shared" si="13"/>
        <v>37 70:阴阳师狩衣 上衣</v>
      </c>
    </row>
    <row r="839" spans="1:7">
      <c r="A839" s="24" t="s">
        <v>4113</v>
      </c>
      <c r="B839" s="24" t="s">
        <v>4680</v>
      </c>
      <c r="C839" s="24" t="s">
        <v>4118</v>
      </c>
      <c r="D839" s="151" t="s">
        <v>4979</v>
      </c>
      <c r="E839" s="151" t="s">
        <v>4980</v>
      </c>
      <c r="F839" s="151"/>
      <c r="G839" s="52" t="str">
        <f t="shared" si="13"/>
        <v>20 26:阴阳师狩衣 臂甲</v>
      </c>
    </row>
    <row r="840" spans="1:7">
      <c r="A840" s="24" t="s">
        <v>4113</v>
      </c>
      <c r="B840" s="24" t="s">
        <v>4680</v>
      </c>
      <c r="C840" s="24" t="s">
        <v>4121</v>
      </c>
      <c r="D840" s="151" t="s">
        <v>4981</v>
      </c>
      <c r="E840" s="151" t="s">
        <v>4982</v>
      </c>
      <c r="F840" s="151"/>
      <c r="G840" s="52" t="str">
        <f t="shared" si="13"/>
        <v>E3 79:阴阳师狩衣 裤裙</v>
      </c>
    </row>
    <row r="841" spans="1:7">
      <c r="A841" s="24" t="s">
        <v>4113</v>
      </c>
      <c r="B841" s="24" t="s">
        <v>4680</v>
      </c>
      <c r="C841" s="24" t="s">
        <v>4124</v>
      </c>
      <c r="D841" s="151" t="s">
        <v>4983</v>
      </c>
      <c r="E841" s="151" t="s">
        <v>4984</v>
      </c>
      <c r="F841" s="151"/>
      <c r="G841" s="52" t="str">
        <f t="shared" si="13"/>
        <v>26 CE:阴阳师狩衣 足沓</v>
      </c>
    </row>
    <row r="842" spans="1:7">
      <c r="A842" s="24" t="s">
        <v>4113</v>
      </c>
      <c r="B842" s="24" t="s">
        <v>4680</v>
      </c>
      <c r="C842" s="24" t="s">
        <v>4133</v>
      </c>
      <c r="D842" s="151" t="s">
        <v>4985</v>
      </c>
      <c r="E842" s="151" t="s">
        <v>4986</v>
      </c>
      <c r="F842" s="151"/>
      <c r="G842" s="52" t="str">
        <f t="shared" si="13"/>
        <v>07 D2:忍铠 面具</v>
      </c>
    </row>
    <row r="843" spans="1:7">
      <c r="A843" s="24" t="s">
        <v>4113</v>
      </c>
      <c r="B843" s="24" t="s">
        <v>4680</v>
      </c>
      <c r="C843" s="24" t="s">
        <v>4115</v>
      </c>
      <c r="D843" s="151" t="s">
        <v>4987</v>
      </c>
      <c r="E843" s="151" t="s">
        <v>4988</v>
      </c>
      <c r="F843" s="151"/>
      <c r="G843" s="52" t="str">
        <f t="shared" si="13"/>
        <v>FA F3:忍铠 胸甲</v>
      </c>
    </row>
    <row r="844" spans="1:7">
      <c r="A844" s="24" t="s">
        <v>4113</v>
      </c>
      <c r="B844" s="24" t="s">
        <v>4680</v>
      </c>
      <c r="C844" s="24" t="s">
        <v>4118</v>
      </c>
      <c r="D844" s="151" t="s">
        <v>4989</v>
      </c>
      <c r="E844" s="151" t="s">
        <v>4990</v>
      </c>
      <c r="F844" s="151"/>
      <c r="G844" s="52" t="str">
        <f t="shared" si="13"/>
        <v>4F 75:忍铠 臂甲</v>
      </c>
    </row>
    <row r="845" spans="1:7">
      <c r="A845" s="24" t="s">
        <v>4113</v>
      </c>
      <c r="B845" s="24" t="s">
        <v>4680</v>
      </c>
      <c r="C845" s="24" t="s">
        <v>4121</v>
      </c>
      <c r="D845" s="151" t="s">
        <v>4991</v>
      </c>
      <c r="E845" s="151" t="s">
        <v>4992</v>
      </c>
      <c r="F845" s="151"/>
      <c r="G845" s="52" t="str">
        <f t="shared" si="13"/>
        <v>F1 EB:忍铠 膝甲</v>
      </c>
    </row>
    <row r="846" spans="1:7">
      <c r="A846" s="24" t="s">
        <v>4113</v>
      </c>
      <c r="B846" s="24" t="s">
        <v>4680</v>
      </c>
      <c r="C846" s="24" t="s">
        <v>4124</v>
      </c>
      <c r="D846" s="151" t="s">
        <v>4993</v>
      </c>
      <c r="E846" s="151" t="s">
        <v>4994</v>
      </c>
      <c r="F846" s="151"/>
      <c r="G846" s="52" t="str">
        <f t="shared" si="13"/>
        <v>72 88:忍铠 腿甲</v>
      </c>
    </row>
    <row r="847" spans="1:7">
      <c r="A847" s="24" t="s">
        <v>4113</v>
      </c>
      <c r="B847" s="24" t="s">
        <v>4680</v>
      </c>
      <c r="C847" s="24" t="s">
        <v>4133</v>
      </c>
      <c r="D847" s="151" t="s">
        <v>4995</v>
      </c>
      <c r="E847" s="151" t="s">
        <v>4996</v>
      </c>
      <c r="F847" s="151"/>
      <c r="G847" s="52" t="str">
        <f t="shared" si="13"/>
        <v>96 E6:宫司净衣 头冠／云游巫女装束 头饰</v>
      </c>
    </row>
    <row r="848" spans="1:7">
      <c r="A848" s="24" t="s">
        <v>4113</v>
      </c>
      <c r="B848" s="24" t="s">
        <v>4680</v>
      </c>
      <c r="C848" s="24" t="s">
        <v>4115</v>
      </c>
      <c r="D848" s="151" t="s">
        <v>4997</v>
      </c>
      <c r="E848" s="151" t="s">
        <v>4998</v>
      </c>
      <c r="F848" s="151"/>
      <c r="G848" s="52" t="str">
        <f t="shared" si="13"/>
        <v>68 4A:宫司净衣 狩衣／云游巫女装束 上衣</v>
      </c>
    </row>
    <row r="849" spans="1:7">
      <c r="A849" s="24" t="s">
        <v>4113</v>
      </c>
      <c r="B849" s="24" t="s">
        <v>4680</v>
      </c>
      <c r="C849" s="24" t="s">
        <v>4118</v>
      </c>
      <c r="D849" s="151" t="s">
        <v>4999</v>
      </c>
      <c r="E849" s="151" t="s">
        <v>5000</v>
      </c>
      <c r="F849" s="151"/>
      <c r="G849" s="52" t="str">
        <f t="shared" si="13"/>
        <v>1A E6:宫司净衣 臂甲／云游巫女装束 臂甲</v>
      </c>
    </row>
    <row r="850" spans="1:7">
      <c r="A850" s="24" t="s">
        <v>4113</v>
      </c>
      <c r="B850" s="24" t="s">
        <v>4680</v>
      </c>
      <c r="C850" s="24" t="s">
        <v>4121</v>
      </c>
      <c r="D850" s="151" t="s">
        <v>5001</v>
      </c>
      <c r="E850" s="151" t="s">
        <v>5002</v>
      </c>
      <c r="F850" s="151"/>
      <c r="G850" s="52" t="str">
        <f t="shared" si="13"/>
        <v>D6 AD:宫司净衣 裤裙／云游巫女装束 绯裤裙</v>
      </c>
    </row>
    <row r="851" spans="1:7">
      <c r="A851" s="24" t="s">
        <v>4113</v>
      </c>
      <c r="B851" s="24" t="s">
        <v>4680</v>
      </c>
      <c r="C851" s="24" t="s">
        <v>4124</v>
      </c>
      <c r="D851" s="151" t="s">
        <v>5003</v>
      </c>
      <c r="E851" s="151" t="s">
        <v>5004</v>
      </c>
      <c r="F851" s="151"/>
      <c r="G851" s="52" t="str">
        <f t="shared" si="13"/>
        <v>89 C7:宫司净衣 足履／云游巫女装束 足履</v>
      </c>
    </row>
    <row r="852" spans="1:7">
      <c r="A852" s="24" t="s">
        <v>4113</v>
      </c>
      <c r="B852" s="24" t="s">
        <v>4680</v>
      </c>
      <c r="C852" s="24" t="s">
        <v>4133</v>
      </c>
      <c r="D852" s="151" t="s">
        <v>5005</v>
      </c>
      <c r="E852" s="151" t="s">
        <v>5006</v>
      </c>
      <c r="F852" s="151"/>
      <c r="G852" s="52" t="str">
        <f t="shared" si="13"/>
        <v>36 F7:鸢加藤忍衣 覆面</v>
      </c>
    </row>
    <row r="853" spans="1:7">
      <c r="A853" s="24" t="s">
        <v>4113</v>
      </c>
      <c r="B853" s="24" t="s">
        <v>4680</v>
      </c>
      <c r="C853" s="24" t="s">
        <v>4115</v>
      </c>
      <c r="D853" s="151" t="s">
        <v>5007</v>
      </c>
      <c r="E853" s="151" t="s">
        <v>5008</v>
      </c>
      <c r="F853" s="151"/>
      <c r="G853" s="52" t="str">
        <f t="shared" si="13"/>
        <v>68 A5:鸢加藤忍衣 上衣</v>
      </c>
    </row>
    <row r="854" spans="1:7">
      <c r="A854" s="24" t="s">
        <v>4113</v>
      </c>
      <c r="B854" s="24" t="s">
        <v>4680</v>
      </c>
      <c r="C854" s="24" t="s">
        <v>4118</v>
      </c>
      <c r="D854" s="151" t="s">
        <v>5009</v>
      </c>
      <c r="E854" s="151" t="s">
        <v>5010</v>
      </c>
      <c r="F854" s="151"/>
      <c r="G854" s="52" t="str">
        <f t="shared" si="13"/>
        <v>12 FE:鸢加藤忍衣 臂甲</v>
      </c>
    </row>
    <row r="855" spans="1:7">
      <c r="A855" s="24" t="s">
        <v>4113</v>
      </c>
      <c r="B855" s="24" t="s">
        <v>4680</v>
      </c>
      <c r="C855" s="24" t="s">
        <v>4121</v>
      </c>
      <c r="D855" s="151" t="s">
        <v>5011</v>
      </c>
      <c r="E855" s="151" t="s">
        <v>5012</v>
      </c>
      <c r="F855" s="151"/>
      <c r="G855" s="52" t="str">
        <f t="shared" si="13"/>
        <v>B2 F8:鸢加藤忍衣 膝甲</v>
      </c>
    </row>
    <row r="856" spans="1:7">
      <c r="A856" s="24" t="s">
        <v>4113</v>
      </c>
      <c r="B856" s="24" t="s">
        <v>4680</v>
      </c>
      <c r="C856" s="24" t="s">
        <v>4124</v>
      </c>
      <c r="D856" s="151" t="s">
        <v>5013</v>
      </c>
      <c r="E856" s="151" t="s">
        <v>5014</v>
      </c>
      <c r="F856" s="151"/>
      <c r="G856" s="52" t="str">
        <f t="shared" si="13"/>
        <v>FF 61:鸢加藤忍衣 腿甲</v>
      </c>
    </row>
    <row r="857" spans="1:7">
      <c r="A857" s="24" t="s">
        <v>4113</v>
      </c>
      <c r="B857" s="24" t="s">
        <v>4680</v>
      </c>
      <c r="C857" s="24" t="s">
        <v>4133</v>
      </c>
      <c r="D857" s="151" t="s">
        <v>5015</v>
      </c>
      <c r="E857" s="151" t="s">
        <v>5016</v>
      </c>
      <c r="F857" s="151"/>
      <c r="G857" s="52" t="str">
        <f t="shared" si="13"/>
        <v>D5 C5:伊贺上忍装束 护额</v>
      </c>
    </row>
    <row r="858" spans="1:7">
      <c r="A858" s="24" t="s">
        <v>4113</v>
      </c>
      <c r="B858" s="24" t="s">
        <v>4680</v>
      </c>
      <c r="C858" s="24" t="s">
        <v>4115</v>
      </c>
      <c r="D858" s="151" t="s">
        <v>5017</v>
      </c>
      <c r="E858" s="151" t="s">
        <v>5018</v>
      </c>
      <c r="F858" s="151"/>
      <c r="G858" s="52" t="str">
        <f t="shared" si="13"/>
        <v>17 BB:伊贺上忍装束 胸甲</v>
      </c>
    </row>
    <row r="859" spans="1:7">
      <c r="A859" s="24" t="s">
        <v>4113</v>
      </c>
      <c r="B859" s="24" t="s">
        <v>4680</v>
      </c>
      <c r="C859" s="24" t="s">
        <v>4118</v>
      </c>
      <c r="D859" s="151" t="s">
        <v>5019</v>
      </c>
      <c r="E859" s="151" t="s">
        <v>5020</v>
      </c>
      <c r="F859" s="151"/>
      <c r="G859" s="52" t="str">
        <f t="shared" si="13"/>
        <v>A6 28:伊贺上忍装束 臂甲</v>
      </c>
    </row>
    <row r="860" spans="1:7">
      <c r="A860" s="24" t="s">
        <v>4113</v>
      </c>
      <c r="B860" s="24" t="s">
        <v>4680</v>
      </c>
      <c r="C860" s="24" t="s">
        <v>4121</v>
      </c>
      <c r="D860" s="151" t="s">
        <v>5021</v>
      </c>
      <c r="E860" s="151" t="s">
        <v>5022</v>
      </c>
      <c r="F860" s="151"/>
      <c r="G860" s="52" t="str">
        <f t="shared" si="13"/>
        <v>43 AB:伊贺上忍装束 膝甲</v>
      </c>
    </row>
    <row r="861" spans="1:7">
      <c r="A861" s="24" t="s">
        <v>4113</v>
      </c>
      <c r="B861" s="24" t="s">
        <v>4680</v>
      </c>
      <c r="C861" s="24" t="s">
        <v>4124</v>
      </c>
      <c r="D861" s="151" t="s">
        <v>5023</v>
      </c>
      <c r="E861" s="151" t="s">
        <v>5024</v>
      </c>
      <c r="F861" s="151"/>
      <c r="G861" s="52" t="str">
        <f t="shared" si="13"/>
        <v>F2 BF:伊贺上忍装束 腿甲</v>
      </c>
    </row>
    <row r="862" spans="1:7">
      <c r="A862" s="24" t="s">
        <v>4113</v>
      </c>
      <c r="B862" s="24" t="s">
        <v>4680</v>
      </c>
      <c r="C862" s="24" t="s">
        <v>4133</v>
      </c>
      <c r="D862" s="151" t="s">
        <v>5025</v>
      </c>
      <c r="E862" s="151" t="s">
        <v>5026</v>
      </c>
      <c r="F862" s="151"/>
      <c r="G862" s="52" t="str">
        <f t="shared" si="13"/>
        <v>E9 3C:袖神之铠 乌帽子</v>
      </c>
    </row>
    <row r="863" spans="1:7">
      <c r="A863" s="24" t="s">
        <v>4113</v>
      </c>
      <c r="B863" s="24" t="s">
        <v>4680</v>
      </c>
      <c r="C863" s="24" t="s">
        <v>4115</v>
      </c>
      <c r="D863" s="151" t="s">
        <v>5027</v>
      </c>
      <c r="E863" s="151" t="s">
        <v>5028</v>
      </c>
      <c r="F863" s="151"/>
      <c r="G863" s="52" t="str">
        <f t="shared" si="13"/>
        <v>B7 44:袖神之铠 胸甲</v>
      </c>
    </row>
    <row r="864" spans="1:7">
      <c r="A864" s="24" t="s">
        <v>4113</v>
      </c>
      <c r="B864" s="24" t="s">
        <v>4680</v>
      </c>
      <c r="C864" s="24" t="s">
        <v>4118</v>
      </c>
      <c r="D864" s="151" t="s">
        <v>5029</v>
      </c>
      <c r="E864" s="151" t="s">
        <v>5030</v>
      </c>
      <c r="F864" s="151"/>
      <c r="G864" s="52" t="str">
        <f t="shared" si="13"/>
        <v>DD 28:袖神之铠 臂甲</v>
      </c>
    </row>
    <row r="865" spans="1:7">
      <c r="A865" s="24" t="s">
        <v>4113</v>
      </c>
      <c r="B865" s="24" t="s">
        <v>4680</v>
      </c>
      <c r="C865" s="24" t="s">
        <v>4121</v>
      </c>
      <c r="D865" s="151" t="s">
        <v>5031</v>
      </c>
      <c r="E865" s="151" t="s">
        <v>5032</v>
      </c>
      <c r="F865" s="151"/>
      <c r="G865" s="52" t="str">
        <f t="shared" si="13"/>
        <v>A5 44:袖神之铠 膝甲</v>
      </c>
    </row>
    <row r="866" spans="1:7">
      <c r="A866" s="24" t="s">
        <v>4113</v>
      </c>
      <c r="B866" s="24" t="s">
        <v>4680</v>
      </c>
      <c r="C866" s="24" t="s">
        <v>4124</v>
      </c>
      <c r="D866" s="151" t="s">
        <v>5033</v>
      </c>
      <c r="E866" s="151" t="s">
        <v>5034</v>
      </c>
      <c r="F866" s="151"/>
      <c r="G866" s="52" t="str">
        <f t="shared" si="13"/>
        <v>63 42:袖神之铠 腿甲</v>
      </c>
    </row>
    <row r="867" spans="1:7">
      <c r="A867" s="24" t="s">
        <v>4113</v>
      </c>
      <c r="B867" s="24" t="s">
        <v>4680</v>
      </c>
      <c r="C867" s="24" t="s">
        <v>4133</v>
      </c>
      <c r="D867" s="151" t="s">
        <v>5035</v>
      </c>
      <c r="E867" s="151" t="s">
        <v>5036</v>
      </c>
      <c r="F867" s="151"/>
      <c r="G867" s="52" t="str">
        <f t="shared" si="13"/>
        <v>E1 96:弘法大师僧衣 斗笠</v>
      </c>
    </row>
    <row r="868" spans="1:7">
      <c r="A868" s="24" t="s">
        <v>4113</v>
      </c>
      <c r="B868" s="24" t="s">
        <v>4680</v>
      </c>
      <c r="C868" s="24" t="s">
        <v>4115</v>
      </c>
      <c r="D868" s="151" t="s">
        <v>5037</v>
      </c>
      <c r="E868" s="151" t="s">
        <v>5038</v>
      </c>
      <c r="F868" s="151"/>
      <c r="G868" s="52" t="str">
        <f t="shared" si="13"/>
        <v>30 86:弘法大师僧衣 袈裟</v>
      </c>
    </row>
    <row r="869" spans="1:7">
      <c r="A869" s="24" t="s">
        <v>4113</v>
      </c>
      <c r="B869" s="24" t="s">
        <v>4680</v>
      </c>
      <c r="C869" s="24" t="s">
        <v>4118</v>
      </c>
      <c r="D869" s="151" t="s">
        <v>5039</v>
      </c>
      <c r="E869" s="151" t="s">
        <v>5040</v>
      </c>
      <c r="F869" s="151"/>
      <c r="G869" s="52" t="str">
        <f t="shared" si="13"/>
        <v>05 8D:弘法大师僧衣 袖套</v>
      </c>
    </row>
    <row r="870" spans="1:7">
      <c r="A870" s="24" t="s">
        <v>4113</v>
      </c>
      <c r="B870" s="24" t="s">
        <v>4680</v>
      </c>
      <c r="C870" s="24" t="s">
        <v>4121</v>
      </c>
      <c r="D870" s="151" t="s">
        <v>5041</v>
      </c>
      <c r="E870" s="151" t="s">
        <v>5042</v>
      </c>
      <c r="F870" s="151"/>
      <c r="G870" s="52" t="str">
        <f t="shared" si="13"/>
        <v>41 EA:弘法大师僧衣 裤裙</v>
      </c>
    </row>
    <row r="871" spans="1:7">
      <c r="A871" s="24" t="s">
        <v>4113</v>
      </c>
      <c r="B871" s="24" t="s">
        <v>4680</v>
      </c>
      <c r="C871" s="24" t="s">
        <v>4124</v>
      </c>
      <c r="D871" s="151" t="s">
        <v>5043</v>
      </c>
      <c r="E871" s="151" t="s">
        <v>5044</v>
      </c>
      <c r="F871" s="151"/>
      <c r="G871" s="52" t="str">
        <f t="shared" si="13"/>
        <v>0C AD:弘法大师僧衣 绑腿</v>
      </c>
    </row>
    <row r="872" spans="1:7">
      <c r="A872" s="24" t="s">
        <v>4113</v>
      </c>
      <c r="B872" s="24" t="s">
        <v>4680</v>
      </c>
      <c r="C872" s="24" t="s">
        <v>4133</v>
      </c>
      <c r="D872" s="151" t="s">
        <v>5045</v>
      </c>
      <c r="E872" s="151" t="s">
        <v>5046</v>
      </c>
      <c r="F872" s="151"/>
      <c r="G872" s="52" t="str">
        <f t="shared" si="13"/>
        <v>9F 17:退魔师战甲 乌帽子</v>
      </c>
    </row>
    <row r="873" spans="1:7">
      <c r="A873" s="24" t="s">
        <v>4113</v>
      </c>
      <c r="B873" s="24" t="s">
        <v>4680</v>
      </c>
      <c r="C873" s="24" t="s">
        <v>4115</v>
      </c>
      <c r="D873" s="151" t="s">
        <v>5047</v>
      </c>
      <c r="E873" s="151" t="s">
        <v>5048</v>
      </c>
      <c r="F873" s="151"/>
      <c r="G873" s="52" t="str">
        <f t="shared" si="13"/>
        <v>38 80:退魔师战甲 胸甲</v>
      </c>
    </row>
    <row r="874" spans="1:7">
      <c r="A874" s="24" t="s">
        <v>4113</v>
      </c>
      <c r="B874" s="24" t="s">
        <v>4680</v>
      </c>
      <c r="C874" s="24" t="s">
        <v>4118</v>
      </c>
      <c r="D874" s="151" t="s">
        <v>5049</v>
      </c>
      <c r="E874" s="151" t="s">
        <v>5050</v>
      </c>
      <c r="F874" s="151"/>
      <c r="G874" s="52" t="str">
        <f t="shared" si="13"/>
        <v>D1 5A:退魔师战甲 臂甲</v>
      </c>
    </row>
    <row r="875" spans="1:7">
      <c r="A875" s="24" t="s">
        <v>4113</v>
      </c>
      <c r="B875" s="24" t="s">
        <v>4680</v>
      </c>
      <c r="C875" s="24" t="s">
        <v>4121</v>
      </c>
      <c r="D875" s="151" t="s">
        <v>5051</v>
      </c>
      <c r="E875" s="151" t="s">
        <v>5052</v>
      </c>
      <c r="F875" s="151"/>
      <c r="G875" s="52" t="str">
        <f t="shared" si="13"/>
        <v>65 BD:退魔师战甲 膝甲</v>
      </c>
    </row>
    <row r="876" spans="1:7">
      <c r="A876" s="24" t="s">
        <v>4113</v>
      </c>
      <c r="B876" s="24" t="s">
        <v>4680</v>
      </c>
      <c r="C876" s="24" t="s">
        <v>4124</v>
      </c>
      <c r="D876" s="151" t="s">
        <v>5053</v>
      </c>
      <c r="E876" s="151" t="s">
        <v>5054</v>
      </c>
      <c r="F876" s="151"/>
      <c r="G876" s="52" t="str">
        <f t="shared" si="13"/>
        <v>80 2E:退魔师战甲 腿甲</v>
      </c>
    </row>
    <row r="877" spans="1:7">
      <c r="A877" s="24" t="s">
        <v>4113</v>
      </c>
      <c r="B877" s="24" t="s">
        <v>4680</v>
      </c>
      <c r="C877" s="24" t="s">
        <v>4133</v>
      </c>
      <c r="D877" s="151" t="s">
        <v>5055</v>
      </c>
      <c r="E877" s="151" t="s">
        <v>5056</v>
      </c>
      <c r="F877" s="151"/>
      <c r="G877" s="52" t="str">
        <f t="shared" si="13"/>
        <v>93 C0:楚叶矢众铠 面具</v>
      </c>
    </row>
    <row r="878" spans="1:7">
      <c r="A878" s="24" t="s">
        <v>4113</v>
      </c>
      <c r="B878" s="24" t="s">
        <v>4680</v>
      </c>
      <c r="C878" s="24" t="s">
        <v>4115</v>
      </c>
      <c r="D878" s="151" t="s">
        <v>5057</v>
      </c>
      <c r="E878" s="151" t="s">
        <v>5058</v>
      </c>
      <c r="F878" s="151"/>
      <c r="G878" s="52" t="str">
        <f t="shared" si="13"/>
        <v>77 4A:楚叶矢众铠 胸甲</v>
      </c>
    </row>
    <row r="879" spans="1:7">
      <c r="A879" s="24" t="s">
        <v>4113</v>
      </c>
      <c r="B879" s="24" t="s">
        <v>4680</v>
      </c>
      <c r="C879" s="24" t="s">
        <v>4118</v>
      </c>
      <c r="D879" s="151" t="s">
        <v>5059</v>
      </c>
      <c r="E879" s="151" t="s">
        <v>5060</v>
      </c>
      <c r="F879" s="151"/>
      <c r="G879" s="52" t="str">
        <f t="shared" si="13"/>
        <v>1F 1C:楚叶矢众铠 臂甲</v>
      </c>
    </row>
    <row r="880" spans="1:7">
      <c r="A880" s="24" t="s">
        <v>4113</v>
      </c>
      <c r="B880" s="24" t="s">
        <v>4680</v>
      </c>
      <c r="C880" s="24" t="s">
        <v>4121</v>
      </c>
      <c r="D880" s="151" t="s">
        <v>5061</v>
      </c>
      <c r="E880" s="151" t="s">
        <v>5062</v>
      </c>
      <c r="F880" s="151"/>
      <c r="G880" s="52" t="str">
        <f t="shared" si="13"/>
        <v>CF C9:楚叶矢众铠 膝甲</v>
      </c>
    </row>
    <row r="881" spans="1:7">
      <c r="A881" s="24" t="s">
        <v>4113</v>
      </c>
      <c r="B881" s="24" t="s">
        <v>4680</v>
      </c>
      <c r="C881" s="24" t="s">
        <v>4124</v>
      </c>
      <c r="D881" s="151" t="s">
        <v>5063</v>
      </c>
      <c r="E881" s="151" t="s">
        <v>5064</v>
      </c>
      <c r="F881" s="151"/>
      <c r="G881" s="52" t="str">
        <f t="shared" si="13"/>
        <v>8D 08:楚叶矢众铠 腿甲</v>
      </c>
    </row>
    <row r="882" spans="1:7">
      <c r="A882" s="24" t="s">
        <v>4113</v>
      </c>
      <c r="B882" s="24" t="s">
        <v>4680</v>
      </c>
      <c r="C882" s="24" t="s">
        <v>4133</v>
      </c>
      <c r="D882" s="151" t="s">
        <v>5065</v>
      </c>
      <c r="E882" s="151" t="s">
        <v>5066</v>
      </c>
      <c r="F882" s="151"/>
      <c r="G882" s="52" t="str">
        <f t="shared" si="13"/>
        <v>89 89:无缘人之铠 头巾</v>
      </c>
    </row>
    <row r="883" spans="1:7">
      <c r="A883" s="24" t="s">
        <v>4113</v>
      </c>
      <c r="B883" s="24" t="s">
        <v>4680</v>
      </c>
      <c r="C883" s="24" t="s">
        <v>4115</v>
      </c>
      <c r="D883" s="151" t="s">
        <v>5067</v>
      </c>
      <c r="E883" s="151" t="s">
        <v>5068</v>
      </c>
      <c r="F883" s="151"/>
      <c r="G883" s="52" t="str">
        <f t="shared" si="13"/>
        <v>35 01:无缘人之铠 胸甲</v>
      </c>
    </row>
    <row r="884" spans="1:7">
      <c r="A884" s="24" t="s">
        <v>4113</v>
      </c>
      <c r="B884" s="24" t="s">
        <v>4680</v>
      </c>
      <c r="C884" s="24" t="s">
        <v>4118</v>
      </c>
      <c r="D884" s="151" t="s">
        <v>5069</v>
      </c>
      <c r="E884" s="151" t="s">
        <v>5070</v>
      </c>
      <c r="F884" s="151"/>
      <c r="G884" s="52" t="str">
        <f t="shared" si="13"/>
        <v>D3 54:无缘人之铠 臂甲</v>
      </c>
    </row>
    <row r="885" spans="1:7">
      <c r="A885" s="24" t="s">
        <v>4113</v>
      </c>
      <c r="B885" s="24" t="s">
        <v>4680</v>
      </c>
      <c r="C885" s="24" t="s">
        <v>4121</v>
      </c>
      <c r="D885" s="151" t="s">
        <v>5071</v>
      </c>
      <c r="E885" s="151" t="s">
        <v>5072</v>
      </c>
      <c r="F885" s="151"/>
      <c r="G885" s="52" t="str">
        <f t="shared" si="13"/>
        <v>91 FE:无缘人之铠 膝甲</v>
      </c>
    </row>
    <row r="886" spans="1:7">
      <c r="A886" s="24" t="s">
        <v>4113</v>
      </c>
      <c r="B886" s="24" t="s">
        <v>4680</v>
      </c>
      <c r="C886" s="24" t="s">
        <v>4124</v>
      </c>
      <c r="D886" s="151" t="s">
        <v>5073</v>
      </c>
      <c r="E886" s="151" t="s">
        <v>5074</v>
      </c>
      <c r="F886" s="151"/>
      <c r="G886" s="52" t="str">
        <f t="shared" si="13"/>
        <v>16 8E:无缘人之铠 腿甲</v>
      </c>
    </row>
    <row r="887" spans="1:7">
      <c r="A887" s="24" t="s">
        <v>4113</v>
      </c>
      <c r="B887" s="24" t="s">
        <v>4680</v>
      </c>
      <c r="C887" s="24" t="s">
        <v>4133</v>
      </c>
      <c r="D887" s="151" t="s">
        <v>5075</v>
      </c>
      <c r="E887" s="151" t="s">
        <v>5076</v>
      </c>
      <c r="F887" s="151"/>
      <c r="G887" s="52" t="str">
        <f t="shared" si="13"/>
        <v>FF 31:盗贼之铠 头盔</v>
      </c>
    </row>
    <row r="888" spans="1:7">
      <c r="A888" s="24" t="s">
        <v>4113</v>
      </c>
      <c r="B888" s="24" t="s">
        <v>4680</v>
      </c>
      <c r="C888" s="24" t="s">
        <v>4115</v>
      </c>
      <c r="D888" s="151" t="s">
        <v>5077</v>
      </c>
      <c r="E888" s="151" t="s">
        <v>5078</v>
      </c>
      <c r="F888" s="151"/>
      <c r="G888" s="52" t="str">
        <f t="shared" si="13"/>
        <v>4B 6C:盗贼之铠 胸甲</v>
      </c>
    </row>
    <row r="889" spans="1:7">
      <c r="A889" s="24" t="s">
        <v>4113</v>
      </c>
      <c r="B889" s="24" t="s">
        <v>4680</v>
      </c>
      <c r="C889" s="24" t="s">
        <v>4118</v>
      </c>
      <c r="D889" s="151" t="s">
        <v>5079</v>
      </c>
      <c r="E889" s="151" t="s">
        <v>5080</v>
      </c>
      <c r="F889" s="151"/>
      <c r="G889" s="52" t="str">
        <f t="shared" si="13"/>
        <v>DD D4:盗贼之铠 臂甲</v>
      </c>
    </row>
    <row r="890" spans="1:7">
      <c r="A890" s="24" t="s">
        <v>4113</v>
      </c>
      <c r="B890" s="24" t="s">
        <v>4680</v>
      </c>
      <c r="C890" s="24" t="s">
        <v>4121</v>
      </c>
      <c r="D890" s="151" t="s">
        <v>5081</v>
      </c>
      <c r="E890" s="151" t="s">
        <v>5082</v>
      </c>
      <c r="F890" s="151"/>
      <c r="G890" s="52" t="str">
        <f t="shared" si="13"/>
        <v>29 C4:盗贼之铠 膝甲</v>
      </c>
    </row>
    <row r="891" spans="1:7">
      <c r="A891" s="24" t="s">
        <v>4113</v>
      </c>
      <c r="B891" s="24" t="s">
        <v>4680</v>
      </c>
      <c r="C891" s="24" t="s">
        <v>4124</v>
      </c>
      <c r="D891" s="151" t="s">
        <v>5083</v>
      </c>
      <c r="E891" s="151" t="s">
        <v>5084</v>
      </c>
      <c r="F891" s="151"/>
      <c r="G891" s="52" t="str">
        <f t="shared" si="13"/>
        <v>DE 2A:盗贼之铠 腿甲</v>
      </c>
    </row>
    <row r="892" spans="1:7">
      <c r="A892" s="24" t="s">
        <v>4113</v>
      </c>
      <c r="B892" s="24" t="s">
        <v>4680</v>
      </c>
      <c r="C892" s="24" t="s">
        <v>4133</v>
      </c>
      <c r="D892" s="151" t="s">
        <v>5085</v>
      </c>
      <c r="E892" s="151" t="s">
        <v>5086</v>
      </c>
      <c r="F892" s="151"/>
      <c r="G892" s="52" t="str">
        <f t="shared" si="13"/>
        <v>B3 EB:百鬼之铠 头盔</v>
      </c>
    </row>
    <row r="893" spans="1:7">
      <c r="A893" s="24" t="s">
        <v>4113</v>
      </c>
      <c r="B893" s="24" t="s">
        <v>4680</v>
      </c>
      <c r="C893" s="24" t="s">
        <v>4115</v>
      </c>
      <c r="D893" s="151" t="s">
        <v>5087</v>
      </c>
      <c r="E893" s="151" t="s">
        <v>5088</v>
      </c>
      <c r="F893" s="151"/>
      <c r="G893" s="52" t="str">
        <f t="shared" si="13"/>
        <v>5E 24:百鬼之铠 胸甲</v>
      </c>
    </row>
    <row r="894" spans="1:7">
      <c r="A894" s="24" t="s">
        <v>4113</v>
      </c>
      <c r="B894" s="24" t="s">
        <v>4680</v>
      </c>
      <c r="C894" s="24" t="s">
        <v>4118</v>
      </c>
      <c r="D894" s="151" t="s">
        <v>5089</v>
      </c>
      <c r="E894" s="151" t="s">
        <v>5090</v>
      </c>
      <c r="F894" s="151"/>
      <c r="G894" s="52" t="str">
        <f t="shared" si="13"/>
        <v>67 CC:百鬼之铠 臂甲</v>
      </c>
    </row>
    <row r="895" spans="1:7">
      <c r="A895" s="24" t="s">
        <v>4113</v>
      </c>
      <c r="B895" s="24" t="s">
        <v>4680</v>
      </c>
      <c r="C895" s="24" t="s">
        <v>4121</v>
      </c>
      <c r="D895" s="151" t="s">
        <v>5091</v>
      </c>
      <c r="E895" s="151" t="s">
        <v>5092</v>
      </c>
      <c r="F895" s="151"/>
      <c r="G895" s="52" t="str">
        <f t="shared" si="13"/>
        <v>BC 0E:百鬼之铠 膝甲</v>
      </c>
    </row>
    <row r="896" spans="1:7">
      <c r="A896" s="24" t="s">
        <v>4113</v>
      </c>
      <c r="B896" s="24" t="s">
        <v>4680</v>
      </c>
      <c r="C896" s="24" t="s">
        <v>4124</v>
      </c>
      <c r="D896" s="151" t="s">
        <v>5093</v>
      </c>
      <c r="E896" s="151" t="s">
        <v>5094</v>
      </c>
      <c r="F896" s="151"/>
      <c r="G896" s="52" t="str">
        <f t="shared" si="13"/>
        <v>39 08:百鬼之铠 腿甲</v>
      </c>
    </row>
    <row r="897" spans="1:7">
      <c r="A897" s="24" t="s">
        <v>4113</v>
      </c>
      <c r="B897" s="24" t="s">
        <v>4680</v>
      </c>
      <c r="C897" s="24" t="s">
        <v>4133</v>
      </c>
      <c r="D897" s="151" t="s">
        <v>5095</v>
      </c>
      <c r="E897" s="151" t="s">
        <v>5096</v>
      </c>
      <c r="F897" s="151"/>
      <c r="G897" s="52" t="str">
        <f t="shared" si="13"/>
        <v>FF 12:柳生众装束 斗笠</v>
      </c>
    </row>
    <row r="898" spans="1:7">
      <c r="A898" s="24" t="s">
        <v>4113</v>
      </c>
      <c r="B898" s="24" t="s">
        <v>4680</v>
      </c>
      <c r="C898" s="24" t="s">
        <v>4115</v>
      </c>
      <c r="D898" s="151" t="s">
        <v>5097</v>
      </c>
      <c r="E898" s="151" t="s">
        <v>5098</v>
      </c>
      <c r="F898" s="151"/>
      <c r="G898" s="52" t="str">
        <f t="shared" ref="G898:G961" si="14">D898&amp;":"&amp;E898</f>
        <v>2B A2:柳生众装束 胸甲</v>
      </c>
    </row>
    <row r="899" spans="1:7">
      <c r="A899" s="24" t="s">
        <v>4113</v>
      </c>
      <c r="B899" s="24" t="s">
        <v>4680</v>
      </c>
      <c r="C899" s="24" t="s">
        <v>4118</v>
      </c>
      <c r="D899" s="151" t="s">
        <v>5099</v>
      </c>
      <c r="E899" s="151" t="s">
        <v>5100</v>
      </c>
      <c r="F899" s="151"/>
      <c r="G899" s="52" t="str">
        <f t="shared" si="14"/>
        <v>5C 0E:柳生众装束 臂甲</v>
      </c>
    </row>
    <row r="900" spans="1:7">
      <c r="A900" s="24" t="s">
        <v>4113</v>
      </c>
      <c r="B900" s="24" t="s">
        <v>4680</v>
      </c>
      <c r="C900" s="24" t="s">
        <v>4121</v>
      </c>
      <c r="D900" s="151" t="s">
        <v>5101</v>
      </c>
      <c r="E900" s="151" t="s">
        <v>5102</v>
      </c>
      <c r="F900" s="151"/>
      <c r="G900" s="52" t="str">
        <f t="shared" si="14"/>
        <v>1D 8A:柳生众装束 膝甲</v>
      </c>
    </row>
    <row r="901" spans="1:7">
      <c r="A901" s="24" t="s">
        <v>4113</v>
      </c>
      <c r="B901" s="24" t="s">
        <v>4680</v>
      </c>
      <c r="C901" s="24" t="s">
        <v>4124</v>
      </c>
      <c r="D901" s="151" t="s">
        <v>5103</v>
      </c>
      <c r="E901" s="151" t="s">
        <v>5104</v>
      </c>
      <c r="F901" s="151"/>
      <c r="G901" s="52" t="str">
        <f t="shared" si="14"/>
        <v>14 D4:柳生众装束 腿甲</v>
      </c>
    </row>
    <row r="902" spans="1:7">
      <c r="A902" s="24" t="s">
        <v>4113</v>
      </c>
      <c r="B902" s="24" t="s">
        <v>4680</v>
      </c>
      <c r="C902" s="24" t="s">
        <v>4133</v>
      </c>
      <c r="D902" s="151" t="s">
        <v>5105</v>
      </c>
      <c r="E902" s="151" t="s">
        <v>5106</v>
      </c>
      <c r="F902" s="151"/>
      <c r="G902" s="52" t="str">
        <f t="shared" si="14"/>
        <v>2D F5:大目付忍装束 头巾</v>
      </c>
    </row>
    <row r="903" spans="1:7">
      <c r="A903" s="24" t="s">
        <v>4113</v>
      </c>
      <c r="B903" s="24" t="s">
        <v>4680</v>
      </c>
      <c r="C903" s="24" t="s">
        <v>4115</v>
      </c>
      <c r="D903" s="151" t="s">
        <v>5107</v>
      </c>
      <c r="E903" s="151" t="s">
        <v>5108</v>
      </c>
      <c r="F903" s="151"/>
      <c r="G903" s="52" t="str">
        <f t="shared" si="14"/>
        <v>D1 53:大目付忍装束 胸甲</v>
      </c>
    </row>
    <row r="904" spans="1:7">
      <c r="A904" s="24" t="s">
        <v>4113</v>
      </c>
      <c r="B904" s="24" t="s">
        <v>4680</v>
      </c>
      <c r="C904" s="24" t="s">
        <v>4118</v>
      </c>
      <c r="D904" s="151" t="s">
        <v>5109</v>
      </c>
      <c r="E904" s="151" t="s">
        <v>5110</v>
      </c>
      <c r="F904" s="151"/>
      <c r="G904" s="52" t="str">
        <f t="shared" si="14"/>
        <v>38 39:大目付忍装束 臂甲</v>
      </c>
    </row>
    <row r="905" spans="1:7">
      <c r="A905" s="24" t="s">
        <v>4113</v>
      </c>
      <c r="B905" s="24" t="s">
        <v>4680</v>
      </c>
      <c r="C905" s="24" t="s">
        <v>4121</v>
      </c>
      <c r="D905" s="151" t="s">
        <v>5111</v>
      </c>
      <c r="E905" s="151" t="s">
        <v>5112</v>
      </c>
      <c r="F905" s="151"/>
      <c r="G905" s="52" t="str">
        <f t="shared" si="14"/>
        <v>8D 5D:大目付忍装束 膝甲</v>
      </c>
    </row>
    <row r="906" spans="1:7">
      <c r="A906" s="24" t="s">
        <v>4113</v>
      </c>
      <c r="B906" s="24" t="s">
        <v>4680</v>
      </c>
      <c r="C906" s="24" t="s">
        <v>4124</v>
      </c>
      <c r="D906" s="151" t="s">
        <v>5113</v>
      </c>
      <c r="E906" s="151" t="s">
        <v>5114</v>
      </c>
      <c r="F906" s="151"/>
      <c r="G906" s="52" t="str">
        <f t="shared" si="14"/>
        <v>8D 15:大目付忍装束 腿甲</v>
      </c>
    </row>
    <row r="907" spans="1:7">
      <c r="A907" s="24" t="s">
        <v>4113</v>
      </c>
      <c r="B907" s="24" t="s">
        <v>4680</v>
      </c>
      <c r="C907" s="24" t="s">
        <v>4133</v>
      </c>
      <c r="D907" s="151" t="s">
        <v>5115</v>
      </c>
      <c r="E907" s="151" t="s">
        <v>5116</v>
      </c>
      <c r="F907" s="151"/>
      <c r="G907" s="52" t="str">
        <f t="shared" si="14"/>
        <v>AD 5B:弁庆梦想装束 头巾</v>
      </c>
    </row>
    <row r="908" spans="1:7">
      <c r="A908" s="24" t="s">
        <v>4113</v>
      </c>
      <c r="B908" s="24" t="s">
        <v>4680</v>
      </c>
      <c r="C908" s="24" t="s">
        <v>4115</v>
      </c>
      <c r="D908" s="151" t="s">
        <v>5117</v>
      </c>
      <c r="E908" s="151" t="s">
        <v>5118</v>
      </c>
      <c r="F908" s="151"/>
      <c r="G908" s="52" t="str">
        <f t="shared" si="14"/>
        <v>C6 85:弁庆梦想装束 上衣</v>
      </c>
    </row>
    <row r="909" spans="1:7">
      <c r="A909" s="24" t="s">
        <v>4113</v>
      </c>
      <c r="B909" s="24" t="s">
        <v>4680</v>
      </c>
      <c r="C909" s="24" t="s">
        <v>4118</v>
      </c>
      <c r="D909" s="151" t="s">
        <v>5119</v>
      </c>
      <c r="E909" s="151" t="s">
        <v>5120</v>
      </c>
      <c r="F909" s="151"/>
      <c r="G909" s="52" t="str">
        <f t="shared" si="14"/>
        <v>E4 EE:弁庆梦想装束 臂甲</v>
      </c>
    </row>
    <row r="910" spans="1:7">
      <c r="A910" s="24" t="s">
        <v>4113</v>
      </c>
      <c r="B910" s="24" t="s">
        <v>4680</v>
      </c>
      <c r="C910" s="24" t="s">
        <v>4121</v>
      </c>
      <c r="D910" s="151" t="s">
        <v>5121</v>
      </c>
      <c r="E910" s="151" t="s">
        <v>5122</v>
      </c>
      <c r="F910" s="151"/>
      <c r="G910" s="52" t="str">
        <f t="shared" si="14"/>
        <v>F6 72:弁庆梦想装束 裤裙</v>
      </c>
    </row>
    <row r="911" spans="1:7">
      <c r="A911" s="24" t="s">
        <v>4113</v>
      </c>
      <c r="B911" s="24" t="s">
        <v>4680</v>
      </c>
      <c r="C911" s="24" t="s">
        <v>4124</v>
      </c>
      <c r="D911" s="151" t="s">
        <v>5123</v>
      </c>
      <c r="E911" s="151" t="s">
        <v>5124</v>
      </c>
      <c r="F911" s="151"/>
      <c r="G911" s="52" t="str">
        <f t="shared" si="14"/>
        <v>FD 30:弁庆梦想装束 草鞋</v>
      </c>
    </row>
    <row r="912" spans="1:7">
      <c r="A912" s="24" t="s">
        <v>4113</v>
      </c>
      <c r="B912" s="24" t="s">
        <v>4680</v>
      </c>
      <c r="C912" s="24" t="s">
        <v>4133</v>
      </c>
      <c r="D912" s="151" t="s">
        <v>5125</v>
      </c>
      <c r="E912" s="151" t="s">
        <v>5126</v>
      </c>
      <c r="F912" s="151"/>
      <c r="G912" s="52" t="str">
        <f t="shared" si="14"/>
        <v>FC E5:女面</v>
      </c>
    </row>
    <row r="913" spans="1:7">
      <c r="A913" s="24" t="s">
        <v>4113</v>
      </c>
      <c r="B913" s="24" t="s">
        <v>4680</v>
      </c>
      <c r="C913" s="24" t="s">
        <v>4133</v>
      </c>
      <c r="D913" s="151" t="s">
        <v>5127</v>
      </c>
      <c r="E913" s="151" t="s">
        <v>5128</v>
      </c>
      <c r="F913" s="151"/>
      <c r="G913" s="52" t="str">
        <f t="shared" si="14"/>
        <v>F2 D5:木灵碗</v>
      </c>
    </row>
    <row r="914" spans="1:7">
      <c r="A914" s="24" t="s">
        <v>4113</v>
      </c>
      <c r="B914" s="24" t="s">
        <v>4680</v>
      </c>
      <c r="C914" s="24" t="s">
        <v>4133</v>
      </c>
      <c r="D914" s="151" t="s">
        <v>5129</v>
      </c>
      <c r="E914" s="151" t="s">
        <v>5130</v>
      </c>
      <c r="F914" s="151"/>
      <c r="G914" s="52" t="str">
        <f t="shared" si="14"/>
        <v>16 07:翁面</v>
      </c>
    </row>
    <row r="915" spans="1:7">
      <c r="A915" s="24" t="s">
        <v>4113</v>
      </c>
      <c r="B915" s="24" t="s">
        <v>4680</v>
      </c>
      <c r="C915" s="24" t="s">
        <v>4133</v>
      </c>
      <c r="D915" s="151" t="s">
        <v>5131</v>
      </c>
      <c r="E915" s="151" t="s">
        <v>5132</v>
      </c>
      <c r="F915" s="151"/>
      <c r="G915" s="52" t="str">
        <f t="shared" si="14"/>
        <v>E9 09:天狗面</v>
      </c>
    </row>
    <row r="916" spans="1:7">
      <c r="A916" s="24" t="s">
        <v>4113</v>
      </c>
      <c r="B916" s="24" t="s">
        <v>4680</v>
      </c>
      <c r="C916" s="24" t="s">
        <v>4133</v>
      </c>
      <c r="D916" s="151" t="s">
        <v>5133</v>
      </c>
      <c r="E916" s="151" t="s">
        <v>5134</v>
      </c>
      <c r="F916" s="151"/>
      <c r="G916" s="52" t="str">
        <f t="shared" si="14"/>
        <v>A1 10:般若面</v>
      </c>
    </row>
    <row r="917" spans="1:7">
      <c r="A917" s="24" t="s">
        <v>4113</v>
      </c>
      <c r="B917" s="24" t="s">
        <v>4680</v>
      </c>
      <c r="C917" s="24" t="s">
        <v>4133</v>
      </c>
      <c r="D917" s="151" t="s">
        <v>5135</v>
      </c>
      <c r="E917" s="151" t="s">
        <v>5136</v>
      </c>
      <c r="F917" s="151"/>
      <c r="G917" s="52" t="str">
        <f t="shared" si="14"/>
        <v>CC CB:黑狐面</v>
      </c>
    </row>
    <row r="918" spans="1:7">
      <c r="A918" s="24" t="s">
        <v>4113</v>
      </c>
      <c r="B918" s="24" t="s">
        <v>4680</v>
      </c>
      <c r="C918" s="24" t="s">
        <v>4133</v>
      </c>
      <c r="D918" s="151" t="s">
        <v>5137</v>
      </c>
      <c r="E918" s="151" t="s">
        <v>5138</v>
      </c>
      <c r="F918" s="151"/>
      <c r="G918" s="52" t="str">
        <f t="shared" si="14"/>
        <v>8E 5F:白狐面</v>
      </c>
    </row>
    <row r="919" spans="1:7">
      <c r="A919" s="24" t="s">
        <v>4113</v>
      </c>
      <c r="B919" s="24" t="s">
        <v>4680</v>
      </c>
      <c r="C919" s="24" t="s">
        <v>4133</v>
      </c>
      <c r="D919" s="151" t="s">
        <v>5139</v>
      </c>
      <c r="E919" s="151" t="s">
        <v>5140</v>
      </c>
      <c r="F919" s="151"/>
      <c r="G919" s="52" t="str">
        <f t="shared" si="14"/>
        <v>BE A9:怨灵面</v>
      </c>
    </row>
    <row r="920" spans="1:7">
      <c r="A920" s="24" t="s">
        <v>4113</v>
      </c>
      <c r="B920" s="24" t="s">
        <v>4680</v>
      </c>
      <c r="C920" s="24" t="s">
        <v>4133</v>
      </c>
      <c r="D920" s="151" t="s">
        <v>5141</v>
      </c>
      <c r="E920" s="151" t="s">
        <v>5142</v>
      </c>
      <c r="F920" s="151"/>
      <c r="G920" s="52" t="str">
        <f t="shared" si="14"/>
        <v>A7 D4:鬼神面</v>
      </c>
    </row>
    <row r="921" spans="1:7">
      <c r="A921" s="24" t="s">
        <v>4113</v>
      </c>
      <c r="B921" s="24" t="s">
        <v>4680</v>
      </c>
      <c r="C921" s="24" t="s">
        <v>4133</v>
      </c>
      <c r="D921" s="151" t="s">
        <v>5143</v>
      </c>
      <c r="E921" s="151" t="s">
        <v>5144</v>
      </c>
      <c r="F921" s="151"/>
      <c r="G921" s="52" t="str">
        <f t="shared" si="14"/>
        <v>0F 41:修罗护颊</v>
      </c>
    </row>
    <row r="922" spans="1:7">
      <c r="A922" s="24" t="s">
        <v>4113</v>
      </c>
      <c r="B922" s="24" t="s">
        <v>4680</v>
      </c>
      <c r="C922" s="24" t="s">
        <v>4133</v>
      </c>
      <c r="D922" s="151" t="s">
        <v>5145</v>
      </c>
      <c r="E922" s="151" t="s">
        <v>5146</v>
      </c>
      <c r="F922" s="151"/>
      <c r="G922" s="52" t="str">
        <f t="shared" si="14"/>
        <v>AA BB:丛云形盔</v>
      </c>
    </row>
    <row r="923" spans="1:7">
      <c r="A923" s="24" t="s">
        <v>4113</v>
      </c>
      <c r="B923" s="24" t="s">
        <v>4680</v>
      </c>
      <c r="C923" s="24" t="s">
        <v>4133</v>
      </c>
      <c r="D923" s="151" t="s">
        <v>5147</v>
      </c>
      <c r="E923" s="151" t="s">
        <v>5148</v>
      </c>
      <c r="F923" s="151"/>
      <c r="G923" s="52" t="str">
        <f t="shared" si="14"/>
        <v>65 3D:风神头盔</v>
      </c>
    </row>
    <row r="924" spans="1:7">
      <c r="A924" s="24" t="s">
        <v>4113</v>
      </c>
      <c r="B924" s="24" t="s">
        <v>4680</v>
      </c>
      <c r="C924" s="24" t="s">
        <v>4133</v>
      </c>
      <c r="D924" s="151" t="s">
        <v>5149</v>
      </c>
      <c r="E924" s="151" t="s">
        <v>5150</v>
      </c>
      <c r="F924" s="151"/>
      <c r="G924" s="52" t="str">
        <f t="shared" si="14"/>
        <v>6C 52:善擦帽子(三花猫)</v>
      </c>
    </row>
    <row r="925" spans="1:7">
      <c r="A925" s="24" t="s">
        <v>4113</v>
      </c>
      <c r="B925" s="24" t="s">
        <v>4680</v>
      </c>
      <c r="C925" s="24" t="s">
        <v>4133</v>
      </c>
      <c r="D925" s="151" t="s">
        <v>5151</v>
      </c>
      <c r="E925" s="151" t="s">
        <v>5152</v>
      </c>
      <c r="F925" s="151"/>
      <c r="G925" s="52" t="str">
        <f t="shared" si="14"/>
        <v>5D 52:善擦帽子(波斯猫)</v>
      </c>
    </row>
    <row r="926" spans="1:7">
      <c r="A926" s="24" t="s">
        <v>4113</v>
      </c>
      <c r="B926" s="24" t="s">
        <v>4680</v>
      </c>
      <c r="C926" s="24" t="s">
        <v>4133</v>
      </c>
      <c r="D926" s="151" t="s">
        <v>5153</v>
      </c>
      <c r="E926" s="151" t="s">
        <v>5154</v>
      </c>
      <c r="F926" s="151"/>
      <c r="G926" s="52" t="str">
        <f t="shared" si="14"/>
        <v>5C AC:善擦帽子(紫猫)</v>
      </c>
    </row>
    <row r="927" spans="1:7">
      <c r="A927" s="24" t="s">
        <v>4113</v>
      </c>
      <c r="B927" s="24" t="s">
        <v>4680</v>
      </c>
      <c r="C927" s="24" t="s">
        <v>4133</v>
      </c>
      <c r="D927" s="151" t="s">
        <v>5155</v>
      </c>
      <c r="E927" s="151" t="s">
        <v>5156</v>
      </c>
      <c r="F927" s="151"/>
      <c r="G927" s="52" t="str">
        <f t="shared" si="14"/>
        <v>CA AB:善擦帽子(狸花猫)</v>
      </c>
    </row>
    <row r="928" spans="1:7">
      <c r="A928" s="24" t="s">
        <v>4113</v>
      </c>
      <c r="B928" s="24" t="s">
        <v>4680</v>
      </c>
      <c r="C928" s="24" t="s">
        <v>4133</v>
      </c>
      <c r="D928" s="151" t="s">
        <v>5157</v>
      </c>
      <c r="E928" s="151" t="s">
        <v>5158</v>
      </c>
      <c r="F928" s="151"/>
      <c r="G928" s="52" t="str">
        <f t="shared" si="14"/>
        <v>9D 4B:善擦帽子(金渐层)</v>
      </c>
    </row>
    <row r="929" spans="1:7">
      <c r="A929" s="24" t="s">
        <v>4113</v>
      </c>
      <c r="B929" s="24" t="s">
        <v>4680</v>
      </c>
      <c r="C929" s="24" t="s">
        <v>4133</v>
      </c>
      <c r="D929" s="151" t="s">
        <v>5159</v>
      </c>
      <c r="E929" s="151" t="s">
        <v>5160</v>
      </c>
      <c r="F929" s="151"/>
      <c r="G929" s="52" t="str">
        <f t="shared" si="14"/>
        <v>04 04:善擦帽子(美短)</v>
      </c>
    </row>
    <row r="930" spans="1:7">
      <c r="A930" s="24" t="s">
        <v>4113</v>
      </c>
      <c r="B930" s="24" t="s">
        <v>4680</v>
      </c>
      <c r="C930" s="24" t="s">
        <v>4133</v>
      </c>
      <c r="D930" s="151" t="s">
        <v>5161</v>
      </c>
      <c r="E930" s="151" t="s">
        <v>5162</v>
      </c>
      <c r="F930" s="151"/>
      <c r="G930" s="52" t="str">
        <f t="shared" si="14"/>
        <v>4E 3E:善擦帽子(奶牛猫)</v>
      </c>
    </row>
    <row r="931" spans="1:7">
      <c r="A931" s="24" t="s">
        <v>4113</v>
      </c>
      <c r="B931" s="24" t="s">
        <v>4680</v>
      </c>
      <c r="C931" s="24" t="s">
        <v>4133</v>
      </c>
      <c r="D931" s="151" t="s">
        <v>5163</v>
      </c>
      <c r="E931" s="151" t="s">
        <v>5164</v>
      </c>
      <c r="F931" s="151"/>
      <c r="G931" s="52" t="str">
        <f t="shared" si="14"/>
        <v>C5 05:善擦帽子(蓝猫)</v>
      </c>
    </row>
    <row r="932" spans="1:7">
      <c r="A932" s="24" t="s">
        <v>4113</v>
      </c>
      <c r="B932" s="24" t="s">
        <v>4680</v>
      </c>
      <c r="C932" s="24" t="s">
        <v>4133</v>
      </c>
      <c r="D932" s="151" t="s">
        <v>5165</v>
      </c>
      <c r="E932" s="151" t="s">
        <v>5166</v>
      </c>
      <c r="F932" s="151"/>
      <c r="G932" s="52" t="str">
        <f t="shared" si="14"/>
        <v>41 DC:善擦帽子(布偶)</v>
      </c>
    </row>
    <row r="933" spans="1:7">
      <c r="A933" s="24" t="s">
        <v>4113</v>
      </c>
      <c r="B933" s="24" t="s">
        <v>4680</v>
      </c>
      <c r="C933" s="24" t="s">
        <v>4133</v>
      </c>
      <c r="D933" s="151" t="s">
        <v>5167</v>
      </c>
      <c r="E933" s="151" t="s">
        <v>5168</v>
      </c>
      <c r="F933" s="151"/>
      <c r="G933" s="52" t="str">
        <f t="shared" si="14"/>
        <v>E9 1B:善擦帽子(蓝白)</v>
      </c>
    </row>
    <row r="934" spans="1:7">
      <c r="A934" s="24" t="s">
        <v>5169</v>
      </c>
      <c r="B934" s="24" t="s">
        <v>5170</v>
      </c>
      <c r="C934" s="24" t="s">
        <v>5170</v>
      </c>
      <c r="D934" s="151" t="s">
        <v>5171</v>
      </c>
      <c r="E934" s="151" t="s">
        <v>5172</v>
      </c>
      <c r="F934" s="151"/>
      <c r="G934" s="52" t="str">
        <f t="shared" si="14"/>
        <v>98 2B:护身符[武士]</v>
      </c>
    </row>
    <row r="935" spans="1:7">
      <c r="A935" s="24" t="s">
        <v>5169</v>
      </c>
      <c r="B935" s="24" t="s">
        <v>5170</v>
      </c>
      <c r="C935" s="24" t="s">
        <v>5170</v>
      </c>
      <c r="D935" s="151" t="s">
        <v>5173</v>
      </c>
      <c r="E935" s="151" t="s">
        <v>5174</v>
      </c>
      <c r="F935" s="151"/>
      <c r="G935" s="52" t="str">
        <f t="shared" si="14"/>
        <v>72 7B:扇子(白)[武士]</v>
      </c>
    </row>
    <row r="936" spans="1:7">
      <c r="A936" s="24" t="s">
        <v>5169</v>
      </c>
      <c r="B936" s="24" t="s">
        <v>5170</v>
      </c>
      <c r="C936" s="24" t="s">
        <v>5170</v>
      </c>
      <c r="D936" s="151" t="s">
        <v>5175</v>
      </c>
      <c r="E936" s="151" t="s">
        <v>5176</v>
      </c>
      <c r="F936" s="151"/>
      <c r="G936" s="52" t="str">
        <f t="shared" si="14"/>
        <v>C2 7D:扇子(红)[武士]</v>
      </c>
    </row>
    <row r="937" spans="1:7">
      <c r="A937" s="24" t="s">
        <v>5169</v>
      </c>
      <c r="B937" s="24" t="s">
        <v>5170</v>
      </c>
      <c r="C937" s="24" t="s">
        <v>5170</v>
      </c>
      <c r="D937" s="151" t="s">
        <v>5177</v>
      </c>
      <c r="E937" s="151" t="s">
        <v>5178</v>
      </c>
      <c r="F937" s="151"/>
      <c r="G937" s="52" t="str">
        <f t="shared" si="14"/>
        <v>A8 96:扇子(黑)[武士]</v>
      </c>
    </row>
    <row r="938" spans="1:7">
      <c r="A938" s="24" t="s">
        <v>5169</v>
      </c>
      <c r="B938" s="24" t="s">
        <v>5170</v>
      </c>
      <c r="C938" s="24" t="s">
        <v>5170</v>
      </c>
      <c r="D938" s="151" t="s">
        <v>5179</v>
      </c>
      <c r="E938" s="151" t="s">
        <v>5180</v>
      </c>
      <c r="F938" s="151"/>
      <c r="G938" s="52" t="str">
        <f t="shared" si="14"/>
        <v>02 8E:矢立[武士]</v>
      </c>
    </row>
    <row r="939" spans="1:7">
      <c r="A939" s="24" t="s">
        <v>5169</v>
      </c>
      <c r="B939" s="24" t="s">
        <v>5170</v>
      </c>
      <c r="C939" s="24" t="s">
        <v>5170</v>
      </c>
      <c r="D939" s="151" t="s">
        <v>5181</v>
      </c>
      <c r="E939" s="151" t="s">
        <v>5182</v>
      </c>
      <c r="F939" s="151"/>
      <c r="G939" s="52" t="str">
        <f t="shared" si="14"/>
        <v>33 3B:纱剪[武士]</v>
      </c>
    </row>
    <row r="940" spans="1:7">
      <c r="A940" s="24" t="s">
        <v>5169</v>
      </c>
      <c r="B940" s="24" t="s">
        <v>5170</v>
      </c>
      <c r="C940" s="24" t="s">
        <v>5170</v>
      </c>
      <c r="D940" s="151" t="s">
        <v>5183</v>
      </c>
      <c r="E940" s="151" t="s">
        <v>5184</v>
      </c>
      <c r="F940" s="151"/>
      <c r="G940" s="52" t="str">
        <f t="shared" si="14"/>
        <v>AD EC:葫芦[武士]</v>
      </c>
    </row>
    <row r="941" spans="1:7">
      <c r="A941" s="24" t="s">
        <v>5169</v>
      </c>
      <c r="B941" s="24" t="s">
        <v>5170</v>
      </c>
      <c r="C941" s="24" t="s">
        <v>5170</v>
      </c>
      <c r="D941" s="151" t="s">
        <v>5185</v>
      </c>
      <c r="E941" s="151" t="s">
        <v>5186</v>
      </c>
      <c r="F941" s="151"/>
      <c r="G941" s="52" t="str">
        <f t="shared" si="14"/>
        <v>E1 C0:信玄的军扇[武士]</v>
      </c>
    </row>
    <row r="942" spans="1:7">
      <c r="A942" s="24" t="s">
        <v>5169</v>
      </c>
      <c r="B942" s="24" t="s">
        <v>5170</v>
      </c>
      <c r="C942" s="24" t="s">
        <v>5170</v>
      </c>
      <c r="D942" s="151" t="s">
        <v>5187</v>
      </c>
      <c r="E942" s="151" t="s">
        <v>5188</v>
      </c>
      <c r="F942" s="151"/>
      <c r="G942" s="52" t="str">
        <f t="shared" si="14"/>
        <v>9A 5D:念珠(黑)[武士]</v>
      </c>
    </row>
    <row r="943" spans="1:7">
      <c r="A943" s="24" t="s">
        <v>5169</v>
      </c>
      <c r="B943" s="24" t="s">
        <v>5170</v>
      </c>
      <c r="C943" s="24" t="s">
        <v>5170</v>
      </c>
      <c r="D943" s="151" t="s">
        <v>5189</v>
      </c>
      <c r="E943" s="151" t="s">
        <v>5190</v>
      </c>
      <c r="F943" s="151"/>
      <c r="G943" s="52" t="str">
        <f t="shared" si="14"/>
        <v>BA 31:念珠(棕)[武士]</v>
      </c>
    </row>
    <row r="944" spans="1:7">
      <c r="A944" s="24" t="s">
        <v>5169</v>
      </c>
      <c r="B944" s="24" t="s">
        <v>5170</v>
      </c>
      <c r="C944" s="24" t="s">
        <v>5170</v>
      </c>
      <c r="D944" s="151" t="s">
        <v>5191</v>
      </c>
      <c r="E944" s="151" t="s">
        <v>5192</v>
      </c>
      <c r="F944" s="151"/>
      <c r="G944" s="52" t="str">
        <f t="shared" si="14"/>
        <v>D2 CB:念珠(白)[武士]</v>
      </c>
    </row>
    <row r="945" spans="1:7">
      <c r="A945" s="24" t="s">
        <v>5169</v>
      </c>
      <c r="B945" s="24" t="s">
        <v>5170</v>
      </c>
      <c r="C945" s="24" t="s">
        <v>5170</v>
      </c>
      <c r="D945" s="151" t="s">
        <v>5193</v>
      </c>
      <c r="E945" s="151" t="s">
        <v>5194</v>
      </c>
      <c r="F945" s="151"/>
      <c r="G945" s="52" t="str">
        <f t="shared" si="14"/>
        <v>3F 3E:龙笛[武士]</v>
      </c>
    </row>
    <row r="946" spans="1:7">
      <c r="A946" s="24" t="s">
        <v>5169</v>
      </c>
      <c r="B946" s="24" t="s">
        <v>5170</v>
      </c>
      <c r="C946" s="24" t="s">
        <v>5170</v>
      </c>
      <c r="D946" s="151" t="s">
        <v>5195</v>
      </c>
      <c r="E946" s="151" t="s">
        <v>5196</v>
      </c>
      <c r="F946" s="151"/>
      <c r="G946" s="52" t="str">
        <f t="shared" si="14"/>
        <v>F8 67:兄弟护身符[武士]</v>
      </c>
    </row>
    <row r="947" spans="1:7">
      <c r="A947" s="24" t="s">
        <v>5169</v>
      </c>
      <c r="B947" s="24" t="s">
        <v>5170</v>
      </c>
      <c r="C947" s="24" t="s">
        <v>5170</v>
      </c>
      <c r="D947" s="151" t="s">
        <v>5197</v>
      </c>
      <c r="E947" s="151" t="s">
        <v>5198</v>
      </c>
      <c r="F947" s="151"/>
      <c r="G947" s="52" t="str">
        <f t="shared" si="14"/>
        <v>66 AF:白椿发簪[武士]</v>
      </c>
    </row>
    <row r="948" spans="1:7">
      <c r="A948" s="24" t="s">
        <v>5169</v>
      </c>
      <c r="B948" s="24" t="s">
        <v>5170</v>
      </c>
      <c r="C948" s="24" t="s">
        <v>5170</v>
      </c>
      <c r="D948" s="151" t="s">
        <v>5199</v>
      </c>
      <c r="E948" s="151" t="s">
        <v>5200</v>
      </c>
      <c r="F948" s="151"/>
      <c r="G948" s="52" t="str">
        <f t="shared" si="14"/>
        <v>F6 BD:蝉折之笛[武士]</v>
      </c>
    </row>
    <row r="949" spans="1:7">
      <c r="A949" s="24" t="s">
        <v>5169</v>
      </c>
      <c r="B949" s="24" t="s">
        <v>5170</v>
      </c>
      <c r="C949" s="24" t="s">
        <v>5170</v>
      </c>
      <c r="D949" s="151" t="s">
        <v>5201</v>
      </c>
      <c r="E949" s="151" t="s">
        <v>5202</v>
      </c>
      <c r="F949" s="151"/>
      <c r="G949" s="52" t="str">
        <f t="shared" si="14"/>
        <v>96 34:六壬式盘[武士]</v>
      </c>
    </row>
    <row r="950" spans="1:7">
      <c r="A950" s="24" t="s">
        <v>5169</v>
      </c>
      <c r="B950" s="24" t="s">
        <v>5170</v>
      </c>
      <c r="C950" s="24" t="s">
        <v>5170</v>
      </c>
      <c r="D950" s="151" t="s">
        <v>5203</v>
      </c>
      <c r="E950" s="151" t="s">
        <v>5204</v>
      </c>
      <c r="F950" s="151"/>
      <c r="G950" s="52" t="str">
        <f t="shared" si="14"/>
        <v>D6 47:勾玉(绿)[武士]</v>
      </c>
    </row>
    <row r="951" spans="1:7">
      <c r="A951" s="24" t="s">
        <v>5169</v>
      </c>
      <c r="B951" s="24" t="s">
        <v>5170</v>
      </c>
      <c r="C951" s="24" t="s">
        <v>5170</v>
      </c>
      <c r="D951" s="151" t="s">
        <v>5205</v>
      </c>
      <c r="E951" s="151" t="s">
        <v>5206</v>
      </c>
      <c r="F951" s="151"/>
      <c r="G951" s="52" t="str">
        <f t="shared" si="14"/>
        <v>79 BF:勾玉(红)[武士]</v>
      </c>
    </row>
    <row r="952" spans="1:7">
      <c r="A952" s="24" t="s">
        <v>5169</v>
      </c>
      <c r="B952" s="24" t="s">
        <v>5170</v>
      </c>
      <c r="C952" s="24" t="s">
        <v>5170</v>
      </c>
      <c r="D952" s="151" t="s">
        <v>5207</v>
      </c>
      <c r="E952" s="151" t="s">
        <v>5208</v>
      </c>
      <c r="F952" s="151"/>
      <c r="G952" s="52" t="str">
        <f t="shared" si="14"/>
        <v>F3 67:勾玉(白)[武士]</v>
      </c>
    </row>
    <row r="953" spans="1:7">
      <c r="A953" s="24" t="s">
        <v>5169</v>
      </c>
      <c r="B953" s="24" t="s">
        <v>5170</v>
      </c>
      <c r="C953" s="24" t="s">
        <v>5170</v>
      </c>
      <c r="D953" s="151" t="s">
        <v>5209</v>
      </c>
      <c r="E953" s="151" t="s">
        <v>5210</v>
      </c>
      <c r="F953" s="151"/>
      <c r="G953" s="52" t="str">
        <f t="shared" si="14"/>
        <v>CA FD:国松的砚盒[武士]</v>
      </c>
    </row>
    <row r="954" spans="1:7">
      <c r="A954" s="24" t="s">
        <v>5169</v>
      </c>
      <c r="B954" s="24" t="s">
        <v>5170</v>
      </c>
      <c r="C954" s="24" t="s">
        <v>5170</v>
      </c>
      <c r="D954" s="151" t="s">
        <v>5211</v>
      </c>
      <c r="E954" s="151" t="s">
        <v>5212</v>
      </c>
      <c r="F954" s="151"/>
      <c r="G954" s="52" t="str">
        <f t="shared" si="14"/>
        <v>40 3A:印笼(黑)[武士]</v>
      </c>
    </row>
    <row r="955" spans="1:7">
      <c r="A955" s="24" t="s">
        <v>5169</v>
      </c>
      <c r="B955" s="24" t="s">
        <v>5170</v>
      </c>
      <c r="C955" s="24" t="s">
        <v>5170</v>
      </c>
      <c r="D955" s="151" t="s">
        <v>5213</v>
      </c>
      <c r="E955" s="151" t="s">
        <v>5214</v>
      </c>
      <c r="F955" s="151"/>
      <c r="G955" s="52" t="str">
        <f t="shared" si="14"/>
        <v>1B 7A:印笼(棕)[武士]</v>
      </c>
    </row>
    <row r="956" spans="1:7">
      <c r="A956" s="24" t="s">
        <v>5169</v>
      </c>
      <c r="B956" s="24" t="s">
        <v>5170</v>
      </c>
      <c r="C956" s="24" t="s">
        <v>5170</v>
      </c>
      <c r="D956" s="151" t="s">
        <v>5215</v>
      </c>
      <c r="E956" s="151" t="s">
        <v>5216</v>
      </c>
      <c r="F956" s="151"/>
      <c r="G956" s="52" t="str">
        <f t="shared" si="14"/>
        <v>A5 97:印笼(红)[武士]</v>
      </c>
    </row>
    <row r="957" spans="1:7">
      <c r="A957" s="24" t="s">
        <v>5169</v>
      </c>
      <c r="B957" s="24" t="s">
        <v>5170</v>
      </c>
      <c r="C957" s="24" t="s">
        <v>5170</v>
      </c>
      <c r="D957" s="151" t="s">
        <v>5217</v>
      </c>
      <c r="E957" s="151" t="s">
        <v>5218</v>
      </c>
      <c r="F957" s="151"/>
      <c r="G957" s="52" t="str">
        <f t="shared" si="14"/>
        <v>08 8A:烟管[武士]</v>
      </c>
    </row>
    <row r="958" spans="1:7">
      <c r="A958" s="24" t="s">
        <v>5169</v>
      </c>
      <c r="B958" s="24" t="s">
        <v>5170</v>
      </c>
      <c r="C958" s="24" t="s">
        <v>5170</v>
      </c>
      <c r="D958" s="151" t="s">
        <v>5219</v>
      </c>
      <c r="E958" s="151" t="s">
        <v>5220</v>
      </c>
      <c r="F958" s="151"/>
      <c r="G958" s="52" t="str">
        <f t="shared" si="14"/>
        <v>CA 74:发梳[武士]</v>
      </c>
    </row>
    <row r="959" spans="1:7">
      <c r="A959" s="24" t="s">
        <v>5169</v>
      </c>
      <c r="B959" s="24" t="s">
        <v>5170</v>
      </c>
      <c r="C959" s="24" t="s">
        <v>5170</v>
      </c>
      <c r="D959" s="151" t="s">
        <v>5221</v>
      </c>
      <c r="E959" s="151" t="s">
        <v>5222</v>
      </c>
      <c r="F959" s="151"/>
      <c r="G959" s="52" t="str">
        <f t="shared" si="14"/>
        <v>75 F8:叶二[武士]</v>
      </c>
    </row>
    <row r="960" spans="1:7">
      <c r="A960" s="24" t="s">
        <v>5169</v>
      </c>
      <c r="B960" s="24" t="s">
        <v>5170</v>
      </c>
      <c r="C960" s="24" t="s">
        <v>5170</v>
      </c>
      <c r="D960" s="151" t="s">
        <v>5223</v>
      </c>
      <c r="E960" s="151" t="s">
        <v>5224</v>
      </c>
      <c r="F960" s="151"/>
      <c r="G960" s="52" t="str">
        <f t="shared" si="14"/>
        <v>30 3F:算盘[武士]</v>
      </c>
    </row>
    <row r="961" spans="1:7">
      <c r="A961" s="24" t="s">
        <v>5169</v>
      </c>
      <c r="B961" s="24" t="s">
        <v>5170</v>
      </c>
      <c r="C961" s="24" t="s">
        <v>5170</v>
      </c>
      <c r="D961" s="151" t="s">
        <v>5225</v>
      </c>
      <c r="E961" s="151" t="s">
        <v>5226</v>
      </c>
      <c r="F961" s="151"/>
      <c r="G961" s="52" t="str">
        <f t="shared" si="14"/>
        <v>26 89:手镜[武士]</v>
      </c>
    </row>
    <row r="962" spans="1:7">
      <c r="A962" s="24" t="s">
        <v>5169</v>
      </c>
      <c r="B962" s="24" t="s">
        <v>5170</v>
      </c>
      <c r="C962" s="24" t="s">
        <v>5170</v>
      </c>
      <c r="D962" s="151" t="s">
        <v>5227</v>
      </c>
      <c r="E962" s="151" t="s">
        <v>5228</v>
      </c>
      <c r="F962" s="151"/>
      <c r="G962" s="52" t="str">
        <f t="shared" ref="G962:G966" si="15">D962&amp;":"&amp;E962</f>
        <v>FA 96:进口怀表[武士]</v>
      </c>
    </row>
    <row r="963" spans="1:7">
      <c r="A963" s="24" t="s">
        <v>5169</v>
      </c>
      <c r="B963" s="24" t="s">
        <v>5170</v>
      </c>
      <c r="C963" s="24" t="s">
        <v>5170</v>
      </c>
      <c r="D963" s="151" t="s">
        <v>5229</v>
      </c>
      <c r="E963" s="151" t="s">
        <v>5230</v>
      </c>
      <c r="F963" s="151"/>
      <c r="G963" s="52" t="str">
        <f t="shared" si="15"/>
        <v>30 D2:胧月笛[武士]</v>
      </c>
    </row>
    <row r="964" spans="1:7">
      <c r="A964" s="24" t="s">
        <v>5169</v>
      </c>
      <c r="B964" s="24" t="s">
        <v>5170</v>
      </c>
      <c r="C964" s="24" t="s">
        <v>5170</v>
      </c>
      <c r="D964" s="151" t="s">
        <v>5231</v>
      </c>
      <c r="E964" s="151" t="s">
        <v>5232</v>
      </c>
      <c r="F964" s="151"/>
      <c r="G964" s="52" t="str">
        <f t="shared" si="15"/>
        <v>2E 2D:柯亭[武士]</v>
      </c>
    </row>
    <row r="965" spans="1:7">
      <c r="A965" s="24" t="s">
        <v>5169</v>
      </c>
      <c r="B965" s="24" t="s">
        <v>5170</v>
      </c>
      <c r="C965" s="24" t="s">
        <v>5170</v>
      </c>
      <c r="D965" s="151" t="s">
        <v>5233</v>
      </c>
      <c r="E965" s="151" t="s">
        <v>5234</v>
      </c>
      <c r="F965" s="151"/>
      <c r="G965" s="52" t="str">
        <f t="shared" si="15"/>
        <v>A7 94:水龙[武士]</v>
      </c>
    </row>
    <row r="966" spans="1:7">
      <c r="A966" s="24" t="s">
        <v>5169</v>
      </c>
      <c r="B966" s="24" t="s">
        <v>5170</v>
      </c>
      <c r="C966" s="24" t="s">
        <v>5170</v>
      </c>
      <c r="D966" s="147" t="s">
        <v>5235</v>
      </c>
      <c r="E966" s="139" t="s">
        <v>5236</v>
      </c>
      <c r="F966" s="151"/>
      <c r="G966" s="52" t="str">
        <f t="shared" si="15"/>
        <v>21 15:八咫镜[武士]</v>
      </c>
    </row>
    <row r="967" spans="1:7">
      <c r="A967" s="24" t="s">
        <v>5169</v>
      </c>
      <c r="B967" s="24" t="s">
        <v>5170</v>
      </c>
      <c r="C967" s="24" t="s">
        <v>5170</v>
      </c>
      <c r="D967" s="151" t="s">
        <v>5237</v>
      </c>
      <c r="E967" s="151" t="s">
        <v>5238</v>
      </c>
      <c r="F967" s="151"/>
      <c r="G967" s="52" t="str">
        <f t="shared" ref="G967:G1027" si="16">D967&amp;":"&amp;E967</f>
        <v>87 49:八尺琼勾玉[武士]</v>
      </c>
    </row>
    <row r="968" spans="1:7">
      <c r="A968" s="24" t="s">
        <v>5169</v>
      </c>
      <c r="B968" s="24" t="s">
        <v>5170</v>
      </c>
      <c r="C968" s="24" t="s">
        <v>5170</v>
      </c>
      <c r="D968" s="151" t="s">
        <v>5239</v>
      </c>
      <c r="E968" s="151" t="s">
        <v>5240</v>
      </c>
      <c r="F968" s="151"/>
      <c r="G968" s="52" t="str">
        <f t="shared" si="16"/>
        <v>9A 10:除火护身符[武士]</v>
      </c>
    </row>
    <row r="969" spans="1:7">
      <c r="A969" s="24" t="s">
        <v>5169</v>
      </c>
      <c r="B969" s="24" t="s">
        <v>5170</v>
      </c>
      <c r="C969" s="24" t="s">
        <v>5170</v>
      </c>
      <c r="D969" s="151" t="s">
        <v>5241</v>
      </c>
      <c r="E969" s="151" t="s">
        <v>5242</v>
      </c>
      <c r="F969" s="151"/>
      <c r="G969" s="52" t="str">
        <f t="shared" si="16"/>
        <v>2E 64:除水护身符[武士]</v>
      </c>
    </row>
    <row r="970" spans="1:7">
      <c r="A970" s="24" t="s">
        <v>5169</v>
      </c>
      <c r="B970" s="24" t="s">
        <v>5170</v>
      </c>
      <c r="C970" s="24" t="s">
        <v>5170</v>
      </c>
      <c r="D970" s="151" t="s">
        <v>5243</v>
      </c>
      <c r="E970" s="151" t="s">
        <v>5244</v>
      </c>
      <c r="F970" s="151"/>
      <c r="G970" s="52" t="str">
        <f t="shared" si="16"/>
        <v>4E C2:除风护身符[武士]</v>
      </c>
    </row>
    <row r="971" spans="1:7">
      <c r="A971" s="24" t="s">
        <v>5169</v>
      </c>
      <c r="B971" s="24" t="s">
        <v>5170</v>
      </c>
      <c r="C971" s="24" t="s">
        <v>5170</v>
      </c>
      <c r="D971" s="151" t="s">
        <v>5245</v>
      </c>
      <c r="E971" s="151" t="s">
        <v>5246</v>
      </c>
      <c r="F971" s="151"/>
      <c r="G971" s="52" t="str">
        <f t="shared" si="16"/>
        <v>9F CC:除雷护身符[武士]</v>
      </c>
    </row>
    <row r="972" spans="1:7">
      <c r="A972" s="24" t="s">
        <v>5169</v>
      </c>
      <c r="B972" s="24" t="s">
        <v>5170</v>
      </c>
      <c r="C972" s="24" t="s">
        <v>5170</v>
      </c>
      <c r="D972" s="151" t="s">
        <v>5247</v>
      </c>
      <c r="E972" s="151" t="s">
        <v>5248</v>
      </c>
      <c r="F972" s="151"/>
      <c r="G972" s="52" t="str">
        <f t="shared" si="16"/>
        <v>72 B3:除毒护身符[武士]</v>
      </c>
    </row>
    <row r="973" spans="1:7">
      <c r="A973" s="24" t="s">
        <v>5169</v>
      </c>
      <c r="B973" s="24" t="s">
        <v>5170</v>
      </c>
      <c r="C973" s="24" t="s">
        <v>5170</v>
      </c>
      <c r="D973" s="151" t="s">
        <v>5249</v>
      </c>
      <c r="E973" s="151" t="s">
        <v>5250</v>
      </c>
      <c r="F973" s="151"/>
      <c r="G973" s="52" t="str">
        <f t="shared" si="16"/>
        <v>37 93:除麻痹护身符[武士]</v>
      </c>
    </row>
    <row r="974" spans="1:7">
      <c r="A974" s="24" t="s">
        <v>5169</v>
      </c>
      <c r="B974" s="24" t="s">
        <v>5170</v>
      </c>
      <c r="C974" s="24" t="s">
        <v>5170</v>
      </c>
      <c r="D974" s="151" t="s">
        <v>5251</v>
      </c>
      <c r="E974" s="151" t="s">
        <v>5252</v>
      </c>
      <c r="F974" s="151"/>
      <c r="G974" s="52" t="str">
        <f t="shared" si="16"/>
        <v>02 CC:木灵吊饰[武士]</v>
      </c>
    </row>
    <row r="975" spans="1:7">
      <c r="A975" s="24" t="s">
        <v>5169</v>
      </c>
      <c r="B975" s="24" t="s">
        <v>5170</v>
      </c>
      <c r="C975" s="24" t="s">
        <v>5170</v>
      </c>
      <c r="D975" s="151" t="s">
        <v>5253</v>
      </c>
      <c r="E975" s="151" t="s">
        <v>5254</v>
      </c>
      <c r="F975" s="151"/>
      <c r="G975" s="52" t="str">
        <f t="shared" si="16"/>
        <v>F5 5A:千千古吊饰[武士]</v>
      </c>
    </row>
    <row r="976" spans="1:7">
      <c r="A976" s="24" t="s">
        <v>5169</v>
      </c>
      <c r="B976" s="24" t="s">
        <v>5170</v>
      </c>
      <c r="C976" s="24" t="s">
        <v>5170</v>
      </c>
      <c r="D976" s="151" t="s">
        <v>5255</v>
      </c>
      <c r="E976" s="151" t="s">
        <v>5256</v>
      </c>
      <c r="F976" s="151"/>
      <c r="G976" s="52" t="str">
        <f t="shared" si="16"/>
        <v>EE 2D:善擦毛球吊饰[武士]</v>
      </c>
    </row>
    <row r="977" spans="1:7">
      <c r="A977" s="24" t="s">
        <v>5169</v>
      </c>
      <c r="B977" s="24" t="s">
        <v>5170</v>
      </c>
      <c r="C977" s="24" t="s">
        <v>5170</v>
      </c>
      <c r="D977" s="151" t="s">
        <v>5257</v>
      </c>
      <c r="E977" s="151" t="s">
        <v>5258</v>
      </c>
      <c r="F977" s="151"/>
      <c r="G977" s="52" t="str">
        <f t="shared" si="16"/>
        <v>67 45:松平信纲的军扇[武士]</v>
      </c>
    </row>
    <row r="978" spans="1:7">
      <c r="A978" s="24" t="s">
        <v>5169</v>
      </c>
      <c r="B978" s="24" t="s">
        <v>5170</v>
      </c>
      <c r="C978" s="24" t="s">
        <v>5170</v>
      </c>
      <c r="D978" s="151" t="s">
        <v>5259</v>
      </c>
      <c r="E978" s="151" t="s">
        <v>5260</v>
      </c>
      <c r="F978" s="151"/>
      <c r="G978" s="52" t="str">
        <f t="shared" si="16"/>
        <v>E6 E2:副将军的印笼[武士]</v>
      </c>
    </row>
    <row r="979" spans="1:7">
      <c r="A979" s="24" t="s">
        <v>5169</v>
      </c>
      <c r="B979" s="24" t="s">
        <v>5170</v>
      </c>
      <c r="C979" s="24" t="s">
        <v>5170</v>
      </c>
      <c r="D979" s="151" t="s">
        <v>5261</v>
      </c>
      <c r="E979" s="151" t="s">
        <v>5262</v>
      </c>
      <c r="F979" s="151"/>
      <c r="G979" s="52" t="str">
        <f t="shared" si="16"/>
        <v>B3 F5:一玄居士的烟管[武士]</v>
      </c>
    </row>
    <row r="980" spans="1:7">
      <c r="A980" s="24" t="s">
        <v>5169</v>
      </c>
      <c r="B980" s="24" t="s">
        <v>5263</v>
      </c>
      <c r="C980" s="24" t="s">
        <v>5263</v>
      </c>
      <c r="D980" s="151" t="s">
        <v>5264</v>
      </c>
      <c r="E980" s="151" t="s">
        <v>5265</v>
      </c>
      <c r="F980" s="151"/>
      <c r="G980" s="52" t="str">
        <f t="shared" si="16"/>
        <v>18 8D:护身符[忍者]</v>
      </c>
    </row>
    <row r="981" spans="1:7">
      <c r="A981" s="24" t="s">
        <v>5169</v>
      </c>
      <c r="B981" s="24" t="s">
        <v>5263</v>
      </c>
      <c r="C981" s="24" t="s">
        <v>5263</v>
      </c>
      <c r="D981" s="151" t="s">
        <v>5266</v>
      </c>
      <c r="E981" s="151" t="s">
        <v>5267</v>
      </c>
      <c r="F981" s="151"/>
      <c r="G981" s="52" t="str">
        <f t="shared" si="16"/>
        <v>60 E1:扇子(白)[忍者]</v>
      </c>
    </row>
    <row r="982" spans="1:7">
      <c r="A982" s="24" t="s">
        <v>5169</v>
      </c>
      <c r="B982" s="24" t="s">
        <v>5263</v>
      </c>
      <c r="C982" s="24" t="s">
        <v>5263</v>
      </c>
      <c r="D982" s="151" t="s">
        <v>5268</v>
      </c>
      <c r="E982" s="151" t="s">
        <v>5269</v>
      </c>
      <c r="F982" s="151"/>
      <c r="G982" s="52" t="str">
        <f t="shared" si="16"/>
        <v>49 FA:扇子(红)[忍者]</v>
      </c>
    </row>
    <row r="983" spans="1:7">
      <c r="A983" s="24" t="s">
        <v>5169</v>
      </c>
      <c r="B983" s="24" t="s">
        <v>5263</v>
      </c>
      <c r="C983" s="24" t="s">
        <v>5263</v>
      </c>
      <c r="D983" s="151" t="s">
        <v>5270</v>
      </c>
      <c r="E983" s="151" t="s">
        <v>5271</v>
      </c>
      <c r="F983" s="151"/>
      <c r="G983" s="52" t="str">
        <f t="shared" si="16"/>
        <v>CE 6B:扇子(黑)[忍者]</v>
      </c>
    </row>
    <row r="984" spans="1:7">
      <c r="A984" s="24" t="s">
        <v>5169</v>
      </c>
      <c r="B984" s="24" t="s">
        <v>5263</v>
      </c>
      <c r="C984" s="24" t="s">
        <v>5263</v>
      </c>
      <c r="D984" s="151" t="s">
        <v>5272</v>
      </c>
      <c r="E984" s="151" t="s">
        <v>5273</v>
      </c>
      <c r="F984" s="151"/>
      <c r="G984" s="52" t="str">
        <f t="shared" si="16"/>
        <v>C3 58:矢立[忍者]</v>
      </c>
    </row>
    <row r="985" spans="1:7">
      <c r="A985" s="24" t="s">
        <v>5169</v>
      </c>
      <c r="B985" s="24" t="s">
        <v>5263</v>
      </c>
      <c r="C985" s="24" t="s">
        <v>5263</v>
      </c>
      <c r="D985" s="151" t="s">
        <v>5274</v>
      </c>
      <c r="E985" s="151" t="s">
        <v>5275</v>
      </c>
      <c r="F985" s="151"/>
      <c r="G985" s="52" t="str">
        <f t="shared" si="16"/>
        <v>D8 A9:弘法大师的念珠[忍者]</v>
      </c>
    </row>
    <row r="986" spans="1:7">
      <c r="A986" s="24" t="s">
        <v>5169</v>
      </c>
      <c r="B986" s="24" t="s">
        <v>5263</v>
      </c>
      <c r="C986" s="24" t="s">
        <v>5263</v>
      </c>
      <c r="D986" s="151" t="s">
        <v>5276</v>
      </c>
      <c r="E986" s="151" t="s">
        <v>5277</v>
      </c>
      <c r="F986" s="151"/>
      <c r="G986" s="52" t="str">
        <f t="shared" si="16"/>
        <v>CD 2D:纱剪[忍者]</v>
      </c>
    </row>
    <row r="987" spans="1:7">
      <c r="A987" s="24" t="s">
        <v>5169</v>
      </c>
      <c r="B987" s="24" t="s">
        <v>5263</v>
      </c>
      <c r="C987" s="24" t="s">
        <v>5263</v>
      </c>
      <c r="D987" s="151" t="s">
        <v>5278</v>
      </c>
      <c r="E987" s="151" t="s">
        <v>5279</v>
      </c>
      <c r="F987" s="151"/>
      <c r="G987" s="52" t="str">
        <f t="shared" si="16"/>
        <v>BE 6E:葫芦[忍者]</v>
      </c>
    </row>
    <row r="988" spans="1:7">
      <c r="A988" s="24" t="s">
        <v>5169</v>
      </c>
      <c r="B988" s="24" t="s">
        <v>5263</v>
      </c>
      <c r="C988" s="24" t="s">
        <v>5263</v>
      </c>
      <c r="D988" s="151" t="s">
        <v>5280</v>
      </c>
      <c r="E988" s="151" t="s">
        <v>5281</v>
      </c>
      <c r="F988" s="151"/>
      <c r="G988" s="52" t="str">
        <f t="shared" si="16"/>
        <v>D0 22:念珠(黑)[忍者]</v>
      </c>
    </row>
    <row r="989" spans="1:7">
      <c r="A989" s="24" t="s">
        <v>5169</v>
      </c>
      <c r="B989" s="24" t="s">
        <v>5263</v>
      </c>
      <c r="C989" s="24" t="s">
        <v>5263</v>
      </c>
      <c r="D989" s="151" t="s">
        <v>5282</v>
      </c>
      <c r="E989" s="151" t="s">
        <v>5283</v>
      </c>
      <c r="F989" s="151"/>
      <c r="G989" s="52" t="str">
        <f t="shared" si="16"/>
        <v>54 77:念珠(棕)[忍者]</v>
      </c>
    </row>
    <row r="990" spans="1:7">
      <c r="A990" s="24" t="s">
        <v>5169</v>
      </c>
      <c r="B990" s="24" t="s">
        <v>5263</v>
      </c>
      <c r="C990" s="24" t="s">
        <v>5263</v>
      </c>
      <c r="D990" s="151" t="s">
        <v>5284</v>
      </c>
      <c r="E990" s="151" t="s">
        <v>5285</v>
      </c>
      <c r="F990" s="151"/>
      <c r="G990" s="52" t="str">
        <f t="shared" si="16"/>
        <v>14 C3:念珠(白)[忍者]</v>
      </c>
    </row>
    <row r="991" spans="1:7">
      <c r="A991" s="24" t="s">
        <v>5169</v>
      </c>
      <c r="B991" s="24" t="s">
        <v>5263</v>
      </c>
      <c r="C991" s="24" t="s">
        <v>5263</v>
      </c>
      <c r="D991" s="151" t="s">
        <v>5286</v>
      </c>
      <c r="E991" s="151" t="s">
        <v>5287</v>
      </c>
      <c r="F991" s="151"/>
      <c r="G991" s="52" t="str">
        <f t="shared" si="16"/>
        <v>45 A1:龙笛[忍者]</v>
      </c>
    </row>
    <row r="992" spans="1:7">
      <c r="A992" s="24" t="s">
        <v>5169</v>
      </c>
      <c r="B992" s="24" t="s">
        <v>5263</v>
      </c>
      <c r="C992" s="24" t="s">
        <v>5263</v>
      </c>
      <c r="D992" s="151" t="s">
        <v>5288</v>
      </c>
      <c r="E992" s="151" t="s">
        <v>5289</v>
      </c>
      <c r="F992" s="151"/>
      <c r="G992" s="52" t="str">
        <f t="shared" si="16"/>
        <v>B0 D3:兄弟护身符[忍者]</v>
      </c>
    </row>
    <row r="993" spans="1:7">
      <c r="A993" s="24" t="s">
        <v>5169</v>
      </c>
      <c r="B993" s="24" t="s">
        <v>5263</v>
      </c>
      <c r="C993" s="24" t="s">
        <v>5263</v>
      </c>
      <c r="D993" s="151" t="s">
        <v>5290</v>
      </c>
      <c r="E993" s="151" t="s">
        <v>5291</v>
      </c>
      <c r="F993" s="151"/>
      <c r="G993" s="52" t="str">
        <f t="shared" si="16"/>
        <v>DB 37:白椿发簪[忍者]</v>
      </c>
    </row>
    <row r="994" spans="1:7">
      <c r="A994" s="24" t="s">
        <v>5169</v>
      </c>
      <c r="B994" s="24" t="s">
        <v>5263</v>
      </c>
      <c r="C994" s="24" t="s">
        <v>5263</v>
      </c>
      <c r="D994" s="151" t="s">
        <v>5292</v>
      </c>
      <c r="E994" s="151" t="s">
        <v>5293</v>
      </c>
      <c r="F994" s="151"/>
      <c r="G994" s="52" t="str">
        <f t="shared" si="16"/>
        <v>BD F1:蝉折之笛[忍者]</v>
      </c>
    </row>
    <row r="995" spans="1:7">
      <c r="A995" s="24" t="s">
        <v>5169</v>
      </c>
      <c r="B995" s="24" t="s">
        <v>5263</v>
      </c>
      <c r="C995" s="24" t="s">
        <v>5263</v>
      </c>
      <c r="D995" s="151" t="s">
        <v>5294</v>
      </c>
      <c r="E995" s="151" t="s">
        <v>5295</v>
      </c>
      <c r="F995" s="151"/>
      <c r="G995" s="52" t="str">
        <f t="shared" si="16"/>
        <v>97 F9:六壬式盘[忍者]</v>
      </c>
    </row>
    <row r="996" spans="1:7">
      <c r="A996" s="24" t="s">
        <v>5169</v>
      </c>
      <c r="B996" s="24" t="s">
        <v>5263</v>
      </c>
      <c r="C996" s="24" t="s">
        <v>5263</v>
      </c>
      <c r="D996" s="151" t="s">
        <v>5296</v>
      </c>
      <c r="E996" s="151" t="s">
        <v>5297</v>
      </c>
      <c r="F996" s="151"/>
      <c r="G996" s="52" t="str">
        <f t="shared" si="16"/>
        <v>3F 68:勾玉(绿)[忍者]</v>
      </c>
    </row>
    <row r="997" spans="1:7">
      <c r="A997" s="24" t="s">
        <v>5169</v>
      </c>
      <c r="B997" s="24" t="s">
        <v>5263</v>
      </c>
      <c r="C997" s="24" t="s">
        <v>5263</v>
      </c>
      <c r="D997" s="151" t="s">
        <v>5298</v>
      </c>
      <c r="E997" s="151" t="s">
        <v>5299</v>
      </c>
      <c r="F997" s="151"/>
      <c r="G997" s="52" t="str">
        <f t="shared" si="16"/>
        <v>F3 91:勾玉(红)[忍者]</v>
      </c>
    </row>
    <row r="998" spans="1:7">
      <c r="A998" s="24" t="s">
        <v>5169</v>
      </c>
      <c r="B998" s="24" t="s">
        <v>5263</v>
      </c>
      <c r="C998" s="24" t="s">
        <v>5263</v>
      </c>
      <c r="D998" s="151" t="s">
        <v>5300</v>
      </c>
      <c r="E998" s="151" t="s">
        <v>5301</v>
      </c>
      <c r="F998" s="151"/>
      <c r="G998" s="52" t="str">
        <f t="shared" si="16"/>
        <v>10 E6:勾玉(白)[忍者]</v>
      </c>
    </row>
    <row r="999" spans="1:7">
      <c r="A999" s="24" t="s">
        <v>5169</v>
      </c>
      <c r="B999" s="24" t="s">
        <v>5263</v>
      </c>
      <c r="C999" s="24" t="s">
        <v>5263</v>
      </c>
      <c r="D999" s="151" t="s">
        <v>5302</v>
      </c>
      <c r="E999" s="151" t="s">
        <v>5303</v>
      </c>
      <c r="F999" s="151"/>
      <c r="G999" s="52" t="str">
        <f t="shared" si="16"/>
        <v>22 8C:日巫女首饰[忍者]</v>
      </c>
    </row>
    <row r="1000" spans="1:7">
      <c r="A1000" s="24" t="s">
        <v>5169</v>
      </c>
      <c r="B1000" s="24" t="s">
        <v>5263</v>
      </c>
      <c r="C1000" s="24" t="s">
        <v>5263</v>
      </c>
      <c r="D1000" s="151" t="s">
        <v>5304</v>
      </c>
      <c r="E1000" s="151" t="s">
        <v>5305</v>
      </c>
      <c r="F1000" s="151"/>
      <c r="G1000" s="52" t="str">
        <f t="shared" si="16"/>
        <v>BB F5:凶王耳饰[忍者]</v>
      </c>
    </row>
    <row r="1001" spans="1:7">
      <c r="A1001" s="24" t="s">
        <v>5169</v>
      </c>
      <c r="B1001" s="24" t="s">
        <v>5263</v>
      </c>
      <c r="C1001" s="24" t="s">
        <v>5263</v>
      </c>
      <c r="D1001" s="151" t="s">
        <v>5306</v>
      </c>
      <c r="E1001" s="151" t="s">
        <v>5307</v>
      </c>
      <c r="F1001" s="151"/>
      <c r="G1001" s="52" t="str">
        <f t="shared" si="16"/>
        <v>2F C7:印笼(黑)[忍者]</v>
      </c>
    </row>
    <row r="1002" spans="1:7">
      <c r="A1002" s="24" t="s">
        <v>5169</v>
      </c>
      <c r="B1002" s="24" t="s">
        <v>5263</v>
      </c>
      <c r="C1002" s="24" t="s">
        <v>5263</v>
      </c>
      <c r="D1002" s="151" t="s">
        <v>5308</v>
      </c>
      <c r="E1002" s="151" t="s">
        <v>5309</v>
      </c>
      <c r="F1002" s="151"/>
      <c r="G1002" s="52" t="str">
        <f t="shared" si="16"/>
        <v>36 CC:印笼(棕)[忍者]</v>
      </c>
    </row>
    <row r="1003" spans="1:7">
      <c r="A1003" s="24" t="s">
        <v>5169</v>
      </c>
      <c r="B1003" s="24" t="s">
        <v>5263</v>
      </c>
      <c r="C1003" s="24" t="s">
        <v>5263</v>
      </c>
      <c r="D1003" s="151" t="s">
        <v>5310</v>
      </c>
      <c r="E1003" s="151" t="s">
        <v>5311</v>
      </c>
      <c r="F1003" s="151"/>
      <c r="G1003" s="52" t="str">
        <f t="shared" si="16"/>
        <v>C2 62:印笼(红)[忍者]</v>
      </c>
    </row>
    <row r="1004" spans="1:7">
      <c r="A1004" s="24" t="s">
        <v>5169</v>
      </c>
      <c r="B1004" s="24" t="s">
        <v>5263</v>
      </c>
      <c r="C1004" s="24" t="s">
        <v>5263</v>
      </c>
      <c r="D1004" s="151" t="s">
        <v>5312</v>
      </c>
      <c r="E1004" s="151" t="s">
        <v>5313</v>
      </c>
      <c r="F1004" s="151"/>
      <c r="G1004" s="52" t="str">
        <f t="shared" si="16"/>
        <v>F0 AE:烟管[忍者]</v>
      </c>
    </row>
    <row r="1005" spans="1:7">
      <c r="A1005" s="24" t="s">
        <v>5169</v>
      </c>
      <c r="B1005" s="24" t="s">
        <v>5263</v>
      </c>
      <c r="C1005" s="24" t="s">
        <v>5263</v>
      </c>
      <c r="D1005" s="151" t="s">
        <v>5314</v>
      </c>
      <c r="E1005" s="151" t="s">
        <v>5315</v>
      </c>
      <c r="F1005" s="151"/>
      <c r="G1005" s="52" t="str">
        <f t="shared" si="16"/>
        <v>47 85:发梳[忍者]</v>
      </c>
    </row>
    <row r="1006" spans="1:7">
      <c r="A1006" s="24" t="s">
        <v>5169</v>
      </c>
      <c r="B1006" s="24" t="s">
        <v>5263</v>
      </c>
      <c r="C1006" s="24" t="s">
        <v>5263</v>
      </c>
      <c r="D1006" s="151" t="s">
        <v>5316</v>
      </c>
      <c r="E1006" s="151" t="s">
        <v>5317</v>
      </c>
      <c r="F1006" s="151"/>
      <c r="G1006" s="52" t="str">
        <f t="shared" si="16"/>
        <v>3F 70:叶二[忍者]</v>
      </c>
    </row>
    <row r="1007" spans="1:7">
      <c r="A1007" s="24" t="s">
        <v>5169</v>
      </c>
      <c r="B1007" s="24" t="s">
        <v>5263</v>
      </c>
      <c r="C1007" s="24" t="s">
        <v>5263</v>
      </c>
      <c r="D1007" s="151" t="s">
        <v>5318</v>
      </c>
      <c r="E1007" s="151" t="s">
        <v>5319</v>
      </c>
      <c r="F1007" s="151"/>
      <c r="G1007" s="52" t="str">
        <f t="shared" si="16"/>
        <v>15 E8:算盘[忍者]</v>
      </c>
    </row>
    <row r="1008" spans="1:7">
      <c r="A1008" s="24" t="s">
        <v>5169</v>
      </c>
      <c r="B1008" s="24" t="s">
        <v>5263</v>
      </c>
      <c r="C1008" s="24" t="s">
        <v>5263</v>
      </c>
      <c r="D1008" s="151" t="s">
        <v>5320</v>
      </c>
      <c r="E1008" s="151" t="s">
        <v>5321</v>
      </c>
      <c r="F1008" s="151"/>
      <c r="G1008" s="52" t="str">
        <f t="shared" si="16"/>
        <v>09 25:手镜[忍者]</v>
      </c>
    </row>
    <row r="1009" spans="1:7">
      <c r="A1009" s="24" t="s">
        <v>5169</v>
      </c>
      <c r="B1009" s="24" t="s">
        <v>5263</v>
      </c>
      <c r="C1009" s="24" t="s">
        <v>5263</v>
      </c>
      <c r="D1009" s="151" t="s">
        <v>5322</v>
      </c>
      <c r="E1009" s="151" t="s">
        <v>5323</v>
      </c>
      <c r="F1009" s="151"/>
      <c r="G1009" s="52" t="str">
        <f t="shared" si="16"/>
        <v>AA 0A:胧月笛[忍者]</v>
      </c>
    </row>
    <row r="1010" spans="1:7">
      <c r="A1010" s="24" t="s">
        <v>5169</v>
      </c>
      <c r="B1010" s="24" t="s">
        <v>5263</v>
      </c>
      <c r="C1010" s="24" t="s">
        <v>5263</v>
      </c>
      <c r="D1010" s="151" t="s">
        <v>5324</v>
      </c>
      <c r="E1010" s="151" t="s">
        <v>5325</v>
      </c>
      <c r="F1010" s="151"/>
      <c r="G1010" s="52" t="str">
        <f t="shared" si="16"/>
        <v>E8 FB:柯亭[忍者]</v>
      </c>
    </row>
    <row r="1011" spans="1:7">
      <c r="A1011" s="24" t="s">
        <v>5169</v>
      </c>
      <c r="B1011" s="24" t="s">
        <v>5263</v>
      </c>
      <c r="C1011" s="24" t="s">
        <v>5263</v>
      </c>
      <c r="D1011" s="151" t="s">
        <v>5326</v>
      </c>
      <c r="E1011" s="151" t="s">
        <v>5327</v>
      </c>
      <c r="F1011" s="151"/>
      <c r="G1011" s="52" t="str">
        <f t="shared" si="16"/>
        <v>6D 1E:水龙[忍者]</v>
      </c>
    </row>
    <row r="1012" customFormat="1" spans="1:7">
      <c r="A1012" s="24" t="s">
        <v>5169</v>
      </c>
      <c r="B1012" s="24" t="s">
        <v>5263</v>
      </c>
      <c r="C1012" s="24" t="s">
        <v>5263</v>
      </c>
      <c r="D1012" s="147" t="s">
        <v>5235</v>
      </c>
      <c r="E1012" s="139" t="s">
        <v>5328</v>
      </c>
      <c r="F1012" s="151"/>
      <c r="G1012" s="52" t="str">
        <f t="shared" si="16"/>
        <v>21 15:八咫镜[忍者]</v>
      </c>
    </row>
    <row r="1013" spans="1:7">
      <c r="A1013" s="24" t="s">
        <v>5169</v>
      </c>
      <c r="B1013" s="24" t="s">
        <v>5263</v>
      </c>
      <c r="C1013" s="24" t="s">
        <v>5263</v>
      </c>
      <c r="D1013" s="151" t="s">
        <v>5329</v>
      </c>
      <c r="E1013" s="151" t="s">
        <v>5330</v>
      </c>
      <c r="F1013" s="151"/>
      <c r="G1013" s="52" t="str">
        <f t="shared" si="16"/>
        <v>5E A0:八尺琼勾玉[忍者]</v>
      </c>
    </row>
    <row r="1014" spans="1:7">
      <c r="A1014" s="24" t="s">
        <v>5169</v>
      </c>
      <c r="B1014" s="24" t="s">
        <v>5263</v>
      </c>
      <c r="C1014" s="24" t="s">
        <v>5263</v>
      </c>
      <c r="D1014" s="151" t="s">
        <v>5331</v>
      </c>
      <c r="E1014" s="151" t="s">
        <v>5332</v>
      </c>
      <c r="F1014" s="151"/>
      <c r="G1014" s="52" t="str">
        <f t="shared" si="16"/>
        <v>CF 7A:除火护身符[忍者]</v>
      </c>
    </row>
    <row r="1015" spans="1:7">
      <c r="A1015" s="24" t="s">
        <v>5169</v>
      </c>
      <c r="B1015" s="24" t="s">
        <v>5263</v>
      </c>
      <c r="C1015" s="24" t="s">
        <v>5263</v>
      </c>
      <c r="D1015" s="151" t="s">
        <v>5333</v>
      </c>
      <c r="E1015" s="151" t="s">
        <v>5334</v>
      </c>
      <c r="F1015" s="151"/>
      <c r="G1015" s="52" t="str">
        <f t="shared" si="16"/>
        <v>FA 1A:除水护身符[忍者]</v>
      </c>
    </row>
    <row r="1016" spans="1:7">
      <c r="A1016" s="24" t="s">
        <v>5169</v>
      </c>
      <c r="B1016" s="24" t="s">
        <v>5263</v>
      </c>
      <c r="C1016" s="24" t="s">
        <v>5263</v>
      </c>
      <c r="D1016" s="151" t="s">
        <v>5335</v>
      </c>
      <c r="E1016" s="151" t="s">
        <v>5336</v>
      </c>
      <c r="F1016" s="151"/>
      <c r="G1016" s="52" t="str">
        <f t="shared" si="16"/>
        <v>44 D6:除风护身符[忍者]</v>
      </c>
    </row>
    <row r="1017" spans="1:7">
      <c r="A1017" s="24" t="s">
        <v>5169</v>
      </c>
      <c r="B1017" s="24" t="s">
        <v>5263</v>
      </c>
      <c r="C1017" s="24" t="s">
        <v>5263</v>
      </c>
      <c r="D1017" s="151" t="s">
        <v>5337</v>
      </c>
      <c r="E1017" s="151" t="s">
        <v>5338</v>
      </c>
      <c r="F1017" s="151"/>
      <c r="G1017" s="52" t="str">
        <f t="shared" si="16"/>
        <v>6A 06:除雷护身符[忍者]</v>
      </c>
    </row>
    <row r="1018" spans="1:7">
      <c r="A1018" s="24" t="s">
        <v>5169</v>
      </c>
      <c r="B1018" s="24" t="s">
        <v>5263</v>
      </c>
      <c r="C1018" s="24" t="s">
        <v>5263</v>
      </c>
      <c r="D1018" s="151" t="s">
        <v>5339</v>
      </c>
      <c r="E1018" s="151" t="s">
        <v>5340</v>
      </c>
      <c r="F1018" s="151"/>
      <c r="G1018" s="52" t="str">
        <f t="shared" si="16"/>
        <v>56 24:除毒护身符[忍者]</v>
      </c>
    </row>
    <row r="1019" spans="1:7">
      <c r="A1019" s="24" t="s">
        <v>5169</v>
      </c>
      <c r="B1019" s="24" t="s">
        <v>5263</v>
      </c>
      <c r="C1019" s="24" t="s">
        <v>5263</v>
      </c>
      <c r="D1019" s="151" t="s">
        <v>5341</v>
      </c>
      <c r="E1019" s="151" t="s">
        <v>5342</v>
      </c>
      <c r="F1019" s="151"/>
      <c r="G1019" s="52" t="str">
        <f t="shared" si="16"/>
        <v>35 EE:除麻痹护身符[忍者]</v>
      </c>
    </row>
    <row r="1020" spans="1:7">
      <c r="A1020" s="24" t="s">
        <v>5169</v>
      </c>
      <c r="B1020" s="24" t="s">
        <v>5263</v>
      </c>
      <c r="C1020" s="24" t="s">
        <v>5263</v>
      </c>
      <c r="D1020" s="151" t="s">
        <v>5343</v>
      </c>
      <c r="E1020" s="151" t="s">
        <v>5344</v>
      </c>
      <c r="F1020" s="151"/>
      <c r="G1020" s="52" t="str">
        <f t="shared" si="16"/>
        <v>79 08:木灵吊饰[忍者]</v>
      </c>
    </row>
    <row r="1021" spans="1:7">
      <c r="A1021" s="24" t="s">
        <v>5169</v>
      </c>
      <c r="B1021" s="24" t="s">
        <v>5263</v>
      </c>
      <c r="C1021" s="24" t="s">
        <v>5263</v>
      </c>
      <c r="D1021" s="151" t="s">
        <v>5345</v>
      </c>
      <c r="E1021" s="151" t="s">
        <v>5346</v>
      </c>
      <c r="F1021" s="151"/>
      <c r="G1021" s="52" t="str">
        <f t="shared" si="16"/>
        <v>D7 5F:千千古吊饰[忍者]</v>
      </c>
    </row>
    <row r="1022" spans="1:7">
      <c r="A1022" s="24" t="s">
        <v>5169</v>
      </c>
      <c r="B1022" s="24" t="s">
        <v>5263</v>
      </c>
      <c r="C1022" s="24" t="s">
        <v>5263</v>
      </c>
      <c r="D1022" s="151" t="s">
        <v>5347</v>
      </c>
      <c r="E1022" s="151" t="s">
        <v>5348</v>
      </c>
      <c r="F1022" s="151"/>
      <c r="G1022" s="52" t="str">
        <f t="shared" si="16"/>
        <v>69 E9:善擦毛球吊饰[忍者]</v>
      </c>
    </row>
    <row r="1023" spans="1:7">
      <c r="A1023" s="24" t="s">
        <v>5349</v>
      </c>
      <c r="B1023" s="24" t="s">
        <v>5349</v>
      </c>
      <c r="C1023" s="24" t="s">
        <v>5349</v>
      </c>
      <c r="D1023" s="151" t="s">
        <v>5350</v>
      </c>
      <c r="E1023" s="151" t="s">
        <v>5351</v>
      </c>
      <c r="F1023" s="151"/>
      <c r="G1023" s="52" t="str">
        <f t="shared" si="16"/>
        <v>A6 3D:狱卒鬼（焦热）的魂核</v>
      </c>
    </row>
    <row r="1024" spans="1:7">
      <c r="A1024" s="24" t="s">
        <v>5349</v>
      </c>
      <c r="B1024" s="24" t="s">
        <v>5349</v>
      </c>
      <c r="C1024" s="24" t="s">
        <v>5349</v>
      </c>
      <c r="D1024" s="151" t="s">
        <v>5352</v>
      </c>
      <c r="E1024" s="151" t="s">
        <v>5353</v>
      </c>
      <c r="F1024" s="151"/>
      <c r="G1024" s="52" t="str">
        <f t="shared" si="16"/>
        <v>43 94:狱卒鬼（八寒）的魂核</v>
      </c>
    </row>
    <row r="1025" spans="1:7">
      <c r="A1025" s="24" t="s">
        <v>5349</v>
      </c>
      <c r="B1025" s="24" t="s">
        <v>5349</v>
      </c>
      <c r="C1025" s="24" t="s">
        <v>5349</v>
      </c>
      <c r="D1025" s="151" t="s">
        <v>5354</v>
      </c>
      <c r="E1025" s="151" t="s">
        <v>5355</v>
      </c>
      <c r="F1025" s="151"/>
      <c r="G1025" s="52" t="str">
        <f t="shared" si="16"/>
        <v>B0 B3:狱卒鬼（针山）的魂核</v>
      </c>
    </row>
    <row r="1026" spans="1:7">
      <c r="A1026" s="24" t="s">
        <v>5349</v>
      </c>
      <c r="B1026" s="24" t="s">
        <v>5349</v>
      </c>
      <c r="C1026" s="24" t="s">
        <v>5349</v>
      </c>
      <c r="D1026" s="151" t="s">
        <v>5356</v>
      </c>
      <c r="E1026" s="151" t="s">
        <v>5357</v>
      </c>
      <c r="F1026" s="151"/>
      <c r="G1026" s="52" t="str">
        <f t="shared" si="16"/>
        <v>36 33:狱卒鬼（业风）的魂核</v>
      </c>
    </row>
    <row r="1027" spans="1:7">
      <c r="A1027" s="24" t="s">
        <v>5349</v>
      </c>
      <c r="B1027" s="24" t="s">
        <v>5349</v>
      </c>
      <c r="C1027" s="24" t="s">
        <v>5349</v>
      </c>
      <c r="D1027" s="151" t="s">
        <v>5358</v>
      </c>
      <c r="E1027" s="151" t="s">
        <v>5359</v>
      </c>
      <c r="F1027" s="151"/>
      <c r="G1027" s="52" t="str">
        <f t="shared" si="16"/>
        <v>50 23:雷兽的魂核</v>
      </c>
    </row>
    <row r="1028" spans="1:7">
      <c r="A1028" s="24" t="s">
        <v>5349</v>
      </c>
      <c r="B1028" s="24" t="s">
        <v>5349</v>
      </c>
      <c r="C1028" s="24" t="s">
        <v>5349</v>
      </c>
      <c r="D1028" s="151" t="s">
        <v>5360</v>
      </c>
      <c r="E1028" s="151" t="s">
        <v>5361</v>
      </c>
      <c r="F1028" s="151"/>
      <c r="G1028" s="52" t="str">
        <f t="shared" ref="G1028:G1091" si="17">D1028&amp;":"&amp;E1028</f>
        <v>53 6E:山狗的魂核</v>
      </c>
    </row>
    <row r="1029" spans="1:7">
      <c r="A1029" s="24" t="s">
        <v>5349</v>
      </c>
      <c r="B1029" s="24" t="s">
        <v>5349</v>
      </c>
      <c r="C1029" s="24" t="s">
        <v>5349</v>
      </c>
      <c r="D1029" s="151" t="s">
        <v>5362</v>
      </c>
      <c r="E1029" s="151" t="s">
        <v>5363</v>
      </c>
      <c r="F1029" s="151"/>
      <c r="G1029" s="52" t="str">
        <f t="shared" si="17"/>
        <v>DE 53:野槌的魂核</v>
      </c>
    </row>
    <row r="1030" spans="1:7">
      <c r="A1030" s="24" t="s">
        <v>5349</v>
      </c>
      <c r="B1030" s="24" t="s">
        <v>5349</v>
      </c>
      <c r="C1030" s="24" t="s">
        <v>5349</v>
      </c>
      <c r="D1030" s="151" t="s">
        <v>5364</v>
      </c>
      <c r="E1030" s="151" t="s">
        <v>5365</v>
      </c>
      <c r="F1030" s="151"/>
      <c r="G1030" s="52" t="str">
        <f t="shared" si="17"/>
        <v>89 16:夜行兵的魂核</v>
      </c>
    </row>
    <row r="1031" spans="1:7">
      <c r="A1031" s="24" t="s">
        <v>5349</v>
      </c>
      <c r="B1031" s="24" t="s">
        <v>5349</v>
      </c>
      <c r="C1031" s="24" t="s">
        <v>5349</v>
      </c>
      <c r="D1031" s="151" t="s">
        <v>5366</v>
      </c>
      <c r="E1031" s="151" t="s">
        <v>5367</v>
      </c>
      <c r="F1031" s="151"/>
      <c r="G1031" s="52" t="str">
        <f t="shared" si="17"/>
        <v>F8 F4:山彦的魂核</v>
      </c>
    </row>
    <row r="1032" spans="1:7">
      <c r="A1032" s="24" t="s">
        <v>5349</v>
      </c>
      <c r="B1032" s="24" t="s">
        <v>5349</v>
      </c>
      <c r="C1032" s="24" t="s">
        <v>5349</v>
      </c>
      <c r="D1032" s="151" t="s">
        <v>5368</v>
      </c>
      <c r="E1032" s="151" t="s">
        <v>5369</v>
      </c>
      <c r="F1032" s="151"/>
      <c r="G1032" s="52" t="str">
        <f t="shared" si="17"/>
        <v>71 BB:撒沙婆婆的魂核</v>
      </c>
    </row>
    <row r="1033" spans="1:7">
      <c r="A1033" s="24" t="s">
        <v>5349</v>
      </c>
      <c r="B1033" s="24" t="s">
        <v>5349</v>
      </c>
      <c r="C1033" s="24" t="s">
        <v>5349</v>
      </c>
      <c r="D1033" s="151" t="s">
        <v>5370</v>
      </c>
      <c r="E1033" s="151" t="s">
        <v>5371</v>
      </c>
      <c r="F1033" s="151"/>
      <c r="G1033" s="52" t="str">
        <f t="shared" si="17"/>
        <v>DC 5E:地狱蜂的魂核</v>
      </c>
    </row>
    <row r="1034" spans="1:7">
      <c r="A1034" s="24" t="s">
        <v>5349</v>
      </c>
      <c r="B1034" s="24" t="s">
        <v>5349</v>
      </c>
      <c r="C1034" s="24" t="s">
        <v>5349</v>
      </c>
      <c r="D1034" s="151" t="s">
        <v>5372</v>
      </c>
      <c r="E1034" s="151" t="s">
        <v>5373</v>
      </c>
      <c r="F1034" s="151"/>
      <c r="G1034" s="52" t="str">
        <f t="shared" si="17"/>
        <v>05 3B:人鱼的魂核</v>
      </c>
    </row>
    <row r="1035" spans="1:7">
      <c r="A1035" s="24" t="s">
        <v>5349</v>
      </c>
      <c r="B1035" s="24" t="s">
        <v>5349</v>
      </c>
      <c r="C1035" s="24" t="s">
        <v>5349</v>
      </c>
      <c r="D1035" s="151" t="s">
        <v>5374</v>
      </c>
      <c r="E1035" s="151" t="s">
        <v>5375</v>
      </c>
      <c r="F1035" s="151"/>
      <c r="G1035" s="52" t="str">
        <f t="shared" si="17"/>
        <v>FA D1:见越入道的魂核</v>
      </c>
    </row>
    <row r="1036" spans="1:7">
      <c r="A1036" s="24" t="s">
        <v>5349</v>
      </c>
      <c r="B1036" s="24" t="s">
        <v>5349</v>
      </c>
      <c r="C1036" s="24" t="s">
        <v>5349</v>
      </c>
      <c r="D1036" s="151" t="s">
        <v>5376</v>
      </c>
      <c r="E1036" s="151" t="s">
        <v>5377</v>
      </c>
      <c r="F1036" s="151"/>
      <c r="G1036" s="52" t="str">
        <f t="shared" si="17"/>
        <v>26 91:朱盆的魂核</v>
      </c>
    </row>
    <row r="1037" spans="1:7">
      <c r="A1037" s="24" t="s">
        <v>5349</v>
      </c>
      <c r="B1037" s="24" t="s">
        <v>5349</v>
      </c>
      <c r="C1037" s="24" t="s">
        <v>5349</v>
      </c>
      <c r="D1037" s="151" t="s">
        <v>5378</v>
      </c>
      <c r="E1037" s="151" t="s">
        <v>5379</v>
      </c>
      <c r="F1037" s="151"/>
      <c r="G1037" s="52" t="str">
        <f t="shared" si="17"/>
        <v>43 84:饿鬼的魂核</v>
      </c>
    </row>
    <row r="1038" spans="1:7">
      <c r="A1038" s="24" t="s">
        <v>5349</v>
      </c>
      <c r="B1038" s="24" t="s">
        <v>5349</v>
      </c>
      <c r="C1038" s="24" t="s">
        <v>5349</v>
      </c>
      <c r="D1038" s="151" t="s">
        <v>5380</v>
      </c>
      <c r="E1038" s="151" t="s">
        <v>5381</v>
      </c>
      <c r="F1038" s="151"/>
      <c r="G1038" s="52" t="str">
        <f t="shared" si="17"/>
        <v>D4 2B:棘饿鬼的魂核</v>
      </c>
    </row>
    <row r="1039" spans="1:7">
      <c r="A1039" s="24" t="s">
        <v>5349</v>
      </c>
      <c r="B1039" s="24" t="s">
        <v>5349</v>
      </c>
      <c r="C1039" s="24" t="s">
        <v>5349</v>
      </c>
      <c r="D1039" s="151" t="s">
        <v>5382</v>
      </c>
      <c r="E1039" s="151" t="s">
        <v>5383</v>
      </c>
      <c r="F1039" s="151"/>
      <c r="G1039" s="52" t="str">
        <f t="shared" si="17"/>
        <v>15 15:饿鬼大将的魂核</v>
      </c>
    </row>
    <row r="1040" spans="1:7">
      <c r="A1040" s="24" t="s">
        <v>5349</v>
      </c>
      <c r="B1040" s="24" t="s">
        <v>5349</v>
      </c>
      <c r="C1040" s="24" t="s">
        <v>5349</v>
      </c>
      <c r="D1040" s="151" t="s">
        <v>5384</v>
      </c>
      <c r="E1040" s="151" t="s">
        <v>5385</v>
      </c>
      <c r="F1040" s="151"/>
      <c r="G1040" s="52" t="str">
        <f t="shared" si="17"/>
        <v>7D F5:妖鬼的魂核</v>
      </c>
    </row>
    <row r="1041" spans="1:7">
      <c r="A1041" s="24" t="s">
        <v>5349</v>
      </c>
      <c r="B1041" s="24" t="s">
        <v>5349</v>
      </c>
      <c r="C1041" s="24" t="s">
        <v>5349</v>
      </c>
      <c r="D1041" s="151" t="s">
        <v>5386</v>
      </c>
      <c r="E1041" s="151" t="s">
        <v>5387</v>
      </c>
      <c r="F1041" s="151"/>
      <c r="G1041" s="52" t="str">
        <f t="shared" si="17"/>
        <v>87 6A:忍者妖鬼的魂核</v>
      </c>
    </row>
    <row r="1042" spans="1:7">
      <c r="A1042" s="24" t="s">
        <v>5349</v>
      </c>
      <c r="B1042" s="24" t="s">
        <v>5349</v>
      </c>
      <c r="C1042" s="24" t="s">
        <v>5349</v>
      </c>
      <c r="D1042" s="151" t="s">
        <v>5388</v>
      </c>
      <c r="E1042" s="151" t="s">
        <v>5389</v>
      </c>
      <c r="F1042" s="151"/>
      <c r="G1042" s="52" t="str">
        <f t="shared" si="17"/>
        <v>4E 82:亡骸武者的魂核</v>
      </c>
    </row>
    <row r="1043" spans="1:7">
      <c r="A1043" s="24" t="s">
        <v>5349</v>
      </c>
      <c r="B1043" s="24" t="s">
        <v>5349</v>
      </c>
      <c r="C1043" s="24" t="s">
        <v>5349</v>
      </c>
      <c r="D1043" s="151" t="s">
        <v>5390</v>
      </c>
      <c r="E1043" s="151" t="s">
        <v>5391</v>
      </c>
      <c r="F1043" s="151"/>
      <c r="G1043" s="52" t="str">
        <f t="shared" si="17"/>
        <v>9A 69:狂骨的魂核</v>
      </c>
    </row>
    <row r="1044" spans="1:7">
      <c r="A1044" s="24" t="s">
        <v>5349</v>
      </c>
      <c r="B1044" s="24" t="s">
        <v>5349</v>
      </c>
      <c r="C1044" s="24" t="s">
        <v>5349</v>
      </c>
      <c r="D1044" s="151" t="s">
        <v>5392</v>
      </c>
      <c r="E1044" s="151" t="s">
        <v>5393</v>
      </c>
      <c r="F1044" s="151"/>
      <c r="G1044" s="52" t="str">
        <f t="shared" si="17"/>
        <v>5C B3:敷次郎的魂核</v>
      </c>
    </row>
    <row r="1045" spans="1:7">
      <c r="A1045" s="24" t="s">
        <v>5349</v>
      </c>
      <c r="B1045" s="24" t="s">
        <v>5349</v>
      </c>
      <c r="C1045" s="24" t="s">
        <v>5349</v>
      </c>
      <c r="D1045" s="151" t="s">
        <v>5394</v>
      </c>
      <c r="E1045" s="151" t="s">
        <v>5395</v>
      </c>
      <c r="F1045" s="151"/>
      <c r="G1045" s="52" t="str">
        <f t="shared" si="17"/>
        <v>62 95:鬼火（火）的魂核</v>
      </c>
    </row>
    <row r="1046" spans="1:7">
      <c r="A1046" s="24" t="s">
        <v>5349</v>
      </c>
      <c r="B1046" s="24" t="s">
        <v>5349</v>
      </c>
      <c r="C1046" s="24" t="s">
        <v>5349</v>
      </c>
      <c r="D1046" s="151" t="s">
        <v>5396</v>
      </c>
      <c r="E1046" s="151" t="s">
        <v>5397</v>
      </c>
      <c r="F1046" s="151"/>
      <c r="G1046" s="52" t="str">
        <f t="shared" si="17"/>
        <v>34 BD:鬼火（水）的魂核</v>
      </c>
    </row>
    <row r="1047" spans="1:7">
      <c r="A1047" s="24" t="s">
        <v>5349</v>
      </c>
      <c r="B1047" s="24" t="s">
        <v>5349</v>
      </c>
      <c r="C1047" s="24" t="s">
        <v>5349</v>
      </c>
      <c r="D1047" s="151" t="s">
        <v>5398</v>
      </c>
      <c r="E1047" s="151" t="s">
        <v>5399</v>
      </c>
      <c r="F1047" s="151"/>
      <c r="G1047" s="52" t="str">
        <f t="shared" si="17"/>
        <v>31 90:鬼火（雷）的魂核</v>
      </c>
    </row>
    <row r="1048" spans="1:7">
      <c r="A1048" s="24" t="s">
        <v>5349</v>
      </c>
      <c r="B1048" s="24" t="s">
        <v>5349</v>
      </c>
      <c r="C1048" s="24" t="s">
        <v>5349</v>
      </c>
      <c r="D1048" s="151" t="s">
        <v>5400</v>
      </c>
      <c r="E1048" s="151" t="s">
        <v>5401</v>
      </c>
      <c r="F1048" s="151"/>
      <c r="G1048" s="52" t="str">
        <f t="shared" si="17"/>
        <v>6C D6:鬼火（风）的魂核</v>
      </c>
    </row>
    <row r="1049" spans="1:7">
      <c r="A1049" s="24" t="s">
        <v>5349</v>
      </c>
      <c r="B1049" s="24" t="s">
        <v>5349</v>
      </c>
      <c r="C1049" s="24" t="s">
        <v>5349</v>
      </c>
      <c r="D1049" s="151" t="s">
        <v>5402</v>
      </c>
      <c r="E1049" s="151" t="s">
        <v>5403</v>
      </c>
      <c r="F1049" s="151"/>
      <c r="G1049" s="52" t="str">
        <f t="shared" si="17"/>
        <v>88 A6:小海坊主的魂核</v>
      </c>
    </row>
    <row r="1050" spans="1:7">
      <c r="A1050" s="24" t="s">
        <v>5349</v>
      </c>
      <c r="B1050" s="24" t="s">
        <v>5349</v>
      </c>
      <c r="C1050" s="24" t="s">
        <v>5349</v>
      </c>
      <c r="D1050" s="151" t="s">
        <v>5404</v>
      </c>
      <c r="E1050" s="151" t="s">
        <v>5405</v>
      </c>
      <c r="F1050" s="151"/>
      <c r="G1050" s="52" t="str">
        <f t="shared" si="17"/>
        <v>71 3B:乌鸦天狗的魂核</v>
      </c>
    </row>
    <row r="1051" spans="1:7">
      <c r="A1051" s="24" t="s">
        <v>5349</v>
      </c>
      <c r="B1051" s="24" t="s">
        <v>5349</v>
      </c>
      <c r="C1051" s="24" t="s">
        <v>5349</v>
      </c>
      <c r="D1051" s="151" t="s">
        <v>5406</v>
      </c>
      <c r="E1051" s="151" t="s">
        <v>5407</v>
      </c>
      <c r="F1051" s="151"/>
      <c r="G1051" s="52" t="str">
        <f t="shared" si="17"/>
        <v>F9 C7:轮入道的魂核</v>
      </c>
    </row>
    <row r="1052" spans="1:7">
      <c r="A1052" s="24" t="s">
        <v>5349</v>
      </c>
      <c r="B1052" s="24" t="s">
        <v>5349</v>
      </c>
      <c r="C1052" s="24" t="s">
        <v>5349</v>
      </c>
      <c r="D1052" s="151" t="s">
        <v>5408</v>
      </c>
      <c r="E1052" s="151" t="s">
        <v>5409</v>
      </c>
      <c r="F1052" s="151"/>
      <c r="G1052" s="52" t="str">
        <f t="shared" si="17"/>
        <v>53 91:独脚踏鞴的魂核</v>
      </c>
    </row>
    <row r="1053" spans="1:7">
      <c r="A1053" s="24" t="s">
        <v>5349</v>
      </c>
      <c r="B1053" s="24" t="s">
        <v>5349</v>
      </c>
      <c r="C1053" s="24" t="s">
        <v>5349</v>
      </c>
      <c r="D1053" s="151" t="s">
        <v>5410</v>
      </c>
      <c r="E1053" s="151" t="s">
        <v>5411</v>
      </c>
      <c r="F1053" s="151"/>
      <c r="G1053" s="52" t="str">
        <f t="shared" si="17"/>
        <v>00 2E:妖蟹的魂核</v>
      </c>
    </row>
    <row r="1054" spans="1:7">
      <c r="A1054" s="24" t="s">
        <v>5349</v>
      </c>
      <c r="B1054" s="24" t="s">
        <v>5349</v>
      </c>
      <c r="C1054" s="24" t="s">
        <v>5349</v>
      </c>
      <c r="D1054" s="151" t="s">
        <v>5412</v>
      </c>
      <c r="E1054" s="151" t="s">
        <v>5413</v>
      </c>
      <c r="F1054" s="151"/>
      <c r="G1054" s="52" t="str">
        <f t="shared" si="17"/>
        <v>5C A3:濡女的魂核</v>
      </c>
    </row>
    <row r="1055" spans="1:7">
      <c r="A1055" s="24" t="s">
        <v>5349</v>
      </c>
      <c r="B1055" s="24" t="s">
        <v>5349</v>
      </c>
      <c r="C1055" s="24" t="s">
        <v>5349</v>
      </c>
      <c r="D1055" s="151" t="s">
        <v>5414</v>
      </c>
      <c r="E1055" s="151" t="s">
        <v>5415</v>
      </c>
      <c r="F1055" s="151"/>
      <c r="G1055" s="52" t="str">
        <f t="shared" si="17"/>
        <v>AF A8:猿鬼的魂核</v>
      </c>
    </row>
    <row r="1056" spans="1:7">
      <c r="A1056" s="24" t="s">
        <v>5349</v>
      </c>
      <c r="B1056" s="24" t="s">
        <v>5349</v>
      </c>
      <c r="C1056" s="24" t="s">
        <v>5349</v>
      </c>
      <c r="D1056" s="151" t="s">
        <v>5416</v>
      </c>
      <c r="E1056" s="151" t="s">
        <v>5417</v>
      </c>
      <c r="F1056" s="151"/>
      <c r="G1056" s="52" t="str">
        <f t="shared" si="17"/>
        <v>31 E6:独眼鬼的魂核</v>
      </c>
    </row>
    <row r="1057" spans="1:7">
      <c r="A1057" s="24" t="s">
        <v>5349</v>
      </c>
      <c r="B1057" s="24" t="s">
        <v>5349</v>
      </c>
      <c r="C1057" s="24" t="s">
        <v>5349</v>
      </c>
      <c r="D1057" s="151" t="s">
        <v>5418</v>
      </c>
      <c r="E1057" s="151" t="s">
        <v>5419</v>
      </c>
      <c r="F1057" s="151"/>
      <c r="G1057" s="52" t="str">
        <f t="shared" si="17"/>
        <v>38 88:防人的魂核</v>
      </c>
    </row>
    <row r="1058" spans="1:7">
      <c r="A1058" s="24" t="s">
        <v>5349</v>
      </c>
      <c r="B1058" s="24" t="s">
        <v>5349</v>
      </c>
      <c r="C1058" s="24" t="s">
        <v>5349</v>
      </c>
      <c r="D1058" s="151" t="s">
        <v>5420</v>
      </c>
      <c r="E1058" s="151" t="s">
        <v>5421</v>
      </c>
      <c r="F1058" s="151"/>
      <c r="G1058" s="52" t="str">
        <f t="shared" si="17"/>
        <v>B1 59:以津真天的魂核</v>
      </c>
    </row>
    <row r="1059" spans="1:7">
      <c r="A1059" s="24" t="s">
        <v>5349</v>
      </c>
      <c r="B1059" s="24" t="s">
        <v>5349</v>
      </c>
      <c r="C1059" s="24" t="s">
        <v>5349</v>
      </c>
      <c r="D1059" s="151" t="s">
        <v>5422</v>
      </c>
      <c r="E1059" s="151" t="s">
        <v>5423</v>
      </c>
      <c r="F1059" s="151"/>
      <c r="G1059" s="52" t="str">
        <f t="shared" si="17"/>
        <v>96 BF:子泣爷爷的魂核</v>
      </c>
    </row>
    <row r="1060" spans="1:7">
      <c r="A1060" s="24" t="s">
        <v>5349</v>
      </c>
      <c r="B1060" s="24" t="s">
        <v>5349</v>
      </c>
      <c r="C1060" s="24" t="s">
        <v>5349</v>
      </c>
      <c r="D1060" s="151" t="s">
        <v>5424</v>
      </c>
      <c r="E1060" s="151" t="s">
        <v>5425</v>
      </c>
      <c r="F1060" s="151"/>
      <c r="G1060" s="52" t="str">
        <f t="shared" si="17"/>
        <v>05 97:山姥的魂核</v>
      </c>
    </row>
    <row r="1061" spans="1:7">
      <c r="A1061" s="24" t="s">
        <v>5349</v>
      </c>
      <c r="B1061" s="24" t="s">
        <v>5349</v>
      </c>
      <c r="C1061" s="24" t="s">
        <v>5349</v>
      </c>
      <c r="D1061" s="151" t="s">
        <v>5426</v>
      </c>
      <c r="E1061" s="151" t="s">
        <v>5427</v>
      </c>
      <c r="F1061" s="151"/>
      <c r="G1061" s="52" t="str">
        <f t="shared" si="17"/>
        <v>87 A3:猥裸的魂核</v>
      </c>
    </row>
    <row r="1062" spans="1:7">
      <c r="A1062" s="24" t="s">
        <v>5349</v>
      </c>
      <c r="B1062" s="24" t="s">
        <v>5349</v>
      </c>
      <c r="C1062" s="24" t="s">
        <v>5349</v>
      </c>
      <c r="D1062" s="151" t="s">
        <v>5428</v>
      </c>
      <c r="E1062" s="151" t="s">
        <v>5429</v>
      </c>
      <c r="F1062" s="151"/>
      <c r="G1062" s="52" t="str">
        <f t="shared" si="17"/>
        <v>0A 6F:古笼火的魂核</v>
      </c>
    </row>
    <row r="1063" spans="1:7">
      <c r="A1063" s="24" t="s">
        <v>5349</v>
      </c>
      <c r="B1063" s="24" t="s">
        <v>5349</v>
      </c>
      <c r="C1063" s="24" t="s">
        <v>5349</v>
      </c>
      <c r="D1063" s="151" t="s">
        <v>5430</v>
      </c>
      <c r="E1063" s="151" t="s">
        <v>5431</v>
      </c>
      <c r="F1063" s="151"/>
      <c r="G1063" s="52" t="str">
        <f t="shared" si="17"/>
        <v>D9 7B:姑获鸟的魂核</v>
      </c>
    </row>
    <row r="1064" spans="1:7">
      <c r="A1064" s="24" t="s">
        <v>5349</v>
      </c>
      <c r="B1064" s="24" t="s">
        <v>5349</v>
      </c>
      <c r="C1064" s="24" t="s">
        <v>5349</v>
      </c>
      <c r="D1064" s="151" t="s">
        <v>5432</v>
      </c>
      <c r="E1064" s="151" t="s">
        <v>5433</v>
      </c>
      <c r="F1064" s="151"/>
      <c r="G1064" s="52" t="str">
        <f t="shared" si="17"/>
        <v>45 BD:冰柱女的魂核</v>
      </c>
    </row>
    <row r="1065" spans="1:7">
      <c r="A1065" s="24" t="s">
        <v>5349</v>
      </c>
      <c r="B1065" s="24" t="s">
        <v>5349</v>
      </c>
      <c r="C1065" s="24" t="s">
        <v>5349</v>
      </c>
      <c r="D1065" s="151" t="s">
        <v>5434</v>
      </c>
      <c r="E1065" s="151" t="s">
        <v>5435</v>
      </c>
      <c r="F1065" s="151"/>
      <c r="G1065" s="52" t="str">
        <f t="shared" si="17"/>
        <v>38 7B:一反木棉的魂核</v>
      </c>
    </row>
    <row r="1066" spans="1:7">
      <c r="A1066" s="24" t="s">
        <v>5349</v>
      </c>
      <c r="B1066" s="24" t="s">
        <v>5349</v>
      </c>
      <c r="C1066" s="24" t="s">
        <v>5349</v>
      </c>
      <c r="D1066" s="151" t="s">
        <v>5436</v>
      </c>
      <c r="E1066" s="151" t="s">
        <v>5437</v>
      </c>
      <c r="F1066" s="151"/>
      <c r="G1066" s="52" t="str">
        <f t="shared" si="17"/>
        <v>44 A4:油伞妖的魂核</v>
      </c>
    </row>
    <row r="1067" spans="1:7">
      <c r="A1067" s="24" t="s">
        <v>5349</v>
      </c>
      <c r="B1067" s="24" t="s">
        <v>5349</v>
      </c>
      <c r="C1067" s="24" t="s">
        <v>5349</v>
      </c>
      <c r="D1067" s="151" t="s">
        <v>5438</v>
      </c>
      <c r="E1067" s="151" t="s">
        <v>5439</v>
      </c>
      <c r="F1067" s="151"/>
      <c r="G1067" s="52" t="str">
        <f t="shared" si="17"/>
        <v>C4 62:祸津武士的魂核</v>
      </c>
    </row>
    <row r="1068" spans="1:7">
      <c r="A1068" s="24" t="s">
        <v>5349</v>
      </c>
      <c r="B1068" s="24" t="s">
        <v>5349</v>
      </c>
      <c r="C1068" s="24" t="s">
        <v>5349</v>
      </c>
      <c r="D1068" s="151" t="s">
        <v>5440</v>
      </c>
      <c r="E1068" s="151" t="s">
        <v>5441</v>
      </c>
      <c r="F1068" s="151"/>
      <c r="G1068" s="52" t="str">
        <f t="shared" si="17"/>
        <v>F7 5F:肉瘤怪的魂核</v>
      </c>
    </row>
    <row r="1069" spans="1:7">
      <c r="A1069" s="24" t="s">
        <v>5349</v>
      </c>
      <c r="B1069" s="24" t="s">
        <v>5349</v>
      </c>
      <c r="C1069" s="24" t="s">
        <v>5349</v>
      </c>
      <c r="D1069" s="151" t="s">
        <v>5442</v>
      </c>
      <c r="E1069" s="151" t="s">
        <v>5443</v>
      </c>
      <c r="F1069" s="151"/>
      <c r="G1069" s="52" t="str">
        <f t="shared" si="17"/>
        <v>FB DF:夜叉的魂核</v>
      </c>
    </row>
    <row r="1070" spans="1:7">
      <c r="A1070" s="24" t="s">
        <v>5349</v>
      </c>
      <c r="B1070" s="24" t="s">
        <v>5349</v>
      </c>
      <c r="C1070" s="24" t="s">
        <v>5349</v>
      </c>
      <c r="D1070" s="151" t="s">
        <v>5444</v>
      </c>
      <c r="E1070" s="151" t="s">
        <v>5445</v>
      </c>
      <c r="F1070" s="151"/>
      <c r="G1070" s="52" t="str">
        <f t="shared" si="17"/>
        <v>1B CE:外道兵的魂核</v>
      </c>
    </row>
    <row r="1071" spans="1:7">
      <c r="A1071" s="24" t="s">
        <v>5349</v>
      </c>
      <c r="B1071" s="24" t="s">
        <v>5349</v>
      </c>
      <c r="C1071" s="24" t="s">
        <v>5349</v>
      </c>
      <c r="D1071" s="151" t="s">
        <v>5446</v>
      </c>
      <c r="E1071" s="151" t="s">
        <v>5447</v>
      </c>
      <c r="F1071" s="151"/>
      <c r="G1071" s="52" t="str">
        <f t="shared" si="17"/>
        <v>0E C4:蛇骨婆的魂核</v>
      </c>
    </row>
    <row r="1072" spans="1:7">
      <c r="A1072" s="24" t="s">
        <v>5349</v>
      </c>
      <c r="B1072" s="24" t="s">
        <v>5349</v>
      </c>
      <c r="C1072" s="24" t="s">
        <v>5349</v>
      </c>
      <c r="D1072" s="151" t="s">
        <v>5448</v>
      </c>
      <c r="E1072" s="151" t="s">
        <v>5449</v>
      </c>
      <c r="F1072" s="151"/>
      <c r="G1072" s="52" t="str">
        <f t="shared" si="17"/>
        <v>F3 EE:大天狗的魂核</v>
      </c>
    </row>
    <row r="1073" spans="1:7">
      <c r="A1073" s="24" t="s">
        <v>5349</v>
      </c>
      <c r="B1073" s="24" t="s">
        <v>5349</v>
      </c>
      <c r="C1073" s="24" t="s">
        <v>5349</v>
      </c>
      <c r="D1073" s="151" t="s">
        <v>5450</v>
      </c>
      <c r="E1073" s="151" t="s">
        <v>5451</v>
      </c>
      <c r="F1073" s="151"/>
      <c r="G1073" s="52" t="str">
        <f t="shared" si="17"/>
        <v>F0 3C:惧鬼的魂核</v>
      </c>
    </row>
    <row r="1074" spans="1:7">
      <c r="A1074" s="24" t="s">
        <v>5349</v>
      </c>
      <c r="B1074" s="24" t="s">
        <v>5349</v>
      </c>
      <c r="C1074" s="24" t="s">
        <v>5349</v>
      </c>
      <c r="D1074" s="151" t="s">
        <v>5452</v>
      </c>
      <c r="E1074" s="151" t="s">
        <v>5453</v>
      </c>
      <c r="F1074" s="151"/>
      <c r="G1074" s="52" t="str">
        <f t="shared" si="17"/>
        <v>60 EB:茨木童子的魂核</v>
      </c>
    </row>
    <row r="1075" spans="1:7">
      <c r="A1075" s="24" t="s">
        <v>5349</v>
      </c>
      <c r="B1075" s="24" t="s">
        <v>5349</v>
      </c>
      <c r="C1075" s="24" t="s">
        <v>5349</v>
      </c>
      <c r="D1075" s="151" t="s">
        <v>5454</v>
      </c>
      <c r="E1075" s="151" t="s">
        <v>5455</v>
      </c>
      <c r="F1075" s="151"/>
      <c r="G1075" s="52" t="str">
        <f t="shared" si="17"/>
        <v>6D 0A:涂佛的魂核</v>
      </c>
    </row>
    <row r="1076" spans="1:7">
      <c r="A1076" s="24" t="s">
        <v>5349</v>
      </c>
      <c r="B1076" s="24" t="s">
        <v>5349</v>
      </c>
      <c r="C1076" s="24" t="s">
        <v>5349</v>
      </c>
      <c r="D1076" s="151" t="s">
        <v>5456</v>
      </c>
      <c r="E1076" s="151" t="s">
        <v>5457</v>
      </c>
      <c r="F1076" s="151"/>
      <c r="G1076" s="52" t="str">
        <f t="shared" si="17"/>
        <v>A6 D7:傲岸鬼的魂核</v>
      </c>
    </row>
    <row r="1077" spans="1:7">
      <c r="A1077" s="24" t="s">
        <v>5349</v>
      </c>
      <c r="B1077" s="24" t="s">
        <v>5349</v>
      </c>
      <c r="C1077" s="24" t="s">
        <v>5349</v>
      </c>
      <c r="D1077" s="151" t="s">
        <v>5458</v>
      </c>
      <c r="E1077" s="151" t="s">
        <v>5459</v>
      </c>
      <c r="F1077" s="151"/>
      <c r="G1077" s="52" t="str">
        <f t="shared" si="17"/>
        <v>E8 A3:冒疾鬼的魂核</v>
      </c>
    </row>
    <row r="1078" spans="1:7">
      <c r="A1078" s="24" t="s">
        <v>5349</v>
      </c>
      <c r="B1078" s="24" t="s">
        <v>5349</v>
      </c>
      <c r="C1078" s="24" t="s">
        <v>5349</v>
      </c>
      <c r="D1078" s="151" t="s">
        <v>5460</v>
      </c>
      <c r="E1078" s="151" t="s">
        <v>5461</v>
      </c>
      <c r="F1078" s="151"/>
      <c r="G1078" s="52" t="str">
        <f t="shared" si="17"/>
        <v>FF 45:执心鬼的魂核</v>
      </c>
    </row>
    <row r="1079" spans="1:7">
      <c r="A1079" s="24" t="s">
        <v>5349</v>
      </c>
      <c r="B1079" s="24" t="s">
        <v>5349</v>
      </c>
      <c r="C1079" s="24" t="s">
        <v>5349</v>
      </c>
      <c r="D1079" s="151" t="s">
        <v>5462</v>
      </c>
      <c r="E1079" s="151" t="s">
        <v>5463</v>
      </c>
      <c r="F1079" s="151"/>
      <c r="G1079" s="52" t="str">
        <f t="shared" si="17"/>
        <v>42 2B:马头鬼的魂核</v>
      </c>
    </row>
    <row r="1080" spans="1:7">
      <c r="A1080" s="24" t="s">
        <v>5349</v>
      </c>
      <c r="B1080" s="24" t="s">
        <v>5349</v>
      </c>
      <c r="C1080" s="24" t="s">
        <v>5349</v>
      </c>
      <c r="D1080" s="151" t="s">
        <v>5464</v>
      </c>
      <c r="E1080" s="151" t="s">
        <v>5465</v>
      </c>
      <c r="F1080" s="151"/>
      <c r="G1080" s="52" t="str">
        <f t="shared" si="17"/>
        <v>7D 90:牛头鬼的魂核</v>
      </c>
    </row>
    <row r="1081" spans="1:7">
      <c r="A1081" s="24" t="s">
        <v>5349</v>
      </c>
      <c r="B1081" s="24" t="s">
        <v>5349</v>
      </c>
      <c r="C1081" s="24" t="s">
        <v>5349</v>
      </c>
      <c r="D1081" s="151" t="s">
        <v>5466</v>
      </c>
      <c r="E1081" s="151" t="s">
        <v>5467</v>
      </c>
      <c r="F1081" s="151"/>
      <c r="G1081" s="52" t="str">
        <f t="shared" si="17"/>
        <v>68 77:镰触的魂核</v>
      </c>
    </row>
    <row r="1082" spans="1:7">
      <c r="A1082" s="24" t="s">
        <v>5349</v>
      </c>
      <c r="B1082" s="24" t="s">
        <v>5349</v>
      </c>
      <c r="C1082" s="24" t="s">
        <v>5349</v>
      </c>
      <c r="D1082" s="151" t="s">
        <v>5468</v>
      </c>
      <c r="E1082" s="151" t="s">
        <v>5469</v>
      </c>
      <c r="F1082" s="151"/>
      <c r="G1082" s="52" t="str">
        <f t="shared" si="17"/>
        <v>1B 16:飞缘魔的魂核</v>
      </c>
    </row>
    <row r="1083" spans="1:7">
      <c r="A1083" s="24" t="s">
        <v>5349</v>
      </c>
      <c r="B1083" s="24" t="s">
        <v>5349</v>
      </c>
      <c r="C1083" s="24" t="s">
        <v>5349</v>
      </c>
      <c r="D1083" s="151" t="s">
        <v>5470</v>
      </c>
      <c r="E1083" s="151" t="s">
        <v>5471</v>
      </c>
      <c r="F1083" s="151"/>
      <c r="G1083" s="52" t="str">
        <f t="shared" si="17"/>
        <v>A9 58:烟烟罗的魂核</v>
      </c>
    </row>
    <row r="1084" spans="1:7">
      <c r="A1084" s="24" t="s">
        <v>5349</v>
      </c>
      <c r="B1084" s="24" t="s">
        <v>5349</v>
      </c>
      <c r="C1084" s="24" t="s">
        <v>5349</v>
      </c>
      <c r="D1084" s="151" t="s">
        <v>5472</v>
      </c>
      <c r="E1084" s="151" t="s">
        <v>5473</v>
      </c>
      <c r="F1084" s="151"/>
      <c r="G1084" s="52" t="str">
        <f t="shared" si="17"/>
        <v>51 D5:两面宿傩的魂核</v>
      </c>
    </row>
    <row r="1085" spans="1:7">
      <c r="A1085" s="24" t="s">
        <v>5349</v>
      </c>
      <c r="B1085" s="24" t="s">
        <v>5349</v>
      </c>
      <c r="C1085" s="24" t="s">
        <v>5349</v>
      </c>
      <c r="D1085" s="151" t="s">
        <v>5474</v>
      </c>
      <c r="E1085" s="151" t="s">
        <v>5475</v>
      </c>
      <c r="F1085" s="151"/>
      <c r="G1085" s="52" t="str">
        <f t="shared" si="17"/>
        <v>1F 12:女郎蜘蛛的魂核</v>
      </c>
    </row>
    <row r="1086" spans="1:7">
      <c r="A1086" s="24" t="s">
        <v>5349</v>
      </c>
      <c r="B1086" s="24" t="s">
        <v>5349</v>
      </c>
      <c r="C1086" s="24" t="s">
        <v>5349</v>
      </c>
      <c r="D1086" s="151" t="s">
        <v>5476</v>
      </c>
      <c r="E1086" s="151" t="s">
        <v>5477</v>
      </c>
      <c r="F1086" s="151"/>
      <c r="G1086" s="52" t="str">
        <f t="shared" si="17"/>
        <v>76 70:火车的魂核</v>
      </c>
    </row>
    <row r="1087" spans="1:7">
      <c r="A1087" s="24" t="s">
        <v>5349</v>
      </c>
      <c r="B1087" s="24" t="s">
        <v>5349</v>
      </c>
      <c r="C1087" s="24" t="s">
        <v>5349</v>
      </c>
      <c r="D1087" s="151" t="s">
        <v>5478</v>
      </c>
      <c r="E1087" s="151" t="s">
        <v>5479</v>
      </c>
      <c r="F1087" s="151"/>
      <c r="G1087" s="52" t="str">
        <f t="shared" si="17"/>
        <v>86 C2:阴摩罗鬼的魂核</v>
      </c>
    </row>
    <row r="1088" spans="1:7">
      <c r="A1088" s="24" t="s">
        <v>5349</v>
      </c>
      <c r="B1088" s="24" t="s">
        <v>5349</v>
      </c>
      <c r="C1088" s="24" t="s">
        <v>5349</v>
      </c>
      <c r="D1088" s="151" t="s">
        <v>5480</v>
      </c>
      <c r="E1088" s="151" t="s">
        <v>5481</v>
      </c>
      <c r="F1088" s="151"/>
      <c r="G1088" s="52" t="str">
        <f t="shared" si="17"/>
        <v>13 56:怨灵鬼的魂核</v>
      </c>
    </row>
    <row r="1089" spans="1:7">
      <c r="A1089" s="24" t="s">
        <v>5349</v>
      </c>
      <c r="B1089" s="24" t="s">
        <v>5349</v>
      </c>
      <c r="C1089" s="24" t="s">
        <v>5349</v>
      </c>
      <c r="D1089" s="151" t="s">
        <v>5482</v>
      </c>
      <c r="E1089" s="151" t="s">
        <v>5483</v>
      </c>
      <c r="F1089" s="151"/>
      <c r="G1089" s="52" t="str">
        <f t="shared" si="17"/>
        <v>36 6D:血刀修罗的魂核</v>
      </c>
    </row>
    <row r="1090" spans="1:7">
      <c r="A1090" s="24" t="s">
        <v>5349</v>
      </c>
      <c r="B1090" s="24" t="s">
        <v>5349</v>
      </c>
      <c r="C1090" s="24" t="s">
        <v>5349</v>
      </c>
      <c r="D1090" s="151" t="s">
        <v>5484</v>
      </c>
      <c r="E1090" s="151" t="s">
        <v>5485</v>
      </c>
      <c r="F1090" s="151"/>
      <c r="G1090" s="52" t="str">
        <f t="shared" si="17"/>
        <v>AE C4:比留呼的魂核</v>
      </c>
    </row>
    <row r="1091" spans="1:7">
      <c r="A1091" s="24" t="s">
        <v>5349</v>
      </c>
      <c r="B1091" s="24" t="s">
        <v>5349</v>
      </c>
      <c r="C1091" s="24" t="s">
        <v>5349</v>
      </c>
      <c r="D1091" s="151" t="s">
        <v>5486</v>
      </c>
      <c r="E1091" s="151" t="s">
        <v>5487</v>
      </c>
      <c r="F1091" s="151"/>
      <c r="G1091" s="52" t="str">
        <f t="shared" si="17"/>
        <v>AB 98:河童的魂核</v>
      </c>
    </row>
    <row r="1092" spans="1:7">
      <c r="A1092" s="24" t="s">
        <v>5349</v>
      </c>
      <c r="B1092" s="24" t="s">
        <v>5349</v>
      </c>
      <c r="C1092" s="24" t="s">
        <v>5349</v>
      </c>
      <c r="D1092" s="151" t="s">
        <v>5488</v>
      </c>
      <c r="E1092" s="151" t="s">
        <v>5489</v>
      </c>
      <c r="F1092" s="151"/>
      <c r="G1092" s="52" t="str">
        <f t="shared" ref="G1092:G1112" si="18">D1092&amp;":"&amp;E1092</f>
        <v>09 9F:赤河童的魂核</v>
      </c>
    </row>
    <row r="1093" spans="1:7">
      <c r="A1093" s="24" t="s">
        <v>5349</v>
      </c>
      <c r="B1093" s="24" t="s">
        <v>5349</v>
      </c>
      <c r="C1093" s="24" t="s">
        <v>5349</v>
      </c>
      <c r="D1093" s="151" t="s">
        <v>5490</v>
      </c>
      <c r="E1093" s="151" t="s">
        <v>5491</v>
      </c>
      <c r="F1093" s="151"/>
      <c r="G1093" s="52" t="str">
        <f t="shared" si="18"/>
        <v>9D 46:琵琶牧牧的魂核</v>
      </c>
    </row>
    <row r="1094" spans="1:7">
      <c r="A1094" s="24" t="s">
        <v>5349</v>
      </c>
      <c r="B1094" s="24" t="s">
        <v>5349</v>
      </c>
      <c r="C1094" s="24" t="s">
        <v>5349</v>
      </c>
      <c r="D1094" s="151" t="s">
        <v>5492</v>
      </c>
      <c r="E1094" s="151" t="s">
        <v>5493</v>
      </c>
      <c r="F1094" s="151"/>
      <c r="G1094" s="52" t="str">
        <f t="shared" si="18"/>
        <v>31 60:泥墙的魂核</v>
      </c>
    </row>
    <row r="1095" spans="1:7">
      <c r="A1095" s="24" t="s">
        <v>5349</v>
      </c>
      <c r="B1095" s="24" t="s">
        <v>5349</v>
      </c>
      <c r="C1095" s="24" t="s">
        <v>5349</v>
      </c>
      <c r="D1095" s="151" t="s">
        <v>5494</v>
      </c>
      <c r="E1095" s="151" t="s">
        <v>5495</v>
      </c>
      <c r="F1095" s="151"/>
      <c r="G1095" s="52" t="str">
        <f t="shared" si="18"/>
        <v>F4 D0:貉的魂核</v>
      </c>
    </row>
    <row r="1096" spans="1:7">
      <c r="A1096" s="24" t="s">
        <v>5349</v>
      </c>
      <c r="B1096" s="24" t="s">
        <v>5349</v>
      </c>
      <c r="C1096" s="24" t="s">
        <v>5349</v>
      </c>
      <c r="D1096" s="151" t="s">
        <v>5496</v>
      </c>
      <c r="E1096" s="151" t="s">
        <v>5497</v>
      </c>
      <c r="F1096" s="151"/>
      <c r="G1096" s="52" t="str">
        <f t="shared" si="18"/>
        <v>19 BE:木灵的魂核</v>
      </c>
    </row>
    <row r="1097" spans="1:7">
      <c r="A1097" s="24" t="s">
        <v>5349</v>
      </c>
      <c r="B1097" s="24" t="s">
        <v>5349</v>
      </c>
      <c r="C1097" s="24" t="s">
        <v>5349</v>
      </c>
      <c r="D1097" s="151" t="s">
        <v>5498</v>
      </c>
      <c r="E1097" s="151" t="s">
        <v>5499</v>
      </c>
      <c r="F1097" s="151"/>
      <c r="G1097" s="52" t="str">
        <f t="shared" si="18"/>
        <v>6B BD:魑魅的魂核</v>
      </c>
    </row>
    <row r="1098" spans="1:7">
      <c r="A1098" s="24" t="s">
        <v>5349</v>
      </c>
      <c r="B1098" s="24" t="s">
        <v>5349</v>
      </c>
      <c r="C1098" s="24" t="s">
        <v>5349</v>
      </c>
      <c r="D1098" s="151" t="s">
        <v>5500</v>
      </c>
      <c r="E1098" s="151" t="s">
        <v>5501</v>
      </c>
      <c r="F1098" s="151"/>
      <c r="G1098" s="52" t="str">
        <f t="shared" si="18"/>
        <v>3E D0:善擦的魂核</v>
      </c>
    </row>
    <row r="1099" spans="1:7">
      <c r="A1099" s="24" t="s">
        <v>5349</v>
      </c>
      <c r="B1099" s="24" t="s">
        <v>5349</v>
      </c>
      <c r="C1099" s="24" t="s">
        <v>5349</v>
      </c>
      <c r="D1099" s="151" t="s">
        <v>5502</v>
      </c>
      <c r="E1099" s="151" t="s">
        <v>5503</v>
      </c>
      <c r="F1099" s="151"/>
      <c r="G1099" s="52" t="str">
        <f t="shared" si="18"/>
        <v>65 78:千千古的魂核</v>
      </c>
    </row>
    <row r="1100" spans="1:7">
      <c r="A1100" s="24" t="s">
        <v>5349</v>
      </c>
      <c r="B1100" s="24" t="s">
        <v>5349</v>
      </c>
      <c r="C1100" s="24" t="s">
        <v>5349</v>
      </c>
      <c r="D1100" s="151" t="s">
        <v>5504</v>
      </c>
      <c r="E1100" s="151" t="s">
        <v>5505</v>
      </c>
      <c r="F1100" s="151"/>
      <c r="G1100" s="52" t="str">
        <f t="shared" si="18"/>
        <v>EE 7B:大太法师的魂核</v>
      </c>
    </row>
    <row r="1101" spans="1:7">
      <c r="A1101" s="24" t="s">
        <v>5349</v>
      </c>
      <c r="B1101" s="24" t="s">
        <v>5349</v>
      </c>
      <c r="C1101" s="24" t="s">
        <v>5349</v>
      </c>
      <c r="D1101" s="151" t="s">
        <v>5506</v>
      </c>
      <c r="E1101" s="151" t="s">
        <v>5507</v>
      </c>
      <c r="F1101" s="151"/>
      <c r="G1101" s="52" t="str">
        <f t="shared" si="18"/>
        <v>BD 4F:蛤蟆附身的魂核</v>
      </c>
    </row>
    <row r="1102" spans="1:7">
      <c r="A1102" s="24" t="s">
        <v>5349</v>
      </c>
      <c r="B1102" s="24" t="s">
        <v>5349</v>
      </c>
      <c r="C1102" s="24" t="s">
        <v>5349</v>
      </c>
      <c r="D1102" s="151" t="s">
        <v>5508</v>
      </c>
      <c r="E1102" s="151" t="s">
        <v>5509</v>
      </c>
      <c r="F1102" s="151"/>
      <c r="G1102" s="52" t="str">
        <f t="shared" si="18"/>
        <v>BE C0:铁鼠的魂核</v>
      </c>
    </row>
    <row r="1103" spans="1:7">
      <c r="A1103" s="24" t="s">
        <v>5349</v>
      </c>
      <c r="B1103" s="24" t="s">
        <v>5349</v>
      </c>
      <c r="C1103" s="24" t="s">
        <v>5349</v>
      </c>
      <c r="D1103" s="151" t="s">
        <v>5510</v>
      </c>
      <c r="E1103" s="151" t="s">
        <v>5511</v>
      </c>
      <c r="F1103" s="151"/>
      <c r="G1103" s="52" t="str">
        <f t="shared" si="18"/>
        <v>DC DA:垢尝的魂核</v>
      </c>
    </row>
    <row r="1104" spans="1:7">
      <c r="A1104" s="24" t="s">
        <v>5349</v>
      </c>
      <c r="B1104" s="24" t="s">
        <v>5349</v>
      </c>
      <c r="C1104" s="24" t="s">
        <v>5349</v>
      </c>
      <c r="D1104" s="151" t="s">
        <v>5512</v>
      </c>
      <c r="E1104" s="151" t="s">
        <v>5513</v>
      </c>
      <c r="F1104" s="151"/>
      <c r="G1104" s="52" t="str">
        <f t="shared" si="18"/>
        <v>34 8E:一目连的魂核</v>
      </c>
    </row>
    <row r="1105" spans="1:7">
      <c r="A1105" s="24" t="s">
        <v>5349</v>
      </c>
      <c r="B1105" s="24" t="s">
        <v>5349</v>
      </c>
      <c r="C1105" s="24" t="s">
        <v>5349</v>
      </c>
      <c r="D1105" s="151" t="s">
        <v>5514</v>
      </c>
      <c r="E1105" s="151" t="s">
        <v>5515</v>
      </c>
      <c r="F1105" s="151"/>
      <c r="G1105" s="52" t="str">
        <f t="shared" si="18"/>
        <v>A4 2F:大蛤蟆的魂核</v>
      </c>
    </row>
    <row r="1106" spans="1:7">
      <c r="A1106" s="24" t="s">
        <v>5516</v>
      </c>
      <c r="B1106" s="24" t="s">
        <v>5516</v>
      </c>
      <c r="C1106" s="24" t="s">
        <v>5517</v>
      </c>
      <c r="D1106" s="151" t="s">
        <v>5518</v>
      </c>
      <c r="E1106" s="151" t="s">
        <v>5519</v>
      </c>
      <c r="F1106" s="151"/>
      <c r="G1106" s="52" t="str">
        <f t="shared" si="18"/>
        <v>E7 05:仙药</v>
      </c>
    </row>
    <row r="1107" spans="1:7">
      <c r="A1107" s="24" t="s">
        <v>5516</v>
      </c>
      <c r="B1107" s="24" t="s">
        <v>5516</v>
      </c>
      <c r="C1107" s="24" t="s">
        <v>5517</v>
      </c>
      <c r="D1107" s="151" t="s">
        <v>5520</v>
      </c>
      <c r="E1107" s="151" t="s">
        <v>5521</v>
      </c>
      <c r="F1107" s="151"/>
      <c r="G1107" s="52" t="str">
        <f t="shared" si="18"/>
        <v>B0 9C:养身丹</v>
      </c>
    </row>
    <row r="1108" spans="1:7">
      <c r="A1108" s="24" t="s">
        <v>5516</v>
      </c>
      <c r="B1108" s="24" t="s">
        <v>5516</v>
      </c>
      <c r="C1108" s="24" t="s">
        <v>5517</v>
      </c>
      <c r="D1108" s="151" t="s">
        <v>5522</v>
      </c>
      <c r="E1108" s="151" t="s">
        <v>5523</v>
      </c>
      <c r="F1108" s="151"/>
      <c r="G1108" s="52" t="str">
        <f t="shared" si="18"/>
        <v>B4 65:丰身丹</v>
      </c>
    </row>
    <row r="1109" spans="1:7">
      <c r="A1109" s="24" t="s">
        <v>5516</v>
      </c>
      <c r="B1109" s="24" t="s">
        <v>5516</v>
      </c>
      <c r="C1109" s="24" t="s">
        <v>5517</v>
      </c>
      <c r="D1109" s="151" t="s">
        <v>5524</v>
      </c>
      <c r="E1109" s="151" t="s">
        <v>5525</v>
      </c>
      <c r="F1109" s="151"/>
      <c r="G1109" s="52" t="str">
        <f t="shared" si="18"/>
        <v>81 F6:神曲</v>
      </c>
    </row>
    <row r="1110" spans="1:7">
      <c r="A1110" s="24" t="s">
        <v>5516</v>
      </c>
      <c r="B1110" s="24" t="s">
        <v>5516</v>
      </c>
      <c r="C1110" s="24" t="s">
        <v>5526</v>
      </c>
      <c r="D1110" s="151" t="s">
        <v>5527</v>
      </c>
      <c r="E1110" s="151" t="s">
        <v>5528</v>
      </c>
      <c r="F1110" s="151"/>
      <c r="G1110" s="52" t="str">
        <f t="shared" si="18"/>
        <v>14 65:解毒药</v>
      </c>
    </row>
    <row r="1111" spans="1:7">
      <c r="A1111" s="24" t="s">
        <v>5516</v>
      </c>
      <c r="B1111" s="24" t="s">
        <v>5516</v>
      </c>
      <c r="C1111" s="24" t="s">
        <v>5526</v>
      </c>
      <c r="D1111" s="151" t="s">
        <v>5529</v>
      </c>
      <c r="E1111" s="151" t="s">
        <v>5530</v>
      </c>
      <c r="F1111" s="151"/>
      <c r="G1111" s="52" t="str">
        <f t="shared" ref="G1111:G1194" si="19">D1111&amp;":"&amp;E1111</f>
        <v>6E FA:解麻针</v>
      </c>
    </row>
    <row r="1112" spans="1:7">
      <c r="A1112" s="24" t="s">
        <v>5516</v>
      </c>
      <c r="B1112" s="24" t="s">
        <v>5516</v>
      </c>
      <c r="C1112" s="24" t="s">
        <v>5526</v>
      </c>
      <c r="D1112" s="151" t="s">
        <v>5531</v>
      </c>
      <c r="E1112" s="151" t="s">
        <v>5532</v>
      </c>
      <c r="F1112" s="151"/>
      <c r="G1112" s="52" t="str">
        <f t="shared" si="19"/>
        <v>09 95:香木原木</v>
      </c>
    </row>
    <row r="1113" spans="1:7">
      <c r="A1113" s="24" t="s">
        <v>5516</v>
      </c>
      <c r="B1113" s="24" t="s">
        <v>5516</v>
      </c>
      <c r="C1113" s="24" t="s">
        <v>5526</v>
      </c>
      <c r="D1113" s="151" t="s">
        <v>5533</v>
      </c>
      <c r="E1113" s="151" t="s">
        <v>5534</v>
      </c>
      <c r="F1113" s="151"/>
      <c r="G1113" s="52" t="str">
        <f t="shared" ref="G1113:G1132" si="20">D1113&amp;":"&amp;E1112</f>
        <v>66 4D:香木原木</v>
      </c>
    </row>
    <row r="1114" spans="1:7">
      <c r="A1114" s="24" t="s">
        <v>5516</v>
      </c>
      <c r="B1114" s="24" t="s">
        <v>5516</v>
      </c>
      <c r="C1114" s="24" t="s">
        <v>5526</v>
      </c>
      <c r="D1114" s="151" t="s">
        <v>5535</v>
      </c>
      <c r="E1114" s="151" t="s">
        <v>5536</v>
      </c>
      <c r="F1114" s="151"/>
      <c r="G1114" s="52" t="str">
        <f t="shared" si="20"/>
        <v>EC 65:御火护符</v>
      </c>
    </row>
    <row r="1115" spans="1:7">
      <c r="A1115" s="24" t="s">
        <v>5516</v>
      </c>
      <c r="B1115" s="24" t="s">
        <v>5516</v>
      </c>
      <c r="C1115" s="24" t="s">
        <v>5526</v>
      </c>
      <c r="D1115" s="151" t="s">
        <v>5537</v>
      </c>
      <c r="E1115" s="151" t="s">
        <v>5538</v>
      </c>
      <c r="F1115" s="151"/>
      <c r="G1115" s="52" t="str">
        <f t="shared" si="20"/>
        <v>5C CC:御水护符</v>
      </c>
    </row>
    <row r="1116" spans="1:7">
      <c r="A1116" s="24" t="s">
        <v>5516</v>
      </c>
      <c r="B1116" s="24" t="s">
        <v>5516</v>
      </c>
      <c r="C1116" s="24" t="s">
        <v>5526</v>
      </c>
      <c r="D1116" s="151" t="s">
        <v>5539</v>
      </c>
      <c r="E1116" s="151" t="s">
        <v>5540</v>
      </c>
      <c r="F1116" s="151"/>
      <c r="G1116" s="52" t="str">
        <f t="shared" si="20"/>
        <v>5A 8B:御雷护符</v>
      </c>
    </row>
    <row r="1117" spans="1:7">
      <c r="A1117" s="24" t="s">
        <v>5516</v>
      </c>
      <c r="B1117" s="24" t="s">
        <v>5516</v>
      </c>
      <c r="C1117" s="24" t="s">
        <v>5526</v>
      </c>
      <c r="D1117" s="151" t="s">
        <v>5541</v>
      </c>
      <c r="E1117" s="151" t="s">
        <v>5542</v>
      </c>
      <c r="F1117" s="151"/>
      <c r="G1117" s="52" t="str">
        <f t="shared" si="20"/>
        <v>22 4E:御风护符</v>
      </c>
    </row>
    <row r="1118" spans="1:7">
      <c r="A1118" s="24" t="s">
        <v>5516</v>
      </c>
      <c r="B1118" s="24" t="s">
        <v>5516</v>
      </c>
      <c r="C1118" s="24" t="s">
        <v>5526</v>
      </c>
      <c r="D1118" s="151" t="s">
        <v>5543</v>
      </c>
      <c r="E1118" s="151" t="s">
        <v>5544</v>
      </c>
      <c r="F1118" s="151"/>
      <c r="G1118" s="52" t="str">
        <f t="shared" si="20"/>
        <v>7A FC:太阴神之酒</v>
      </c>
    </row>
    <row r="1119" spans="1:7">
      <c r="A1119" s="24" t="s">
        <v>5516</v>
      </c>
      <c r="B1119" s="24" t="s">
        <v>5516</v>
      </c>
      <c r="C1119" s="24" t="s">
        <v>5526</v>
      </c>
      <c r="D1119" s="151" t="s">
        <v>5545</v>
      </c>
      <c r="E1119" s="151" t="s">
        <v>5546</v>
      </c>
      <c r="F1119" s="151"/>
      <c r="G1119" s="52" t="str">
        <f t="shared" si="20"/>
        <v>99 D2:护摩之灰</v>
      </c>
    </row>
    <row r="1120" spans="1:7">
      <c r="A1120" s="24" t="s">
        <v>5516</v>
      </c>
      <c r="B1120" s="24" t="s">
        <v>5516</v>
      </c>
      <c r="C1120" s="24" t="s">
        <v>5526</v>
      </c>
      <c r="D1120" s="151" t="s">
        <v>5547</v>
      </c>
      <c r="E1120" s="151" t="s">
        <v>5548</v>
      </c>
      <c r="F1120" s="151"/>
      <c r="G1120" s="52" t="str">
        <f t="shared" si="20"/>
        <v>22 69:毒刃涂剂</v>
      </c>
    </row>
    <row r="1121" spans="1:7">
      <c r="A1121" s="24" t="s">
        <v>5516</v>
      </c>
      <c r="B1121" s="24" t="s">
        <v>5516</v>
      </c>
      <c r="C1121" s="24" t="s">
        <v>5526</v>
      </c>
      <c r="D1121" s="151" t="s">
        <v>5549</v>
      </c>
      <c r="E1121" s="151" t="s">
        <v>5550</v>
      </c>
      <c r="F1121" s="151"/>
      <c r="G1121" s="52" t="str">
        <f t="shared" si="20"/>
        <v>DE 69:麻痹刃涂剂</v>
      </c>
    </row>
    <row r="1122" spans="1:7">
      <c r="A1122" s="24" t="s">
        <v>5516</v>
      </c>
      <c r="B1122" s="24" t="s">
        <v>5516</v>
      </c>
      <c r="C1122" s="24" t="s">
        <v>5526</v>
      </c>
      <c r="D1122" s="151" t="s">
        <v>5551</v>
      </c>
      <c r="E1122" s="151" t="s">
        <v>5552</v>
      </c>
      <c r="F1122" s="151"/>
      <c r="G1122" s="52" t="str">
        <f t="shared" si="20"/>
        <v>68 4D:毒焑雾弾</v>
      </c>
    </row>
    <row r="1123" spans="1:7">
      <c r="A1123" s="24" t="s">
        <v>5516</v>
      </c>
      <c r="B1123" s="24" t="s">
        <v>5516</v>
      </c>
      <c r="C1123" s="24" t="s">
        <v>5526</v>
      </c>
      <c r="D1123" s="151" t="s">
        <v>5553</v>
      </c>
      <c r="E1123" s="151" t="s">
        <v>5554</v>
      </c>
      <c r="F1123" s="151"/>
      <c r="G1123" s="52" t="str">
        <f t="shared" si="20"/>
        <v>78 20:庥痹焑雾弹</v>
      </c>
    </row>
    <row r="1124" spans="1:7">
      <c r="A1124" s="24" t="s">
        <v>5516</v>
      </c>
      <c r="B1124" s="24" t="s">
        <v>5516</v>
      </c>
      <c r="C1124" s="24" t="s">
        <v>5526</v>
      </c>
      <c r="D1124" s="151" t="s">
        <v>5555</v>
      </c>
      <c r="E1124" s="151" t="s">
        <v>5556</v>
      </c>
      <c r="F1124" s="151"/>
      <c r="G1124" s="52" t="str">
        <f t="shared" si="20"/>
        <v>E0 7F:箭矢毒药</v>
      </c>
    </row>
    <row r="1125" spans="1:7">
      <c r="A1125" s="24" t="s">
        <v>5516</v>
      </c>
      <c r="B1125" s="24" t="s">
        <v>5516</v>
      </c>
      <c r="C1125" s="24" t="s">
        <v>5526</v>
      </c>
      <c r="D1125" s="151" t="s">
        <v>5557</v>
      </c>
      <c r="E1125" s="151" t="s">
        <v>5558</v>
      </c>
      <c r="F1125" s="151"/>
      <c r="G1125" s="52" t="str">
        <f t="shared" si="20"/>
        <v>2F E9:箭矢麻痹药</v>
      </c>
    </row>
    <row r="1126" spans="1:7">
      <c r="A1126" s="24" t="s">
        <v>5516</v>
      </c>
      <c r="B1126" s="24" t="s">
        <v>5516</v>
      </c>
      <c r="C1126" s="24" t="s">
        <v>5526</v>
      </c>
      <c r="D1126" s="151" t="s">
        <v>5559</v>
      </c>
      <c r="E1126" s="151" t="s">
        <v>5560</v>
      </c>
      <c r="F1126" s="151"/>
      <c r="G1126" s="52" t="str">
        <f t="shared" si="20"/>
        <v>42 CC:箭矢火药</v>
      </c>
    </row>
    <row r="1127" spans="1:7">
      <c r="A1127" s="24" t="s">
        <v>5516</v>
      </c>
      <c r="B1127" s="24" t="s">
        <v>5516</v>
      </c>
      <c r="C1127" s="24" t="s">
        <v>5526</v>
      </c>
      <c r="D1127" s="151" t="s">
        <v>5561</v>
      </c>
      <c r="E1127" s="151" t="s">
        <v>5562</v>
      </c>
      <c r="F1127" s="151"/>
      <c r="G1127" s="52" t="str">
        <f t="shared" si="20"/>
        <v>51 5A:刚力丹</v>
      </c>
    </row>
    <row r="1128" spans="1:7">
      <c r="A1128" s="24" t="s">
        <v>5516</v>
      </c>
      <c r="B1128" s="24" t="s">
        <v>5516</v>
      </c>
      <c r="C1128" s="24" t="s">
        <v>5526</v>
      </c>
      <c r="D1128" s="151" t="s">
        <v>5563</v>
      </c>
      <c r="E1128" s="151" t="s">
        <v>5564</v>
      </c>
      <c r="F1128" s="151"/>
      <c r="G1128" s="52" t="str">
        <f t="shared" si="20"/>
        <v>DB 5E:焑雾弾</v>
      </c>
    </row>
    <row r="1129" spans="1:7">
      <c r="A1129" s="24" t="s">
        <v>5516</v>
      </c>
      <c r="B1129" s="24" t="s">
        <v>5516</v>
      </c>
      <c r="C1129" s="24" t="s">
        <v>5526</v>
      </c>
      <c r="D1129" s="151" t="s">
        <v>5565</v>
      </c>
      <c r="E1129" s="151" t="s">
        <v>5566</v>
      </c>
      <c r="F1129" s="151"/>
      <c r="G1129" s="52" t="str">
        <f t="shared" si="20"/>
        <v>99 32:虎驱术护符</v>
      </c>
    </row>
    <row r="1130" spans="1:7">
      <c r="A1130" s="24" t="s">
        <v>5516</v>
      </c>
      <c r="B1130" s="24" t="s">
        <v>5516</v>
      </c>
      <c r="C1130" s="24" t="s">
        <v>5526</v>
      </c>
      <c r="D1130" s="151" t="s">
        <v>5567</v>
      </c>
      <c r="E1130" s="151" t="s">
        <v>5568</v>
      </c>
      <c r="F1130" s="151"/>
      <c r="G1130" s="52" t="str">
        <f t="shared" si="20"/>
        <v>AA E4:金刚丹</v>
      </c>
    </row>
    <row r="1131" spans="1:7">
      <c r="A1131" s="24" t="s">
        <v>5516</v>
      </c>
      <c r="B1131" s="24" t="s">
        <v>5516</v>
      </c>
      <c r="C1131" s="24" t="s">
        <v>5526</v>
      </c>
      <c r="D1131" s="151" t="s">
        <v>5569</v>
      </c>
      <c r="E1131" s="151" t="s">
        <v>5570</v>
      </c>
      <c r="F1131" s="151"/>
      <c r="G1131" s="52" t="str">
        <f t="shared" si="20"/>
        <v>9A 05:开运护符</v>
      </c>
    </row>
    <row r="1132" spans="1:7">
      <c r="A1132" s="24" t="s">
        <v>5516</v>
      </c>
      <c r="B1132" s="24" t="s">
        <v>5516</v>
      </c>
      <c r="C1132" s="24" t="s">
        <v>5526</v>
      </c>
      <c r="D1132" s="151" t="s">
        <v>5571</v>
      </c>
      <c r="E1132" s="151" t="s">
        <v>5572</v>
      </c>
      <c r="F1132" s="151"/>
      <c r="G1132" s="52" t="str">
        <f t="shared" si="20"/>
        <v>80 91:鬼灯果</v>
      </c>
    </row>
    <row r="1133" spans="1:7">
      <c r="A1133" s="24" t="s">
        <v>5516</v>
      </c>
      <c r="B1133" s="24" t="s">
        <v>5516</v>
      </c>
      <c r="C1133" s="24" t="s">
        <v>5573</v>
      </c>
      <c r="D1133" s="151" t="s">
        <v>5574</v>
      </c>
      <c r="E1133" s="151" t="s">
        <v>5575</v>
      </c>
      <c r="F1133" s="151"/>
      <c r="G1133" s="52" t="str">
        <f t="shared" si="19"/>
        <v>56 65:小灵石</v>
      </c>
    </row>
    <row r="1134" spans="1:7">
      <c r="A1134" s="24" t="s">
        <v>5516</v>
      </c>
      <c r="B1134" s="24" t="s">
        <v>5516</v>
      </c>
      <c r="C1134" s="24" t="s">
        <v>5573</v>
      </c>
      <c r="D1134" s="151" t="s">
        <v>5576</v>
      </c>
      <c r="E1134" s="151" t="s">
        <v>5573</v>
      </c>
      <c r="F1134" s="151"/>
      <c r="G1134" s="52" t="str">
        <f t="shared" si="19"/>
        <v>AF 72:灵石</v>
      </c>
    </row>
    <row r="1135" spans="1:7">
      <c r="A1135" s="24" t="s">
        <v>5516</v>
      </c>
      <c r="B1135" s="24" t="s">
        <v>5516</v>
      </c>
      <c r="C1135" s="24" t="s">
        <v>5573</v>
      </c>
      <c r="D1135" s="151" t="s">
        <v>5577</v>
      </c>
      <c r="E1135" s="151" t="s">
        <v>5578</v>
      </c>
      <c r="F1135" s="151"/>
      <c r="G1135" s="52" t="str">
        <f t="shared" si="19"/>
        <v>2A E0:大灵石</v>
      </c>
    </row>
    <row r="1136" spans="1:7">
      <c r="A1136" s="24" t="s">
        <v>5516</v>
      </c>
      <c r="B1136" s="24" t="s">
        <v>5516</v>
      </c>
      <c r="C1136" s="24" t="s">
        <v>5573</v>
      </c>
      <c r="D1136" s="151" t="s">
        <v>5579</v>
      </c>
      <c r="E1136" s="151" t="s">
        <v>5580</v>
      </c>
      <c r="F1136" s="151"/>
      <c r="G1136" s="52" t="str">
        <f t="shared" si="19"/>
        <v>CD 46:小辉灵石</v>
      </c>
    </row>
    <row r="1137" spans="1:7">
      <c r="A1137" s="24" t="s">
        <v>5516</v>
      </c>
      <c r="B1137" s="24" t="s">
        <v>5516</v>
      </c>
      <c r="C1137" s="24" t="s">
        <v>5573</v>
      </c>
      <c r="D1137" s="151" t="s">
        <v>5581</v>
      </c>
      <c r="E1137" s="151" t="s">
        <v>5582</v>
      </c>
      <c r="F1137" s="151"/>
      <c r="G1137" s="52" t="str">
        <f t="shared" si="19"/>
        <v>93 B5:辉灵石</v>
      </c>
    </row>
    <row r="1138" spans="1:7">
      <c r="A1138" s="24" t="s">
        <v>5516</v>
      </c>
      <c r="B1138" s="24" t="s">
        <v>5516</v>
      </c>
      <c r="C1138" s="24" t="s">
        <v>5573</v>
      </c>
      <c r="D1138" s="151" t="s">
        <v>5583</v>
      </c>
      <c r="E1138" s="151" t="s">
        <v>5584</v>
      </c>
      <c r="F1138" s="151"/>
      <c r="G1138" s="52" t="str">
        <f t="shared" si="19"/>
        <v>A9 71:大辉灵石</v>
      </c>
    </row>
    <row r="1139" spans="1:7">
      <c r="A1139" s="24" t="s">
        <v>5516</v>
      </c>
      <c r="B1139" s="24" t="s">
        <v>5516</v>
      </c>
      <c r="C1139" s="24" t="s">
        <v>5573</v>
      </c>
      <c r="D1139" s="151" t="s">
        <v>5585</v>
      </c>
      <c r="E1139" s="151" t="s">
        <v>5586</v>
      </c>
      <c r="F1139" s="151"/>
      <c r="G1139" s="52" t="str">
        <f t="shared" si="19"/>
        <v>E3 53:小炽灵石</v>
      </c>
    </row>
    <row r="1140" spans="1:7">
      <c r="A1140" s="24" t="s">
        <v>5516</v>
      </c>
      <c r="B1140" s="24" t="s">
        <v>5516</v>
      </c>
      <c r="C1140" s="24" t="s">
        <v>5573</v>
      </c>
      <c r="D1140" s="151" t="s">
        <v>5587</v>
      </c>
      <c r="E1140" s="151" t="s">
        <v>5588</v>
      </c>
      <c r="F1140" s="151"/>
      <c r="G1140" s="52" t="str">
        <f t="shared" si="19"/>
        <v>18 DA:炽灵石</v>
      </c>
    </row>
    <row r="1141" spans="1:7">
      <c r="A1141" s="24" t="s">
        <v>5516</v>
      </c>
      <c r="B1141" s="24" t="s">
        <v>5516</v>
      </c>
      <c r="C1141" s="24" t="s">
        <v>5573</v>
      </c>
      <c r="D1141" s="151" t="s">
        <v>5589</v>
      </c>
      <c r="E1141" s="151" t="s">
        <v>5590</v>
      </c>
      <c r="F1141" s="151"/>
      <c r="G1141" s="52" t="str">
        <f t="shared" si="19"/>
        <v>8C 70:大炽灵石</v>
      </c>
    </row>
    <row r="1142" spans="1:7">
      <c r="A1142" s="24" t="s">
        <v>5516</v>
      </c>
      <c r="B1142" s="24" t="s">
        <v>5516</v>
      </c>
      <c r="C1142" s="24" t="s">
        <v>5573</v>
      </c>
      <c r="D1142" s="151" t="s">
        <v>5591</v>
      </c>
      <c r="E1142" s="151" t="s">
        <v>5592</v>
      </c>
      <c r="F1142" s="151"/>
      <c r="G1142" s="52" t="str">
        <f t="shared" si="19"/>
        <v>5F E1:秘灵石</v>
      </c>
    </row>
    <row r="1143" spans="1:7">
      <c r="A1143" s="24" t="s">
        <v>5516</v>
      </c>
      <c r="B1143" s="24" t="s">
        <v>5516</v>
      </c>
      <c r="C1143" s="24" t="s">
        <v>5526</v>
      </c>
      <c r="D1143" s="151" t="s">
        <v>5593</v>
      </c>
      <c r="E1143" s="151" t="s">
        <v>5594</v>
      </c>
      <c r="F1143" s="151"/>
      <c r="G1143" s="52" t="str">
        <f t="shared" si="19"/>
        <v>DD 9E:磨刀石</v>
      </c>
    </row>
    <row r="1144" spans="1:7">
      <c r="A1144" s="24" t="s">
        <v>5516</v>
      </c>
      <c r="B1144" s="24" t="s">
        <v>5516</v>
      </c>
      <c r="C1144" s="24" t="s">
        <v>5526</v>
      </c>
      <c r="D1144" s="151" t="s">
        <v>5595</v>
      </c>
      <c r="E1144" s="151" t="s">
        <v>5596</v>
      </c>
      <c r="F1144" s="151"/>
      <c r="G1144" s="52" t="str">
        <f t="shared" si="19"/>
        <v>58 8C:黏胶</v>
      </c>
    </row>
    <row r="1145" spans="1:7">
      <c r="A1145" s="24" t="s">
        <v>5516</v>
      </c>
      <c r="B1145" s="24" t="s">
        <v>5516</v>
      </c>
      <c r="C1145" s="24" t="s">
        <v>5526</v>
      </c>
      <c r="D1145" s="151" t="s">
        <v>5597</v>
      </c>
      <c r="E1145" s="151" t="s">
        <v>5598</v>
      </c>
      <c r="F1145" s="151"/>
      <c r="G1145" s="52" t="str">
        <f t="shared" si="19"/>
        <v>28 A0:百夜香</v>
      </c>
    </row>
    <row r="1146" spans="1:7">
      <c r="A1146" s="24" t="s">
        <v>5516</v>
      </c>
      <c r="B1146" s="24" t="s">
        <v>5516</v>
      </c>
      <c r="C1146" s="24" t="s">
        <v>5526</v>
      </c>
      <c r="D1146" s="151" t="s">
        <v>5599</v>
      </c>
      <c r="E1146" s="151" t="s">
        <v>5600</v>
      </c>
      <c r="F1146" s="151"/>
      <c r="G1146" s="52" t="str">
        <f t="shared" si="19"/>
        <v>A2 7E:净化过的笔</v>
      </c>
    </row>
    <row r="1147" spans="1:7">
      <c r="A1147" s="24" t="s">
        <v>5516</v>
      </c>
      <c r="B1147" s="24" t="s">
        <v>5516</v>
      </c>
      <c r="C1147" s="24" t="s">
        <v>5526</v>
      </c>
      <c r="D1147" s="151" t="s">
        <v>5601</v>
      </c>
      <c r="E1147" s="151" t="s">
        <v>5602</v>
      </c>
      <c r="F1147" s="151"/>
      <c r="G1147" s="52" t="str">
        <f t="shared" si="19"/>
        <v>6D 58:岁杀神之酒</v>
      </c>
    </row>
    <row r="1148" spans="1:7">
      <c r="A1148" s="24" t="s">
        <v>5516</v>
      </c>
      <c r="B1148" s="24" t="s">
        <v>5516</v>
      </c>
      <c r="C1148" s="24" t="s">
        <v>5526</v>
      </c>
      <c r="D1148" s="151" t="s">
        <v>5603</v>
      </c>
      <c r="E1148" s="151" t="s">
        <v>5604</v>
      </c>
      <c r="F1148" s="151"/>
      <c r="G1148" s="52" t="str">
        <f t="shared" si="19"/>
        <v>1B 3A:打磨粉</v>
      </c>
    </row>
    <row r="1149" spans="1:7">
      <c r="A1149" s="24" t="s">
        <v>5516</v>
      </c>
      <c r="B1149" s="24" t="s">
        <v>5516</v>
      </c>
      <c r="C1149" s="24" t="s">
        <v>5526</v>
      </c>
      <c r="D1149" s="151" t="s">
        <v>5605</v>
      </c>
      <c r="E1149" s="151" t="s">
        <v>5606</v>
      </c>
      <c r="F1149" s="151"/>
      <c r="G1149" s="52" t="str">
        <f t="shared" si="19"/>
        <v>2A 38:御神水</v>
      </c>
    </row>
    <row r="1150" spans="1:7">
      <c r="A1150" s="24" t="s">
        <v>5516</v>
      </c>
      <c r="B1150" s="24" t="s">
        <v>5516</v>
      </c>
      <c r="C1150" s="24" t="s">
        <v>5526</v>
      </c>
      <c r="D1150" s="151" t="s">
        <v>5607</v>
      </c>
      <c r="E1150" s="151" t="s">
        <v>5608</v>
      </c>
      <c r="F1150" s="151"/>
      <c r="G1150" s="52" t="str">
        <f t="shared" si="19"/>
        <v>D0 84:稀人转移符</v>
      </c>
    </row>
    <row r="1151" spans="1:7">
      <c r="A1151" s="24" t="s">
        <v>5516</v>
      </c>
      <c r="B1151" s="24" t="s">
        <v>5516</v>
      </c>
      <c r="C1151" s="24" t="s">
        <v>5526</v>
      </c>
      <c r="D1151" s="151" t="s">
        <v>5609</v>
      </c>
      <c r="E1151" s="151" t="s">
        <v>5610</v>
      </c>
      <c r="F1151" s="151"/>
      <c r="G1151" s="52" t="str">
        <f t="shared" si="19"/>
        <v>C6 F7:妖香</v>
      </c>
    </row>
    <row r="1152" spans="1:7">
      <c r="A1152" s="24" t="s">
        <v>5516</v>
      </c>
      <c r="B1152" s="24" t="s">
        <v>5516</v>
      </c>
      <c r="C1152" s="24" t="s">
        <v>5526</v>
      </c>
      <c r="D1152" s="151" t="s">
        <v>5611</v>
      </c>
      <c r="E1152" s="151" t="s">
        <v>5612</v>
      </c>
      <c r="F1152" s="151"/>
      <c r="G1152" s="52" t="str">
        <f t="shared" si="19"/>
        <v>D3 E7:粪球</v>
      </c>
    </row>
    <row r="1153" spans="1:7">
      <c r="A1153" s="24" t="s">
        <v>5516</v>
      </c>
      <c r="B1153" s="24" t="s">
        <v>5516</v>
      </c>
      <c r="C1153" s="24" t="s">
        <v>5526</v>
      </c>
      <c r="D1153" s="151" t="s">
        <v>5613</v>
      </c>
      <c r="E1153" s="151" t="s">
        <v>5614</v>
      </c>
      <c r="F1153" s="151"/>
      <c r="G1153" s="52" t="str">
        <f t="shared" si="19"/>
        <v>4D 5E:高贵粪球</v>
      </c>
    </row>
    <row r="1154" spans="1:7">
      <c r="A1154" s="24" t="s">
        <v>5516</v>
      </c>
      <c r="B1154" s="24" t="s">
        <v>5516</v>
      </c>
      <c r="C1154" s="24" t="s">
        <v>5526</v>
      </c>
      <c r="D1154" s="151" t="s">
        <v>5615</v>
      </c>
      <c r="E1154" s="151" t="s">
        <v>5616</v>
      </c>
      <c r="F1154" s="151"/>
      <c r="G1154" s="52" t="str">
        <f t="shared" si="19"/>
        <v>41 8A:盐</v>
      </c>
    </row>
    <row r="1155" spans="1:7">
      <c r="A1155" s="24" t="s">
        <v>5516</v>
      </c>
      <c r="B1155" s="24" t="s">
        <v>5516</v>
      </c>
      <c r="C1155" s="24" t="s">
        <v>5526</v>
      </c>
      <c r="D1155" s="151" t="s">
        <v>5617</v>
      </c>
      <c r="E1155" s="151" t="s">
        <v>5618</v>
      </c>
      <c r="F1155" s="151"/>
      <c r="G1155" s="52" t="str">
        <f t="shared" si="19"/>
        <v>96 22:黄泉水罐</v>
      </c>
    </row>
    <row r="1156" spans="1:7">
      <c r="A1156" s="24" t="s">
        <v>5516</v>
      </c>
      <c r="B1156" s="24" t="s">
        <v>5516</v>
      </c>
      <c r="C1156" s="24" t="s">
        <v>5526</v>
      </c>
      <c r="D1156" s="151" t="s">
        <v>5619</v>
      </c>
      <c r="E1156" s="151" t="s">
        <v>5620</v>
      </c>
      <c r="F1156" s="151"/>
      <c r="G1156" s="52" t="str">
        <f t="shared" si="19"/>
        <v>AF 24:火男面具</v>
      </c>
    </row>
    <row r="1157" spans="1:7">
      <c r="A1157" s="24" t="s">
        <v>5516</v>
      </c>
      <c r="B1157" s="24" t="s">
        <v>5516</v>
      </c>
      <c r="C1157" s="24" t="s">
        <v>5526</v>
      </c>
      <c r="D1157" s="151" t="s">
        <v>5621</v>
      </c>
      <c r="E1157" s="151" t="s">
        <v>5622</v>
      </c>
      <c r="F1157" s="151"/>
      <c r="G1157" s="52" t="str">
        <f t="shared" si="19"/>
        <v>4F 26:天狗团扇</v>
      </c>
    </row>
    <row r="1158" spans="1:7">
      <c r="A1158" s="24" t="s">
        <v>5516</v>
      </c>
      <c r="B1158" s="24" t="s">
        <v>5516</v>
      </c>
      <c r="C1158" s="24" t="s">
        <v>5526</v>
      </c>
      <c r="D1158" s="151" t="s">
        <v>5623</v>
      </c>
      <c r="E1158" s="151" t="s">
        <v>5624</v>
      </c>
      <c r="F1158" s="151"/>
      <c r="G1158" s="52" t="str">
        <f t="shared" si="19"/>
        <v>A7 96:御箭护符</v>
      </c>
    </row>
    <row r="1159" spans="1:7">
      <c r="A1159" s="24" t="s">
        <v>5516</v>
      </c>
      <c r="B1159" s="24" t="s">
        <v>5516</v>
      </c>
      <c r="C1159" s="24" t="s">
        <v>5526</v>
      </c>
      <c r="D1159" s="151" t="s">
        <v>5625</v>
      </c>
      <c r="E1159" s="151" t="s">
        <v>5626</v>
      </c>
      <c r="F1159" s="151"/>
      <c r="G1159" s="52" t="str">
        <f t="shared" si="19"/>
        <v>E0 6F:同伴护符</v>
      </c>
    </row>
    <row r="1160" spans="1:7">
      <c r="A1160" s="24" t="s">
        <v>5516</v>
      </c>
      <c r="B1160" s="24" t="s">
        <v>5516</v>
      </c>
      <c r="C1160" s="24" t="s">
        <v>5526</v>
      </c>
      <c r="D1160" s="151" t="s">
        <v>5627</v>
      </c>
      <c r="E1160" s="151" t="s">
        <v>5628</v>
      </c>
      <c r="F1160" s="151"/>
      <c r="G1160" s="52" t="str">
        <f t="shared" si="19"/>
        <v>C5 61:回顾之沙</v>
      </c>
    </row>
    <row r="1161" spans="1:7">
      <c r="A1161" s="24" t="s">
        <v>5516</v>
      </c>
      <c r="B1161" s="24" t="s">
        <v>5516</v>
      </c>
      <c r="C1161" s="24" t="s">
        <v>5526</v>
      </c>
      <c r="D1161" s="151" t="s">
        <v>5629</v>
      </c>
      <c r="E1161" s="151" t="s">
        <v>5630</v>
      </c>
      <c r="F1161" s="151"/>
      <c r="G1161" s="52" t="str">
        <f t="shared" si="19"/>
        <v>75 84:阴气赤沙</v>
      </c>
    </row>
    <row r="1162" spans="1:7">
      <c r="A1162" s="24" t="s">
        <v>5516</v>
      </c>
      <c r="B1162" s="24" t="s">
        <v>5516</v>
      </c>
      <c r="C1162" s="24" t="s">
        <v>5526</v>
      </c>
      <c r="D1162" s="151" t="s">
        <v>5631</v>
      </c>
      <c r="E1162" s="151" t="s">
        <v>5632</v>
      </c>
      <c r="F1162" s="151"/>
      <c r="G1162" s="52" t="str">
        <f t="shared" si="19"/>
        <v>5F 4C:石块</v>
      </c>
    </row>
    <row r="1163" spans="1:7">
      <c r="A1163" s="24" t="s">
        <v>5516</v>
      </c>
      <c r="B1163" s="24" t="s">
        <v>5516</v>
      </c>
      <c r="C1163" s="24" t="s">
        <v>5526</v>
      </c>
      <c r="D1163" s="151" t="s">
        <v>5633</v>
      </c>
      <c r="E1163" s="151" t="s">
        <v>5634</v>
      </c>
      <c r="F1163" s="151"/>
      <c r="G1163" s="52" t="str">
        <f t="shared" si="19"/>
        <v>81 F4:缠火护符</v>
      </c>
    </row>
    <row r="1164" spans="1:7">
      <c r="A1164" s="24" t="s">
        <v>5516</v>
      </c>
      <c r="B1164" s="24" t="s">
        <v>5516</v>
      </c>
      <c r="C1164" s="24" t="s">
        <v>5526</v>
      </c>
      <c r="D1164" s="151" t="s">
        <v>5635</v>
      </c>
      <c r="E1164" s="151" t="s">
        <v>5636</v>
      </c>
      <c r="F1164" s="151"/>
      <c r="G1164" s="52" t="str">
        <f t="shared" si="19"/>
        <v>4E 30:缠水护符</v>
      </c>
    </row>
    <row r="1165" spans="1:7">
      <c r="A1165" s="24" t="s">
        <v>5516</v>
      </c>
      <c r="B1165" s="24" t="s">
        <v>5516</v>
      </c>
      <c r="C1165" s="24" t="s">
        <v>5526</v>
      </c>
      <c r="D1165" s="151" t="s">
        <v>5637</v>
      </c>
      <c r="E1165" s="151" t="s">
        <v>5638</v>
      </c>
      <c r="F1165" s="151"/>
      <c r="G1165" s="52" t="str">
        <f t="shared" si="19"/>
        <v>89 C3:缠雷护符</v>
      </c>
    </row>
    <row r="1166" spans="1:7">
      <c r="A1166" s="24" t="s">
        <v>5516</v>
      </c>
      <c r="B1166" s="24" t="s">
        <v>5516</v>
      </c>
      <c r="C1166" s="24" t="s">
        <v>5526</v>
      </c>
      <c r="D1166" s="151" t="s">
        <v>5639</v>
      </c>
      <c r="E1166" s="151" t="s">
        <v>5640</v>
      </c>
      <c r="F1166" s="151"/>
      <c r="G1166" s="52" t="str">
        <f t="shared" si="19"/>
        <v>BC 72:缠风护符</v>
      </c>
    </row>
    <row r="1167" spans="1:7">
      <c r="A1167" s="24" t="s">
        <v>5516</v>
      </c>
      <c r="B1167" s="24" t="s">
        <v>5516</v>
      </c>
      <c r="C1167" s="24" t="s">
        <v>5641</v>
      </c>
      <c r="D1167" s="151" t="s">
        <v>5642</v>
      </c>
      <c r="E1167" s="151" t="s">
        <v>5643</v>
      </c>
      <c r="F1167" s="151"/>
      <c r="G1167" s="52" t="str">
        <f t="shared" si="19"/>
        <v>53 E5:无瑕青瓷茶碗</v>
      </c>
    </row>
    <row r="1168" spans="1:7">
      <c r="A1168" s="24" t="s">
        <v>5516</v>
      </c>
      <c r="B1168" s="24" t="s">
        <v>5516</v>
      </c>
      <c r="C1168" s="24" t="s">
        <v>5526</v>
      </c>
      <c r="D1168" s="151" t="s">
        <v>5644</v>
      </c>
      <c r="E1168" s="151" t="s">
        <v>5645</v>
      </c>
      <c r="F1168" s="151"/>
      <c r="G1168" s="52" t="str">
        <f t="shared" si="19"/>
        <v>5A 3F:招灵蜡烛</v>
      </c>
    </row>
    <row r="1169" spans="1:7">
      <c r="A1169" s="24" t="s">
        <v>5516</v>
      </c>
      <c r="B1169" s="24" t="s">
        <v>5516</v>
      </c>
      <c r="C1169" s="24" t="s">
        <v>5526</v>
      </c>
      <c r="D1169" s="151" t="s">
        <v>5646</v>
      </c>
      <c r="E1169" s="151" t="s">
        <v>5647</v>
      </c>
      <c r="F1169" s="151"/>
      <c r="G1169" s="52" t="str">
        <f t="shared" si="19"/>
        <v>0F 14:义之碧玉</v>
      </c>
    </row>
    <row r="1170" spans="1:7">
      <c r="A1170" s="24" t="s">
        <v>5516</v>
      </c>
      <c r="B1170" s="24" t="s">
        <v>5516</v>
      </c>
      <c r="C1170" s="24" t="s">
        <v>5526</v>
      </c>
      <c r="D1170" s="151" t="s">
        <v>5648</v>
      </c>
      <c r="E1170" s="151" t="s">
        <v>5649</v>
      </c>
      <c r="F1170" s="151"/>
      <c r="G1170" s="52" t="str">
        <f t="shared" si="19"/>
        <v>43 59:道祖神护符</v>
      </c>
    </row>
    <row r="1171" spans="1:7">
      <c r="A1171" s="24" t="s">
        <v>5516</v>
      </c>
      <c r="B1171" s="24" t="s">
        <v>5650</v>
      </c>
      <c r="C1171" s="24" t="s">
        <v>5526</v>
      </c>
      <c r="D1171" s="151" t="s">
        <v>5651</v>
      </c>
      <c r="E1171" s="151" t="s">
        <v>5652</v>
      </c>
      <c r="F1171" s="151"/>
      <c r="G1171" s="52" t="str">
        <f t="shared" si="19"/>
        <v>79 57:武士的遗发</v>
      </c>
    </row>
    <row r="1172" spans="1:7">
      <c r="A1172" s="24" t="s">
        <v>5516</v>
      </c>
      <c r="B1172" s="24" t="s">
        <v>5650</v>
      </c>
      <c r="C1172" s="24" t="s">
        <v>5526</v>
      </c>
      <c r="D1172" s="151" t="s">
        <v>5653</v>
      </c>
      <c r="E1172" s="151" t="s">
        <v>5654</v>
      </c>
      <c r="F1172" s="151"/>
      <c r="G1172" s="52" t="str">
        <f t="shared" si="19"/>
        <v>5C 91:忍者的遗发</v>
      </c>
    </row>
    <row r="1173" spans="1:7">
      <c r="A1173" s="24" t="s">
        <v>5516</v>
      </c>
      <c r="B1173" s="24" t="s">
        <v>5650</v>
      </c>
      <c r="C1173" s="24" t="s">
        <v>5526</v>
      </c>
      <c r="D1173" s="151" t="s">
        <v>5655</v>
      </c>
      <c r="E1173" s="151" t="s">
        <v>5656</v>
      </c>
      <c r="F1173" s="151"/>
      <c r="G1173" s="52" t="str">
        <f t="shared" si="19"/>
        <v>4D DF:灵银地金</v>
      </c>
    </row>
    <row r="1174" spans="1:7">
      <c r="A1174" s="24" t="s">
        <v>5516</v>
      </c>
      <c r="B1174" s="24" t="s">
        <v>5657</v>
      </c>
      <c r="C1174" s="24" t="s">
        <v>5658</v>
      </c>
      <c r="D1174" s="151" t="s">
        <v>5659</v>
      </c>
      <c r="E1174" s="151" t="s">
        <v>5660</v>
      </c>
      <c r="F1174" s="151"/>
      <c r="G1174" s="52" t="str">
        <f t="shared" si="19"/>
        <v>1D AE:使役符·狱卒鬼（焦热） x4</v>
      </c>
    </row>
    <row r="1175" spans="1:7">
      <c r="A1175" s="24" t="s">
        <v>5516</v>
      </c>
      <c r="B1175" s="24" t="s">
        <v>5657</v>
      </c>
      <c r="C1175" s="24" t="s">
        <v>5658</v>
      </c>
      <c r="D1175" s="151" t="s">
        <v>5661</v>
      </c>
      <c r="E1175" s="151" t="s">
        <v>5662</v>
      </c>
      <c r="F1175" s="151"/>
      <c r="G1175" s="52" t="str">
        <f t="shared" si="19"/>
        <v>C9 18:使役符·狱卒鬼（八寒） x4</v>
      </c>
    </row>
    <row r="1176" spans="1:7">
      <c r="A1176" s="24" t="s">
        <v>5516</v>
      </c>
      <c r="B1176" s="24" t="s">
        <v>5657</v>
      </c>
      <c r="C1176" s="24" t="s">
        <v>5658</v>
      </c>
      <c r="D1176" s="151" t="s">
        <v>5663</v>
      </c>
      <c r="E1176" s="151" t="s">
        <v>5664</v>
      </c>
      <c r="F1176" s="151"/>
      <c r="G1176" s="52" t="str">
        <f t="shared" si="19"/>
        <v>0C 3B:使役符·狱卒鬼（针山） x4</v>
      </c>
    </row>
    <row r="1177" spans="1:7">
      <c r="A1177" s="24" t="s">
        <v>5516</v>
      </c>
      <c r="B1177" s="24" t="s">
        <v>5657</v>
      </c>
      <c r="C1177" s="24" t="s">
        <v>5658</v>
      </c>
      <c r="D1177" s="151" t="s">
        <v>5665</v>
      </c>
      <c r="E1177" s="151" t="s">
        <v>5666</v>
      </c>
      <c r="F1177" s="151"/>
      <c r="G1177" s="52" t="str">
        <f t="shared" si="19"/>
        <v>02 5D:使役符·狱卒鬼（业风） x4</v>
      </c>
    </row>
    <row r="1178" spans="1:7">
      <c r="A1178" s="24" t="s">
        <v>5516</v>
      </c>
      <c r="B1178" s="24" t="s">
        <v>5657</v>
      </c>
      <c r="C1178" s="24" t="s">
        <v>5658</v>
      </c>
      <c r="D1178" s="151" t="s">
        <v>5667</v>
      </c>
      <c r="E1178" s="151" t="s">
        <v>5668</v>
      </c>
      <c r="F1178" s="151"/>
      <c r="G1178" s="52" t="str">
        <f t="shared" si="19"/>
        <v>AD B6:使役符·雷兽 x2</v>
      </c>
    </row>
    <row r="1179" spans="1:7">
      <c r="A1179" s="24" t="s">
        <v>5516</v>
      </c>
      <c r="B1179" s="24" t="s">
        <v>5657</v>
      </c>
      <c r="C1179" s="24" t="s">
        <v>5658</v>
      </c>
      <c r="D1179" s="151" t="s">
        <v>5669</v>
      </c>
      <c r="E1179" s="151" t="s">
        <v>5670</v>
      </c>
      <c r="F1179" s="151"/>
      <c r="G1179" s="52" t="str">
        <f t="shared" si="19"/>
        <v>75 6B:使役符·山狗 x3</v>
      </c>
    </row>
    <row r="1180" spans="1:7">
      <c r="A1180" s="24" t="s">
        <v>5516</v>
      </c>
      <c r="B1180" s="24" t="s">
        <v>5657</v>
      </c>
      <c r="C1180" s="24" t="s">
        <v>5658</v>
      </c>
      <c r="D1180" s="151" t="s">
        <v>5671</v>
      </c>
      <c r="E1180" s="151" t="s">
        <v>5672</v>
      </c>
      <c r="F1180" s="151"/>
      <c r="G1180" s="52" t="str">
        <f t="shared" si="19"/>
        <v>94 17:使役符·野槌 x5</v>
      </c>
    </row>
    <row r="1181" spans="1:7">
      <c r="A1181" s="24" t="s">
        <v>5516</v>
      </c>
      <c r="B1181" s="24" t="s">
        <v>5657</v>
      </c>
      <c r="C1181" s="24" t="s">
        <v>5658</v>
      </c>
      <c r="D1181" s="151" t="s">
        <v>5673</v>
      </c>
      <c r="E1181" s="151" t="s">
        <v>5674</v>
      </c>
      <c r="F1181" s="151"/>
      <c r="G1181" s="52" t="str">
        <f t="shared" si="19"/>
        <v>8F A9:使役符·夜行兵 x3</v>
      </c>
    </row>
    <row r="1182" spans="1:7">
      <c r="A1182" s="24" t="s">
        <v>5516</v>
      </c>
      <c r="B1182" s="24" t="s">
        <v>5657</v>
      </c>
      <c r="C1182" s="24" t="s">
        <v>5658</v>
      </c>
      <c r="D1182" s="151" t="s">
        <v>5675</v>
      </c>
      <c r="E1182" s="151" t="s">
        <v>5676</v>
      </c>
      <c r="F1182" s="151"/>
      <c r="G1182" s="52" t="str">
        <f t="shared" si="19"/>
        <v>74 C2:使役符·山彦 x4</v>
      </c>
    </row>
    <row r="1183" spans="1:7">
      <c r="A1183" s="24" t="s">
        <v>5516</v>
      </c>
      <c r="B1183" s="24" t="s">
        <v>5657</v>
      </c>
      <c r="C1183" s="24" t="s">
        <v>5658</v>
      </c>
      <c r="D1183" s="151" t="s">
        <v>5677</v>
      </c>
      <c r="E1183" s="151" t="s">
        <v>5678</v>
      </c>
      <c r="F1183" s="151"/>
      <c r="G1183" s="52" t="str">
        <f t="shared" si="19"/>
        <v>B9 A1:使役符·撒沙婆婆 x4</v>
      </c>
    </row>
    <row r="1184" spans="1:7">
      <c r="A1184" s="24" t="s">
        <v>5516</v>
      </c>
      <c r="B1184" s="24" t="s">
        <v>5657</v>
      </c>
      <c r="C1184" s="24" t="s">
        <v>5658</v>
      </c>
      <c r="D1184" s="151" t="s">
        <v>5679</v>
      </c>
      <c r="E1184" s="151" t="s">
        <v>5680</v>
      </c>
      <c r="F1184" s="151"/>
      <c r="G1184" s="52" t="str">
        <f t="shared" si="19"/>
        <v>70 FF:使役符·地狱蜂 x6</v>
      </c>
    </row>
    <row r="1185" spans="1:7">
      <c r="A1185" s="24" t="s">
        <v>5516</v>
      </c>
      <c r="B1185" s="24" t="s">
        <v>5657</v>
      </c>
      <c r="C1185" s="24" t="s">
        <v>5658</v>
      </c>
      <c r="D1185" s="151" t="s">
        <v>5681</v>
      </c>
      <c r="E1185" s="151" t="s">
        <v>5682</v>
      </c>
      <c r="F1185" s="151"/>
      <c r="G1185" s="52" t="str">
        <f t="shared" si="19"/>
        <v>66 49:使役符·人鱼 x5</v>
      </c>
    </row>
    <row r="1186" spans="1:7">
      <c r="A1186" s="24" t="s">
        <v>5516</v>
      </c>
      <c r="B1186" s="24" t="s">
        <v>5657</v>
      </c>
      <c r="C1186" s="24" t="s">
        <v>5658</v>
      </c>
      <c r="D1186" s="151" t="s">
        <v>5683</v>
      </c>
      <c r="E1186" s="151" t="s">
        <v>5684</v>
      </c>
      <c r="F1186" s="151"/>
      <c r="G1186" s="52" t="str">
        <f t="shared" si="19"/>
        <v>45 A8:使役符·见越入道 x3</v>
      </c>
    </row>
    <row r="1187" spans="1:7">
      <c r="A1187" s="24" t="s">
        <v>5516</v>
      </c>
      <c r="B1187" s="24" t="s">
        <v>5657</v>
      </c>
      <c r="C1187" s="24" t="s">
        <v>5658</v>
      </c>
      <c r="D1187" s="151" t="s">
        <v>5685</v>
      </c>
      <c r="E1187" s="151" t="s">
        <v>5686</v>
      </c>
      <c r="F1187" s="151"/>
      <c r="G1187" s="52" t="str">
        <f t="shared" si="19"/>
        <v>06 B2:使役符·朱盆 x6</v>
      </c>
    </row>
    <row r="1188" spans="1:7">
      <c r="A1188" s="24" t="s">
        <v>5516</v>
      </c>
      <c r="B1188" s="24" t="s">
        <v>5657</v>
      </c>
      <c r="C1188" s="24" t="s">
        <v>5658</v>
      </c>
      <c r="D1188" s="151" t="s">
        <v>5687</v>
      </c>
      <c r="E1188" s="151" t="s">
        <v>5688</v>
      </c>
      <c r="F1188" s="151"/>
      <c r="G1188" s="52" t="str">
        <f t="shared" si="19"/>
        <v>C2 1A:使役符·饿鬼 x6</v>
      </c>
    </row>
    <row r="1189" spans="1:7">
      <c r="A1189" s="24" t="s">
        <v>5516</v>
      </c>
      <c r="B1189" s="24" t="s">
        <v>5657</v>
      </c>
      <c r="C1189" s="24" t="s">
        <v>5658</v>
      </c>
      <c r="D1189" s="151" t="s">
        <v>5687</v>
      </c>
      <c r="E1189" s="151" t="s">
        <v>5689</v>
      </c>
      <c r="F1189" s="151"/>
      <c r="G1189" s="52" t="str">
        <f t="shared" si="19"/>
        <v>C2 1A:使役符·棘饿鬼 x6</v>
      </c>
    </row>
    <row r="1190" spans="1:7">
      <c r="A1190" s="24" t="s">
        <v>5516</v>
      </c>
      <c r="B1190" s="24" t="s">
        <v>5657</v>
      </c>
      <c r="C1190" s="24" t="s">
        <v>5658</v>
      </c>
      <c r="D1190" s="151" t="s">
        <v>5690</v>
      </c>
      <c r="E1190" s="151" t="s">
        <v>5691</v>
      </c>
      <c r="F1190" s="151"/>
      <c r="G1190" s="52" t="str">
        <f t="shared" si="19"/>
        <v>43 98:使役符·饿鬼大将 x2</v>
      </c>
    </row>
    <row r="1191" spans="1:7">
      <c r="A1191" s="24" t="s">
        <v>5516</v>
      </c>
      <c r="B1191" s="24" t="s">
        <v>5657</v>
      </c>
      <c r="C1191" s="24" t="s">
        <v>5658</v>
      </c>
      <c r="D1191" s="151" t="s">
        <v>5692</v>
      </c>
      <c r="E1191" s="151" t="s">
        <v>5693</v>
      </c>
      <c r="F1191" s="151"/>
      <c r="G1191" s="52" t="str">
        <f t="shared" si="19"/>
        <v>AD 34:使役符·妖鬼 x4</v>
      </c>
    </row>
    <row r="1192" spans="1:7">
      <c r="A1192" s="24" t="s">
        <v>5516</v>
      </c>
      <c r="B1192" s="24" t="s">
        <v>5657</v>
      </c>
      <c r="C1192" s="24" t="s">
        <v>5658</v>
      </c>
      <c r="D1192" s="151" t="s">
        <v>5694</v>
      </c>
      <c r="E1192" s="151" t="s">
        <v>5695</v>
      </c>
      <c r="F1192" s="151"/>
      <c r="G1192" s="52" t="str">
        <f t="shared" si="19"/>
        <v>88 64:使役符·忍者妖鬼 x4</v>
      </c>
    </row>
    <row r="1193" spans="1:7">
      <c r="A1193" s="24" t="s">
        <v>5516</v>
      </c>
      <c r="B1193" s="24" t="s">
        <v>5657</v>
      </c>
      <c r="C1193" s="24" t="s">
        <v>5658</v>
      </c>
      <c r="D1193" s="151" t="s">
        <v>5696</v>
      </c>
      <c r="E1193" s="151" t="s">
        <v>5697</v>
      </c>
      <c r="F1193" s="151"/>
      <c r="G1193" s="52" t="str">
        <f t="shared" si="19"/>
        <v>DF 9B:使役符·亡骸武者 x4</v>
      </c>
    </row>
    <row r="1194" spans="1:7">
      <c r="A1194" s="24" t="s">
        <v>5516</v>
      </c>
      <c r="B1194" s="24" t="s">
        <v>5657</v>
      </c>
      <c r="C1194" s="24" t="s">
        <v>5658</v>
      </c>
      <c r="D1194" s="151" t="s">
        <v>5698</v>
      </c>
      <c r="E1194" s="151" t="s">
        <v>5699</v>
      </c>
      <c r="F1194" s="151"/>
      <c r="G1194" s="52" t="str">
        <f t="shared" si="19"/>
        <v>B7 F4:使役符·狂骨 x3</v>
      </c>
    </row>
    <row r="1195" spans="1:7">
      <c r="A1195" s="24" t="s">
        <v>5516</v>
      </c>
      <c r="B1195" s="24" t="s">
        <v>5657</v>
      </c>
      <c r="C1195" s="24" t="s">
        <v>5658</v>
      </c>
      <c r="D1195" s="151" t="s">
        <v>5700</v>
      </c>
      <c r="E1195" s="151" t="s">
        <v>5701</v>
      </c>
      <c r="F1195" s="151"/>
      <c r="G1195" s="52" t="str">
        <f t="shared" ref="G1195:G1258" si="21">D1195&amp;":"&amp;E1195</f>
        <v>FE F3:使役符·敷次郎 x4</v>
      </c>
    </row>
    <row r="1196" spans="1:7">
      <c r="A1196" s="24" t="s">
        <v>5516</v>
      </c>
      <c r="B1196" s="24" t="s">
        <v>5657</v>
      </c>
      <c r="C1196" s="24" t="s">
        <v>5658</v>
      </c>
      <c r="D1196" s="151" t="s">
        <v>5702</v>
      </c>
      <c r="E1196" s="151" t="s">
        <v>5703</v>
      </c>
      <c r="F1196" s="151"/>
      <c r="G1196" s="52" t="str">
        <f t="shared" si="21"/>
        <v>25 04:使役符·鬼火（火） x3</v>
      </c>
    </row>
    <row r="1197" spans="1:7">
      <c r="A1197" s="24" t="s">
        <v>5516</v>
      </c>
      <c r="B1197" s="24" t="s">
        <v>5657</v>
      </c>
      <c r="C1197" s="24" t="s">
        <v>5658</v>
      </c>
      <c r="D1197" s="151" t="s">
        <v>5704</v>
      </c>
      <c r="E1197" s="151" t="s">
        <v>5705</v>
      </c>
      <c r="F1197" s="151"/>
      <c r="G1197" s="52" t="str">
        <f t="shared" si="21"/>
        <v>9F FC:使役符·鬼火（水） x3</v>
      </c>
    </row>
    <row r="1198" spans="1:7">
      <c r="A1198" s="24" t="s">
        <v>5516</v>
      </c>
      <c r="B1198" s="24" t="s">
        <v>5657</v>
      </c>
      <c r="C1198" s="24" t="s">
        <v>5658</v>
      </c>
      <c r="D1198" s="151" t="s">
        <v>5706</v>
      </c>
      <c r="E1198" s="151" t="s">
        <v>5707</v>
      </c>
      <c r="F1198" s="151"/>
      <c r="G1198" s="52" t="str">
        <f t="shared" si="21"/>
        <v>F0 3A:使役符·鬼火（雷） x3</v>
      </c>
    </row>
    <row r="1199" spans="1:7">
      <c r="A1199" s="24" t="s">
        <v>5516</v>
      </c>
      <c r="B1199" s="24" t="s">
        <v>5657</v>
      </c>
      <c r="C1199" s="24" t="s">
        <v>5658</v>
      </c>
      <c r="D1199" s="151" t="s">
        <v>5708</v>
      </c>
      <c r="E1199" s="151" t="s">
        <v>5709</v>
      </c>
      <c r="F1199" s="151"/>
      <c r="G1199" s="52" t="str">
        <f t="shared" si="21"/>
        <v>DC BA:使役符·鬼火（风） x3</v>
      </c>
    </row>
    <row r="1200" spans="1:7">
      <c r="A1200" s="24" t="s">
        <v>5516</v>
      </c>
      <c r="B1200" s="24" t="s">
        <v>5657</v>
      </c>
      <c r="C1200" s="24" t="s">
        <v>5658</v>
      </c>
      <c r="D1200" s="151" t="s">
        <v>5710</v>
      </c>
      <c r="E1200" s="151" t="s">
        <v>5711</v>
      </c>
      <c r="F1200" s="151"/>
      <c r="G1200" s="52" t="str">
        <f t="shared" si="21"/>
        <v>C7 02:使役符·小海坊主 x5</v>
      </c>
    </row>
    <row r="1201" spans="1:7">
      <c r="A1201" s="24" t="s">
        <v>5516</v>
      </c>
      <c r="B1201" s="24" t="s">
        <v>5657</v>
      </c>
      <c r="C1201" s="24" t="s">
        <v>5658</v>
      </c>
      <c r="D1201" s="151" t="s">
        <v>5712</v>
      </c>
      <c r="E1201" s="151" t="s">
        <v>5713</v>
      </c>
      <c r="F1201" s="151"/>
      <c r="G1201" s="52" t="str">
        <f t="shared" si="21"/>
        <v>F3 AA:使役符·乌鸦天狗 x3</v>
      </c>
    </row>
    <row r="1202" spans="1:7">
      <c r="A1202" s="24" t="s">
        <v>5516</v>
      </c>
      <c r="B1202" s="24" t="s">
        <v>5657</v>
      </c>
      <c r="C1202" s="24" t="s">
        <v>5658</v>
      </c>
      <c r="D1202" s="151" t="s">
        <v>5714</v>
      </c>
      <c r="E1202" s="151" t="s">
        <v>5715</v>
      </c>
      <c r="F1202" s="151"/>
      <c r="G1202" s="52" t="str">
        <f t="shared" si="21"/>
        <v>26 F2:使役符·轮入道 x4</v>
      </c>
    </row>
    <row r="1203" spans="1:7">
      <c r="A1203" s="24" t="s">
        <v>5516</v>
      </c>
      <c r="B1203" s="24" t="s">
        <v>5657</v>
      </c>
      <c r="C1203" s="24" t="s">
        <v>5658</v>
      </c>
      <c r="D1203" s="151" t="s">
        <v>5716</v>
      </c>
      <c r="E1203" s="151" t="s">
        <v>5717</v>
      </c>
      <c r="F1203" s="151"/>
      <c r="G1203" s="52" t="str">
        <f t="shared" si="21"/>
        <v>F6 C7:使役符·独脚踏鞴 x3</v>
      </c>
    </row>
    <row r="1204" spans="1:7">
      <c r="A1204" s="24" t="s">
        <v>5516</v>
      </c>
      <c r="B1204" s="24" t="s">
        <v>5657</v>
      </c>
      <c r="C1204" s="24" t="s">
        <v>5658</v>
      </c>
      <c r="D1204" s="151" t="s">
        <v>5718</v>
      </c>
      <c r="E1204" s="151" t="s">
        <v>5719</v>
      </c>
      <c r="F1204" s="151"/>
      <c r="G1204" s="52" t="str">
        <f t="shared" si="21"/>
        <v>15 B9:使役符·妖蟹 x4</v>
      </c>
    </row>
    <row r="1205" spans="1:7">
      <c r="A1205" s="24" t="s">
        <v>5516</v>
      </c>
      <c r="B1205" s="24" t="s">
        <v>5657</v>
      </c>
      <c r="C1205" s="24" t="s">
        <v>5658</v>
      </c>
      <c r="D1205" s="151" t="s">
        <v>5720</v>
      </c>
      <c r="E1205" s="151" t="s">
        <v>5721</v>
      </c>
      <c r="F1205" s="151"/>
      <c r="G1205" s="52" t="str">
        <f t="shared" si="21"/>
        <v>93 55:使役符·濡女 x4</v>
      </c>
    </row>
    <row r="1206" spans="1:7">
      <c r="A1206" s="24" t="s">
        <v>5516</v>
      </c>
      <c r="B1206" s="24" t="s">
        <v>5657</v>
      </c>
      <c r="C1206" s="24" t="s">
        <v>5658</v>
      </c>
      <c r="D1206" s="151" t="s">
        <v>5722</v>
      </c>
      <c r="E1206" s="151" t="s">
        <v>5723</v>
      </c>
      <c r="F1206" s="151"/>
      <c r="G1206" s="52" t="str">
        <f t="shared" si="21"/>
        <v>BF 64:使役符·猿鬼 x4</v>
      </c>
    </row>
    <row r="1207" spans="1:7">
      <c r="A1207" s="24" t="s">
        <v>5516</v>
      </c>
      <c r="B1207" s="24" t="s">
        <v>5657</v>
      </c>
      <c r="C1207" s="24" t="s">
        <v>5658</v>
      </c>
      <c r="D1207" s="151" t="s">
        <v>5724</v>
      </c>
      <c r="E1207" s="151" t="s">
        <v>5725</v>
      </c>
      <c r="F1207" s="151"/>
      <c r="G1207" s="52" t="str">
        <f t="shared" si="21"/>
        <v>72 F1:使役符·独眼鬼 x3</v>
      </c>
    </row>
    <row r="1208" spans="1:7">
      <c r="A1208" s="24" t="s">
        <v>5516</v>
      </c>
      <c r="B1208" s="24" t="s">
        <v>5657</v>
      </c>
      <c r="C1208" s="24" t="s">
        <v>5658</v>
      </c>
      <c r="D1208" s="151" t="s">
        <v>5726</v>
      </c>
      <c r="E1208" s="151" t="s">
        <v>5727</v>
      </c>
      <c r="F1208" s="151"/>
      <c r="G1208" s="52" t="str">
        <f t="shared" si="21"/>
        <v>03 AC:使役符·防人 x3</v>
      </c>
    </row>
    <row r="1209" spans="1:7">
      <c r="A1209" s="24" t="s">
        <v>5516</v>
      </c>
      <c r="B1209" s="24" t="s">
        <v>5657</v>
      </c>
      <c r="C1209" s="24" t="s">
        <v>5658</v>
      </c>
      <c r="D1209" s="151" t="s">
        <v>5728</v>
      </c>
      <c r="E1209" s="151" t="s">
        <v>5729</v>
      </c>
      <c r="F1209" s="151"/>
      <c r="G1209" s="52" t="str">
        <f t="shared" si="21"/>
        <v>3A 77:使役符·以津真天 x2</v>
      </c>
    </row>
    <row r="1210" spans="1:7">
      <c r="A1210" s="24" t="s">
        <v>5516</v>
      </c>
      <c r="B1210" s="24" t="s">
        <v>5657</v>
      </c>
      <c r="C1210" s="24" t="s">
        <v>5658</v>
      </c>
      <c r="D1210" s="151" t="s">
        <v>5730</v>
      </c>
      <c r="E1210" s="151" t="s">
        <v>5731</v>
      </c>
      <c r="F1210" s="151"/>
      <c r="G1210" s="52" t="str">
        <f t="shared" si="21"/>
        <v>18 03:使役符·子泣爷爷 x6</v>
      </c>
    </row>
    <row r="1211" spans="1:7">
      <c r="A1211" s="24" t="s">
        <v>5516</v>
      </c>
      <c r="B1211" s="24" t="s">
        <v>5657</v>
      </c>
      <c r="C1211" s="24" t="s">
        <v>5658</v>
      </c>
      <c r="D1211" s="151" t="s">
        <v>5732</v>
      </c>
      <c r="E1211" s="151" t="s">
        <v>5733</v>
      </c>
      <c r="F1211" s="151"/>
      <c r="G1211" s="52" t="str">
        <f t="shared" si="21"/>
        <v>F1 0F:使役符·山姥 x3</v>
      </c>
    </row>
    <row r="1212" spans="1:7">
      <c r="A1212" s="24" t="s">
        <v>5516</v>
      </c>
      <c r="B1212" s="24" t="s">
        <v>5657</v>
      </c>
      <c r="C1212" s="24" t="s">
        <v>5658</v>
      </c>
      <c r="D1212" s="151" t="s">
        <v>5734</v>
      </c>
      <c r="E1212" s="151" t="s">
        <v>5735</v>
      </c>
      <c r="F1212" s="151"/>
      <c r="G1212" s="52" t="str">
        <f t="shared" si="21"/>
        <v>AE 32:使役符·猥裸 x3</v>
      </c>
    </row>
    <row r="1213" spans="1:7">
      <c r="A1213" s="24" t="s">
        <v>5516</v>
      </c>
      <c r="B1213" s="24" t="s">
        <v>5657</v>
      </c>
      <c r="C1213" s="24" t="s">
        <v>5658</v>
      </c>
      <c r="D1213" s="151" t="s">
        <v>5736</v>
      </c>
      <c r="E1213" s="151" t="s">
        <v>5737</v>
      </c>
      <c r="F1213" s="151"/>
      <c r="G1213" s="52" t="str">
        <f t="shared" si="21"/>
        <v>FC 9F:使役符·古笼火 x3</v>
      </c>
    </row>
    <row r="1214" spans="1:7">
      <c r="A1214" s="24" t="s">
        <v>5516</v>
      </c>
      <c r="B1214" s="24" t="s">
        <v>5657</v>
      </c>
      <c r="C1214" s="24" t="s">
        <v>5658</v>
      </c>
      <c r="D1214" s="151" t="s">
        <v>5738</v>
      </c>
      <c r="E1214" s="151" t="s">
        <v>5739</v>
      </c>
      <c r="F1214" s="151"/>
      <c r="G1214" s="52" t="str">
        <f t="shared" si="21"/>
        <v>84 C4:使役符·姑获鸟 x4</v>
      </c>
    </row>
    <row r="1215" spans="1:7">
      <c r="A1215" s="24" t="s">
        <v>5516</v>
      </c>
      <c r="B1215" s="24" t="s">
        <v>5657</v>
      </c>
      <c r="C1215" s="24" t="s">
        <v>5658</v>
      </c>
      <c r="D1215" s="151" t="s">
        <v>5740</v>
      </c>
      <c r="E1215" s="151" t="s">
        <v>5741</v>
      </c>
      <c r="F1215" s="151"/>
      <c r="G1215" s="52" t="str">
        <f t="shared" si="21"/>
        <v>1D 26:使役符·冰柱女 x4</v>
      </c>
    </row>
    <row r="1216" spans="1:7">
      <c r="A1216" s="24" t="s">
        <v>5516</v>
      </c>
      <c r="B1216" s="24" t="s">
        <v>5657</v>
      </c>
      <c r="C1216" s="24" t="s">
        <v>5658</v>
      </c>
      <c r="D1216" s="151" t="s">
        <v>5742</v>
      </c>
      <c r="E1216" s="151" t="s">
        <v>5743</v>
      </c>
      <c r="F1216" s="151"/>
      <c r="G1216" s="52" t="str">
        <f t="shared" si="21"/>
        <v>61 76:使役符·一反木棉 x4</v>
      </c>
    </row>
    <row r="1217" spans="1:7">
      <c r="A1217" s="24" t="s">
        <v>5516</v>
      </c>
      <c r="B1217" s="24" t="s">
        <v>5657</v>
      </c>
      <c r="C1217" s="24" t="s">
        <v>5658</v>
      </c>
      <c r="D1217" s="151" t="s">
        <v>5744</v>
      </c>
      <c r="E1217" s="151" t="s">
        <v>5745</v>
      </c>
      <c r="F1217" s="151"/>
      <c r="G1217" s="52" t="str">
        <f t="shared" si="21"/>
        <v>7E 08:使役符·油伞妖 x6</v>
      </c>
    </row>
    <row r="1218" spans="1:7">
      <c r="A1218" s="24" t="s">
        <v>5516</v>
      </c>
      <c r="B1218" s="24" t="s">
        <v>5657</v>
      </c>
      <c r="C1218" s="24" t="s">
        <v>5658</v>
      </c>
      <c r="D1218" s="151" t="s">
        <v>5746</v>
      </c>
      <c r="E1218" s="151" t="s">
        <v>5747</v>
      </c>
      <c r="F1218" s="151"/>
      <c r="G1218" s="52" t="str">
        <f t="shared" si="21"/>
        <v>4D 04:使役符·祸津武士 x2</v>
      </c>
    </row>
    <row r="1219" spans="1:7">
      <c r="A1219" s="24" t="s">
        <v>5516</v>
      </c>
      <c r="B1219" s="24" t="s">
        <v>5657</v>
      </c>
      <c r="C1219" s="24" t="s">
        <v>5658</v>
      </c>
      <c r="D1219" s="151" t="s">
        <v>5748</v>
      </c>
      <c r="E1219" s="151" t="s">
        <v>5749</v>
      </c>
      <c r="F1219" s="151"/>
      <c r="G1219" s="52" t="str">
        <f t="shared" si="21"/>
        <v>70 DA:使役符·肉瘤怪 x3</v>
      </c>
    </row>
    <row r="1220" spans="1:7">
      <c r="A1220" s="24" t="s">
        <v>5516</v>
      </c>
      <c r="B1220" s="24" t="s">
        <v>5657</v>
      </c>
      <c r="C1220" s="24" t="s">
        <v>5658</v>
      </c>
      <c r="D1220" s="151" t="s">
        <v>5750</v>
      </c>
      <c r="E1220" s="151" t="s">
        <v>5751</v>
      </c>
      <c r="F1220" s="151"/>
      <c r="G1220" s="52" t="str">
        <f t="shared" si="21"/>
        <v>9D C0:使役符·夜叉 x2</v>
      </c>
    </row>
    <row r="1221" spans="1:7">
      <c r="A1221" s="24" t="s">
        <v>5516</v>
      </c>
      <c r="B1221" s="24" t="s">
        <v>5657</v>
      </c>
      <c r="C1221" s="24" t="s">
        <v>5658</v>
      </c>
      <c r="D1221" s="151" t="s">
        <v>5752</v>
      </c>
      <c r="E1221" s="151" t="s">
        <v>5753</v>
      </c>
      <c r="F1221" s="151"/>
      <c r="G1221" s="52" t="str">
        <f t="shared" si="21"/>
        <v>9D 2F:使役符·外道兵 x5</v>
      </c>
    </row>
    <row r="1222" spans="1:7">
      <c r="A1222" s="24" t="s">
        <v>5516</v>
      </c>
      <c r="B1222" s="24" t="s">
        <v>5657</v>
      </c>
      <c r="C1222" s="24" t="s">
        <v>5658</v>
      </c>
      <c r="D1222" s="151" t="s">
        <v>5754</v>
      </c>
      <c r="E1222" s="151" t="s">
        <v>5755</v>
      </c>
      <c r="F1222" s="151"/>
      <c r="G1222" s="52" t="str">
        <f t="shared" si="21"/>
        <v>B4 7D:使役符·蛇骨婆 x2</v>
      </c>
    </row>
    <row r="1223" spans="1:7">
      <c r="A1223" s="24" t="s">
        <v>5516</v>
      </c>
      <c r="B1223" s="24" t="s">
        <v>5657</v>
      </c>
      <c r="C1223" s="24" t="s">
        <v>5658</v>
      </c>
      <c r="D1223" s="151" t="s">
        <v>5756</v>
      </c>
      <c r="E1223" s="151" t="s">
        <v>5757</v>
      </c>
      <c r="F1223" s="151"/>
      <c r="G1223" s="52" t="str">
        <f t="shared" si="21"/>
        <v>52 35:使役符·大天狗 x1</v>
      </c>
    </row>
    <row r="1224" spans="1:7">
      <c r="A1224" s="24" t="s">
        <v>5516</v>
      </c>
      <c r="B1224" s="24" t="s">
        <v>5657</v>
      </c>
      <c r="C1224" s="24" t="s">
        <v>5658</v>
      </c>
      <c r="D1224" s="151" t="s">
        <v>5758</v>
      </c>
      <c r="E1224" s="151" t="s">
        <v>5759</v>
      </c>
      <c r="F1224" s="151"/>
      <c r="G1224" s="52" t="str">
        <f t="shared" si="21"/>
        <v>6F 0F:使役符·惧鬼 x2</v>
      </c>
    </row>
    <row r="1225" spans="1:7">
      <c r="A1225" s="24" t="s">
        <v>5516</v>
      </c>
      <c r="B1225" s="24" t="s">
        <v>5657</v>
      </c>
      <c r="C1225" s="24" t="s">
        <v>5658</v>
      </c>
      <c r="D1225" s="151" t="s">
        <v>5760</v>
      </c>
      <c r="E1225" s="151" t="s">
        <v>5761</v>
      </c>
      <c r="F1225" s="151"/>
      <c r="G1225" s="52" t="str">
        <f t="shared" si="21"/>
        <v>04 9C:使役符·茨木童子 x1</v>
      </c>
    </row>
    <row r="1226" spans="1:7">
      <c r="A1226" s="24" t="s">
        <v>5516</v>
      </c>
      <c r="B1226" s="24" t="s">
        <v>5657</v>
      </c>
      <c r="C1226" s="24" t="s">
        <v>5658</v>
      </c>
      <c r="D1226" s="151" t="s">
        <v>5762</v>
      </c>
      <c r="E1226" s="151" t="s">
        <v>5763</v>
      </c>
      <c r="F1226" s="151"/>
      <c r="G1226" s="52" t="str">
        <f t="shared" si="21"/>
        <v>AB A7:使役符·涂佛 x2</v>
      </c>
    </row>
    <row r="1227" spans="1:7">
      <c r="A1227" s="24" t="s">
        <v>5516</v>
      </c>
      <c r="B1227" s="24" t="s">
        <v>5657</v>
      </c>
      <c r="C1227" s="24" t="s">
        <v>5658</v>
      </c>
      <c r="D1227" s="151" t="s">
        <v>5764</v>
      </c>
      <c r="E1227" s="151" t="s">
        <v>5765</v>
      </c>
      <c r="F1227" s="151"/>
      <c r="G1227" s="52" t="str">
        <f t="shared" si="21"/>
        <v>EA C8:使役符·傲岸鬼 x1</v>
      </c>
    </row>
    <row r="1228" spans="1:7">
      <c r="A1228" s="24" t="s">
        <v>5516</v>
      </c>
      <c r="B1228" s="24" t="s">
        <v>5657</v>
      </c>
      <c r="C1228" s="24" t="s">
        <v>5658</v>
      </c>
      <c r="D1228" s="151" t="s">
        <v>5766</v>
      </c>
      <c r="E1228" s="151" t="s">
        <v>5767</v>
      </c>
      <c r="F1228" s="151"/>
      <c r="G1228" s="52" t="str">
        <f t="shared" si="21"/>
        <v>F4 25:使役符·冒疾鬼 x1</v>
      </c>
    </row>
    <row r="1229" spans="1:7">
      <c r="A1229" s="24" t="s">
        <v>5516</v>
      </c>
      <c r="B1229" s="24" t="s">
        <v>5657</v>
      </c>
      <c r="C1229" s="24" t="s">
        <v>5658</v>
      </c>
      <c r="D1229" s="151" t="s">
        <v>5768</v>
      </c>
      <c r="E1229" s="151" t="s">
        <v>5769</v>
      </c>
      <c r="F1229" s="151"/>
      <c r="G1229" s="52" t="str">
        <f t="shared" si="21"/>
        <v>71 C6:使役符·执心鬼 x1</v>
      </c>
    </row>
    <row r="1230" spans="1:7">
      <c r="A1230" s="24" t="s">
        <v>5516</v>
      </c>
      <c r="B1230" s="24" t="s">
        <v>5657</v>
      </c>
      <c r="C1230" s="24" t="s">
        <v>5658</v>
      </c>
      <c r="D1230" s="151" t="s">
        <v>5770</v>
      </c>
      <c r="E1230" s="151" t="s">
        <v>5771</v>
      </c>
      <c r="F1230" s="151"/>
      <c r="G1230" s="52" t="str">
        <f t="shared" si="21"/>
        <v>A7 EA:使役符·马头鬼 x2</v>
      </c>
    </row>
    <row r="1231" spans="1:7">
      <c r="A1231" s="24" t="s">
        <v>5516</v>
      </c>
      <c r="B1231" s="24" t="s">
        <v>5657</v>
      </c>
      <c r="C1231" s="24" t="s">
        <v>5658</v>
      </c>
      <c r="D1231" s="151" t="s">
        <v>5772</v>
      </c>
      <c r="E1231" s="151" t="s">
        <v>5773</v>
      </c>
      <c r="F1231" s="151"/>
      <c r="G1231" s="52" t="str">
        <f t="shared" si="21"/>
        <v>B8 4A:使役符·牛头鬼 x2</v>
      </c>
    </row>
    <row r="1232" spans="1:7">
      <c r="A1232" s="24" t="s">
        <v>5516</v>
      </c>
      <c r="B1232" s="24" t="s">
        <v>5657</v>
      </c>
      <c r="C1232" s="24" t="s">
        <v>5658</v>
      </c>
      <c r="D1232" s="151" t="s">
        <v>5774</v>
      </c>
      <c r="E1232" s="151" t="s">
        <v>5775</v>
      </c>
      <c r="F1232" s="151"/>
      <c r="G1232" s="52" t="str">
        <f t="shared" si="21"/>
        <v>69 16:使役符·镰鼬 x2</v>
      </c>
    </row>
    <row r="1233" spans="1:7">
      <c r="A1233" s="24" t="s">
        <v>5516</v>
      </c>
      <c r="B1233" s="24" t="s">
        <v>5657</v>
      </c>
      <c r="C1233" s="24" t="s">
        <v>5658</v>
      </c>
      <c r="D1233" s="151" t="s">
        <v>5776</v>
      </c>
      <c r="E1233" s="151" t="s">
        <v>5777</v>
      </c>
      <c r="F1233" s="151"/>
      <c r="G1233" s="52" t="str">
        <f t="shared" si="21"/>
        <v>3D E6:使役符·飞缘魔 x2</v>
      </c>
    </row>
    <row r="1234" spans="1:7">
      <c r="A1234" s="24" t="s">
        <v>5516</v>
      </c>
      <c r="B1234" s="24" t="s">
        <v>5657</v>
      </c>
      <c r="C1234" s="24" t="s">
        <v>5658</v>
      </c>
      <c r="D1234" s="151" t="s">
        <v>5778</v>
      </c>
      <c r="E1234" s="151" t="s">
        <v>5779</v>
      </c>
      <c r="F1234" s="151"/>
      <c r="G1234" s="52" t="str">
        <f t="shared" si="21"/>
        <v>D6 97:使役符·烟烟罗 x2</v>
      </c>
    </row>
    <row r="1235" spans="1:7">
      <c r="A1235" s="24" t="s">
        <v>5516</v>
      </c>
      <c r="B1235" s="24" t="s">
        <v>5657</v>
      </c>
      <c r="C1235" s="24" t="s">
        <v>5658</v>
      </c>
      <c r="D1235" s="151" t="s">
        <v>5780</v>
      </c>
      <c r="E1235" s="151" t="s">
        <v>5781</v>
      </c>
      <c r="F1235" s="151"/>
      <c r="G1235" s="52" t="str">
        <f t="shared" si="21"/>
        <v>E3 6E:使役符·两面宿傩 x1</v>
      </c>
    </row>
    <row r="1236" spans="1:7">
      <c r="A1236" s="24" t="s">
        <v>5516</v>
      </c>
      <c r="B1236" s="24" t="s">
        <v>5657</v>
      </c>
      <c r="C1236" s="24" t="s">
        <v>5658</v>
      </c>
      <c r="D1236" s="151" t="s">
        <v>5782</v>
      </c>
      <c r="E1236" s="151" t="s">
        <v>5783</v>
      </c>
      <c r="F1236" s="151"/>
      <c r="G1236" s="52" t="str">
        <f t="shared" si="21"/>
        <v>98 41:使役符·女郎蜘蛛 x3</v>
      </c>
    </row>
    <row r="1237" spans="1:7">
      <c r="A1237" s="24" t="s">
        <v>5516</v>
      </c>
      <c r="B1237" s="24" t="s">
        <v>5657</v>
      </c>
      <c r="C1237" s="24" t="s">
        <v>5658</v>
      </c>
      <c r="D1237" s="151" t="s">
        <v>5784</v>
      </c>
      <c r="E1237" s="151" t="s">
        <v>5785</v>
      </c>
      <c r="F1237" s="151"/>
      <c r="G1237" s="52" t="str">
        <f t="shared" si="21"/>
        <v>0E 84:使役符·火车 x2</v>
      </c>
    </row>
    <row r="1238" spans="1:7">
      <c r="A1238" s="24" t="s">
        <v>5516</v>
      </c>
      <c r="B1238" s="24" t="s">
        <v>5657</v>
      </c>
      <c r="C1238" s="24" t="s">
        <v>5658</v>
      </c>
      <c r="D1238" s="151" t="s">
        <v>5786</v>
      </c>
      <c r="E1238" s="151" t="s">
        <v>5787</v>
      </c>
      <c r="F1238" s="151"/>
      <c r="G1238" s="52" t="str">
        <f t="shared" si="21"/>
        <v>DF 2D:使役符·阴摩罗鬼 x2</v>
      </c>
    </row>
    <row r="1239" spans="1:7">
      <c r="A1239" s="24" t="s">
        <v>5516</v>
      </c>
      <c r="B1239" s="24" t="s">
        <v>5657</v>
      </c>
      <c r="C1239" s="24" t="s">
        <v>5658</v>
      </c>
      <c r="D1239" s="151" t="s">
        <v>5788</v>
      </c>
      <c r="E1239" s="151" t="s">
        <v>5789</v>
      </c>
      <c r="F1239" s="151"/>
      <c r="G1239" s="52" t="str">
        <f t="shared" si="21"/>
        <v>96 63:使役符·怨灵鬼 x1</v>
      </c>
    </row>
    <row r="1240" spans="1:7">
      <c r="A1240" s="24" t="s">
        <v>5516</v>
      </c>
      <c r="B1240" s="24" t="s">
        <v>5657</v>
      </c>
      <c r="C1240" s="24" t="s">
        <v>5658</v>
      </c>
      <c r="D1240" s="151" t="s">
        <v>5790</v>
      </c>
      <c r="E1240" s="151" t="s">
        <v>5791</v>
      </c>
      <c r="F1240" s="151"/>
      <c r="G1240" s="52" t="str">
        <f t="shared" si="21"/>
        <v>DC BB:使役符·血刀修罗 x1</v>
      </c>
    </row>
    <row r="1241" spans="1:7">
      <c r="A1241" s="24" t="s">
        <v>5516</v>
      </c>
      <c r="B1241" s="24" t="s">
        <v>5657</v>
      </c>
      <c r="C1241" s="24" t="s">
        <v>5658</v>
      </c>
      <c r="D1241" s="151" t="s">
        <v>5792</v>
      </c>
      <c r="E1241" s="151" t="s">
        <v>5793</v>
      </c>
      <c r="F1241" s="151"/>
      <c r="G1241" s="52" t="str">
        <f t="shared" si="21"/>
        <v>98 AF:使役符·比留呼 x1</v>
      </c>
    </row>
    <row r="1242" spans="1:7">
      <c r="A1242" s="24" t="s">
        <v>5516</v>
      </c>
      <c r="B1242" s="24" t="s">
        <v>5657</v>
      </c>
      <c r="C1242" s="24" t="s">
        <v>5658</v>
      </c>
      <c r="D1242" s="151" t="s">
        <v>5794</v>
      </c>
      <c r="E1242" s="151" t="s">
        <v>5795</v>
      </c>
      <c r="F1242" s="151"/>
      <c r="G1242" s="52" t="str">
        <f t="shared" si="21"/>
        <v>C5 1E:使役符·河童 x5</v>
      </c>
    </row>
    <row r="1243" spans="1:7">
      <c r="A1243" s="24" t="s">
        <v>5516</v>
      </c>
      <c r="B1243" s="24" t="s">
        <v>5657</v>
      </c>
      <c r="C1243" s="24" t="s">
        <v>5658</v>
      </c>
      <c r="D1243" s="151" t="s">
        <v>5796</v>
      </c>
      <c r="E1243" s="151" t="s">
        <v>5797</v>
      </c>
      <c r="F1243" s="151"/>
      <c r="G1243" s="52" t="str">
        <f t="shared" si="21"/>
        <v>9E A9:使役符·赤河童 x4</v>
      </c>
    </row>
    <row r="1244" spans="1:7">
      <c r="A1244" s="24" t="s">
        <v>5516</v>
      </c>
      <c r="B1244" s="24" t="s">
        <v>5657</v>
      </c>
      <c r="C1244" s="24" t="s">
        <v>5658</v>
      </c>
      <c r="D1244" s="151" t="s">
        <v>5798</v>
      </c>
      <c r="E1244" s="151" t="s">
        <v>5799</v>
      </c>
      <c r="F1244" s="151"/>
      <c r="G1244" s="52" t="str">
        <f t="shared" si="21"/>
        <v>5E 4A:使役符·琵琶牧牧 x4</v>
      </c>
    </row>
    <row r="1245" spans="1:7">
      <c r="A1245" s="24" t="s">
        <v>5516</v>
      </c>
      <c r="B1245" s="24" t="s">
        <v>5657</v>
      </c>
      <c r="C1245" s="24" t="s">
        <v>5658</v>
      </c>
      <c r="D1245" s="151" t="s">
        <v>5800</v>
      </c>
      <c r="E1245" s="151" t="s">
        <v>5801</v>
      </c>
      <c r="F1245" s="151"/>
      <c r="G1245" s="52" t="str">
        <f t="shared" si="21"/>
        <v>93 A7:使役符·泥墙 x3</v>
      </c>
    </row>
    <row r="1246" spans="1:7">
      <c r="A1246" s="24" t="s">
        <v>5516</v>
      </c>
      <c r="B1246" s="24" t="s">
        <v>5657</v>
      </c>
      <c r="C1246" s="24" t="s">
        <v>5658</v>
      </c>
      <c r="D1246" s="151" t="s">
        <v>5802</v>
      </c>
      <c r="E1246" s="151" t="s">
        <v>5803</v>
      </c>
      <c r="F1246" s="151"/>
      <c r="G1246" s="52" t="str">
        <f t="shared" si="21"/>
        <v>A4 43:使役符·貉 x3</v>
      </c>
    </row>
    <row r="1247" spans="1:7">
      <c r="A1247" s="24" t="s">
        <v>5516</v>
      </c>
      <c r="B1247" s="24" t="s">
        <v>5657</v>
      </c>
      <c r="C1247" s="24" t="s">
        <v>5658</v>
      </c>
      <c r="D1247" s="151" t="s">
        <v>5804</v>
      </c>
      <c r="E1247" s="151" t="s">
        <v>5805</v>
      </c>
      <c r="F1247" s="151"/>
      <c r="G1247" s="52" t="str">
        <f t="shared" si="21"/>
        <v>30 F9:使役符·木灵 x2</v>
      </c>
    </row>
    <row r="1248" spans="1:7">
      <c r="A1248" s="24" t="s">
        <v>5516</v>
      </c>
      <c r="B1248" s="24" t="s">
        <v>5657</v>
      </c>
      <c r="C1248" s="24" t="s">
        <v>5658</v>
      </c>
      <c r="D1248" s="151" t="s">
        <v>5806</v>
      </c>
      <c r="E1248" s="151" t="s">
        <v>5807</v>
      </c>
      <c r="F1248" s="151"/>
      <c r="G1248" s="52" t="str">
        <f t="shared" si="21"/>
        <v>3A 3A:使役符·魑魅 x6</v>
      </c>
    </row>
    <row r="1249" spans="1:7">
      <c r="A1249" s="24" t="s">
        <v>5516</v>
      </c>
      <c r="B1249" s="24" t="s">
        <v>5657</v>
      </c>
      <c r="C1249" s="24" t="s">
        <v>5658</v>
      </c>
      <c r="D1249" s="151" t="s">
        <v>5808</v>
      </c>
      <c r="E1249" s="151" t="s">
        <v>5809</v>
      </c>
      <c r="F1249" s="151"/>
      <c r="G1249" s="52" t="str">
        <f t="shared" si="21"/>
        <v>9C AA:使役符·善擦 x4</v>
      </c>
    </row>
    <row r="1250" spans="1:7">
      <c r="A1250" s="24" t="s">
        <v>5516</v>
      </c>
      <c r="B1250" s="24" t="s">
        <v>5657</v>
      </c>
      <c r="C1250" s="24" t="s">
        <v>5658</v>
      </c>
      <c r="D1250" s="151" t="s">
        <v>5810</v>
      </c>
      <c r="E1250" s="151" t="s">
        <v>5811</v>
      </c>
      <c r="F1250" s="151"/>
      <c r="G1250" s="52" t="str">
        <f t="shared" si="21"/>
        <v>8C 33:使役符·千千古 x6</v>
      </c>
    </row>
    <row r="1251" spans="1:7">
      <c r="A1251" s="24" t="s">
        <v>5516</v>
      </c>
      <c r="B1251" s="24" t="s">
        <v>5657</v>
      </c>
      <c r="C1251" s="24" t="s">
        <v>5658</v>
      </c>
      <c r="D1251" s="151" t="s">
        <v>5812</v>
      </c>
      <c r="E1251" s="151" t="s">
        <v>5813</v>
      </c>
      <c r="F1251" s="151"/>
      <c r="G1251" s="52" t="str">
        <f t="shared" si="21"/>
        <v>17 13:使役符·大太法师 x2</v>
      </c>
    </row>
    <row r="1252" spans="1:7">
      <c r="A1252" s="24" t="s">
        <v>5516</v>
      </c>
      <c r="B1252" s="24" t="s">
        <v>5657</v>
      </c>
      <c r="C1252" s="24" t="s">
        <v>5658</v>
      </c>
      <c r="D1252" s="151" t="s">
        <v>5814</v>
      </c>
      <c r="E1252" s="151" t="s">
        <v>5815</v>
      </c>
      <c r="F1252" s="151"/>
      <c r="G1252" s="52" t="str">
        <f t="shared" si="21"/>
        <v>1E 87:使役符・蛤蟆附身 x4</v>
      </c>
    </row>
    <row r="1253" spans="1:7">
      <c r="A1253" s="24" t="s">
        <v>5516</v>
      </c>
      <c r="B1253" s="24" t="s">
        <v>5657</v>
      </c>
      <c r="C1253" s="24" t="s">
        <v>5658</v>
      </c>
      <c r="D1253" s="151" t="s">
        <v>5816</v>
      </c>
      <c r="E1253" s="151" t="s">
        <v>5817</v>
      </c>
      <c r="F1253" s="151"/>
      <c r="G1253" s="52" t="str">
        <f t="shared" si="21"/>
        <v>A6 46:使役符・铁鼠 x4</v>
      </c>
    </row>
    <row r="1254" spans="1:7">
      <c r="A1254" s="24" t="s">
        <v>5516</v>
      </c>
      <c r="B1254" s="24" t="s">
        <v>5657</v>
      </c>
      <c r="C1254" s="24" t="s">
        <v>5658</v>
      </c>
      <c r="D1254" s="151" t="s">
        <v>5818</v>
      </c>
      <c r="E1254" s="151" t="s">
        <v>5819</v>
      </c>
      <c r="F1254" s="151"/>
      <c r="G1254" s="52" t="str">
        <f t="shared" si="21"/>
        <v>DE 13:使役符・垢尝 x3</v>
      </c>
    </row>
    <row r="1255" spans="1:7">
      <c r="A1255" s="24" t="s">
        <v>5516</v>
      </c>
      <c r="B1255" s="24" t="s">
        <v>5657</v>
      </c>
      <c r="C1255" s="24" t="s">
        <v>5658</v>
      </c>
      <c r="D1255" s="151" t="s">
        <v>5820</v>
      </c>
      <c r="E1255" s="151" t="s">
        <v>5821</v>
      </c>
      <c r="F1255" s="151"/>
      <c r="G1255" s="52" t="str">
        <f t="shared" si="21"/>
        <v>72 D5:使役符・一目连 x3</v>
      </c>
    </row>
    <row r="1256" spans="1:7">
      <c r="A1256" s="24" t="s">
        <v>5516</v>
      </c>
      <c r="B1256" s="24" t="s">
        <v>5657</v>
      </c>
      <c r="C1256" s="24" t="s">
        <v>5658</v>
      </c>
      <c r="D1256" s="151" t="s">
        <v>5822</v>
      </c>
      <c r="E1256" s="151" t="s">
        <v>5823</v>
      </c>
      <c r="F1256" s="151"/>
      <c r="G1256" s="52" t="str">
        <f t="shared" si="21"/>
        <v>AF 89:使役符・大蛤蟆 x2</v>
      </c>
    </row>
    <row r="1257" spans="1:7">
      <c r="A1257" s="24" t="s">
        <v>5516</v>
      </c>
      <c r="B1257" s="24" t="s">
        <v>5657</v>
      </c>
      <c r="C1257" s="24" t="s">
        <v>5824</v>
      </c>
      <c r="D1257" s="151" t="s">
        <v>5825</v>
      </c>
      <c r="E1257" s="151" t="s">
        <v>5826</v>
      </c>
      <c r="F1257" s="151"/>
      <c r="G1257" s="52" t="str">
        <f t="shared" si="21"/>
        <v>76 40:禁火符 x7</v>
      </c>
    </row>
    <row r="1258" spans="1:7">
      <c r="A1258" s="24" t="s">
        <v>5516</v>
      </c>
      <c r="B1258" s="24" t="s">
        <v>5657</v>
      </c>
      <c r="C1258" s="24" t="s">
        <v>5824</v>
      </c>
      <c r="D1258" s="151" t="s">
        <v>5827</v>
      </c>
      <c r="E1258" s="151" t="s">
        <v>5828</v>
      </c>
      <c r="F1258" s="151"/>
      <c r="G1258" s="52" t="str">
        <f t="shared" si="21"/>
        <v>03 ED:克金符 x5</v>
      </c>
    </row>
    <row r="1259" spans="1:7">
      <c r="A1259" s="24" t="s">
        <v>5516</v>
      </c>
      <c r="B1259" s="24" t="s">
        <v>5657</v>
      </c>
      <c r="C1259" s="24" t="s">
        <v>5824</v>
      </c>
      <c r="D1259" s="151" t="s">
        <v>5829</v>
      </c>
      <c r="E1259" s="151" t="s">
        <v>5830</v>
      </c>
      <c r="F1259" s="151"/>
      <c r="G1259" s="52" t="str">
        <f t="shared" ref="G1259:G1322" si="22">D1259&amp;":"&amp;E1259</f>
        <v>30 08:禁雷符 x7</v>
      </c>
    </row>
    <row r="1260" spans="1:7">
      <c r="A1260" s="24" t="s">
        <v>5516</v>
      </c>
      <c r="B1260" s="24" t="s">
        <v>5657</v>
      </c>
      <c r="C1260" s="24" t="s">
        <v>5824</v>
      </c>
      <c r="D1260" s="151" t="s">
        <v>5831</v>
      </c>
      <c r="E1260" s="151" t="s">
        <v>5832</v>
      </c>
      <c r="F1260" s="151"/>
      <c r="G1260" s="52" t="str">
        <f t="shared" si="22"/>
        <v>A1 34:造弹符 x5</v>
      </c>
    </row>
    <row r="1261" spans="1:7">
      <c r="A1261" s="24" t="s">
        <v>5516</v>
      </c>
      <c r="B1261" s="24" t="s">
        <v>5657</v>
      </c>
      <c r="C1261" s="24" t="s">
        <v>5824</v>
      </c>
      <c r="D1261" s="151" t="s">
        <v>5833</v>
      </c>
      <c r="E1261" s="151" t="s">
        <v>5834</v>
      </c>
      <c r="F1261" s="151"/>
      <c r="G1261" s="52" t="str">
        <f t="shared" si="22"/>
        <v>7F 7A:从雷符 x4</v>
      </c>
    </row>
    <row r="1262" spans="1:7">
      <c r="A1262" s="24" t="s">
        <v>5516</v>
      </c>
      <c r="B1262" s="24" t="s">
        <v>5657</v>
      </c>
      <c r="C1262" s="24" t="s">
        <v>5824</v>
      </c>
      <c r="D1262" s="151" t="s">
        <v>5835</v>
      </c>
      <c r="E1262" s="151" t="s">
        <v>5836</v>
      </c>
      <c r="F1262" s="151"/>
      <c r="G1262" s="52" t="str">
        <f t="shared" si="22"/>
        <v>D7 07:迅足符 x4</v>
      </c>
    </row>
    <row r="1263" spans="1:7">
      <c r="A1263" s="24" t="s">
        <v>5516</v>
      </c>
      <c r="B1263" s="24" t="s">
        <v>5657</v>
      </c>
      <c r="C1263" s="24" t="s">
        <v>5824</v>
      </c>
      <c r="D1263" s="151" t="s">
        <v>5837</v>
      </c>
      <c r="E1263" s="151" t="s">
        <v>5838</v>
      </c>
      <c r="F1263" s="151"/>
      <c r="G1263" s="52" t="str">
        <f t="shared" si="22"/>
        <v>19 F0:吸神符 x5</v>
      </c>
    </row>
    <row r="1264" spans="1:7">
      <c r="A1264" s="24" t="s">
        <v>5516</v>
      </c>
      <c r="B1264" s="24" t="s">
        <v>5657</v>
      </c>
      <c r="C1264" s="24" t="s">
        <v>5824</v>
      </c>
      <c r="D1264" s="151" t="s">
        <v>5839</v>
      </c>
      <c r="E1264" s="151" t="s">
        <v>5840</v>
      </c>
      <c r="F1264" s="151"/>
      <c r="G1264" s="52" t="str">
        <f t="shared" si="22"/>
        <v>63 33:迟钝符 x5</v>
      </c>
    </row>
    <row r="1265" spans="1:7">
      <c r="A1265" s="24" t="s">
        <v>5516</v>
      </c>
      <c r="B1265" s="24" t="s">
        <v>5657</v>
      </c>
      <c r="C1265" s="24" t="s">
        <v>5824</v>
      </c>
      <c r="D1265" s="151" t="s">
        <v>5841</v>
      </c>
      <c r="E1265" s="151" t="s">
        <v>5842</v>
      </c>
      <c r="F1265" s="151"/>
      <c r="G1265" s="52" t="str">
        <f t="shared" si="22"/>
        <v>FB A5:封力符 x6</v>
      </c>
    </row>
    <row r="1266" spans="1:7">
      <c r="A1266" s="24" t="s">
        <v>5516</v>
      </c>
      <c r="B1266" s="24" t="s">
        <v>5657</v>
      </c>
      <c r="C1266" s="24" t="s">
        <v>5824</v>
      </c>
      <c r="D1266" s="151" t="s">
        <v>5843</v>
      </c>
      <c r="E1266" s="151" t="s">
        <v>5844</v>
      </c>
      <c r="F1266" s="151"/>
      <c r="G1266" s="52" t="str">
        <f t="shared" si="22"/>
        <v>03 6F:扫毒符 x7</v>
      </c>
    </row>
    <row r="1267" spans="1:7">
      <c r="A1267" s="24" t="s">
        <v>5516</v>
      </c>
      <c r="B1267" s="24" t="s">
        <v>5657</v>
      </c>
      <c r="C1267" s="24" t="s">
        <v>5824</v>
      </c>
      <c r="D1267" s="151" t="s">
        <v>5845</v>
      </c>
      <c r="E1267" s="151" t="s">
        <v>5846</v>
      </c>
      <c r="F1267" s="151"/>
      <c r="G1267" s="52" t="str">
        <f t="shared" si="22"/>
        <v>0A 6E:漏活符 x6</v>
      </c>
    </row>
    <row r="1268" spans="1:7">
      <c r="A1268" s="24" t="s">
        <v>5516</v>
      </c>
      <c r="B1268" s="24" t="s">
        <v>5657</v>
      </c>
      <c r="C1268" s="24" t="s">
        <v>5824</v>
      </c>
      <c r="D1268" s="151" t="s">
        <v>5847</v>
      </c>
      <c r="E1268" s="151" t="s">
        <v>5848</v>
      </c>
      <c r="F1268" s="151"/>
      <c r="G1268" s="52" t="str">
        <f t="shared" si="22"/>
        <v>E8 B3:雷弹符 x12</v>
      </c>
    </row>
    <row r="1269" spans="1:7">
      <c r="A1269" s="24" t="s">
        <v>5516</v>
      </c>
      <c r="B1269" s="24" t="s">
        <v>5657</v>
      </c>
      <c r="C1269" s="24" t="s">
        <v>5824</v>
      </c>
      <c r="D1269" s="151" t="s">
        <v>5849</v>
      </c>
      <c r="E1269" s="151" t="s">
        <v>5850</v>
      </c>
      <c r="F1269" s="151"/>
      <c r="G1269" s="52" t="str">
        <f t="shared" si="22"/>
        <v>8A 2C:舍身符 x2</v>
      </c>
    </row>
    <row r="1270" spans="1:7">
      <c r="A1270" s="24" t="s">
        <v>5516</v>
      </c>
      <c r="B1270" s="24" t="s">
        <v>5657</v>
      </c>
      <c r="C1270" s="24" t="s">
        <v>5824</v>
      </c>
      <c r="D1270" s="151" t="s">
        <v>5851</v>
      </c>
      <c r="E1270" s="151" t="s">
        <v>5852</v>
      </c>
      <c r="F1270" s="151"/>
      <c r="G1270" s="52" t="str">
        <f t="shared" si="22"/>
        <v>8E 5C:斩冲符 x5</v>
      </c>
    </row>
    <row r="1271" spans="1:7">
      <c r="A1271" s="24" t="s">
        <v>5516</v>
      </c>
      <c r="B1271" s="24" t="s">
        <v>5657</v>
      </c>
      <c r="C1271" s="24" t="s">
        <v>5824</v>
      </c>
      <c r="D1271" s="151" t="s">
        <v>5853</v>
      </c>
      <c r="E1271" s="151" t="s">
        <v>5854</v>
      </c>
      <c r="F1271" s="151"/>
      <c r="G1271" s="52" t="str">
        <f t="shared" si="22"/>
        <v>AA 89:夺灵符 x5</v>
      </c>
    </row>
    <row r="1272" spans="1:7">
      <c r="A1272" s="24" t="s">
        <v>5516</v>
      </c>
      <c r="B1272" s="24" t="s">
        <v>5657</v>
      </c>
      <c r="C1272" s="24" t="s">
        <v>5824</v>
      </c>
      <c r="D1272" s="151" t="s">
        <v>5855</v>
      </c>
      <c r="E1272" s="151" t="s">
        <v>5856</v>
      </c>
      <c r="F1272" s="151"/>
      <c r="G1272" s="52" t="str">
        <f t="shared" si="22"/>
        <v>2F 76:隐密符 x8</v>
      </c>
    </row>
    <row r="1273" spans="1:7">
      <c r="A1273" s="24" t="s">
        <v>5516</v>
      </c>
      <c r="B1273" s="24" t="s">
        <v>5657</v>
      </c>
      <c r="C1273" s="24" t="s">
        <v>5824</v>
      </c>
      <c r="D1273" s="151" t="s">
        <v>5857</v>
      </c>
      <c r="E1273" s="151" t="s">
        <v>5858</v>
      </c>
      <c r="F1273" s="151"/>
      <c r="G1273" s="52" t="str">
        <f t="shared" si="22"/>
        <v>95 C3:狙击符 x4</v>
      </c>
    </row>
    <row r="1274" spans="1:7">
      <c r="A1274" s="24" t="s">
        <v>5516</v>
      </c>
      <c r="B1274" s="24" t="s">
        <v>5657</v>
      </c>
      <c r="C1274" s="24" t="s">
        <v>5824</v>
      </c>
      <c r="D1274" s="151" t="s">
        <v>5859</v>
      </c>
      <c r="E1274" s="151" t="s">
        <v>5860</v>
      </c>
      <c r="F1274" s="151"/>
      <c r="G1274" s="52" t="str">
        <f t="shared" si="22"/>
        <v>92 8F:禁水符 x7</v>
      </c>
    </row>
    <row r="1275" spans="1:7">
      <c r="A1275" s="24" t="s">
        <v>5516</v>
      </c>
      <c r="B1275" s="24" t="s">
        <v>5657</v>
      </c>
      <c r="C1275" s="24" t="s">
        <v>5824</v>
      </c>
      <c r="D1275" s="151" t="s">
        <v>5861</v>
      </c>
      <c r="E1275" s="151" t="s">
        <v>5862</v>
      </c>
      <c r="F1275" s="151"/>
      <c r="G1275" s="52" t="str">
        <f t="shared" si="22"/>
        <v>27 18:聚财符 x4</v>
      </c>
    </row>
    <row r="1276" spans="1:7">
      <c r="A1276" s="24" t="s">
        <v>5516</v>
      </c>
      <c r="B1276" s="24" t="s">
        <v>5657</v>
      </c>
      <c r="C1276" s="24" t="s">
        <v>5824</v>
      </c>
      <c r="D1276" s="151" t="s">
        <v>5863</v>
      </c>
      <c r="E1276" s="151" t="s">
        <v>5864</v>
      </c>
      <c r="F1276" s="151"/>
      <c r="G1276" s="52" t="str">
        <f t="shared" si="22"/>
        <v>10 D8:召火符 x5</v>
      </c>
    </row>
    <row r="1277" spans="1:7">
      <c r="A1277" s="24" t="s">
        <v>5516</v>
      </c>
      <c r="B1277" s="24" t="s">
        <v>5657</v>
      </c>
      <c r="C1277" s="24" t="s">
        <v>5824</v>
      </c>
      <c r="D1277" s="151" t="s">
        <v>5865</v>
      </c>
      <c r="E1277" s="151" t="s">
        <v>5866</v>
      </c>
      <c r="F1277" s="151"/>
      <c r="G1277" s="52" t="str">
        <f t="shared" si="22"/>
        <v>C3 CB:召水符 x5</v>
      </c>
    </row>
    <row r="1278" spans="1:7">
      <c r="A1278" s="24" t="s">
        <v>5516</v>
      </c>
      <c r="B1278" s="24" t="s">
        <v>5657</v>
      </c>
      <c r="C1278" s="24" t="s">
        <v>5824</v>
      </c>
      <c r="D1278" s="151" t="s">
        <v>5867</v>
      </c>
      <c r="E1278" s="151" t="s">
        <v>5868</v>
      </c>
      <c r="F1278" s="151"/>
      <c r="G1278" s="52" t="str">
        <f t="shared" si="22"/>
        <v>50 F4:召雷符 x5</v>
      </c>
    </row>
    <row r="1279" spans="1:7">
      <c r="A1279" s="24" t="s">
        <v>5516</v>
      </c>
      <c r="B1279" s="24" t="s">
        <v>5657</v>
      </c>
      <c r="C1279" s="24" t="s">
        <v>5824</v>
      </c>
      <c r="D1279" s="151" t="s">
        <v>5869</v>
      </c>
      <c r="E1279" s="151" t="s">
        <v>5870</v>
      </c>
      <c r="F1279" s="151"/>
      <c r="G1279" s="52" t="str">
        <f t="shared" si="22"/>
        <v>6A F3:召风符 x5</v>
      </c>
    </row>
    <row r="1280" spans="1:7">
      <c r="A1280" s="24" t="s">
        <v>5516</v>
      </c>
      <c r="B1280" s="24" t="s">
        <v>5657</v>
      </c>
      <c r="C1280" s="24" t="s">
        <v>5824</v>
      </c>
      <c r="D1280" s="151" t="s">
        <v>5871</v>
      </c>
      <c r="E1280" s="151" t="s">
        <v>5872</v>
      </c>
      <c r="F1280" s="151"/>
      <c r="G1280" s="52" t="str">
        <f t="shared" si="22"/>
        <v>3F 4A:风弹符 x12</v>
      </c>
    </row>
    <row r="1281" spans="1:7">
      <c r="A1281" s="24" t="s">
        <v>5516</v>
      </c>
      <c r="B1281" s="24" t="s">
        <v>5657</v>
      </c>
      <c r="C1281" s="24" t="s">
        <v>5824</v>
      </c>
      <c r="D1281" s="151" t="s">
        <v>5873</v>
      </c>
      <c r="E1281" s="151" t="s">
        <v>5874</v>
      </c>
      <c r="F1281" s="151"/>
      <c r="G1281" s="52" t="str">
        <f t="shared" si="22"/>
        <v>EA 3F:火弹符 x12</v>
      </c>
    </row>
    <row r="1282" spans="1:7">
      <c r="A1282" s="24" t="s">
        <v>5516</v>
      </c>
      <c r="B1282" s="24" t="s">
        <v>5657</v>
      </c>
      <c r="C1282" s="24" t="s">
        <v>5824</v>
      </c>
      <c r="D1282" s="151" t="s">
        <v>5875</v>
      </c>
      <c r="E1282" s="151" t="s">
        <v>5876</v>
      </c>
      <c r="F1282" s="151"/>
      <c r="G1282" s="52" t="str">
        <f t="shared" si="22"/>
        <v>38 D1:宿心升华符 x6</v>
      </c>
    </row>
    <row r="1283" spans="1:7">
      <c r="A1283" s="24" t="s">
        <v>5516</v>
      </c>
      <c r="B1283" s="24" t="s">
        <v>5657</v>
      </c>
      <c r="C1283" s="24" t="s">
        <v>5824</v>
      </c>
      <c r="D1283" s="151" t="s">
        <v>5877</v>
      </c>
      <c r="E1283" s="151" t="s">
        <v>5878</v>
      </c>
      <c r="F1283" s="151"/>
      <c r="G1283" s="52" t="str">
        <f t="shared" si="22"/>
        <v>9D 72:刚力符 x5</v>
      </c>
    </row>
    <row r="1284" spans="1:7">
      <c r="A1284" s="24" t="s">
        <v>5516</v>
      </c>
      <c r="B1284" s="24" t="s">
        <v>5657</v>
      </c>
      <c r="C1284" s="24" t="s">
        <v>5824</v>
      </c>
      <c r="D1284" s="151" t="s">
        <v>5879</v>
      </c>
      <c r="E1284" s="151" t="s">
        <v>5880</v>
      </c>
      <c r="F1284" s="151"/>
      <c r="G1284" s="52" t="str">
        <f t="shared" si="22"/>
        <v>2E 30:扫痹符 x7</v>
      </c>
    </row>
    <row r="1285" spans="1:7">
      <c r="A1285" s="24" t="s">
        <v>5516</v>
      </c>
      <c r="B1285" s="24" t="s">
        <v>5657</v>
      </c>
      <c r="C1285" s="24" t="s">
        <v>5824</v>
      </c>
      <c r="D1285" s="151" t="s">
        <v>5881</v>
      </c>
      <c r="E1285" s="151" t="s">
        <v>5882</v>
      </c>
      <c r="F1285" s="151"/>
      <c r="G1285" s="52" t="str">
        <f t="shared" si="22"/>
        <v>89 25:拳力符 x5</v>
      </c>
    </row>
    <row r="1286" spans="1:7">
      <c r="A1286" s="24" t="s">
        <v>5516</v>
      </c>
      <c r="B1286" s="24" t="s">
        <v>5657</v>
      </c>
      <c r="C1286" s="24" t="s">
        <v>5824</v>
      </c>
      <c r="D1286" s="151" t="s">
        <v>5883</v>
      </c>
      <c r="E1286" s="151" t="s">
        <v>5884</v>
      </c>
      <c r="F1286" s="151"/>
      <c r="G1286" s="52" t="str">
        <f t="shared" si="22"/>
        <v>AE A5:粹然符 x4</v>
      </c>
    </row>
    <row r="1287" spans="1:7">
      <c r="A1287" s="24" t="s">
        <v>5516</v>
      </c>
      <c r="B1287" s="24" t="s">
        <v>5657</v>
      </c>
      <c r="C1287" s="24" t="s">
        <v>5824</v>
      </c>
      <c r="D1287" s="151" t="s">
        <v>5885</v>
      </c>
      <c r="E1287" s="151" t="s">
        <v>5886</v>
      </c>
      <c r="F1287" s="151"/>
      <c r="G1287" s="52" t="str">
        <f t="shared" si="22"/>
        <v>3A 0A:风箭符 x8</v>
      </c>
    </row>
    <row r="1288" spans="1:7">
      <c r="A1288" s="24" t="s">
        <v>5516</v>
      </c>
      <c r="B1288" s="24" t="s">
        <v>5657</v>
      </c>
      <c r="C1288" s="24" t="s">
        <v>5824</v>
      </c>
      <c r="D1288" s="151" t="s">
        <v>5887</v>
      </c>
      <c r="E1288" s="151" t="s">
        <v>5888</v>
      </c>
      <c r="F1288" s="151"/>
      <c r="G1288" s="52" t="str">
        <f t="shared" si="22"/>
        <v>61 29:护身符 x4</v>
      </c>
    </row>
    <row r="1289" spans="1:7">
      <c r="A1289" s="24" t="s">
        <v>5516</v>
      </c>
      <c r="B1289" s="24" t="s">
        <v>5657</v>
      </c>
      <c r="C1289" s="24" t="s">
        <v>5824</v>
      </c>
      <c r="D1289" s="151" t="s">
        <v>5889</v>
      </c>
      <c r="E1289" s="151" t="s">
        <v>5890</v>
      </c>
      <c r="F1289" s="151"/>
      <c r="G1289" s="52" t="str">
        <f t="shared" si="22"/>
        <v>48 65:宿心解放符 x6</v>
      </c>
    </row>
    <row r="1290" spans="1:7">
      <c r="A1290" s="24" t="s">
        <v>5516</v>
      </c>
      <c r="B1290" s="24" t="s">
        <v>5657</v>
      </c>
      <c r="C1290" s="24" t="s">
        <v>5824</v>
      </c>
      <c r="D1290" s="151" t="s">
        <v>5891</v>
      </c>
      <c r="E1290" s="151" t="s">
        <v>5892</v>
      </c>
      <c r="F1290" s="151"/>
      <c r="G1290" s="52" t="str">
        <f t="shared" si="22"/>
        <v>AA 9E:昂灵符 x5</v>
      </c>
    </row>
    <row r="1291" spans="1:7">
      <c r="A1291" s="24" t="s">
        <v>5516</v>
      </c>
      <c r="B1291" s="24" t="s">
        <v>5657</v>
      </c>
      <c r="C1291" s="24" t="s">
        <v>5824</v>
      </c>
      <c r="D1291" s="151" t="s">
        <v>5893</v>
      </c>
      <c r="E1291" s="151" t="s">
        <v>5894</v>
      </c>
      <c r="F1291" s="151"/>
      <c r="G1291" s="52" t="str">
        <f t="shared" si="22"/>
        <v>79 EE:火爆符 x8</v>
      </c>
    </row>
    <row r="1292" spans="1:7">
      <c r="A1292" s="24" t="s">
        <v>5516</v>
      </c>
      <c r="B1292" s="24" t="s">
        <v>5657</v>
      </c>
      <c r="C1292" s="24" t="s">
        <v>5824</v>
      </c>
      <c r="D1292" s="151" t="s">
        <v>5895</v>
      </c>
      <c r="E1292" s="151" t="s">
        <v>5896</v>
      </c>
      <c r="F1292" s="151"/>
      <c r="G1292" s="52" t="str">
        <f t="shared" si="22"/>
        <v>9F 0F:水弹符 x12</v>
      </c>
    </row>
    <row r="1293" spans="1:7">
      <c r="A1293" s="24" t="s">
        <v>5516</v>
      </c>
      <c r="B1293" s="24" t="s">
        <v>5657</v>
      </c>
      <c r="C1293" s="24" t="s">
        <v>5824</v>
      </c>
      <c r="D1293" s="151" t="s">
        <v>5897</v>
      </c>
      <c r="E1293" s="151" t="s">
        <v>5898</v>
      </c>
      <c r="F1293" s="151"/>
      <c r="G1293" s="52" t="str">
        <f t="shared" si="22"/>
        <v>E0 31:式神符·水卒 x8</v>
      </c>
    </row>
    <row r="1294" spans="1:7">
      <c r="A1294" s="24" t="s">
        <v>5516</v>
      </c>
      <c r="B1294" s="24" t="s">
        <v>5657</v>
      </c>
      <c r="C1294" s="24" t="s">
        <v>5824</v>
      </c>
      <c r="D1294" s="151" t="s">
        <v>5899</v>
      </c>
      <c r="E1294" s="151" t="s">
        <v>5900</v>
      </c>
      <c r="F1294" s="151"/>
      <c r="G1294" s="52" t="str">
        <f t="shared" si="22"/>
        <v>70 89:禁风符 x7</v>
      </c>
    </row>
    <row r="1295" spans="1:7">
      <c r="A1295" s="24" t="s">
        <v>5516</v>
      </c>
      <c r="B1295" s="24" t="s">
        <v>5657</v>
      </c>
      <c r="C1295" s="24" t="s">
        <v>5824</v>
      </c>
      <c r="D1295" s="151" t="s">
        <v>5901</v>
      </c>
      <c r="E1295" s="151" t="s">
        <v>5902</v>
      </c>
      <c r="F1295" s="151"/>
      <c r="G1295" s="52" t="str">
        <f t="shared" si="22"/>
        <v>47 D2:背水符 x4</v>
      </c>
    </row>
    <row r="1296" spans="1:7">
      <c r="A1296" s="24" t="s">
        <v>5516</v>
      </c>
      <c r="B1296" s="24" t="s">
        <v>5657</v>
      </c>
      <c r="C1296" s="24" t="s">
        <v>5824</v>
      </c>
      <c r="D1296" s="151" t="s">
        <v>5903</v>
      </c>
      <c r="E1296" s="151" t="s">
        <v>5904</v>
      </c>
      <c r="F1296" s="151"/>
      <c r="G1296" s="52" t="str">
        <f t="shared" si="22"/>
        <v>91 2D:养身符 x5</v>
      </c>
    </row>
    <row r="1297" spans="1:7">
      <c r="A1297" s="24" t="s">
        <v>5516</v>
      </c>
      <c r="B1297" s="24" t="s">
        <v>5657</v>
      </c>
      <c r="C1297" s="24" t="s">
        <v>5824</v>
      </c>
      <c r="D1297" s="151" t="s">
        <v>5905</v>
      </c>
      <c r="E1297" s="151" t="s">
        <v>5906</v>
      </c>
      <c r="F1297" s="151"/>
      <c r="G1297" s="52" t="str">
        <f t="shared" si="22"/>
        <v>54 02:水牙符 x8</v>
      </c>
    </row>
    <row r="1298" spans="1:7">
      <c r="A1298" s="24" t="s">
        <v>5516</v>
      </c>
      <c r="B1298" s="24" t="s">
        <v>5657</v>
      </c>
      <c r="C1298" s="24" t="s">
        <v>5824</v>
      </c>
      <c r="D1298" s="151" t="s">
        <v>5907</v>
      </c>
      <c r="E1298" s="151" t="s">
        <v>5908</v>
      </c>
      <c r="F1298" s="151"/>
      <c r="G1298" s="52" t="str">
        <f t="shared" si="22"/>
        <v>09 72:感爆符 x6</v>
      </c>
    </row>
    <row r="1299" spans="1:7">
      <c r="A1299" s="24" t="s">
        <v>5516</v>
      </c>
      <c r="B1299" s="24" t="s">
        <v>5657</v>
      </c>
      <c r="C1299" s="24" t="s">
        <v>5824</v>
      </c>
      <c r="D1299" s="151" t="s">
        <v>5909</v>
      </c>
      <c r="E1299" s="151" t="s">
        <v>5910</v>
      </c>
      <c r="F1299" s="151"/>
      <c r="G1299" s="52" t="str">
        <f t="shared" si="22"/>
        <v>BA BF:从水符 x4</v>
      </c>
    </row>
    <row r="1300" spans="1:7">
      <c r="A1300" s="24" t="s">
        <v>5516</v>
      </c>
      <c r="B1300" s="24" t="s">
        <v>5657</v>
      </c>
      <c r="C1300" s="24" t="s">
        <v>5824</v>
      </c>
      <c r="D1300" s="151" t="s">
        <v>5911</v>
      </c>
      <c r="E1300" s="151" t="s">
        <v>5912</v>
      </c>
      <c r="F1300" s="151"/>
      <c r="G1300" s="52" t="str">
        <f t="shared" si="22"/>
        <v>A2 3C:式神符·风卒 x8</v>
      </c>
    </row>
    <row r="1301" spans="1:7">
      <c r="A1301" s="24" t="s">
        <v>5516</v>
      </c>
      <c r="B1301" s="24" t="s">
        <v>5657</v>
      </c>
      <c r="C1301" s="24" t="s">
        <v>5824</v>
      </c>
      <c r="D1301" s="151" t="s">
        <v>5913</v>
      </c>
      <c r="E1301" s="151" t="s">
        <v>5914</v>
      </c>
      <c r="F1301" s="151"/>
      <c r="G1301" s="52" t="str">
        <f t="shared" si="22"/>
        <v>A6 69:发气符 x10</v>
      </c>
    </row>
    <row r="1302" spans="1:7">
      <c r="A1302" s="24" t="s">
        <v>5516</v>
      </c>
      <c r="B1302" s="24" t="s">
        <v>5657</v>
      </c>
      <c r="C1302" s="24" t="s">
        <v>5824</v>
      </c>
      <c r="D1302" s="151" t="s">
        <v>5915</v>
      </c>
      <c r="E1302" s="151" t="s">
        <v>5916</v>
      </c>
      <c r="F1302" s="151"/>
      <c r="G1302" s="52" t="str">
        <f t="shared" si="22"/>
        <v>ED 75:转移不净的纸人 x4</v>
      </c>
    </row>
    <row r="1303" spans="1:7">
      <c r="A1303" s="24" t="s">
        <v>5516</v>
      </c>
      <c r="B1303" s="24" t="s">
        <v>5657</v>
      </c>
      <c r="C1303" s="24" t="s">
        <v>5824</v>
      </c>
      <c r="D1303" s="151" t="s">
        <v>5917</v>
      </c>
      <c r="E1303" s="151" t="s">
        <v>5918</v>
      </c>
      <c r="F1303" s="151"/>
      <c r="G1303" s="52" t="str">
        <f t="shared" si="22"/>
        <v>E1 EA:狱水符 x3</v>
      </c>
    </row>
    <row r="1304" spans="1:7">
      <c r="A1304" s="24" t="s">
        <v>5516</v>
      </c>
      <c r="B1304" s="24" t="s">
        <v>5657</v>
      </c>
      <c r="C1304" s="24" t="s">
        <v>5824</v>
      </c>
      <c r="D1304" s="151" t="s">
        <v>5919</v>
      </c>
      <c r="E1304" s="151" t="s">
        <v>5920</v>
      </c>
      <c r="F1304" s="151"/>
      <c r="G1304" s="52" t="str">
        <f t="shared" si="22"/>
        <v>32 61:狱炎符 x3</v>
      </c>
    </row>
    <row r="1305" spans="1:7">
      <c r="A1305" s="24" t="s">
        <v>5516</v>
      </c>
      <c r="B1305" s="24" t="s">
        <v>5657</v>
      </c>
      <c r="C1305" s="24" t="s">
        <v>5824</v>
      </c>
      <c r="D1305" s="151" t="s">
        <v>5921</v>
      </c>
      <c r="E1305" s="151" t="s">
        <v>5922</v>
      </c>
      <c r="F1305" s="151"/>
      <c r="G1305" s="52" t="str">
        <f t="shared" si="22"/>
        <v>15 C9:狱风符 x3</v>
      </c>
    </row>
    <row r="1306" spans="1:7">
      <c r="A1306" s="24" t="s">
        <v>5516</v>
      </c>
      <c r="B1306" s="24" t="s">
        <v>5657</v>
      </c>
      <c r="C1306" s="24" t="s">
        <v>5824</v>
      </c>
      <c r="D1306" s="151" t="s">
        <v>5923</v>
      </c>
      <c r="E1306" s="151" t="s">
        <v>5924</v>
      </c>
      <c r="F1306" s="151"/>
      <c r="G1306" s="52" t="str">
        <f t="shared" si="22"/>
        <v>CC 8C:封气符 x3</v>
      </c>
    </row>
    <row r="1307" spans="1:7">
      <c r="A1307" s="24" t="s">
        <v>5516</v>
      </c>
      <c r="B1307" s="24" t="s">
        <v>5657</v>
      </c>
      <c r="C1307" s="24" t="s">
        <v>5824</v>
      </c>
      <c r="D1307" s="151" t="s">
        <v>5925</v>
      </c>
      <c r="E1307" s="151" t="s">
        <v>5926</v>
      </c>
      <c r="F1307" s="151"/>
      <c r="G1307" s="52" t="str">
        <f t="shared" si="22"/>
        <v>59 78:波动符 x5</v>
      </c>
    </row>
    <row r="1308" spans="1:7">
      <c r="A1308" s="24" t="s">
        <v>5516</v>
      </c>
      <c r="B1308" s="24" t="s">
        <v>5657</v>
      </c>
      <c r="C1308" s="24" t="s">
        <v>5824</v>
      </c>
      <c r="D1308" s="151" t="s">
        <v>5927</v>
      </c>
      <c r="E1308" s="151" t="s">
        <v>5928</v>
      </c>
      <c r="F1308" s="151"/>
      <c r="G1308" s="52" t="str">
        <f t="shared" si="22"/>
        <v>CF 13:从风符 x4</v>
      </c>
    </row>
    <row r="1309" spans="1:7">
      <c r="A1309" s="24" t="s">
        <v>5516</v>
      </c>
      <c r="B1309" s="24" t="s">
        <v>5657</v>
      </c>
      <c r="C1309" s="24" t="s">
        <v>5824</v>
      </c>
      <c r="D1309" s="151" t="s">
        <v>5929</v>
      </c>
      <c r="E1309" s="151" t="s">
        <v>5930</v>
      </c>
      <c r="F1309" s="151"/>
      <c r="G1309" s="52" t="str">
        <f t="shared" si="22"/>
        <v>7F 8E:活源符 x5</v>
      </c>
    </row>
    <row r="1310" spans="1:7">
      <c r="A1310" s="24" t="s">
        <v>5516</v>
      </c>
      <c r="B1310" s="24" t="s">
        <v>5657</v>
      </c>
      <c r="C1310" s="24" t="s">
        <v>5824</v>
      </c>
      <c r="D1310" s="151" t="s">
        <v>5931</v>
      </c>
      <c r="E1310" s="151" t="s">
        <v>5932</v>
      </c>
      <c r="F1310" s="151"/>
      <c r="G1310" s="52" t="str">
        <f t="shared" si="22"/>
        <v>C6 75:从火符 x4</v>
      </c>
    </row>
    <row r="1311" spans="1:7">
      <c r="A1311" s="24" t="s">
        <v>5516</v>
      </c>
      <c r="B1311" s="24" t="s">
        <v>5657</v>
      </c>
      <c r="C1311" s="24" t="s">
        <v>5824</v>
      </c>
      <c r="D1311" s="151" t="s">
        <v>5933</v>
      </c>
      <c r="E1311" s="151" t="s">
        <v>5934</v>
      </c>
      <c r="F1311" s="151"/>
      <c r="G1311" s="52" t="str">
        <f t="shared" si="22"/>
        <v>62 2B:神箭符 x5</v>
      </c>
    </row>
    <row r="1312" spans="1:7">
      <c r="A1312" s="24" t="s">
        <v>5516</v>
      </c>
      <c r="B1312" s="24" t="s">
        <v>5657</v>
      </c>
      <c r="C1312" s="24" t="s">
        <v>5824</v>
      </c>
      <c r="D1312" s="151" t="s">
        <v>5935</v>
      </c>
      <c r="E1312" s="151" t="s">
        <v>5936</v>
      </c>
      <c r="F1312" s="151"/>
      <c r="G1312" s="52" t="str">
        <f t="shared" si="22"/>
        <v>BB 38:式神符·火卒 x8</v>
      </c>
    </row>
    <row r="1313" spans="1:7">
      <c r="A1313" s="24" t="s">
        <v>5516</v>
      </c>
      <c r="B1313" s="24" t="s">
        <v>5657</v>
      </c>
      <c r="C1313" s="24" t="s">
        <v>5824</v>
      </c>
      <c r="D1313" s="151" t="s">
        <v>5937</v>
      </c>
      <c r="E1313" s="151" t="s">
        <v>5938</v>
      </c>
      <c r="F1313" s="151"/>
      <c r="G1313" s="52" t="str">
        <f t="shared" si="22"/>
        <v>D5 0A:减气符 x5</v>
      </c>
    </row>
    <row r="1314" spans="1:7">
      <c r="A1314" s="24" t="s">
        <v>5516</v>
      </c>
      <c r="B1314" s="24" t="s">
        <v>5657</v>
      </c>
      <c r="C1314" s="24" t="s">
        <v>5824</v>
      </c>
      <c r="D1314" s="151" t="s">
        <v>5939</v>
      </c>
      <c r="E1314" s="151" t="s">
        <v>5940</v>
      </c>
      <c r="F1314" s="151"/>
      <c r="G1314" s="52" t="str">
        <f t="shared" si="22"/>
        <v>DE 10:修罗符 x5</v>
      </c>
    </row>
    <row r="1315" spans="1:7">
      <c r="A1315" s="24" t="s">
        <v>5516</v>
      </c>
      <c r="B1315" s="24" t="s">
        <v>5657</v>
      </c>
      <c r="C1315" s="24" t="s">
        <v>5824</v>
      </c>
      <c r="D1315" s="151" t="s">
        <v>5941</v>
      </c>
      <c r="E1315" s="151" t="s">
        <v>5942</v>
      </c>
      <c r="F1315" s="151"/>
      <c r="G1315" s="52" t="str">
        <f t="shared" si="22"/>
        <v>A2 BF:狱雷符 x2</v>
      </c>
    </row>
    <row r="1316" spans="1:7">
      <c r="A1316" s="24" t="s">
        <v>5516</v>
      </c>
      <c r="B1316" s="24" t="s">
        <v>5657</v>
      </c>
      <c r="C1316" s="24" t="s">
        <v>5824</v>
      </c>
      <c r="D1316" s="151" t="s">
        <v>5943</v>
      </c>
      <c r="E1316" s="151" t="s">
        <v>5944</v>
      </c>
      <c r="F1316" s="151"/>
      <c r="G1316" s="52" t="str">
        <f t="shared" si="22"/>
        <v>40 14:开运符 x4</v>
      </c>
    </row>
    <row r="1317" spans="1:7">
      <c r="A1317" s="24" t="s">
        <v>5516</v>
      </c>
      <c r="B1317" s="24" t="s">
        <v>5657</v>
      </c>
      <c r="C1317" s="24" t="s">
        <v>5824</v>
      </c>
      <c r="D1317" s="151" t="s">
        <v>5945</v>
      </c>
      <c r="E1317" s="151" t="s">
        <v>5946</v>
      </c>
      <c r="F1317" s="151"/>
      <c r="G1317" s="52" t="str">
        <f t="shared" si="22"/>
        <v>08 07:式神符·雷卒 x8</v>
      </c>
    </row>
    <row r="1318" spans="1:7">
      <c r="A1318" s="24" t="s">
        <v>5516</v>
      </c>
      <c r="B1318" s="24" t="s">
        <v>5657</v>
      </c>
      <c r="C1318" s="24" t="s">
        <v>5824</v>
      </c>
      <c r="D1318" s="151" t="s">
        <v>5947</v>
      </c>
      <c r="E1318" s="151" t="s">
        <v>5948</v>
      </c>
      <c r="F1318" s="151"/>
      <c r="G1318" s="52" t="str">
        <f t="shared" si="22"/>
        <v>EB BB:结界符 x5</v>
      </c>
    </row>
    <row r="1319" spans="1:7">
      <c r="A1319" s="24" t="s">
        <v>5516</v>
      </c>
      <c r="B1319" s="24" t="s">
        <v>5657</v>
      </c>
      <c r="C1319" s="24" t="s">
        <v>5824</v>
      </c>
      <c r="D1319" s="151" t="s">
        <v>5949</v>
      </c>
      <c r="E1319" s="151" t="s">
        <v>5950</v>
      </c>
      <c r="F1319" s="151"/>
      <c r="G1319" s="52" t="str">
        <f t="shared" si="22"/>
        <v>98 1F:回生符 x4</v>
      </c>
    </row>
    <row r="1320" spans="1:7">
      <c r="A1320" s="24" t="s">
        <v>5516</v>
      </c>
      <c r="B1320" s="24" t="s">
        <v>5657</v>
      </c>
      <c r="C1320" s="24" t="s">
        <v>5824</v>
      </c>
      <c r="D1320" s="151" t="s">
        <v>5951</v>
      </c>
      <c r="E1320" s="151" t="s">
        <v>5952</v>
      </c>
      <c r="F1320" s="151"/>
      <c r="G1320" s="52" t="str">
        <f t="shared" si="22"/>
        <v>33 CF:木灵变化符（木灵） x5</v>
      </c>
    </row>
    <row r="1321" spans="1:7">
      <c r="A1321" s="24" t="s">
        <v>5516</v>
      </c>
      <c r="B1321" s="24" t="s">
        <v>5657</v>
      </c>
      <c r="C1321" s="24" t="s">
        <v>5824</v>
      </c>
      <c r="D1321" s="151" t="s">
        <v>5953</v>
      </c>
      <c r="E1321" s="151" t="s">
        <v>5954</v>
      </c>
      <c r="F1321" s="151"/>
      <c r="G1321" s="52" t="str">
        <f t="shared" si="22"/>
        <v>D0 8F:雷霆符 x8</v>
      </c>
    </row>
    <row r="1322" spans="1:7">
      <c r="A1322" s="24" t="s">
        <v>5516</v>
      </c>
      <c r="B1322" s="24" t="s">
        <v>5657</v>
      </c>
      <c r="C1322" s="24" t="s">
        <v>5824</v>
      </c>
      <c r="D1322" s="151" t="s">
        <v>5955</v>
      </c>
      <c r="E1322" s="151" t="s">
        <v>5956</v>
      </c>
      <c r="F1322" s="151"/>
      <c r="G1322" s="52" t="str">
        <f t="shared" si="22"/>
        <v>BB E5:轻身符 x6</v>
      </c>
    </row>
    <row r="1323" spans="1:7">
      <c r="A1323" s="24" t="s">
        <v>5516</v>
      </c>
      <c r="B1323" s="24" t="s">
        <v>5657</v>
      </c>
      <c r="C1323" s="24" t="s">
        <v>5824</v>
      </c>
      <c r="D1323" s="151" t="s">
        <v>5957</v>
      </c>
      <c r="E1323" s="151" t="s">
        <v>5958</v>
      </c>
      <c r="F1323" s="151"/>
      <c r="G1323" s="52" t="str">
        <f t="shared" ref="G1323:G1343" si="23">D1323&amp;":"&amp;E1323</f>
        <v>49 08:斥风符 x5</v>
      </c>
    </row>
    <row r="1324" spans="1:7">
      <c r="A1324" s="24" t="s">
        <v>5516</v>
      </c>
      <c r="B1324" s="24" t="s">
        <v>5657</v>
      </c>
      <c r="C1324" s="24" t="s">
        <v>5824</v>
      </c>
      <c r="D1324" s="151" t="s">
        <v>5947</v>
      </c>
      <c r="E1324" s="151" t="s">
        <v>5948</v>
      </c>
      <c r="F1324" s="151"/>
      <c r="G1324" s="52" t="str">
        <f t="shared" si="23"/>
        <v>EB BB:结界符 x5</v>
      </c>
    </row>
    <row r="1325" spans="1:7">
      <c r="A1325" s="24" t="s">
        <v>5516</v>
      </c>
      <c r="B1325" s="24" t="s">
        <v>5657</v>
      </c>
      <c r="C1325" s="24" t="s">
        <v>5824</v>
      </c>
      <c r="D1325" s="151" t="s">
        <v>5959</v>
      </c>
      <c r="E1325" s="151" t="s">
        <v>5960</v>
      </c>
      <c r="F1325" s="151"/>
      <c r="G1325" s="52" t="str">
        <f t="shared" si="23"/>
        <v>FD AF:金刚符 x5</v>
      </c>
    </row>
    <row r="1326" spans="1:7">
      <c r="A1326" s="24" t="s">
        <v>5516</v>
      </c>
      <c r="B1326" s="24" t="s">
        <v>5657</v>
      </c>
      <c r="C1326" s="24" t="s">
        <v>5824</v>
      </c>
      <c r="D1326" s="151" t="s">
        <v>5961</v>
      </c>
      <c r="E1326" s="151" t="s">
        <v>5962</v>
      </c>
      <c r="F1326" s="151"/>
      <c r="G1326" s="52" t="str">
        <f t="shared" si="23"/>
        <v>60 4B:除秽符 x5</v>
      </c>
    </row>
    <row r="1327" spans="1:7">
      <c r="A1327" s="24" t="s">
        <v>5516</v>
      </c>
      <c r="B1327" s="24" t="s">
        <v>5657</v>
      </c>
      <c r="C1327" s="24" t="s">
        <v>5824</v>
      </c>
      <c r="D1327" s="151" t="s">
        <v>5963</v>
      </c>
      <c r="E1327" s="151" t="s">
        <v>5964</v>
      </c>
      <c r="F1327" s="151"/>
      <c r="G1327" s="52" t="str">
        <f t="shared" si="23"/>
        <v>70 66:禁全符 x5</v>
      </c>
    </row>
    <row r="1328" spans="1:7">
      <c r="A1328" s="24" t="s">
        <v>5516</v>
      </c>
      <c r="B1328" s="24" t="s">
        <v>5657</v>
      </c>
      <c r="C1328" s="24" t="s">
        <v>5824</v>
      </c>
      <c r="D1328" s="151" t="s">
        <v>5965</v>
      </c>
      <c r="E1328" s="151" t="s">
        <v>5966</v>
      </c>
      <c r="F1328" s="151"/>
      <c r="G1328" s="52" t="str">
        <f t="shared" si="23"/>
        <v>11 30:削气符 x5</v>
      </c>
    </row>
    <row r="1329" spans="1:7">
      <c r="A1329" s="24" t="s">
        <v>5650</v>
      </c>
      <c r="B1329" s="24" t="s">
        <v>5650</v>
      </c>
      <c r="C1329" s="24" t="s">
        <v>5526</v>
      </c>
      <c r="D1329" s="151" t="s">
        <v>5967</v>
      </c>
      <c r="E1329" s="151" t="s">
        <v>5968</v>
      </c>
      <c r="F1329" s="151"/>
      <c r="G1329" s="52" t="str">
        <f>D1329&amp;":"&amp;E1329</f>
        <v>4D 83:武人传书</v>
      </c>
    </row>
    <row r="1330" spans="1:7">
      <c r="A1330" s="24" t="s">
        <v>5650</v>
      </c>
      <c r="B1330" s="24" t="s">
        <v>5650</v>
      </c>
      <c r="C1330" s="24" t="s">
        <v>5526</v>
      </c>
      <c r="D1330" s="151" t="s">
        <v>5969</v>
      </c>
      <c r="E1330" s="151" t="s">
        <v>5970</v>
      </c>
      <c r="F1330" s="151"/>
      <c r="G1330" s="52" t="str">
        <f>D1330&amp;":"&amp;E1330</f>
        <v>D0 7B:武士传书</v>
      </c>
    </row>
    <row r="1331" spans="1:7">
      <c r="A1331" s="24" t="s">
        <v>5650</v>
      </c>
      <c r="B1331" s="24" t="s">
        <v>5650</v>
      </c>
      <c r="C1331" s="24" t="s">
        <v>5526</v>
      </c>
      <c r="D1331" s="151" t="s">
        <v>5971</v>
      </c>
      <c r="E1331" s="151" t="s">
        <v>5972</v>
      </c>
      <c r="F1331" s="151"/>
      <c r="G1331" s="52" t="str">
        <f>D1331&amp;":"&amp;E1331</f>
        <v>FD D8:忍者传书</v>
      </c>
    </row>
    <row r="1332" spans="1:7">
      <c r="A1332" s="24" t="s">
        <v>5650</v>
      </c>
      <c r="B1332" s="24" t="s">
        <v>5650</v>
      </c>
      <c r="C1332" s="24" t="s">
        <v>5526</v>
      </c>
      <c r="D1332" s="151" t="s">
        <v>5973</v>
      </c>
      <c r="E1332" s="151" t="s">
        <v>5974</v>
      </c>
      <c r="F1332" s="151"/>
      <c r="G1332" s="52" t="str">
        <f>D1332&amp;":"&amp;E1332</f>
        <v>68 6C:武人手记</v>
      </c>
    </row>
    <row r="1333" spans="1:7">
      <c r="A1333" s="24" t="s">
        <v>5650</v>
      </c>
      <c r="B1333" s="24" t="s">
        <v>5650</v>
      </c>
      <c r="C1333" s="24" t="s">
        <v>5526</v>
      </c>
      <c r="D1333" s="151" t="s">
        <v>5975</v>
      </c>
      <c r="E1333" s="151" t="s">
        <v>5976</v>
      </c>
      <c r="F1333" s="151"/>
      <c r="G1333" s="52" t="str">
        <f>D1333&amp;":"&amp;E1333</f>
        <v>3D 13:武士手记</v>
      </c>
    </row>
    <row r="1334" spans="1:7">
      <c r="A1334" s="24" t="s">
        <v>5650</v>
      </c>
      <c r="B1334" s="24" t="s">
        <v>5650</v>
      </c>
      <c r="C1334" s="24" t="s">
        <v>5526</v>
      </c>
      <c r="D1334" s="151" t="s">
        <v>5977</v>
      </c>
      <c r="E1334" s="151" t="s">
        <v>5978</v>
      </c>
      <c r="F1334" s="151"/>
      <c r="G1334" s="52" t="str">
        <f>D1334&amp;":"&amp;E1334</f>
        <v>CE 6C:忍者手记</v>
      </c>
    </row>
    <row r="1335" spans="1:7">
      <c r="A1335" s="24" t="s">
        <v>5650</v>
      </c>
      <c r="B1335" s="24" t="s">
        <v>5650</v>
      </c>
      <c r="C1335" s="24" t="s">
        <v>5526</v>
      </c>
      <c r="D1335" s="151" t="s">
        <v>5979</v>
      </c>
      <c r="E1335" s="151" t="s">
        <v>5980</v>
      </c>
      <c r="F1335" s="151"/>
      <c r="G1335" s="52" t="str">
        <f>D1335&amp;":"&amp;E1335</f>
        <v>DD F8:酒盅</v>
      </c>
    </row>
    <row r="1336" spans="1:7">
      <c r="A1336" s="24" t="s">
        <v>5650</v>
      </c>
      <c r="B1336" s="24" t="s">
        <v>5650</v>
      </c>
      <c r="C1336" s="24" t="s">
        <v>5526</v>
      </c>
      <c r="D1336" s="151" t="s">
        <v>5981</v>
      </c>
      <c r="E1336" s="151" t="s">
        <v>5982</v>
      </c>
      <c r="F1336" s="151"/>
      <c r="G1336" s="52" t="str">
        <f>D1336&amp;":"&amp;E1336</f>
        <v>C9 F1:妖怪泪珠</v>
      </c>
    </row>
    <row r="1337" spans="1:7">
      <c r="A1337" s="24" t="s">
        <v>5650</v>
      </c>
      <c r="B1337" s="24" t="s">
        <v>5650</v>
      </c>
      <c r="C1337" s="24" t="s">
        <v>5983</v>
      </c>
      <c r="D1337" s="151" t="s">
        <v>5984</v>
      </c>
      <c r="E1337" s="151" t="s">
        <v>5985</v>
      </c>
      <c r="F1337" s="151"/>
      <c r="G1337" s="52" t="str">
        <f>D1337&amp;":"&amp;E1337</f>
        <v>3B 68:善擦的毛球</v>
      </c>
    </row>
    <row r="1338" spans="1:7">
      <c r="A1338" s="24" t="s">
        <v>5650</v>
      </c>
      <c r="B1338" s="24" t="s">
        <v>5650</v>
      </c>
      <c r="C1338" s="24" t="s">
        <v>5650</v>
      </c>
      <c r="D1338" s="151" t="s">
        <v>5986</v>
      </c>
      <c r="E1338" s="151" t="s">
        <v>5987</v>
      </c>
      <c r="F1338" s="151"/>
      <c r="G1338" s="52" t="str">
        <f>D1338&amp;":"&amp;E1338</f>
        <v>F5 94:导镜</v>
      </c>
    </row>
    <row r="1339" spans="1:7">
      <c r="A1339" s="24" t="s">
        <v>5650</v>
      </c>
      <c r="B1339" s="24" t="s">
        <v>5650</v>
      </c>
      <c r="C1339" s="24" t="s">
        <v>5650</v>
      </c>
      <c r="D1339" s="151" t="s">
        <v>5988</v>
      </c>
      <c r="E1339" s="151" t="s">
        <v>5989</v>
      </c>
      <c r="F1339" s="151"/>
      <c r="G1339" s="52" t="str">
        <f>D1339&amp;":"&amp;E1339</f>
        <v>77 F8:净化灵符</v>
      </c>
    </row>
    <row r="1340" spans="1:7">
      <c r="A1340" s="24" t="s">
        <v>5650</v>
      </c>
      <c r="B1340" s="24" t="s">
        <v>5650</v>
      </c>
      <c r="C1340" s="24" t="s">
        <v>5650</v>
      </c>
      <c r="D1340" s="151" t="s">
        <v>5990</v>
      </c>
      <c r="E1340" s="151" t="s">
        <v>5991</v>
      </c>
      <c r="F1340" s="151"/>
      <c r="G1340" s="52" t="str">
        <f>D1340&amp;":"&amp;E1340</f>
        <v>7E 51:灵石筒</v>
      </c>
    </row>
    <row r="1341" spans="1:7">
      <c r="A1341" s="24" t="s">
        <v>5650</v>
      </c>
      <c r="B1341" s="24" t="s">
        <v>5650</v>
      </c>
      <c r="C1341" s="24" t="s">
        <v>5650</v>
      </c>
      <c r="D1341" s="151" t="s">
        <v>5992</v>
      </c>
      <c r="E1341" s="151" t="s">
        <v>5993</v>
      </c>
      <c r="F1341" s="151"/>
      <c r="G1341" s="52" t="str">
        <f>D1341&amp;":"&amp;E1341</f>
        <v>10 29:壬生寺钥匙</v>
      </c>
    </row>
    <row r="1342" spans="1:7">
      <c r="A1342" s="24" t="s">
        <v>5650</v>
      </c>
      <c r="B1342" s="24" t="s">
        <v>5650</v>
      </c>
      <c r="C1342" s="24" t="s">
        <v>5650</v>
      </c>
      <c r="D1342" s="151" t="s">
        <v>5994</v>
      </c>
      <c r="E1342" s="151" t="s">
        <v>5995</v>
      </c>
      <c r="F1342" s="151"/>
      <c r="G1342" s="52" t="str">
        <f>D1342&amp;":"&amp;E1342</f>
        <v>A4 A7:焦黑的钥匙</v>
      </c>
    </row>
    <row r="1343" spans="1:7">
      <c r="A1343" s="24" t="s">
        <v>5650</v>
      </c>
      <c r="B1343" s="24" t="s">
        <v>5650</v>
      </c>
      <c r="C1343" s="24" t="s">
        <v>5650</v>
      </c>
      <c r="D1343" s="151" t="s">
        <v>5996</v>
      </c>
      <c r="E1343" s="151" t="s">
        <v>5997</v>
      </c>
      <c r="F1343" s="151"/>
      <c r="G1343" s="52" t="str">
        <f>D1343&amp;":"&amp;E1343</f>
        <v>CF 2A:染血的铁钥匙</v>
      </c>
    </row>
    <row r="1344" spans="1:7">
      <c r="A1344" s="24" t="s">
        <v>5650</v>
      </c>
      <c r="B1344" s="24" t="s">
        <v>5650</v>
      </c>
      <c r="C1344" s="24" t="s">
        <v>5650</v>
      </c>
      <c r="D1344" s="151" t="s">
        <v>5998</v>
      </c>
      <c r="E1344" s="151" t="s">
        <v>5999</v>
      </c>
      <c r="F1344" s="151"/>
      <c r="G1344" s="52" t="str">
        <f>D1344&amp;":"&amp;E1344</f>
        <v>31 43:废村钥匙</v>
      </c>
    </row>
    <row r="1345" spans="1:7">
      <c r="A1345" s="24" t="s">
        <v>5650</v>
      </c>
      <c r="B1345" s="24" t="s">
        <v>5650</v>
      </c>
      <c r="C1345" s="24" t="s">
        <v>5650</v>
      </c>
      <c r="D1345" s="151" t="s">
        <v>6000</v>
      </c>
      <c r="E1345" s="151" t="s">
        <v>6001</v>
      </c>
      <c r="F1345" s="151"/>
      <c r="G1345" s="52" t="str">
        <f>D1345&amp;":"&amp;E1345</f>
        <v>44 C9:三重塔钥匙</v>
      </c>
    </row>
    <row r="1346" spans="1:7">
      <c r="A1346" s="24" t="s">
        <v>5650</v>
      </c>
      <c r="B1346" s="24" t="s">
        <v>5650</v>
      </c>
      <c r="C1346" s="24" t="s">
        <v>5650</v>
      </c>
      <c r="D1346" s="151" t="s">
        <v>6002</v>
      </c>
      <c r="E1346" s="151" t="s">
        <v>6003</v>
      </c>
      <c r="F1346" s="151"/>
      <c r="G1346" s="52" t="str">
        <f>D1346&amp;":"&amp;E1346</f>
        <v>2A 06:废弃神社钥匙</v>
      </c>
    </row>
    <row r="1347" spans="1:7">
      <c r="A1347" s="24" t="s">
        <v>5650</v>
      </c>
      <c r="B1347" s="24" t="s">
        <v>5650</v>
      </c>
      <c r="C1347" s="24" t="s">
        <v>5650</v>
      </c>
      <c r="D1347" s="151" t="s">
        <v>6004</v>
      </c>
      <c r="E1347" s="151" t="s">
        <v>6005</v>
      </c>
      <c r="F1347" s="151"/>
      <c r="G1347" s="52" t="str">
        <f>D1347&amp;":"&amp;E1347</f>
        <v>B0 30:牢房钥匙</v>
      </c>
    </row>
    <row r="1348" spans="1:7">
      <c r="A1348" s="24" t="s">
        <v>5650</v>
      </c>
      <c r="B1348" s="24" t="s">
        <v>5650</v>
      </c>
      <c r="C1348" s="24" t="s">
        <v>5650</v>
      </c>
      <c r="D1348" s="151" t="s">
        <v>6006</v>
      </c>
      <c r="E1348" s="151" t="s">
        <v>6007</v>
      </c>
      <c r="F1348" s="151"/>
      <c r="G1348" s="52" t="str">
        <f>D1348&amp;":"&amp;E1348</f>
        <v>70 D1:山寺钥匙</v>
      </c>
    </row>
    <row r="1349" spans="1:7">
      <c r="A1349" s="24" t="s">
        <v>5650</v>
      </c>
      <c r="B1349" s="24" t="s">
        <v>5650</v>
      </c>
      <c r="C1349" s="24" t="s">
        <v>5650</v>
      </c>
      <c r="D1349" s="151" t="s">
        <v>6008</v>
      </c>
      <c r="E1349" s="151" t="s">
        <v>6009</v>
      </c>
      <c r="F1349" s="151"/>
      <c r="G1349" s="52" t="str">
        <f>D1349&amp;":"&amp;E1349</f>
        <v>89 9F:发黑的钥匙</v>
      </c>
    </row>
    <row r="1350" spans="1:7">
      <c r="A1350" s="24" t="s">
        <v>5650</v>
      </c>
      <c r="B1350" s="24" t="s">
        <v>5650</v>
      </c>
      <c r="C1350" s="24" t="s">
        <v>5650</v>
      </c>
      <c r="D1350" s="151" t="s">
        <v>6010</v>
      </c>
      <c r="E1350" s="151" t="s">
        <v>6011</v>
      </c>
      <c r="F1350" s="151"/>
      <c r="G1350" s="52" t="str">
        <f>D1350&amp;":"&amp;E1350</f>
        <v>9B D7:脏污的铁钥匙</v>
      </c>
    </row>
    <row r="1351" spans="1:7">
      <c r="A1351" s="24" t="s">
        <v>5650</v>
      </c>
      <c r="B1351" s="24" t="s">
        <v>5650</v>
      </c>
      <c r="C1351" s="24" t="s">
        <v>5650</v>
      </c>
      <c r="D1351" s="151" t="s">
        <v>6012</v>
      </c>
      <c r="E1351" s="151" t="s">
        <v>6013</v>
      </c>
      <c r="F1351" s="151"/>
      <c r="G1351" s="52" t="str">
        <f>D1351&amp;":"&amp;E1351</f>
        <v>03 30:鬼美浓不动守</v>
      </c>
    </row>
    <row r="1352" spans="1:7">
      <c r="A1352" s="24" t="s">
        <v>5650</v>
      </c>
      <c r="B1352" s="24" t="s">
        <v>5650</v>
      </c>
      <c r="C1352" s="24" t="s">
        <v>5650</v>
      </c>
      <c r="D1352" s="151" t="s">
        <v>6014</v>
      </c>
      <c r="E1352" s="151" t="s">
        <v>6015</v>
      </c>
      <c r="F1352" s="151"/>
      <c r="G1352" s="52" t="str">
        <f t="shared" ref="G1352:G1357" si="24">D1352&amp;":"&amp;E1352</f>
        <v>11 97:信玄的军扇</v>
      </c>
    </row>
    <row r="1353" spans="1:7">
      <c r="A1353" s="24" t="s">
        <v>5650</v>
      </c>
      <c r="B1353" s="24" t="s">
        <v>5650</v>
      </c>
      <c r="C1353" s="24" t="s">
        <v>5650</v>
      </c>
      <c r="D1353" s="151" t="s">
        <v>6016</v>
      </c>
      <c r="E1353" s="151" t="s">
        <v>6017</v>
      </c>
      <c r="F1353" s="151"/>
      <c r="G1353" s="52" t="str">
        <f t="shared" si="24"/>
        <v>44 36:武田纹酒瓶</v>
      </c>
    </row>
    <row r="1354" spans="1:7">
      <c r="A1354" s="24" t="s">
        <v>5650</v>
      </c>
      <c r="B1354" s="24" t="s">
        <v>5650</v>
      </c>
      <c r="C1354" s="24" t="s">
        <v>5650</v>
      </c>
      <c r="D1354" s="151" t="s">
        <v>6018</v>
      </c>
      <c r="E1354" s="151" t="s">
        <v>6019</v>
      </c>
      <c r="F1354" s="151"/>
      <c r="G1354" s="52" t="str">
        <f t="shared" si="24"/>
        <v>2B FD:武田信玄像</v>
      </c>
    </row>
    <row r="1355" spans="1:7">
      <c r="A1355" s="24" t="s">
        <v>5650</v>
      </c>
      <c r="B1355" s="24" t="s">
        <v>5650</v>
      </c>
      <c r="C1355" s="24" t="s">
        <v>5650</v>
      </c>
      <c r="D1355" s="151" t="s">
        <v>6020</v>
      </c>
      <c r="E1355" s="151" t="s">
        <v>6021</v>
      </c>
      <c r="F1355" s="151"/>
      <c r="G1355" s="52" t="str">
        <f t="shared" si="24"/>
        <v>E2 0C:东寺的妖怪绘卷</v>
      </c>
    </row>
    <row r="1356" spans="1:7">
      <c r="A1356" s="24" t="s">
        <v>5650</v>
      </c>
      <c r="B1356" s="24" t="s">
        <v>5650</v>
      </c>
      <c r="C1356" s="24" t="s">
        <v>5650</v>
      </c>
      <c r="D1356" s="151" t="s">
        <v>6022</v>
      </c>
      <c r="E1356" s="151" t="s">
        <v>6023</v>
      </c>
      <c r="F1356" s="151"/>
      <c r="G1356" s="52" t="str">
        <f t="shared" si="24"/>
        <v>60 A1:容平丸</v>
      </c>
    </row>
    <row r="1357" spans="1:7">
      <c r="A1357" s="24" t="s">
        <v>5650</v>
      </c>
      <c r="B1357" s="24" t="s">
        <v>5650</v>
      </c>
      <c r="C1357" s="24" t="s">
        <v>5983</v>
      </c>
      <c r="D1357" s="151" t="s">
        <v>6024</v>
      </c>
      <c r="E1357" s="151" t="s">
        <v>3322</v>
      </c>
      <c r="F1357" s="151"/>
      <c r="G1357" s="52" t="str">
        <f t="shared" si="24"/>
        <v>EF 3B:大典太光世</v>
      </c>
    </row>
    <row r="1358" spans="1:7">
      <c r="A1358" s="24" t="s">
        <v>5650</v>
      </c>
      <c r="B1358" s="24" t="s">
        <v>5650</v>
      </c>
      <c r="C1358" s="24" t="s">
        <v>5650</v>
      </c>
      <c r="D1358" s="151" t="s">
        <v>6025</v>
      </c>
      <c r="E1358" s="151" t="s">
        <v>6026</v>
      </c>
      <c r="F1358" s="151"/>
      <c r="G1358" s="52" t="str">
        <f t="shared" ref="G1358:G1415" si="25">D1358&amp;":"&amp;E1358</f>
        <v>99 A5:褪色的铁钥匙</v>
      </c>
    </row>
    <row r="1359" spans="1:7">
      <c r="A1359" s="24" t="s">
        <v>5650</v>
      </c>
      <c r="B1359" s="24" t="s">
        <v>5650</v>
      </c>
      <c r="C1359" s="24" t="s">
        <v>5650</v>
      </c>
      <c r="D1359" s="151" t="s">
        <v>6027</v>
      </c>
      <c r="E1359" s="151" t="s">
        <v>6028</v>
      </c>
      <c r="F1359" s="151"/>
      <c r="G1359" s="52" t="str">
        <f t="shared" si="25"/>
        <v>3C 3C:澄净青瓷茶碗</v>
      </c>
    </row>
    <row r="1360" spans="1:7">
      <c r="A1360" s="24" t="s">
        <v>5650</v>
      </c>
      <c r="B1360" s="24" t="s">
        <v>5650</v>
      </c>
      <c r="C1360" s="24" t="s">
        <v>5650</v>
      </c>
      <c r="D1360" s="151" t="s">
        <v>6029</v>
      </c>
      <c r="E1360" s="151" t="s">
        <v>6030</v>
      </c>
      <c r="F1360" s="151"/>
      <c r="G1360" s="52" t="str">
        <f t="shared" si="25"/>
        <v>14 FD:草薙之画</v>
      </c>
    </row>
    <row r="1361" spans="1:7">
      <c r="A1361" s="24" t="s">
        <v>5650</v>
      </c>
      <c r="B1361" s="24" t="s">
        <v>5650</v>
      </c>
      <c r="C1361" s="24" t="s">
        <v>5650</v>
      </c>
      <c r="D1361" s="151" t="s">
        <v>6031</v>
      </c>
      <c r="E1361" s="151" t="s">
        <v>6032</v>
      </c>
      <c r="F1361" s="151"/>
      <c r="G1361" s="52" t="str">
        <f t="shared" si="25"/>
        <v>1C 8A:染血的书信</v>
      </c>
    </row>
    <row r="1362" spans="1:7">
      <c r="A1362" s="24" t="s">
        <v>5650</v>
      </c>
      <c r="B1362" s="24" t="s">
        <v>5650</v>
      </c>
      <c r="C1362" s="24" t="s">
        <v>5650</v>
      </c>
      <c r="D1362" s="151" t="s">
        <v>6033</v>
      </c>
      <c r="E1362" s="151" t="s">
        <v>6034</v>
      </c>
      <c r="F1362" s="151"/>
      <c r="G1362" s="52" t="str">
        <f t="shared" si="25"/>
        <v>9F C5:滨松的鳗鱼</v>
      </c>
    </row>
    <row r="1363" spans="1:7">
      <c r="A1363" s="24" t="s">
        <v>5650</v>
      </c>
      <c r="B1363" s="24" t="s">
        <v>5650</v>
      </c>
      <c r="C1363" s="24" t="s">
        <v>5650</v>
      </c>
      <c r="D1363" s="151" t="s">
        <v>6035</v>
      </c>
      <c r="E1363" s="151" t="s">
        <v>6036</v>
      </c>
      <c r="F1363" s="151"/>
      <c r="G1363" s="52" t="str">
        <f t="shared" si="25"/>
        <v>BD 87:熏香</v>
      </c>
    </row>
    <row r="1364" spans="1:7">
      <c r="A1364" s="24" t="s">
        <v>5650</v>
      </c>
      <c r="B1364" s="24" t="s">
        <v>5650</v>
      </c>
      <c r="C1364" s="24" t="s">
        <v>5650</v>
      </c>
      <c r="D1364" s="151" t="s">
        <v>6037</v>
      </c>
      <c r="E1364" s="151" t="s">
        <v>6038</v>
      </c>
      <c r="F1364" s="151"/>
      <c r="G1364" s="52" t="str">
        <f t="shared" si="25"/>
        <v>48 47:异国的水果酒</v>
      </c>
    </row>
    <row r="1365" spans="1:7">
      <c r="A1365" s="24" t="s">
        <v>5650</v>
      </c>
      <c r="B1365" s="24" t="s">
        <v>5650</v>
      </c>
      <c r="C1365" s="24" t="s">
        <v>5650</v>
      </c>
      <c r="D1365" s="151" t="s">
        <v>6039</v>
      </c>
      <c r="E1365" s="151" t="s">
        <v>6040</v>
      </c>
      <c r="F1365" s="151"/>
      <c r="G1365" s="52" t="str">
        <f t="shared" si="25"/>
        <v>C3 12:黄金钥匙</v>
      </c>
    </row>
    <row r="1366" spans="1:7">
      <c r="A1366" s="24" t="s">
        <v>5650</v>
      </c>
      <c r="B1366" s="24" t="s">
        <v>5650</v>
      </c>
      <c r="C1366" s="24" t="s">
        <v>5650</v>
      </c>
      <c r="D1366" s="151" t="s">
        <v>6041</v>
      </c>
      <c r="E1366" s="151" t="s">
        <v>6042</v>
      </c>
      <c r="F1366" s="151"/>
      <c r="G1366" s="52" t="str">
        <f t="shared" si="25"/>
        <v>B8 E6:柳生众的钥匙</v>
      </c>
    </row>
    <row r="1367" spans="1:7">
      <c r="A1367" s="24" t="s">
        <v>5650</v>
      </c>
      <c r="B1367" s="24" t="s">
        <v>5650</v>
      </c>
      <c r="C1367" s="24" t="s">
        <v>5650</v>
      </c>
      <c r="D1367" s="151" t="s">
        <v>6043</v>
      </c>
      <c r="E1367" s="151" t="s">
        <v>6044</v>
      </c>
      <c r="F1367" s="151"/>
      <c r="G1367" s="52" t="str">
        <f t="shared" si="25"/>
        <v>AB DF:异国纹样钥匙</v>
      </c>
    </row>
    <row r="1368" spans="1:7">
      <c r="A1368" s="24" t="s">
        <v>5650</v>
      </c>
      <c r="B1368" s="24" t="s">
        <v>5650</v>
      </c>
      <c r="C1368" s="24" t="s">
        <v>5650</v>
      </c>
      <c r="D1368" s="151" t="s">
        <v>6045</v>
      </c>
      <c r="E1368" s="151" t="s">
        <v>6046</v>
      </c>
      <c r="F1368" s="151"/>
      <c r="G1368" s="52" t="str">
        <f t="shared" si="25"/>
        <v>AA F0:石田药散</v>
      </c>
    </row>
    <row r="1369" spans="1:7">
      <c r="A1369" s="24" t="s">
        <v>5650</v>
      </c>
      <c r="B1369" s="24" t="s">
        <v>5650</v>
      </c>
      <c r="C1369" s="24" t="s">
        <v>5650</v>
      </c>
      <c r="D1369" s="151" t="s">
        <v>6047</v>
      </c>
      <c r="E1369" s="151" t="s">
        <v>6048</v>
      </c>
      <c r="F1369" s="151"/>
      <c r="G1369" s="52" t="str">
        <f t="shared" si="25"/>
        <v>A3 F2:弁庆隐藏的卷轴 上</v>
      </c>
    </row>
    <row r="1370" spans="1:7">
      <c r="A1370" s="24" t="s">
        <v>5650</v>
      </c>
      <c r="B1370" s="24" t="s">
        <v>5650</v>
      </c>
      <c r="C1370" s="24" t="s">
        <v>5650</v>
      </c>
      <c r="D1370" s="151" t="s">
        <v>6049</v>
      </c>
      <c r="E1370" s="151" t="s">
        <v>6050</v>
      </c>
      <c r="F1370" s="151"/>
      <c r="G1370" s="52" t="str">
        <f t="shared" si="25"/>
        <v>E2 D8:弁庆隐藏的卷轴 中</v>
      </c>
    </row>
    <row r="1371" spans="1:7">
      <c r="A1371" s="24" t="s">
        <v>5650</v>
      </c>
      <c r="B1371" s="24" t="s">
        <v>5650</v>
      </c>
      <c r="C1371" s="24" t="s">
        <v>5650</v>
      </c>
      <c r="D1371" s="151" t="s">
        <v>6051</v>
      </c>
      <c r="E1371" s="151" t="s">
        <v>6052</v>
      </c>
      <c r="F1371" s="151"/>
      <c r="G1371" s="52" t="str">
        <f t="shared" si="25"/>
        <v>1B 66:弁庆隐藏的卷轴 下</v>
      </c>
    </row>
    <row r="1372" spans="1:7">
      <c r="A1372" s="24" t="s">
        <v>5650</v>
      </c>
      <c r="B1372" s="24" t="s">
        <v>5650</v>
      </c>
      <c r="C1372" s="24" t="s">
        <v>5650</v>
      </c>
      <c r="D1372" s="151" t="s">
        <v>6053</v>
      </c>
      <c r="E1372" s="151" t="s">
        <v>6054</v>
      </c>
      <c r="F1372" s="151"/>
      <c r="G1372" s="52" t="str">
        <f t="shared" si="25"/>
        <v>51 2B:隐世军忠状</v>
      </c>
    </row>
    <row r="1373" spans="1:7">
      <c r="A1373" s="24" t="s">
        <v>5650</v>
      </c>
      <c r="B1373" s="24" t="s">
        <v>5650</v>
      </c>
      <c r="C1373" s="24" t="s">
        <v>6055</v>
      </c>
      <c r="D1373" s="151" t="s">
        <v>6056</v>
      </c>
      <c r="E1373" s="151" t="s">
        <v>6057</v>
      </c>
      <c r="F1373" s="151"/>
      <c r="G1373" s="52" t="str">
        <f t="shared" si="25"/>
        <v>67 8A:难行石·将军</v>
      </c>
    </row>
    <row r="1374" spans="1:7">
      <c r="A1374" s="24" t="s">
        <v>5650</v>
      </c>
      <c r="B1374" s="24" t="s">
        <v>5650</v>
      </c>
      <c r="C1374" s="24" t="s">
        <v>6055</v>
      </c>
      <c r="D1374" s="151" t="s">
        <v>6058</v>
      </c>
      <c r="E1374" s="151" t="s">
        <v>6059</v>
      </c>
      <c r="F1374" s="151"/>
      <c r="G1374" s="52" t="str">
        <f t="shared" si="25"/>
        <v>19 9C:难行石·顿悟</v>
      </c>
    </row>
    <row r="1375" spans="1:7">
      <c r="A1375" s="24" t="s">
        <v>5650</v>
      </c>
      <c r="B1375" s="24" t="s">
        <v>5650</v>
      </c>
      <c r="C1375" s="24" t="s">
        <v>6055</v>
      </c>
      <c r="D1375" s="151" t="s">
        <v>6060</v>
      </c>
      <c r="E1375" s="151" t="s">
        <v>6061</v>
      </c>
      <c r="F1375" s="151"/>
      <c r="G1375" s="52" t="str">
        <f t="shared" si="25"/>
        <v>0B 6B:难行石·仁王</v>
      </c>
    </row>
    <row r="1376" spans="1:7">
      <c r="A1376" s="24" t="s">
        <v>5650</v>
      </c>
      <c r="B1376" s="24" t="s">
        <v>5650</v>
      </c>
      <c r="C1376" s="24" t="s">
        <v>5983</v>
      </c>
      <c r="D1376" s="151" t="s">
        <v>6062</v>
      </c>
      <c r="E1376" s="151" t="s">
        <v>6063</v>
      </c>
      <c r="F1376" s="151"/>
      <c r="G1376" s="52" t="str">
        <f t="shared" si="25"/>
        <v>0E 15:禁火晴明符</v>
      </c>
    </row>
    <row r="1377" spans="1:7">
      <c r="A1377" s="24" t="s">
        <v>5650</v>
      </c>
      <c r="B1377" s="24" t="s">
        <v>5650</v>
      </c>
      <c r="C1377" s="24" t="s">
        <v>5983</v>
      </c>
      <c r="D1377" s="151" t="s">
        <v>6064</v>
      </c>
      <c r="E1377" s="151" t="s">
        <v>6065</v>
      </c>
      <c r="F1377" s="151"/>
      <c r="G1377" s="52" t="str">
        <f t="shared" si="25"/>
        <v>E9 18:切腹短刀</v>
      </c>
    </row>
    <row r="1378" spans="1:7">
      <c r="A1378" s="24" t="s">
        <v>5650</v>
      </c>
      <c r="B1378" s="24" t="s">
        <v>5650</v>
      </c>
      <c r="C1378" s="24" t="s">
        <v>5983</v>
      </c>
      <c r="D1378" s="151" t="s">
        <v>6066</v>
      </c>
      <c r="E1378" s="151" t="s">
        <v>3322</v>
      </c>
      <c r="F1378" s="151"/>
      <c r="G1378" s="52" t="str">
        <f t="shared" si="25"/>
        <v>1A 1C:大典太光世</v>
      </c>
    </row>
    <row r="1379" spans="1:7">
      <c r="A1379" s="24" t="s">
        <v>5650</v>
      </c>
      <c r="B1379" s="24" t="s">
        <v>5650</v>
      </c>
      <c r="C1379" s="24" t="s">
        <v>5983</v>
      </c>
      <c r="D1379" s="151" t="s">
        <v>6067</v>
      </c>
      <c r="E1379" s="151" t="s">
        <v>6068</v>
      </c>
      <c r="F1379" s="151"/>
      <c r="G1379" s="52" t="str">
        <f t="shared" si="25"/>
        <v>1E 1C:打火石</v>
      </c>
    </row>
    <row r="1380" spans="1:7">
      <c r="A1380" s="24" t="s">
        <v>5650</v>
      </c>
      <c r="B1380" s="24" t="s">
        <v>5650</v>
      </c>
      <c r="C1380" s="24" t="s">
        <v>5983</v>
      </c>
      <c r="D1380" s="151" t="s">
        <v>6069</v>
      </c>
      <c r="E1380" s="151" t="s">
        <v>6070</v>
      </c>
      <c r="F1380" s="151"/>
      <c r="G1380" s="52" t="str">
        <f t="shared" si="25"/>
        <v>61 20:迦具土的勾玉</v>
      </c>
    </row>
    <row r="1381" spans="1:7">
      <c r="A1381" s="24" t="s">
        <v>5650</v>
      </c>
      <c r="B1381" s="24" t="s">
        <v>5650</v>
      </c>
      <c r="C1381" s="24" t="s">
        <v>5983</v>
      </c>
      <c r="D1381" s="151" t="s">
        <v>6071</v>
      </c>
      <c r="E1381" s="151" t="s">
        <v>6072</v>
      </c>
      <c r="F1381" s="151"/>
      <c r="G1381" s="52" t="str">
        <f t="shared" si="25"/>
        <v>82 22:海螺</v>
      </c>
    </row>
    <row r="1382" spans="1:7">
      <c r="A1382" s="24" t="s">
        <v>5650</v>
      </c>
      <c r="B1382" s="24" t="s">
        <v>5650</v>
      </c>
      <c r="C1382" s="24" t="s">
        <v>5983</v>
      </c>
      <c r="D1382" s="151" t="s">
        <v>6073</v>
      </c>
      <c r="E1382" s="151" t="s">
        <v>6074</v>
      </c>
      <c r="F1382" s="151"/>
      <c r="G1382" s="52" t="str">
        <f t="shared" si="25"/>
        <v>60 26:大型青瓷壶</v>
      </c>
    </row>
    <row r="1383" spans="1:7">
      <c r="A1383" s="24" t="s">
        <v>5650</v>
      </c>
      <c r="B1383" s="24" t="s">
        <v>5650</v>
      </c>
      <c r="C1383" s="24" t="s">
        <v>5983</v>
      </c>
      <c r="D1383" s="151" t="s">
        <v>6075</v>
      </c>
      <c r="E1383" s="151" t="s">
        <v>6076</v>
      </c>
      <c r="F1383" s="151"/>
      <c r="G1383" s="52" t="str">
        <f t="shared" si="25"/>
        <v>C7 2F:美丽青瓷茶碗</v>
      </c>
    </row>
    <row r="1384" spans="1:7">
      <c r="A1384" s="24" t="s">
        <v>5650</v>
      </c>
      <c r="B1384" s="24" t="s">
        <v>5650</v>
      </c>
      <c r="C1384" s="24" t="s">
        <v>5983</v>
      </c>
      <c r="D1384" s="151" t="s">
        <v>6077</v>
      </c>
      <c r="E1384" s="151" t="s">
        <v>6078</v>
      </c>
      <c r="F1384" s="151"/>
      <c r="G1384" s="52" t="str">
        <f t="shared" si="25"/>
        <v>8B 31:魂核箱</v>
      </c>
    </row>
    <row r="1385" spans="1:7">
      <c r="A1385" s="24" t="s">
        <v>5650</v>
      </c>
      <c r="B1385" s="24" t="s">
        <v>5650</v>
      </c>
      <c r="C1385" s="24" t="s">
        <v>5983</v>
      </c>
      <c r="D1385" s="151" t="s">
        <v>6079</v>
      </c>
      <c r="E1385" s="151" t="s">
        <v>6080</v>
      </c>
      <c r="F1385" s="151"/>
      <c r="G1385" s="52" t="str">
        <f t="shared" si="25"/>
        <v>4B 32:肉妖的胆石</v>
      </c>
    </row>
    <row r="1386" spans="1:7">
      <c r="A1386" s="24" t="s">
        <v>5650</v>
      </c>
      <c r="B1386" s="24" t="s">
        <v>5650</v>
      </c>
      <c r="C1386" s="24" t="s">
        <v>5983</v>
      </c>
      <c r="D1386" s="151" t="s">
        <v>6081</v>
      </c>
      <c r="E1386" s="151" t="s">
        <v>6082</v>
      </c>
      <c r="F1386" s="151"/>
      <c r="G1386" s="52" t="str">
        <f t="shared" si="25"/>
        <v>EA 32:除厄盐</v>
      </c>
    </row>
    <row r="1387" spans="1:7">
      <c r="A1387" s="24" t="s">
        <v>5650</v>
      </c>
      <c r="B1387" s="24" t="s">
        <v>5650</v>
      </c>
      <c r="C1387" s="24" t="s">
        <v>5983</v>
      </c>
      <c r="D1387" s="151" t="s">
        <v>6083</v>
      </c>
      <c r="E1387" s="151" t="s">
        <v>6084</v>
      </c>
      <c r="F1387" s="151"/>
      <c r="G1387" s="52" t="str">
        <f t="shared" si="25"/>
        <v>5A 35:阴阳窟钥匙</v>
      </c>
    </row>
    <row r="1388" spans="1:7">
      <c r="A1388" s="24" t="s">
        <v>5650</v>
      </c>
      <c r="B1388" s="24" t="s">
        <v>5650</v>
      </c>
      <c r="C1388" s="24" t="s">
        <v>5983</v>
      </c>
      <c r="D1388" s="151" t="s">
        <v>6085</v>
      </c>
      <c r="E1388" s="151" t="s">
        <v>6086</v>
      </c>
      <c r="F1388" s="151"/>
      <c r="G1388" s="52" t="str">
        <f t="shared" si="25"/>
        <v>61 36:白绿贵石</v>
      </c>
    </row>
    <row r="1389" spans="1:7">
      <c r="A1389" s="24" t="s">
        <v>5650</v>
      </c>
      <c r="B1389" s="24" t="s">
        <v>5650</v>
      </c>
      <c r="C1389" s="24" t="s">
        <v>5983</v>
      </c>
      <c r="D1389" s="151" t="s">
        <v>6087</v>
      </c>
      <c r="E1389" s="151" t="s">
        <v>6088</v>
      </c>
      <c r="F1389" s="151"/>
      <c r="G1389" s="52" t="str">
        <f t="shared" si="25"/>
        <v>94 3B:神器·天丛云剑</v>
      </c>
    </row>
    <row r="1390" spans="1:7">
      <c r="A1390" s="24" t="s">
        <v>5650</v>
      </c>
      <c r="B1390" s="24" t="s">
        <v>5650</v>
      </c>
      <c r="C1390" s="24" t="s">
        <v>5983</v>
      </c>
      <c r="D1390" s="151" t="s">
        <v>6089</v>
      </c>
      <c r="E1390" s="151" t="s">
        <v>6090</v>
      </c>
      <c r="F1390" s="151"/>
      <c r="G1390" s="52" t="str">
        <f t="shared" si="25"/>
        <v>EB 3D:遗迹钥匙</v>
      </c>
    </row>
    <row r="1391" spans="1:7">
      <c r="A1391" s="24" t="s">
        <v>5650</v>
      </c>
      <c r="B1391" s="24" t="s">
        <v>5650</v>
      </c>
      <c r="C1391" s="24" t="s">
        <v>5983</v>
      </c>
      <c r="D1391" s="151" t="s">
        <v>6091</v>
      </c>
      <c r="E1391" s="151" t="s">
        <v>6092</v>
      </c>
      <c r="F1391" s="151"/>
      <c r="G1391" s="52" t="str">
        <f t="shared" si="25"/>
        <v>1A 47:祓除矢</v>
      </c>
    </row>
    <row r="1392" spans="1:7">
      <c r="A1392" s="24" t="s">
        <v>5650</v>
      </c>
      <c r="B1392" s="24" t="s">
        <v>5650</v>
      </c>
      <c r="C1392" s="24" t="s">
        <v>5983</v>
      </c>
      <c r="D1392" s="151" t="s">
        <v>6093</v>
      </c>
      <c r="E1392" s="151" t="s">
        <v>6094</v>
      </c>
      <c r="F1392" s="151"/>
      <c r="G1392" s="52" t="str">
        <f t="shared" si="25"/>
        <v>A0 48:巨大婴儿石</v>
      </c>
    </row>
    <row r="1393" spans="1:7">
      <c r="A1393" s="24" t="s">
        <v>5650</v>
      </c>
      <c r="B1393" s="24" t="s">
        <v>5650</v>
      </c>
      <c r="C1393" s="24" t="s">
        <v>5983</v>
      </c>
      <c r="D1393" s="151" t="s">
        <v>6095</v>
      </c>
      <c r="E1393" s="151" t="s">
        <v>6096</v>
      </c>
      <c r="F1393" s="151"/>
      <c r="G1393" s="52" t="str">
        <f t="shared" si="25"/>
        <v>D5 4A:冥府琉璃</v>
      </c>
    </row>
    <row r="1394" spans="1:7">
      <c r="A1394" s="24" t="s">
        <v>5650</v>
      </c>
      <c r="B1394" s="24" t="s">
        <v>5650</v>
      </c>
      <c r="C1394" s="24" t="s">
        <v>5983</v>
      </c>
      <c r="D1394" s="151" t="s">
        <v>6097</v>
      </c>
      <c r="E1394" s="151" t="s">
        <v>6098</v>
      </c>
      <c r="F1394" s="151"/>
      <c r="G1394" s="52" t="str">
        <f t="shared" si="25"/>
        <v>D3 4E:禁雷晴明符</v>
      </c>
    </row>
    <row r="1395" spans="1:7">
      <c r="A1395" s="24" t="s">
        <v>5650</v>
      </c>
      <c r="B1395" s="24" t="s">
        <v>5650</v>
      </c>
      <c r="C1395" s="24" t="s">
        <v>5983</v>
      </c>
      <c r="D1395" s="151" t="s">
        <v>6099</v>
      </c>
      <c r="E1395" s="151" t="s">
        <v>6100</v>
      </c>
      <c r="F1395" s="151"/>
      <c r="G1395" s="52" t="str">
        <f t="shared" si="25"/>
        <v>1D 4F:客厅钥匙</v>
      </c>
    </row>
    <row r="1396" spans="1:7">
      <c r="A1396" s="24" t="s">
        <v>5650</v>
      </c>
      <c r="B1396" s="24" t="s">
        <v>5650</v>
      </c>
      <c r="C1396" s="24" t="s">
        <v>5983</v>
      </c>
      <c r="D1396" s="151" t="s">
        <v>6101</v>
      </c>
      <c r="E1396" s="151" t="s">
        <v>6102</v>
      </c>
      <c r="F1396" s="151"/>
      <c r="G1396" s="52" t="str">
        <f t="shared" si="25"/>
        <v>13 52:城门钥匙</v>
      </c>
    </row>
    <row r="1397" spans="1:7">
      <c r="A1397" s="24" t="s">
        <v>5650</v>
      </c>
      <c r="B1397" s="24" t="s">
        <v>5650</v>
      </c>
      <c r="C1397" s="24" t="s">
        <v>5983</v>
      </c>
      <c r="D1397" s="151" t="s">
        <v>6103</v>
      </c>
      <c r="E1397" s="151" t="s">
        <v>6104</v>
      </c>
      <c r="F1397" s="151"/>
      <c r="G1397" s="52" t="str">
        <f t="shared" si="25"/>
        <v>CB 56:振分发广光</v>
      </c>
    </row>
    <row r="1398" spans="1:7">
      <c r="A1398" s="24" t="s">
        <v>5650</v>
      </c>
      <c r="B1398" s="24" t="s">
        <v>5650</v>
      </c>
      <c r="C1398" s="24" t="s">
        <v>5983</v>
      </c>
      <c r="D1398" s="151" t="s">
        <v>6105</v>
      </c>
      <c r="E1398" s="151" t="s">
        <v>6106</v>
      </c>
      <c r="F1398" s="151"/>
      <c r="G1398" s="52" t="str">
        <f t="shared" si="25"/>
        <v>D8 5D:神篱的碎片</v>
      </c>
    </row>
    <row r="1399" spans="1:7">
      <c r="A1399" s="24" t="s">
        <v>5650</v>
      </c>
      <c r="B1399" s="24" t="s">
        <v>5650</v>
      </c>
      <c r="C1399" s="24" t="s">
        <v>5983</v>
      </c>
      <c r="D1399" s="151" t="s">
        <v>6107</v>
      </c>
      <c r="E1399" s="151" t="s">
        <v>6068</v>
      </c>
      <c r="F1399" s="151"/>
      <c r="G1399" s="52" t="str">
        <f t="shared" si="25"/>
        <v>0A 75:打火石</v>
      </c>
    </row>
    <row r="1400" spans="1:7">
      <c r="A1400" s="24" t="s">
        <v>5650</v>
      </c>
      <c r="B1400" s="24" t="s">
        <v>5650</v>
      </c>
      <c r="C1400" s="24" t="s">
        <v>5983</v>
      </c>
      <c r="D1400" s="151" t="s">
        <v>6108</v>
      </c>
      <c r="E1400" s="151" t="s">
        <v>6109</v>
      </c>
      <c r="F1400" s="151"/>
      <c r="G1400" s="52" t="str">
        <f t="shared" si="25"/>
        <v>31 78:华香唐糕点</v>
      </c>
    </row>
    <row r="1401" spans="1:7">
      <c r="A1401" s="24" t="s">
        <v>5650</v>
      </c>
      <c r="B1401" s="24" t="s">
        <v>5650</v>
      </c>
      <c r="C1401" s="24" t="s">
        <v>5983</v>
      </c>
      <c r="D1401" s="151" t="s">
        <v>6110</v>
      </c>
      <c r="E1401" s="151" t="s">
        <v>6111</v>
      </c>
      <c r="F1401" s="151"/>
      <c r="G1401" s="52" t="str">
        <f t="shared" si="25"/>
        <v>B5 7D:白色酒盅</v>
      </c>
    </row>
    <row r="1402" spans="1:7">
      <c r="A1402" s="24" t="s">
        <v>5650</v>
      </c>
      <c r="B1402" s="24" t="s">
        <v>5650</v>
      </c>
      <c r="C1402" s="24" t="s">
        <v>5983</v>
      </c>
      <c r="D1402" s="151" t="s">
        <v>6112</v>
      </c>
      <c r="E1402" s="151" t="s">
        <v>3314</v>
      </c>
      <c r="F1402" s="151"/>
      <c r="G1402" s="52" t="str">
        <f t="shared" si="25"/>
        <v>A3 82:童子切安纲</v>
      </c>
    </row>
    <row r="1403" spans="1:7">
      <c r="A1403" s="24" t="s">
        <v>5650</v>
      </c>
      <c r="B1403" s="24" t="s">
        <v>5650</v>
      </c>
      <c r="C1403" s="24" t="s">
        <v>5983</v>
      </c>
      <c r="D1403" s="151" t="s">
        <v>6113</v>
      </c>
      <c r="E1403" s="151" t="s">
        <v>6114</v>
      </c>
      <c r="F1403" s="151"/>
      <c r="G1403" s="52" t="str">
        <f t="shared" si="25"/>
        <v>66 83:禁水晴明符</v>
      </c>
    </row>
    <row r="1404" spans="1:7">
      <c r="A1404" s="24" t="s">
        <v>5650</v>
      </c>
      <c r="B1404" s="24" t="s">
        <v>5650</v>
      </c>
      <c r="C1404" s="24" t="s">
        <v>5983</v>
      </c>
      <c r="D1404" s="151" t="s">
        <v>6115</v>
      </c>
      <c r="E1404" s="151" t="s">
        <v>6116</v>
      </c>
      <c r="F1404" s="151"/>
      <c r="G1404" s="52" t="str">
        <f t="shared" si="25"/>
        <v>A2 84:手折梅</v>
      </c>
    </row>
    <row r="1405" spans="1:7">
      <c r="A1405" s="24" t="s">
        <v>5650</v>
      </c>
      <c r="B1405" s="24" t="s">
        <v>5650</v>
      </c>
      <c r="C1405" s="24" t="s">
        <v>5983</v>
      </c>
      <c r="D1405" s="151" t="s">
        <v>6117</v>
      </c>
      <c r="E1405" s="151" t="s">
        <v>6118</v>
      </c>
      <c r="F1405" s="151"/>
      <c r="G1405" s="52" t="str">
        <f t="shared" si="25"/>
        <v>61 88:番茄</v>
      </c>
    </row>
    <row r="1406" spans="1:7">
      <c r="A1406" s="24" t="s">
        <v>5650</v>
      </c>
      <c r="B1406" s="24" t="s">
        <v>5650</v>
      </c>
      <c r="C1406" s="24" t="s">
        <v>5983</v>
      </c>
      <c r="D1406" s="151" t="s">
        <v>6119</v>
      </c>
      <c r="E1406" s="151" t="s">
        <v>6120</v>
      </c>
      <c r="F1406" s="151"/>
      <c r="G1406" s="52" t="str">
        <f t="shared" si="25"/>
        <v>76 96:公案集</v>
      </c>
    </row>
    <row r="1407" spans="1:7">
      <c r="A1407" s="24" t="s">
        <v>5650</v>
      </c>
      <c r="B1407" s="24" t="s">
        <v>5650</v>
      </c>
      <c r="C1407" s="24" t="s">
        <v>5983</v>
      </c>
      <c r="D1407" s="151" t="s">
        <v>6121</v>
      </c>
      <c r="E1407" s="151" t="s">
        <v>6122</v>
      </c>
      <c r="F1407" s="151"/>
      <c r="G1407" s="52" t="str">
        <f t="shared" si="25"/>
        <v>94 97:大锻造铺的钥匙</v>
      </c>
    </row>
    <row r="1408" spans="1:7">
      <c r="A1408" s="24" t="s">
        <v>5650</v>
      </c>
      <c r="B1408" s="24" t="s">
        <v>5650</v>
      </c>
      <c r="C1408" s="24" t="s">
        <v>5983</v>
      </c>
      <c r="D1408" s="151" t="s">
        <v>6123</v>
      </c>
      <c r="E1408" s="151" t="s">
        <v>6124</v>
      </c>
      <c r="F1408" s="151"/>
      <c r="G1408" s="52" t="str">
        <f t="shared" si="25"/>
        <v>E4 A2:妖涎香</v>
      </c>
    </row>
    <row r="1409" spans="1:7">
      <c r="A1409" s="24" t="s">
        <v>5650</v>
      </c>
      <c r="B1409" s="24" t="s">
        <v>5650</v>
      </c>
      <c r="C1409" s="24" t="s">
        <v>5983</v>
      </c>
      <c r="D1409" s="151" t="s">
        <v>6125</v>
      </c>
      <c r="E1409" s="151" t="s">
        <v>6126</v>
      </c>
      <c r="F1409" s="151"/>
      <c r="G1409" s="52" t="str">
        <f t="shared" si="25"/>
        <v>35 AB:灯油皿</v>
      </c>
    </row>
    <row r="1410" spans="1:7">
      <c r="A1410" s="24" t="s">
        <v>5650</v>
      </c>
      <c r="B1410" s="24" t="s">
        <v>5650</v>
      </c>
      <c r="C1410" s="24" t="s">
        <v>5983</v>
      </c>
      <c r="D1410" s="151" t="s">
        <v>6127</v>
      </c>
      <c r="E1410" s="151" t="s">
        <v>6128</v>
      </c>
      <c r="F1410" s="151"/>
      <c r="G1410" s="52" t="str">
        <f t="shared" si="25"/>
        <v>29 AE:龙马的密信</v>
      </c>
    </row>
    <row r="1411" spans="1:7">
      <c r="A1411" s="24" t="s">
        <v>5650</v>
      </c>
      <c r="B1411" s="24" t="s">
        <v>5650</v>
      </c>
      <c r="C1411" s="24" t="s">
        <v>5983</v>
      </c>
      <c r="D1411" s="151" t="s">
        <v>6129</v>
      </c>
      <c r="E1411" s="151" t="s">
        <v>6130</v>
      </c>
      <c r="F1411" s="151"/>
      <c r="G1411" s="52" t="str">
        <f t="shared" si="25"/>
        <v>F2 B7:妖黄汤</v>
      </c>
    </row>
    <row r="1412" spans="1:7">
      <c r="A1412" s="24" t="s">
        <v>5650</v>
      </c>
      <c r="B1412" s="24" t="s">
        <v>5650</v>
      </c>
      <c r="C1412" s="24" t="s">
        <v>5983</v>
      </c>
      <c r="D1412" s="151" t="s">
        <v>6131</v>
      </c>
      <c r="E1412" s="151" t="s">
        <v>3738</v>
      </c>
      <c r="F1412" s="151"/>
      <c r="G1412" s="52" t="str">
        <f t="shared" si="25"/>
        <v>6C C3:安宅贞宗</v>
      </c>
    </row>
    <row r="1413" spans="1:7">
      <c r="A1413" s="24" t="s">
        <v>5650</v>
      </c>
      <c r="B1413" s="24" t="s">
        <v>5650</v>
      </c>
      <c r="C1413" s="24" t="s">
        <v>5983</v>
      </c>
      <c r="D1413" s="151" t="s">
        <v>6132</v>
      </c>
      <c r="E1413" s="151" t="s">
        <v>3734</v>
      </c>
      <c r="F1413" s="151"/>
      <c r="G1413" s="52" t="str">
        <f t="shared" si="25"/>
        <v>C9 C6:三日月宗近</v>
      </c>
    </row>
    <row r="1414" spans="1:7">
      <c r="A1414" s="24" t="s">
        <v>5650</v>
      </c>
      <c r="B1414" s="24" t="s">
        <v>5650</v>
      </c>
      <c r="C1414" s="24" t="s">
        <v>5983</v>
      </c>
      <c r="D1414" s="151" t="s">
        <v>6133</v>
      </c>
      <c r="E1414" s="151" t="s">
        <v>6134</v>
      </c>
      <c r="F1414" s="151"/>
      <c r="G1414" s="52" t="str">
        <f t="shared" si="25"/>
        <v>3E CF:茶器</v>
      </c>
    </row>
    <row r="1415" spans="1:7">
      <c r="A1415" s="24" t="s">
        <v>5650</v>
      </c>
      <c r="B1415" s="24" t="s">
        <v>5650</v>
      </c>
      <c r="C1415" s="24" t="s">
        <v>5983</v>
      </c>
      <c r="D1415" s="151" t="s">
        <v>6135</v>
      </c>
      <c r="E1415" s="151" t="s">
        <v>6136</v>
      </c>
      <c r="F1415" s="151"/>
      <c r="G1415" s="52" t="str">
        <f t="shared" si="25"/>
        <v>4E D0:裂开的酒盅</v>
      </c>
    </row>
    <row r="1416" spans="1:7">
      <c r="A1416" s="24" t="s">
        <v>5650</v>
      </c>
      <c r="B1416" s="24" t="s">
        <v>5650</v>
      </c>
      <c r="C1416" s="24" t="s">
        <v>5983</v>
      </c>
      <c r="D1416" s="151" t="s">
        <v>6137</v>
      </c>
      <c r="E1416" s="151" t="s">
        <v>6138</v>
      </c>
      <c r="F1416" s="151"/>
      <c r="G1416" s="52" t="str">
        <f t="shared" ref="G1416:G1479" si="26">D1416&amp;":"&amp;E1416</f>
        <v>8B D1:靛蓝梅花藻</v>
      </c>
    </row>
    <row r="1417" spans="1:7">
      <c r="A1417" s="24" t="s">
        <v>5650</v>
      </c>
      <c r="B1417" s="24" t="s">
        <v>5650</v>
      </c>
      <c r="C1417" s="24" t="s">
        <v>5983</v>
      </c>
      <c r="D1417" s="151" t="s">
        <v>6139</v>
      </c>
      <c r="E1417" s="151" t="s">
        <v>6140</v>
      </c>
      <c r="F1417" s="151"/>
      <c r="G1417" s="52" t="str">
        <f t="shared" si="26"/>
        <v>2F E0:神馔米</v>
      </c>
    </row>
    <row r="1418" spans="1:7">
      <c r="A1418" s="24" t="s">
        <v>5650</v>
      </c>
      <c r="B1418" s="24" t="s">
        <v>5650</v>
      </c>
      <c r="C1418" s="24" t="s">
        <v>5983</v>
      </c>
      <c r="D1418" s="151" t="s">
        <v>6141</v>
      </c>
      <c r="E1418" s="151" t="s">
        <v>3734</v>
      </c>
      <c r="F1418" s="151"/>
      <c r="G1418" s="52" t="str">
        <f t="shared" si="26"/>
        <v>37 E9:三日月宗近</v>
      </c>
    </row>
    <row r="1419" spans="1:7">
      <c r="A1419" s="24" t="s">
        <v>5650</v>
      </c>
      <c r="B1419" s="24" t="s">
        <v>5650</v>
      </c>
      <c r="C1419" s="24" t="s">
        <v>5983</v>
      </c>
      <c r="D1419" s="151" t="s">
        <v>6142</v>
      </c>
      <c r="E1419" s="151" t="s">
        <v>3314</v>
      </c>
      <c r="F1419" s="151"/>
      <c r="G1419" s="52" t="str">
        <f t="shared" si="26"/>
        <v>D5 EA:童子切安纲</v>
      </c>
    </row>
    <row r="1420" spans="1:7">
      <c r="A1420" s="24" t="s">
        <v>5650</v>
      </c>
      <c r="B1420" s="24" t="s">
        <v>5650</v>
      </c>
      <c r="C1420" s="24" t="s">
        <v>5983</v>
      </c>
      <c r="D1420" s="151" t="s">
        <v>6143</v>
      </c>
      <c r="E1420" s="151" t="s">
        <v>6144</v>
      </c>
      <c r="F1420" s="151"/>
      <c r="G1420" s="52" t="str">
        <f t="shared" si="26"/>
        <v>73 F8:青楼钥匙</v>
      </c>
    </row>
    <row r="1421" spans="1:7">
      <c r="A1421" s="24" t="s">
        <v>5650</v>
      </c>
      <c r="B1421" s="24" t="s">
        <v>6145</v>
      </c>
      <c r="C1421" s="24" t="s">
        <v>6146</v>
      </c>
      <c r="D1421" s="151" t="s">
        <v>6147</v>
      </c>
      <c r="E1421" s="151" t="s">
        <v>5618</v>
      </c>
      <c r="F1421" s="151"/>
      <c r="G1421" s="52" t="str">
        <f t="shared" si="26"/>
        <v>41 0E:黄泉水罐</v>
      </c>
    </row>
    <row r="1422" spans="1:7">
      <c r="A1422" s="24" t="s">
        <v>5650</v>
      </c>
      <c r="B1422" s="24" t="s">
        <v>6145</v>
      </c>
      <c r="C1422" s="24" t="s">
        <v>6146</v>
      </c>
      <c r="D1422" s="151" t="s">
        <v>6148</v>
      </c>
      <c r="E1422" s="151" t="s">
        <v>5540</v>
      </c>
      <c r="F1422" s="151"/>
      <c r="G1422" s="52" t="str">
        <f t="shared" si="26"/>
        <v>64 12:御风护符</v>
      </c>
    </row>
    <row r="1423" spans="1:7">
      <c r="A1423" s="24" t="s">
        <v>5650</v>
      </c>
      <c r="B1423" s="24" t="s">
        <v>6145</v>
      </c>
      <c r="C1423" s="24" t="s">
        <v>6146</v>
      </c>
      <c r="D1423" s="151" t="s">
        <v>6149</v>
      </c>
      <c r="E1423" s="151" t="s">
        <v>5538</v>
      </c>
      <c r="F1423" s="151"/>
      <c r="G1423" s="52" t="str">
        <f t="shared" si="26"/>
        <v>F0 1E:御雷护符</v>
      </c>
    </row>
    <row r="1424" spans="1:7">
      <c r="A1424" s="24" t="s">
        <v>5650</v>
      </c>
      <c r="B1424" s="24" t="s">
        <v>6145</v>
      </c>
      <c r="C1424" s="24" t="s">
        <v>6146</v>
      </c>
      <c r="D1424" s="151" t="s">
        <v>6150</v>
      </c>
      <c r="E1424" s="151" t="s">
        <v>6151</v>
      </c>
      <c r="F1424" s="151"/>
      <c r="G1424" s="52" t="str">
        <f t="shared" si="26"/>
        <v>EB 29:麻痹烟雾弹</v>
      </c>
    </row>
    <row r="1425" spans="1:7">
      <c r="A1425" s="24" t="s">
        <v>5650</v>
      </c>
      <c r="B1425" s="24" t="s">
        <v>6145</v>
      </c>
      <c r="C1425" s="24" t="s">
        <v>6146</v>
      </c>
      <c r="D1425" s="151" t="s">
        <v>6152</v>
      </c>
      <c r="E1425" s="151" t="s">
        <v>6153</v>
      </c>
      <c r="F1425" s="151"/>
      <c r="G1425" s="52" t="str">
        <f t="shared" si="26"/>
        <v>1C 2F:火箭</v>
      </c>
    </row>
    <row r="1426" spans="1:7">
      <c r="A1426" s="24" t="s">
        <v>5650</v>
      </c>
      <c r="B1426" s="24" t="s">
        <v>6145</v>
      </c>
      <c r="C1426" s="24" t="s">
        <v>6146</v>
      </c>
      <c r="D1426" s="151" t="s">
        <v>6154</v>
      </c>
      <c r="E1426" s="151" t="s">
        <v>5554</v>
      </c>
      <c r="F1426" s="151"/>
      <c r="G1426" s="52" t="str">
        <f t="shared" si="26"/>
        <v>70 34:箭矢毒药</v>
      </c>
    </row>
    <row r="1427" spans="1:7">
      <c r="A1427" s="24" t="s">
        <v>5650</v>
      </c>
      <c r="B1427" s="24" t="s">
        <v>6145</v>
      </c>
      <c r="C1427" s="24" t="s">
        <v>6146</v>
      </c>
      <c r="D1427" s="151" t="s">
        <v>6155</v>
      </c>
      <c r="E1427" s="151" t="s">
        <v>6156</v>
      </c>
      <c r="F1427" s="151"/>
      <c r="G1427" s="52" t="str">
        <f t="shared" si="26"/>
        <v>28 57:神篱之木</v>
      </c>
    </row>
    <row r="1428" spans="1:7">
      <c r="A1428" s="24" t="s">
        <v>5650</v>
      </c>
      <c r="B1428" s="24" t="s">
        <v>6145</v>
      </c>
      <c r="C1428" s="24" t="s">
        <v>6146</v>
      </c>
      <c r="D1428" s="151" t="s">
        <v>6157</v>
      </c>
      <c r="E1428" s="151" t="s">
        <v>6158</v>
      </c>
      <c r="F1428" s="151"/>
      <c r="G1428" s="52" t="str">
        <f t="shared" si="26"/>
        <v>02 58:毒烟雾弹</v>
      </c>
    </row>
    <row r="1429" spans="1:7">
      <c r="A1429" s="24" t="s">
        <v>5650</v>
      </c>
      <c r="B1429" s="24" t="s">
        <v>6145</v>
      </c>
      <c r="C1429" s="24" t="s">
        <v>6146</v>
      </c>
      <c r="D1429" s="151" t="s">
        <v>6159</v>
      </c>
      <c r="E1429" s="151" t="s">
        <v>5638</v>
      </c>
      <c r="F1429" s="151"/>
      <c r="G1429" s="52" t="str">
        <f t="shared" si="26"/>
        <v>87 73:缠雷护符</v>
      </c>
    </row>
    <row r="1430" spans="1:7">
      <c r="A1430" s="24" t="s">
        <v>5650</v>
      </c>
      <c r="B1430" s="24" t="s">
        <v>6145</v>
      </c>
      <c r="C1430" s="24" t="s">
        <v>6146</v>
      </c>
      <c r="D1430" s="151" t="s">
        <v>6160</v>
      </c>
      <c r="E1430" s="151" t="s">
        <v>5602</v>
      </c>
      <c r="F1430" s="151"/>
      <c r="G1430" s="52" t="str">
        <f t="shared" si="26"/>
        <v>94 73:岁杀神之酒</v>
      </c>
    </row>
    <row r="1431" spans="1:7">
      <c r="A1431" s="24" t="s">
        <v>5650</v>
      </c>
      <c r="B1431" s="24" t="s">
        <v>6145</v>
      </c>
      <c r="C1431" s="24" t="s">
        <v>6146</v>
      </c>
      <c r="D1431" s="151" t="s">
        <v>6161</v>
      </c>
      <c r="E1431" s="151" t="s">
        <v>5622</v>
      </c>
      <c r="F1431" s="151"/>
      <c r="G1431" s="52" t="str">
        <f t="shared" si="26"/>
        <v>0B 74:天狗团扇</v>
      </c>
    </row>
    <row r="1432" spans="1:7">
      <c r="A1432" s="24" t="s">
        <v>5650</v>
      </c>
      <c r="B1432" s="24" t="s">
        <v>6145</v>
      </c>
      <c r="C1432" s="24" t="s">
        <v>6146</v>
      </c>
      <c r="D1432" s="151" t="s">
        <v>6162</v>
      </c>
      <c r="E1432" s="151" t="s">
        <v>5521</v>
      </c>
      <c r="F1432" s="151"/>
      <c r="G1432" s="52" t="str">
        <f t="shared" si="26"/>
        <v>93 76:养身丹</v>
      </c>
    </row>
    <row r="1433" spans="1:7">
      <c r="A1433" s="24" t="s">
        <v>5650</v>
      </c>
      <c r="B1433" s="24" t="s">
        <v>6145</v>
      </c>
      <c r="C1433" s="24" t="s">
        <v>6146</v>
      </c>
      <c r="D1433" s="151" t="s">
        <v>6163</v>
      </c>
      <c r="E1433" s="151" t="s">
        <v>5634</v>
      </c>
      <c r="F1433" s="151"/>
      <c r="G1433" s="52" t="str">
        <f t="shared" si="26"/>
        <v>A3 7B:缠火护符</v>
      </c>
    </row>
    <row r="1434" spans="1:7">
      <c r="A1434" s="24" t="s">
        <v>5650</v>
      </c>
      <c r="B1434" s="24" t="s">
        <v>6145</v>
      </c>
      <c r="C1434" s="24" t="s">
        <v>6146</v>
      </c>
      <c r="D1434" s="151" t="s">
        <v>6164</v>
      </c>
      <c r="E1434" s="151" t="s">
        <v>5523</v>
      </c>
      <c r="F1434" s="151"/>
      <c r="G1434" s="52" t="str">
        <f t="shared" si="26"/>
        <v>F5 83:丰身丹</v>
      </c>
    </row>
    <row r="1435" spans="1:7">
      <c r="A1435" s="24" t="s">
        <v>5650</v>
      </c>
      <c r="B1435" s="24" t="s">
        <v>6145</v>
      </c>
      <c r="C1435" s="24" t="s">
        <v>6146</v>
      </c>
      <c r="D1435" s="151" t="s">
        <v>6165</v>
      </c>
      <c r="E1435" s="151" t="s">
        <v>5632</v>
      </c>
      <c r="F1435" s="151"/>
      <c r="G1435" s="52" t="str">
        <f t="shared" si="26"/>
        <v>B5 8D:石块</v>
      </c>
    </row>
    <row r="1436" spans="1:7">
      <c r="A1436" s="24" t="s">
        <v>5650</v>
      </c>
      <c r="B1436" s="24" t="s">
        <v>6145</v>
      </c>
      <c r="C1436" s="24" t="s">
        <v>6146</v>
      </c>
      <c r="D1436" s="151" t="s">
        <v>6166</v>
      </c>
      <c r="E1436" s="151" t="s">
        <v>5624</v>
      </c>
      <c r="F1436" s="151"/>
      <c r="G1436" s="52" t="str">
        <f t="shared" si="26"/>
        <v>ED 8F:御箭护符</v>
      </c>
    </row>
    <row r="1437" spans="1:7">
      <c r="A1437" s="24" t="s">
        <v>5650</v>
      </c>
      <c r="B1437" s="24" t="s">
        <v>6145</v>
      </c>
      <c r="C1437" s="24" t="s">
        <v>6146</v>
      </c>
      <c r="D1437" s="151" t="s">
        <v>6167</v>
      </c>
      <c r="E1437" s="151" t="s">
        <v>5558</v>
      </c>
      <c r="F1437" s="151"/>
      <c r="G1437" s="52" t="str">
        <f t="shared" si="26"/>
        <v>F1 93:箭矢火药</v>
      </c>
    </row>
    <row r="1438" spans="1:7">
      <c r="A1438" s="24" t="s">
        <v>5650</v>
      </c>
      <c r="B1438" s="24" t="s">
        <v>6145</v>
      </c>
      <c r="C1438" s="24" t="s">
        <v>6146</v>
      </c>
      <c r="D1438" s="151" t="s">
        <v>6168</v>
      </c>
      <c r="E1438" s="151" t="s">
        <v>6130</v>
      </c>
      <c r="F1438" s="151"/>
      <c r="G1438" s="52" t="str">
        <f t="shared" si="26"/>
        <v>E8 9B:妖黄汤</v>
      </c>
    </row>
    <row r="1439" spans="1:7">
      <c r="A1439" s="24" t="s">
        <v>5650</v>
      </c>
      <c r="B1439" s="24" t="s">
        <v>6145</v>
      </c>
      <c r="C1439" s="24" t="s">
        <v>6146</v>
      </c>
      <c r="D1439" s="151" t="s">
        <v>6169</v>
      </c>
      <c r="E1439" s="151" t="s">
        <v>5530</v>
      </c>
      <c r="F1439" s="151"/>
      <c r="G1439" s="52" t="str">
        <f t="shared" si="26"/>
        <v>26 9D:解麻针</v>
      </c>
    </row>
    <row r="1440" spans="1:7">
      <c r="A1440" s="24" t="s">
        <v>5650</v>
      </c>
      <c r="B1440" s="24" t="s">
        <v>6145</v>
      </c>
      <c r="C1440" s="24" t="s">
        <v>6146</v>
      </c>
      <c r="D1440" s="151" t="s">
        <v>6170</v>
      </c>
      <c r="E1440" s="151" t="s">
        <v>5525</v>
      </c>
      <c r="F1440" s="151"/>
      <c r="G1440" s="52" t="str">
        <f t="shared" si="26"/>
        <v>79 A2:神曲</v>
      </c>
    </row>
    <row r="1441" spans="1:7">
      <c r="A1441" s="24" t="s">
        <v>5650</v>
      </c>
      <c r="B1441" s="24" t="s">
        <v>6145</v>
      </c>
      <c r="C1441" s="24" t="s">
        <v>6146</v>
      </c>
      <c r="D1441" s="151" t="s">
        <v>6171</v>
      </c>
      <c r="E1441" s="151" t="s">
        <v>5564</v>
      </c>
      <c r="F1441" s="151"/>
      <c r="G1441" s="52" t="str">
        <f t="shared" si="26"/>
        <v>81 A2:虎驱术护符</v>
      </c>
    </row>
    <row r="1442" spans="1:7">
      <c r="A1442" s="24" t="s">
        <v>5650</v>
      </c>
      <c r="B1442" s="24" t="s">
        <v>6145</v>
      </c>
      <c r="C1442" s="24" t="s">
        <v>6146</v>
      </c>
      <c r="D1442" s="151" t="s">
        <v>6172</v>
      </c>
      <c r="E1442" s="151" t="s">
        <v>5534</v>
      </c>
      <c r="F1442" s="151"/>
      <c r="G1442" s="52" t="str">
        <f t="shared" si="26"/>
        <v>D1 AD:御火护符</v>
      </c>
    </row>
    <row r="1443" spans="1:7">
      <c r="A1443" s="24" t="s">
        <v>5650</v>
      </c>
      <c r="B1443" s="24" t="s">
        <v>6145</v>
      </c>
      <c r="C1443" s="24" t="s">
        <v>6146</v>
      </c>
      <c r="D1443" s="151" t="s">
        <v>6173</v>
      </c>
      <c r="E1443" s="151" t="s">
        <v>5532</v>
      </c>
      <c r="F1443" s="151"/>
      <c r="G1443" s="52" t="str">
        <f t="shared" si="26"/>
        <v>92 B4:香木原木</v>
      </c>
    </row>
    <row r="1444" spans="1:7">
      <c r="A1444" s="24" t="s">
        <v>5650</v>
      </c>
      <c r="B1444" s="24" t="s">
        <v>6145</v>
      </c>
      <c r="C1444" s="24" t="s">
        <v>6146</v>
      </c>
      <c r="D1444" s="151" t="s">
        <v>6174</v>
      </c>
      <c r="E1444" s="151" t="s">
        <v>5556</v>
      </c>
      <c r="F1444" s="151"/>
      <c r="G1444" s="52" t="str">
        <f t="shared" si="26"/>
        <v>6B B6:箭矢麻痹药</v>
      </c>
    </row>
    <row r="1445" spans="1:7">
      <c r="A1445" s="24" t="s">
        <v>5650</v>
      </c>
      <c r="B1445" s="24" t="s">
        <v>6145</v>
      </c>
      <c r="C1445" s="24" t="s">
        <v>6146</v>
      </c>
      <c r="D1445" s="151" t="s">
        <v>6175</v>
      </c>
      <c r="E1445" s="151" t="s">
        <v>5636</v>
      </c>
      <c r="F1445" s="151"/>
      <c r="G1445" s="52" t="str">
        <f t="shared" si="26"/>
        <v>E2 B8:缠水护符</v>
      </c>
    </row>
    <row r="1446" spans="1:7">
      <c r="A1446" s="24" t="s">
        <v>5650</v>
      </c>
      <c r="B1446" s="24" t="s">
        <v>6145</v>
      </c>
      <c r="C1446" s="24" t="s">
        <v>6146</v>
      </c>
      <c r="D1446" s="151" t="s">
        <v>6176</v>
      </c>
      <c r="E1446" s="151" t="s">
        <v>6156</v>
      </c>
      <c r="F1446" s="151"/>
      <c r="G1446" s="52" t="str">
        <f t="shared" si="26"/>
        <v>5B BA:神篱之木</v>
      </c>
    </row>
    <row r="1447" spans="1:7">
      <c r="A1447" s="24" t="s">
        <v>5650</v>
      </c>
      <c r="B1447" s="24" t="s">
        <v>6145</v>
      </c>
      <c r="C1447" s="24" t="s">
        <v>6146</v>
      </c>
      <c r="D1447" s="151" t="s">
        <v>6177</v>
      </c>
      <c r="E1447" s="151" t="s">
        <v>5616</v>
      </c>
      <c r="F1447" s="151"/>
      <c r="G1447" s="52" t="str">
        <f t="shared" si="26"/>
        <v>C3 BA:盐</v>
      </c>
    </row>
    <row r="1448" spans="1:7">
      <c r="A1448" s="24" t="s">
        <v>5650</v>
      </c>
      <c r="B1448" s="24" t="s">
        <v>6145</v>
      </c>
      <c r="C1448" s="24" t="s">
        <v>6146</v>
      </c>
      <c r="D1448" s="151" t="s">
        <v>6178</v>
      </c>
      <c r="E1448" s="151" t="s">
        <v>5554</v>
      </c>
      <c r="F1448" s="151"/>
      <c r="G1448" s="52" t="str">
        <f t="shared" si="26"/>
        <v>9A BB:箭矢毒药</v>
      </c>
    </row>
    <row r="1449" spans="1:7">
      <c r="A1449" s="24" t="s">
        <v>5650</v>
      </c>
      <c r="B1449" s="24" t="s">
        <v>6145</v>
      </c>
      <c r="C1449" s="24" t="s">
        <v>6146</v>
      </c>
      <c r="D1449" s="151" t="s">
        <v>6179</v>
      </c>
      <c r="E1449" s="151" t="s">
        <v>5610</v>
      </c>
      <c r="F1449" s="151"/>
      <c r="G1449" s="52" t="str">
        <f t="shared" si="26"/>
        <v>6A C2:妖香</v>
      </c>
    </row>
    <row r="1450" spans="1:7">
      <c r="A1450" s="24" t="s">
        <v>5650</v>
      </c>
      <c r="B1450" s="24" t="s">
        <v>6145</v>
      </c>
      <c r="C1450" s="24" t="s">
        <v>6146</v>
      </c>
      <c r="D1450" s="151" t="s">
        <v>6180</v>
      </c>
      <c r="E1450" s="151" t="s">
        <v>5548</v>
      </c>
      <c r="F1450" s="151"/>
      <c r="G1450" s="52" t="str">
        <f t="shared" si="26"/>
        <v>E9 C8:麻痹刃涂剂</v>
      </c>
    </row>
    <row r="1451" spans="1:7">
      <c r="A1451" s="24" t="s">
        <v>5650</v>
      </c>
      <c r="B1451" s="24" t="s">
        <v>6145</v>
      </c>
      <c r="C1451" s="24" t="s">
        <v>6146</v>
      </c>
      <c r="D1451" s="151" t="s">
        <v>6181</v>
      </c>
      <c r="E1451" s="151" t="s">
        <v>5604</v>
      </c>
      <c r="F1451" s="151"/>
      <c r="G1451" s="52" t="str">
        <f t="shared" si="26"/>
        <v>F6 CE:打磨粉</v>
      </c>
    </row>
    <row r="1452" spans="1:7">
      <c r="A1452" s="24" t="s">
        <v>5650</v>
      </c>
      <c r="B1452" s="24" t="s">
        <v>6145</v>
      </c>
      <c r="C1452" s="24" t="s">
        <v>6146</v>
      </c>
      <c r="D1452" s="151" t="s">
        <v>6182</v>
      </c>
      <c r="E1452" s="151" t="s">
        <v>5536</v>
      </c>
      <c r="F1452" s="151"/>
      <c r="G1452" s="52" t="str">
        <f t="shared" si="26"/>
        <v>CB D2:御水护符</v>
      </c>
    </row>
    <row r="1453" spans="1:7">
      <c r="A1453" s="24" t="s">
        <v>5650</v>
      </c>
      <c r="B1453" s="24" t="s">
        <v>6145</v>
      </c>
      <c r="C1453" s="24" t="s">
        <v>6146</v>
      </c>
      <c r="D1453" s="151" t="s">
        <v>6183</v>
      </c>
      <c r="E1453" s="151" t="s">
        <v>5634</v>
      </c>
      <c r="F1453" s="151"/>
      <c r="G1453" s="52" t="str">
        <f t="shared" si="26"/>
        <v>4F D7:缠火护符</v>
      </c>
    </row>
    <row r="1454" spans="1:7">
      <c r="A1454" s="24" t="s">
        <v>5650</v>
      </c>
      <c r="B1454" s="24" t="s">
        <v>6145</v>
      </c>
      <c r="C1454" s="24" t="s">
        <v>6146</v>
      </c>
      <c r="D1454" s="151" t="s">
        <v>6184</v>
      </c>
      <c r="E1454" s="151" t="s">
        <v>5640</v>
      </c>
      <c r="F1454" s="151"/>
      <c r="G1454" s="52" t="str">
        <f t="shared" si="26"/>
        <v>52 DB:缠风护符</v>
      </c>
    </row>
    <row r="1455" spans="1:7">
      <c r="A1455" s="24" t="s">
        <v>5650</v>
      </c>
      <c r="B1455" s="24" t="s">
        <v>6145</v>
      </c>
      <c r="C1455" s="24" t="s">
        <v>6146</v>
      </c>
      <c r="D1455" s="151" t="s">
        <v>6185</v>
      </c>
      <c r="E1455" s="151" t="s">
        <v>6186</v>
      </c>
      <c r="F1455" s="151"/>
      <c r="G1455" s="52" t="str">
        <f t="shared" si="26"/>
        <v>D5 E5:烟雾弹</v>
      </c>
    </row>
    <row r="1456" spans="1:7">
      <c r="A1456" s="24" t="s">
        <v>5650</v>
      </c>
      <c r="B1456" s="24" t="s">
        <v>6145</v>
      </c>
      <c r="C1456" s="24" t="s">
        <v>6146</v>
      </c>
      <c r="D1456" s="151" t="s">
        <v>6187</v>
      </c>
      <c r="E1456" s="151" t="s">
        <v>6188</v>
      </c>
      <c r="F1456" s="151"/>
      <c r="G1456" s="52" t="str">
        <f t="shared" si="26"/>
        <v>4E E8:箭</v>
      </c>
    </row>
    <row r="1457" spans="1:7">
      <c r="A1457" s="24" t="s">
        <v>5650</v>
      </c>
      <c r="B1457" s="24" t="s">
        <v>6145</v>
      </c>
      <c r="C1457" s="24" t="s">
        <v>6146</v>
      </c>
      <c r="D1457" s="151" t="s">
        <v>6189</v>
      </c>
      <c r="E1457" s="151" t="s">
        <v>5620</v>
      </c>
      <c r="F1457" s="151"/>
      <c r="G1457" s="52" t="str">
        <f t="shared" si="26"/>
        <v>8E EA:火男面具</v>
      </c>
    </row>
    <row r="1458" spans="1:7">
      <c r="A1458" s="24" t="s">
        <v>5650</v>
      </c>
      <c r="B1458" s="24" t="s">
        <v>6145</v>
      </c>
      <c r="C1458" s="24" t="s">
        <v>6146</v>
      </c>
      <c r="D1458" s="151" t="s">
        <v>6190</v>
      </c>
      <c r="E1458" s="151" t="s">
        <v>5523</v>
      </c>
      <c r="F1458" s="151"/>
      <c r="G1458" s="52" t="str">
        <f t="shared" si="26"/>
        <v>53 F2:丰身丹</v>
      </c>
    </row>
    <row r="1459" spans="1:7">
      <c r="A1459" s="24" t="s">
        <v>5650</v>
      </c>
      <c r="B1459" s="24" t="s">
        <v>6145</v>
      </c>
      <c r="C1459" s="24" t="s">
        <v>6146</v>
      </c>
      <c r="D1459" s="151" t="s">
        <v>6191</v>
      </c>
      <c r="E1459" s="151" t="s">
        <v>5528</v>
      </c>
      <c r="F1459" s="151"/>
      <c r="G1459" s="52" t="str">
        <f t="shared" si="26"/>
        <v>3E F3:解毒药</v>
      </c>
    </row>
    <row r="1460" spans="1:7">
      <c r="A1460" s="24" t="s">
        <v>5650</v>
      </c>
      <c r="B1460" s="24" t="s">
        <v>6145</v>
      </c>
      <c r="C1460" s="24" t="s">
        <v>6146</v>
      </c>
      <c r="D1460" s="151" t="s">
        <v>6192</v>
      </c>
      <c r="E1460" s="151" t="s">
        <v>5546</v>
      </c>
      <c r="F1460" s="151"/>
      <c r="G1460" s="52" t="str">
        <f t="shared" si="26"/>
        <v>66 FF:毒刃涂剂</v>
      </c>
    </row>
    <row r="1461" spans="1:7">
      <c r="A1461" s="24" t="s">
        <v>5650</v>
      </c>
      <c r="B1461" s="24" t="s">
        <v>6145</v>
      </c>
      <c r="C1461" s="24" t="s">
        <v>6193</v>
      </c>
      <c r="D1461" s="151" t="s">
        <v>6194</v>
      </c>
      <c r="E1461" s="151" t="s">
        <v>6195</v>
      </c>
      <c r="F1461" s="151"/>
      <c r="G1461" s="52" t="str">
        <f t="shared" si="26"/>
        <v>BB 00:克刚影身之法</v>
      </c>
    </row>
    <row r="1462" spans="1:7">
      <c r="A1462" s="24" t="s">
        <v>5650</v>
      </c>
      <c r="B1462" s="24" t="s">
        <v>6145</v>
      </c>
      <c r="C1462" s="24" t="s">
        <v>6193</v>
      </c>
      <c r="D1462" s="151" t="s">
        <v>6196</v>
      </c>
      <c r="E1462" s="151" t="s">
        <v>6197</v>
      </c>
      <c r="F1462" s="151"/>
      <c r="G1462" s="52" t="str">
        <f t="shared" si="26"/>
        <v>21 05:闪躲之法</v>
      </c>
    </row>
    <row r="1463" spans="1:7">
      <c r="A1463" s="24" t="s">
        <v>5650</v>
      </c>
      <c r="B1463" s="24" t="s">
        <v>6145</v>
      </c>
      <c r="C1463" s="24" t="s">
        <v>6193</v>
      </c>
      <c r="D1463" s="151" t="s">
        <v>6198</v>
      </c>
      <c r="E1463" s="151" t="s">
        <v>6199</v>
      </c>
      <c r="F1463" s="151"/>
      <c r="G1463" s="52" t="str">
        <f t="shared" si="26"/>
        <v>75 05:伏虎咆哮</v>
      </c>
    </row>
    <row r="1464" spans="1:7">
      <c r="A1464" s="24" t="s">
        <v>5650</v>
      </c>
      <c r="B1464" s="24" t="s">
        <v>6145</v>
      </c>
      <c r="C1464" s="24" t="s">
        <v>6193</v>
      </c>
      <c r="D1464" s="151" t="s">
        <v>6200</v>
      </c>
      <c r="E1464" s="151" t="s">
        <v>6201</v>
      </c>
      <c r="F1464" s="151"/>
      <c r="G1464" s="52" t="str">
        <f t="shared" si="26"/>
        <v>49 07:旋风锐气</v>
      </c>
    </row>
    <row r="1465" spans="1:7">
      <c r="A1465" s="24" t="s">
        <v>5650</v>
      </c>
      <c r="B1465" s="24" t="s">
        <v>6145</v>
      </c>
      <c r="C1465" s="24" t="s">
        <v>6193</v>
      </c>
      <c r="D1465" s="151" t="s">
        <v>6202</v>
      </c>
      <c r="E1465" s="151" t="s">
        <v>6203</v>
      </c>
      <c r="F1465" s="151"/>
      <c r="G1465" s="52" t="str">
        <f t="shared" si="26"/>
        <v>69 08:逆炎之法</v>
      </c>
    </row>
    <row r="1466" spans="1:7">
      <c r="A1466" s="24" t="s">
        <v>5650</v>
      </c>
      <c r="B1466" s="24" t="s">
        <v>6145</v>
      </c>
      <c r="C1466" s="24" t="s">
        <v>6193</v>
      </c>
      <c r="D1466" s="151" t="s">
        <v>6204</v>
      </c>
      <c r="E1466" s="151" t="s">
        <v>6205</v>
      </c>
      <c r="F1466" s="151"/>
      <c r="G1466" s="52" t="str">
        <f t="shared" si="26"/>
        <v>73 08:吼龙格挡</v>
      </c>
    </row>
    <row r="1467" spans="1:7">
      <c r="A1467" s="24" t="s">
        <v>5650</v>
      </c>
      <c r="B1467" s="24" t="s">
        <v>6145</v>
      </c>
      <c r="C1467" s="24" t="s">
        <v>6193</v>
      </c>
      <c r="D1467" s="151" t="s">
        <v>6206</v>
      </c>
      <c r="E1467" s="151" t="s">
        <v>6207</v>
      </c>
      <c r="F1467" s="151"/>
      <c r="G1467" s="52" t="str">
        <f t="shared" si="26"/>
        <v>60 0C:留灵之法</v>
      </c>
    </row>
    <row r="1468" spans="1:7">
      <c r="A1468" s="24" t="s">
        <v>5650</v>
      </c>
      <c r="B1468" s="24" t="s">
        <v>6145</v>
      </c>
      <c r="C1468" s="24" t="s">
        <v>6193</v>
      </c>
      <c r="D1468" s="151" t="s">
        <v>6208</v>
      </c>
      <c r="E1468" s="151" t="s">
        <v>6209</v>
      </c>
      <c r="F1468" s="151"/>
      <c r="G1468" s="52" t="str">
        <f t="shared" si="26"/>
        <v>BC 0C:克刚之利　改</v>
      </c>
    </row>
    <row r="1469" spans="1:7">
      <c r="A1469" s="24" t="s">
        <v>5650</v>
      </c>
      <c r="B1469" s="24" t="s">
        <v>6145</v>
      </c>
      <c r="C1469" s="24" t="s">
        <v>6193</v>
      </c>
      <c r="D1469" s="151" t="s">
        <v>6210</v>
      </c>
      <c r="E1469" s="151" t="s">
        <v>6211</v>
      </c>
      <c r="F1469" s="151"/>
      <c r="G1469" s="52" t="str">
        <f t="shared" si="26"/>
        <v>90 0D:反攻识破</v>
      </c>
    </row>
    <row r="1470" spans="1:7">
      <c r="A1470" s="24" t="s">
        <v>5650</v>
      </c>
      <c r="B1470" s="24" t="s">
        <v>6145</v>
      </c>
      <c r="C1470" s="24" t="s">
        <v>6193</v>
      </c>
      <c r="D1470" s="151" t="s">
        <v>6212</v>
      </c>
      <c r="E1470" s="151" t="s">
        <v>6213</v>
      </c>
      <c r="F1470" s="151"/>
      <c r="G1470" s="52" t="str">
        <f t="shared" si="26"/>
        <v>AD 0E:瞬间格挡之法</v>
      </c>
    </row>
    <row r="1471" spans="1:7">
      <c r="A1471" s="24" t="s">
        <v>5650</v>
      </c>
      <c r="B1471" s="24" t="s">
        <v>6145</v>
      </c>
      <c r="C1471" s="24" t="s">
        <v>6193</v>
      </c>
      <c r="D1471" s="151" t="s">
        <v>6214</v>
      </c>
      <c r="E1471" s="151" t="s">
        <v>6215</v>
      </c>
      <c r="F1471" s="151"/>
      <c r="G1471" s="52" t="str">
        <f t="shared" si="26"/>
        <v>C3 0F:灭气追击之法</v>
      </c>
    </row>
    <row r="1472" spans="1:7">
      <c r="A1472" s="24" t="s">
        <v>5650</v>
      </c>
      <c r="B1472" s="24" t="s">
        <v>6145</v>
      </c>
      <c r="C1472" s="24" t="s">
        <v>6193</v>
      </c>
      <c r="D1472" s="151" t="s">
        <v>6216</v>
      </c>
      <c r="E1472" s="151" t="s">
        <v>6217</v>
      </c>
      <c r="F1472" s="151"/>
      <c r="G1472" s="52" t="str">
        <f t="shared" si="26"/>
        <v>07 12:燕返</v>
      </c>
    </row>
    <row r="1473" spans="1:7">
      <c r="A1473" s="24" t="s">
        <v>5650</v>
      </c>
      <c r="B1473" s="24" t="s">
        <v>6145</v>
      </c>
      <c r="C1473" s="24" t="s">
        <v>6193</v>
      </c>
      <c r="D1473" s="151" t="s">
        <v>6218</v>
      </c>
      <c r="E1473" s="151" t="s">
        <v>6219</v>
      </c>
      <c r="F1473" s="151"/>
      <c r="G1473" s="52" t="str">
        <f t="shared" si="26"/>
        <v>2D 14:格挡好手</v>
      </c>
    </row>
    <row r="1474" spans="1:7">
      <c r="A1474" s="24" t="s">
        <v>5650</v>
      </c>
      <c r="B1474" s="24" t="s">
        <v>6145</v>
      </c>
      <c r="C1474" s="24" t="s">
        <v>6193</v>
      </c>
      <c r="D1474" s="151" t="s">
        <v>6220</v>
      </c>
      <c r="E1474" s="151" t="s">
        <v>6221</v>
      </c>
      <c r="F1474" s="151"/>
      <c r="G1474" s="52" t="str">
        <f t="shared" si="26"/>
        <v>B4 15:妖魅引导</v>
      </c>
    </row>
    <row r="1475" spans="1:7">
      <c r="A1475" s="24" t="s">
        <v>5650</v>
      </c>
      <c r="B1475" s="24" t="s">
        <v>6145</v>
      </c>
      <c r="C1475" s="24" t="s">
        <v>6193</v>
      </c>
      <c r="D1475" s="151" t="s">
        <v>6222</v>
      </c>
      <c r="E1475" s="151" t="s">
        <v>6223</v>
      </c>
      <c r="F1475" s="151"/>
      <c r="G1475" s="52" t="str">
        <f t="shared" si="26"/>
        <v>7F 18:背水之法</v>
      </c>
    </row>
    <row r="1476" spans="1:7">
      <c r="A1476" s="24" t="s">
        <v>5650</v>
      </c>
      <c r="B1476" s="24" t="s">
        <v>6145</v>
      </c>
      <c r="C1476" s="24" t="s">
        <v>6193</v>
      </c>
      <c r="D1476" s="151" t="s">
        <v>6224</v>
      </c>
      <c r="E1476" s="151" t="s">
        <v>6225</v>
      </c>
      <c r="F1476" s="151"/>
      <c r="G1476" s="52" t="str">
        <f t="shared" si="26"/>
        <v>66 1A:琢技诸刃之法</v>
      </c>
    </row>
    <row r="1477" spans="1:7">
      <c r="A1477" s="24" t="s">
        <v>5650</v>
      </c>
      <c r="B1477" s="24" t="s">
        <v>6145</v>
      </c>
      <c r="C1477" s="24" t="s">
        <v>6193</v>
      </c>
      <c r="D1477" s="151" t="s">
        <v>6226</v>
      </c>
      <c r="E1477" s="151" t="s">
        <v>6227</v>
      </c>
      <c r="F1477" s="151"/>
      <c r="G1477" s="52" t="str">
        <f t="shared" si="26"/>
        <v>FF 1A:使役强击之法</v>
      </c>
    </row>
    <row r="1478" spans="1:7">
      <c r="A1478" s="24" t="s">
        <v>5650</v>
      </c>
      <c r="B1478" s="24" t="s">
        <v>6145</v>
      </c>
      <c r="C1478" s="24" t="s">
        <v>6193</v>
      </c>
      <c r="D1478" s="151" t="s">
        <v>6228</v>
      </c>
      <c r="E1478" s="151" t="s">
        <v>6229</v>
      </c>
      <c r="F1478" s="151"/>
      <c r="G1478" s="52" t="str">
        <f t="shared" si="26"/>
        <v>28 1B:攻击心得　壹</v>
      </c>
    </row>
    <row r="1479" spans="1:7">
      <c r="A1479" s="24" t="s">
        <v>5650</v>
      </c>
      <c r="B1479" s="24" t="s">
        <v>6145</v>
      </c>
      <c r="C1479" s="24" t="s">
        <v>6193</v>
      </c>
      <c r="D1479" s="151" t="s">
        <v>6230</v>
      </c>
      <c r="E1479" s="151" t="s">
        <v>6231</v>
      </c>
      <c r="F1479" s="151"/>
      <c r="G1479" s="52" t="str">
        <f t="shared" si="26"/>
        <v>A9 1C:双头斩</v>
      </c>
    </row>
    <row r="1480" spans="1:7">
      <c r="A1480" s="24" t="s">
        <v>5650</v>
      </c>
      <c r="B1480" s="24" t="s">
        <v>6145</v>
      </c>
      <c r="C1480" s="24" t="s">
        <v>6193</v>
      </c>
      <c r="D1480" s="151" t="s">
        <v>6232</v>
      </c>
      <c r="E1480" s="151" t="s">
        <v>6233</v>
      </c>
      <c r="F1480" s="151"/>
      <c r="G1480" s="52" t="str">
        <f t="shared" ref="G1480:G1543" si="27">D1480&amp;":"&amp;E1480</f>
        <v>EF 1D:琢技坚固之法</v>
      </c>
    </row>
    <row r="1481" spans="1:7">
      <c r="A1481" s="24" t="s">
        <v>5650</v>
      </c>
      <c r="B1481" s="24" t="s">
        <v>6145</v>
      </c>
      <c r="C1481" s="24" t="s">
        <v>6193</v>
      </c>
      <c r="D1481" s="151" t="s">
        <v>6234</v>
      </c>
      <c r="E1481" s="151" t="s">
        <v>6235</v>
      </c>
      <c r="F1481" s="151"/>
      <c r="G1481" s="52" t="str">
        <f t="shared" si="27"/>
        <v>B6 1F:琢技持久法</v>
      </c>
    </row>
    <row r="1482" spans="1:7">
      <c r="A1482" s="24" t="s">
        <v>5650</v>
      </c>
      <c r="B1482" s="24" t="s">
        <v>6145</v>
      </c>
      <c r="C1482" s="24" t="s">
        <v>6193</v>
      </c>
      <c r="D1482" s="151" t="s">
        <v>6236</v>
      </c>
      <c r="E1482" s="151" t="s">
        <v>6237</v>
      </c>
      <c r="F1482" s="151"/>
      <c r="G1482" s="52" t="str">
        <f t="shared" si="27"/>
        <v>14 20:不顺逆用格挡</v>
      </c>
    </row>
    <row r="1483" spans="1:7">
      <c r="A1483" s="24" t="s">
        <v>5650</v>
      </c>
      <c r="B1483" s="24" t="s">
        <v>6145</v>
      </c>
      <c r="C1483" s="24" t="s">
        <v>6193</v>
      </c>
      <c r="D1483" s="151" t="s">
        <v>6238</v>
      </c>
      <c r="E1483" s="151" t="s">
        <v>6239</v>
      </c>
      <c r="F1483" s="151"/>
      <c r="G1483" s="52" t="str">
        <f t="shared" si="27"/>
        <v>4B 20:薮斩</v>
      </c>
    </row>
    <row r="1484" spans="1:7">
      <c r="A1484" s="24" t="s">
        <v>5650</v>
      </c>
      <c r="B1484" s="24" t="s">
        <v>6145</v>
      </c>
      <c r="C1484" s="24" t="s">
        <v>6193</v>
      </c>
      <c r="D1484" s="151" t="s">
        <v>6240</v>
      </c>
      <c r="E1484" s="151" t="s">
        <v>6241</v>
      </c>
      <c r="F1484" s="151"/>
      <c r="G1484" s="52" t="str">
        <f t="shared" si="27"/>
        <v>83 20:残月</v>
      </c>
    </row>
    <row r="1485" spans="1:7">
      <c r="A1485" s="24" t="s">
        <v>5650</v>
      </c>
      <c r="B1485" s="24" t="s">
        <v>6145</v>
      </c>
      <c r="C1485" s="24" t="s">
        <v>6193</v>
      </c>
      <c r="D1485" s="151" t="s">
        <v>6242</v>
      </c>
      <c r="E1485" s="151" t="s">
        <v>6243</v>
      </c>
      <c r="F1485" s="151"/>
      <c r="G1485" s="52" t="str">
        <f t="shared" si="27"/>
        <v>86 20:霞惑之法</v>
      </c>
    </row>
    <row r="1486" spans="1:7">
      <c r="A1486" s="24" t="s">
        <v>5650</v>
      </c>
      <c r="B1486" s="24" t="s">
        <v>6145</v>
      </c>
      <c r="C1486" s="24" t="s">
        <v>6193</v>
      </c>
      <c r="D1486" s="151" t="s">
        <v>6244</v>
      </c>
      <c r="E1486" s="151" t="s">
        <v>6245</v>
      </c>
      <c r="F1486" s="151"/>
      <c r="G1486" s="52" t="str">
        <f t="shared" si="27"/>
        <v>93 21:折刃格挡</v>
      </c>
    </row>
    <row r="1487" spans="1:7">
      <c r="A1487" s="24" t="s">
        <v>5650</v>
      </c>
      <c r="B1487" s="24" t="s">
        <v>6145</v>
      </c>
      <c r="C1487" s="24" t="s">
        <v>6193</v>
      </c>
      <c r="D1487" s="151" t="s">
        <v>6246</v>
      </c>
      <c r="E1487" s="151" t="s">
        <v>6247</v>
      </c>
      <c r="F1487" s="151"/>
      <c r="G1487" s="52" t="str">
        <f t="shared" si="27"/>
        <v>AA 21:刚健法　贰</v>
      </c>
    </row>
    <row r="1488" spans="1:7">
      <c r="A1488" s="24" t="s">
        <v>5650</v>
      </c>
      <c r="B1488" s="24" t="s">
        <v>6145</v>
      </c>
      <c r="C1488" s="24" t="s">
        <v>6193</v>
      </c>
      <c r="D1488" s="151" t="s">
        <v>6248</v>
      </c>
      <c r="E1488" s="151" t="s">
        <v>6249</v>
      </c>
      <c r="F1488" s="151"/>
      <c r="G1488" s="52" t="str">
        <f t="shared" si="27"/>
        <v>BC 21:落饭纲</v>
      </c>
    </row>
    <row r="1489" spans="1:7">
      <c r="A1489" s="24" t="s">
        <v>5650</v>
      </c>
      <c r="B1489" s="24" t="s">
        <v>6145</v>
      </c>
      <c r="C1489" s="24" t="s">
        <v>6193</v>
      </c>
      <c r="D1489" s="151" t="s">
        <v>6250</v>
      </c>
      <c r="E1489" s="151" t="s">
        <v>6251</v>
      </c>
      <c r="F1489" s="151"/>
      <c r="G1489" s="52" t="str">
        <f t="shared" si="27"/>
        <v>C5 21:忍技乱击之法</v>
      </c>
    </row>
    <row r="1490" spans="1:7">
      <c r="A1490" s="24" t="s">
        <v>5650</v>
      </c>
      <c r="B1490" s="24" t="s">
        <v>6145</v>
      </c>
      <c r="C1490" s="24" t="s">
        <v>6193</v>
      </c>
      <c r="D1490" s="151" t="s">
        <v>6252</v>
      </c>
      <c r="E1490" s="151" t="s">
        <v>6253</v>
      </c>
      <c r="F1490" s="151"/>
      <c r="G1490" s="52" t="str">
        <f t="shared" si="27"/>
        <v>5C 22:转心流击之法</v>
      </c>
    </row>
    <row r="1491" spans="1:7">
      <c r="A1491" s="24" t="s">
        <v>5650</v>
      </c>
      <c r="B1491" s="24" t="s">
        <v>6145</v>
      </c>
      <c r="C1491" s="24" t="s">
        <v>6193</v>
      </c>
      <c r="D1491" s="151" t="s">
        <v>6254</v>
      </c>
      <c r="E1491" s="151" t="s">
        <v>6255</v>
      </c>
      <c r="F1491" s="151"/>
      <c r="G1491" s="52" t="str">
        <f t="shared" si="27"/>
        <v>66 23:忍术连锁之法</v>
      </c>
    </row>
    <row r="1492" spans="1:7">
      <c r="A1492" s="24" t="s">
        <v>5650</v>
      </c>
      <c r="B1492" s="24" t="s">
        <v>6145</v>
      </c>
      <c r="C1492" s="24" t="s">
        <v>6193</v>
      </c>
      <c r="D1492" s="151" t="s">
        <v>6256</v>
      </c>
      <c r="E1492" s="151" t="s">
        <v>6257</v>
      </c>
      <c r="F1492" s="151"/>
      <c r="G1492" s="52" t="str">
        <f t="shared" si="27"/>
        <v>D0 23:识破好手</v>
      </c>
    </row>
    <row r="1493" spans="1:7">
      <c r="A1493" s="24" t="s">
        <v>5650</v>
      </c>
      <c r="B1493" s="24" t="s">
        <v>6145</v>
      </c>
      <c r="C1493" s="24" t="s">
        <v>6193</v>
      </c>
      <c r="D1493" s="151" t="s">
        <v>6258</v>
      </c>
      <c r="E1493" s="151" t="s">
        <v>6259</v>
      </c>
      <c r="F1493" s="151"/>
      <c r="G1493" s="52" t="str">
        <f t="shared" si="27"/>
        <v>59 26:飞击之法</v>
      </c>
    </row>
    <row r="1494" spans="1:7">
      <c r="A1494" s="24" t="s">
        <v>5650</v>
      </c>
      <c r="B1494" s="24" t="s">
        <v>6145</v>
      </c>
      <c r="C1494" s="24" t="s">
        <v>6193</v>
      </c>
      <c r="D1494" s="151" t="s">
        <v>6260</v>
      </c>
      <c r="E1494" s="151" t="s">
        <v>6261</v>
      </c>
      <c r="F1494" s="151"/>
      <c r="G1494" s="52" t="str">
        <f t="shared" si="27"/>
        <v>AB 2A:转心昂扬之法</v>
      </c>
    </row>
    <row r="1495" spans="1:7">
      <c r="A1495" s="24" t="s">
        <v>5650</v>
      </c>
      <c r="B1495" s="24" t="s">
        <v>6145</v>
      </c>
      <c r="C1495" s="24" t="s">
        <v>6193</v>
      </c>
      <c r="D1495" s="151" t="s">
        <v>6262</v>
      </c>
      <c r="E1495" s="151" t="s">
        <v>6263</v>
      </c>
      <c r="F1495" s="151"/>
      <c r="G1495" s="52" t="str">
        <f t="shared" si="27"/>
        <v>0B 2C:使役妙法</v>
      </c>
    </row>
    <row r="1496" spans="1:7">
      <c r="A1496" s="24" t="s">
        <v>5650</v>
      </c>
      <c r="B1496" s="24" t="s">
        <v>6145</v>
      </c>
      <c r="C1496" s="24" t="s">
        <v>6193</v>
      </c>
      <c r="D1496" s="151" t="s">
        <v>6264</v>
      </c>
      <c r="E1496" s="151" t="s">
        <v>6265</v>
      </c>
      <c r="F1496" s="151"/>
      <c r="G1496" s="52" t="str">
        <f t="shared" si="27"/>
        <v>74 2D:灵技琢技之法</v>
      </c>
    </row>
    <row r="1497" spans="1:7">
      <c r="A1497" s="24" t="s">
        <v>5650</v>
      </c>
      <c r="B1497" s="24" t="s">
        <v>6145</v>
      </c>
      <c r="C1497" s="24" t="s">
        <v>6193</v>
      </c>
      <c r="D1497" s="151" t="s">
        <v>6266</v>
      </c>
      <c r="E1497" s="151" t="s">
        <v>6267</v>
      </c>
      <c r="F1497" s="151"/>
      <c r="G1497" s="52" t="str">
        <f t="shared" si="27"/>
        <v>A5 2F:克刚昂神之法</v>
      </c>
    </row>
    <row r="1498" spans="1:7">
      <c r="A1498" s="24" t="s">
        <v>5650</v>
      </c>
      <c r="B1498" s="24" t="s">
        <v>6145</v>
      </c>
      <c r="C1498" s="24" t="s">
        <v>6193</v>
      </c>
      <c r="D1498" s="151" t="s">
        <v>6268</v>
      </c>
      <c r="E1498" s="151" t="s">
        <v>6269</v>
      </c>
      <c r="F1498" s="151"/>
      <c r="G1498" s="52" t="str">
        <f t="shared" si="27"/>
        <v>4B 31:跃动之法</v>
      </c>
    </row>
    <row r="1499" spans="1:7">
      <c r="A1499" s="24" t="s">
        <v>5650</v>
      </c>
      <c r="B1499" s="24" t="s">
        <v>6145</v>
      </c>
      <c r="C1499" s="24" t="s">
        <v>6193</v>
      </c>
      <c r="D1499" s="151" t="s">
        <v>6270</v>
      </c>
      <c r="E1499" s="151" t="s">
        <v>6271</v>
      </c>
      <c r="F1499" s="151"/>
      <c r="G1499" s="52" t="str">
        <f t="shared" si="27"/>
        <v>3E 32:残心之心得</v>
      </c>
    </row>
    <row r="1500" spans="1:7">
      <c r="A1500" s="24" t="s">
        <v>5650</v>
      </c>
      <c r="B1500" s="24" t="s">
        <v>6145</v>
      </c>
      <c r="C1500" s="24" t="s">
        <v>6193</v>
      </c>
      <c r="D1500" s="151" t="s">
        <v>6272</v>
      </c>
      <c r="E1500" s="151" t="s">
        <v>6273</v>
      </c>
      <c r="F1500" s="151"/>
      <c r="G1500" s="52" t="str">
        <f t="shared" si="27"/>
        <v>78 33:通灵法</v>
      </c>
    </row>
    <row r="1501" spans="1:7">
      <c r="A1501" s="24" t="s">
        <v>5650</v>
      </c>
      <c r="B1501" s="24" t="s">
        <v>6145</v>
      </c>
      <c r="C1501" s="24" t="s">
        <v>6193</v>
      </c>
      <c r="D1501" s="151" t="s">
        <v>6274</v>
      </c>
      <c r="E1501" s="151" t="s">
        <v>6275</v>
      </c>
      <c r="F1501" s="151"/>
      <c r="G1501" s="52" t="str">
        <f t="shared" si="27"/>
        <v>DF 33:幻术升腾之法</v>
      </c>
    </row>
    <row r="1502" spans="1:7">
      <c r="A1502" s="24" t="s">
        <v>5650</v>
      </c>
      <c r="B1502" s="24" t="s">
        <v>6145</v>
      </c>
      <c r="C1502" s="24" t="s">
        <v>6193</v>
      </c>
      <c r="D1502" s="151" t="s">
        <v>6276</v>
      </c>
      <c r="E1502" s="151" t="s">
        <v>6277</v>
      </c>
      <c r="F1502" s="151"/>
      <c r="G1502" s="52" t="str">
        <f t="shared" si="27"/>
        <v>75 34:阳之刹那</v>
      </c>
    </row>
    <row r="1503" spans="1:7">
      <c r="A1503" s="24" t="s">
        <v>5650</v>
      </c>
      <c r="B1503" s="24" t="s">
        <v>6145</v>
      </c>
      <c r="C1503" s="24" t="s">
        <v>6193</v>
      </c>
      <c r="D1503" s="151" t="s">
        <v>6278</v>
      </c>
      <c r="E1503" s="151" t="s">
        <v>6279</v>
      </c>
      <c r="F1503" s="151"/>
      <c r="G1503" s="52" t="str">
        <f t="shared" si="27"/>
        <v>EF 34:凤鸣斩</v>
      </c>
    </row>
    <row r="1504" spans="1:7">
      <c r="A1504" s="24" t="s">
        <v>5650</v>
      </c>
      <c r="B1504" s="24" t="s">
        <v>6145</v>
      </c>
      <c r="C1504" s="24" t="s">
        <v>6193</v>
      </c>
      <c r="D1504" s="151" t="s">
        <v>6280</v>
      </c>
      <c r="E1504" s="151" t="s">
        <v>6281</v>
      </c>
      <c r="F1504" s="151"/>
      <c r="G1504" s="52" t="str">
        <f t="shared" si="27"/>
        <v>E0 38:吸灵之法</v>
      </c>
    </row>
    <row r="1505" spans="1:7">
      <c r="A1505" s="24" t="s">
        <v>5650</v>
      </c>
      <c r="B1505" s="24" t="s">
        <v>6145</v>
      </c>
      <c r="C1505" s="24" t="s">
        <v>6193</v>
      </c>
      <c r="D1505" s="151" t="s">
        <v>6282</v>
      </c>
      <c r="E1505" s="151" t="s">
        <v>6283</v>
      </c>
      <c r="F1505" s="151"/>
      <c r="G1505" s="52" t="str">
        <f t="shared" si="27"/>
        <v>15 3A:狩天鼠</v>
      </c>
    </row>
    <row r="1506" spans="1:7">
      <c r="A1506" s="24" t="s">
        <v>5650</v>
      </c>
      <c r="B1506" s="24" t="s">
        <v>6145</v>
      </c>
      <c r="C1506" s="24" t="s">
        <v>6193</v>
      </c>
      <c r="D1506" s="151" t="s">
        <v>6284</v>
      </c>
      <c r="E1506" s="151" t="s">
        <v>6285</v>
      </c>
      <c r="F1506" s="151"/>
      <c r="G1506" s="52" t="str">
        <f t="shared" si="27"/>
        <v>7C 3C:秘剑·泽雾</v>
      </c>
    </row>
    <row r="1507" spans="1:7">
      <c r="A1507" s="24" t="s">
        <v>5650</v>
      </c>
      <c r="B1507" s="24" t="s">
        <v>6145</v>
      </c>
      <c r="C1507" s="24" t="s">
        <v>6193</v>
      </c>
      <c r="D1507" s="151" t="s">
        <v>6286</v>
      </c>
      <c r="E1507" s="151" t="s">
        <v>6287</v>
      </c>
      <c r="F1507" s="151"/>
      <c r="G1507" s="52" t="str">
        <f t="shared" si="27"/>
        <v>86 3C:幻龙之法</v>
      </c>
    </row>
    <row r="1508" spans="1:7">
      <c r="A1508" s="24" t="s">
        <v>5650</v>
      </c>
      <c r="B1508" s="24" t="s">
        <v>6145</v>
      </c>
      <c r="C1508" s="24" t="s">
        <v>6193</v>
      </c>
      <c r="D1508" s="151" t="s">
        <v>6288</v>
      </c>
      <c r="E1508" s="151" t="s">
        <v>6289</v>
      </c>
      <c r="F1508" s="151"/>
      <c r="G1508" s="52" t="str">
        <f t="shared" si="27"/>
        <v>11 3E:拟武杀法</v>
      </c>
    </row>
    <row r="1509" spans="1:7">
      <c r="A1509" s="24" t="s">
        <v>5650</v>
      </c>
      <c r="B1509" s="24" t="s">
        <v>6145</v>
      </c>
      <c r="C1509" s="24" t="s">
        <v>6193</v>
      </c>
      <c r="D1509" s="151" t="s">
        <v>6290</v>
      </c>
      <c r="E1509" s="151" t="s">
        <v>6291</v>
      </c>
      <c r="F1509" s="151"/>
      <c r="G1509" s="52" t="str">
        <f t="shared" si="27"/>
        <v>AA 40:贯彻之法</v>
      </c>
    </row>
    <row r="1510" spans="1:7">
      <c r="A1510" s="24" t="s">
        <v>5650</v>
      </c>
      <c r="B1510" s="24" t="s">
        <v>6145</v>
      </c>
      <c r="C1510" s="24" t="s">
        <v>6193</v>
      </c>
      <c r="D1510" s="151" t="s">
        <v>6292</v>
      </c>
      <c r="E1510" s="151" t="s">
        <v>6293</v>
      </c>
      <c r="F1510" s="151"/>
      <c r="G1510" s="52" t="str">
        <f t="shared" si="27"/>
        <v>D0 40:月风扫斩</v>
      </c>
    </row>
    <row r="1511" spans="1:7">
      <c r="A1511" s="24" t="s">
        <v>5650</v>
      </c>
      <c r="B1511" s="24" t="s">
        <v>6145</v>
      </c>
      <c r="C1511" s="24" t="s">
        <v>6193</v>
      </c>
      <c r="D1511" s="151" t="s">
        <v>6294</v>
      </c>
      <c r="E1511" s="151" t="s">
        <v>6295</v>
      </c>
      <c r="F1511" s="151"/>
      <c r="G1511" s="52" t="str">
        <f t="shared" si="27"/>
        <v>29 43:望月之型</v>
      </c>
    </row>
    <row r="1512" spans="1:7">
      <c r="A1512" s="24" t="s">
        <v>5650</v>
      </c>
      <c r="B1512" s="24" t="s">
        <v>6145</v>
      </c>
      <c r="C1512" s="24" t="s">
        <v>6193</v>
      </c>
      <c r="D1512" s="151" t="s">
        <v>6296</v>
      </c>
      <c r="E1512" s="151" t="s">
        <v>6297</v>
      </c>
      <c r="F1512" s="151"/>
      <c r="G1512" s="52" t="str">
        <f t="shared" si="27"/>
        <v>40 46:阴阳妙法</v>
      </c>
    </row>
    <row r="1513" spans="1:7">
      <c r="A1513" s="24" t="s">
        <v>5650</v>
      </c>
      <c r="B1513" s="24" t="s">
        <v>6145</v>
      </c>
      <c r="C1513" s="24" t="s">
        <v>6193</v>
      </c>
      <c r="D1513" s="151" t="s">
        <v>6298</v>
      </c>
      <c r="E1513" s="151" t="s">
        <v>6299</v>
      </c>
      <c r="F1513" s="151"/>
      <c r="G1513" s="52" t="str">
        <f t="shared" si="27"/>
        <v>63 46:毒牙之法</v>
      </c>
    </row>
    <row r="1514" spans="1:7">
      <c r="A1514" s="24" t="s">
        <v>5650</v>
      </c>
      <c r="B1514" s="24" t="s">
        <v>6145</v>
      </c>
      <c r="C1514" s="24" t="s">
        <v>6193</v>
      </c>
      <c r="D1514" s="151" t="s">
        <v>6300</v>
      </c>
      <c r="E1514" s="151" t="s">
        <v>6301</v>
      </c>
      <c r="F1514" s="151"/>
      <c r="G1514" s="52" t="str">
        <f t="shared" si="27"/>
        <v>AE 48:祓除常世·天</v>
      </c>
    </row>
    <row r="1515" spans="1:7">
      <c r="A1515" s="24" t="s">
        <v>5650</v>
      </c>
      <c r="B1515" s="24" t="s">
        <v>6145</v>
      </c>
      <c r="C1515" s="24" t="s">
        <v>6193</v>
      </c>
      <c r="D1515" s="151" t="s">
        <v>6302</v>
      </c>
      <c r="E1515" s="151" t="s">
        <v>6303</v>
      </c>
      <c r="F1515" s="151"/>
      <c r="G1515" s="52" t="str">
        <f t="shared" si="27"/>
        <v>AB 4B:转攻之法</v>
      </c>
    </row>
    <row r="1516" spans="1:7">
      <c r="A1516" s="24" t="s">
        <v>5650</v>
      </c>
      <c r="B1516" s="24" t="s">
        <v>6145</v>
      </c>
      <c r="C1516" s="24" t="s">
        <v>6193</v>
      </c>
      <c r="D1516" s="151" t="s">
        <v>6304</v>
      </c>
      <c r="E1516" s="151" t="s">
        <v>6305</v>
      </c>
      <c r="F1516" s="151"/>
      <c r="G1516" s="52" t="str">
        <f t="shared" si="27"/>
        <v>53 4C:克刚遁机之法</v>
      </c>
    </row>
    <row r="1517" spans="1:7">
      <c r="A1517" s="24" t="s">
        <v>5650</v>
      </c>
      <c r="B1517" s="24" t="s">
        <v>6145</v>
      </c>
      <c r="C1517" s="24" t="s">
        <v>6193</v>
      </c>
      <c r="D1517" s="151" t="s">
        <v>6306</v>
      </c>
      <c r="E1517" s="151" t="s">
        <v>6307</v>
      </c>
      <c r="F1517" s="151"/>
      <c r="G1517" s="52" t="str">
        <f t="shared" si="27"/>
        <v>76 4D:护身幔之法</v>
      </c>
    </row>
    <row r="1518" spans="1:7">
      <c r="A1518" s="24" t="s">
        <v>5650</v>
      </c>
      <c r="B1518" s="24" t="s">
        <v>6145</v>
      </c>
      <c r="C1518" s="24" t="s">
        <v>6193</v>
      </c>
      <c r="D1518" s="151" t="s">
        <v>6308</v>
      </c>
      <c r="E1518" s="151" t="s">
        <v>6309</v>
      </c>
      <c r="F1518" s="151"/>
      <c r="G1518" s="52" t="str">
        <f t="shared" si="27"/>
        <v>29 4E:白虎连爪</v>
      </c>
    </row>
    <row r="1519" spans="1:7">
      <c r="A1519" s="24" t="s">
        <v>5650</v>
      </c>
      <c r="B1519" s="24" t="s">
        <v>6145</v>
      </c>
      <c r="C1519" s="24" t="s">
        <v>6193</v>
      </c>
      <c r="D1519" s="151" t="s">
        <v>6310</v>
      </c>
      <c r="E1519" s="151" t="s">
        <v>6311</v>
      </c>
      <c r="F1519" s="151"/>
      <c r="G1519" s="52" t="str">
        <f t="shared" si="27"/>
        <v>57 4E:琢技夺灵之法</v>
      </c>
    </row>
    <row r="1520" spans="1:7">
      <c r="A1520" s="24" t="s">
        <v>5650</v>
      </c>
      <c r="B1520" s="24" t="s">
        <v>6145</v>
      </c>
      <c r="C1520" s="24" t="s">
        <v>6193</v>
      </c>
      <c r="D1520" s="151" t="s">
        <v>6312</v>
      </c>
      <c r="E1520" s="151" t="s">
        <v>6313</v>
      </c>
      <c r="F1520" s="151"/>
      <c r="G1520" s="52" t="str">
        <f t="shared" si="27"/>
        <v>60 4F:克刚昂灵之法</v>
      </c>
    </row>
    <row r="1521" spans="1:7">
      <c r="A1521" s="24" t="s">
        <v>5650</v>
      </c>
      <c r="B1521" s="24" t="s">
        <v>6145</v>
      </c>
      <c r="C1521" s="24" t="s">
        <v>6193</v>
      </c>
      <c r="D1521" s="151" t="s">
        <v>6314</v>
      </c>
      <c r="E1521" s="151" t="s">
        <v>6315</v>
      </c>
      <c r="F1521" s="151"/>
      <c r="G1521" s="52" t="str">
        <f t="shared" si="27"/>
        <v>6F 4F:琢技布局之法</v>
      </c>
    </row>
    <row r="1522" spans="1:7">
      <c r="A1522" s="24" t="s">
        <v>5650</v>
      </c>
      <c r="B1522" s="24" t="s">
        <v>6145</v>
      </c>
      <c r="C1522" s="24" t="s">
        <v>6193</v>
      </c>
      <c r="D1522" s="151" t="s">
        <v>6316</v>
      </c>
      <c r="E1522" s="151" t="s">
        <v>6317</v>
      </c>
      <c r="F1522" s="151"/>
      <c r="G1522" s="52" t="str">
        <f t="shared" si="27"/>
        <v>12 50:风车手里剑</v>
      </c>
    </row>
    <row r="1523" spans="1:7">
      <c r="A1523" s="24" t="s">
        <v>5650</v>
      </c>
      <c r="B1523" s="24" t="s">
        <v>6145</v>
      </c>
      <c r="C1523" s="24" t="s">
        <v>6193</v>
      </c>
      <c r="D1523" s="151" t="s">
        <v>6318</v>
      </c>
      <c r="E1523" s="151" t="s">
        <v>6319</v>
      </c>
      <c r="F1523" s="151"/>
      <c r="G1523" s="52" t="str">
        <f t="shared" si="27"/>
        <v>55 51:格挡脚法</v>
      </c>
    </row>
    <row r="1524" spans="1:7">
      <c r="A1524" s="24" t="s">
        <v>5650</v>
      </c>
      <c r="B1524" s="24" t="s">
        <v>6145</v>
      </c>
      <c r="C1524" s="24" t="s">
        <v>6193</v>
      </c>
      <c r="D1524" s="151" t="s">
        <v>6320</v>
      </c>
      <c r="E1524" s="151" t="s">
        <v>6321</v>
      </c>
      <c r="F1524" s="151"/>
      <c r="G1524" s="52" t="str">
        <f t="shared" si="27"/>
        <v>D6 54:重来之法</v>
      </c>
    </row>
    <row r="1525" spans="1:7">
      <c r="A1525" s="24" t="s">
        <v>5650</v>
      </c>
      <c r="B1525" s="24" t="s">
        <v>6145</v>
      </c>
      <c r="C1525" s="24" t="s">
        <v>6193</v>
      </c>
      <c r="D1525" s="151" t="s">
        <v>6322</v>
      </c>
      <c r="E1525" s="151" t="s">
        <v>6323</v>
      </c>
      <c r="F1525" s="151"/>
      <c r="G1525" s="52" t="str">
        <f t="shared" si="27"/>
        <v>2F 55:逆风火炎之法</v>
      </c>
    </row>
    <row r="1526" spans="1:7">
      <c r="A1526" s="24" t="s">
        <v>5650</v>
      </c>
      <c r="B1526" s="24" t="s">
        <v>6145</v>
      </c>
      <c r="C1526" s="24" t="s">
        <v>6193</v>
      </c>
      <c r="D1526" s="151" t="s">
        <v>6324</v>
      </c>
      <c r="E1526" s="151" t="s">
        <v>6325</v>
      </c>
      <c r="F1526" s="151"/>
      <c r="G1526" s="52" t="str">
        <f t="shared" si="27"/>
        <v>90 5A:刚力之法</v>
      </c>
    </row>
    <row r="1527" spans="1:7">
      <c r="A1527" s="24" t="s">
        <v>5650</v>
      </c>
      <c r="B1527" s="24" t="s">
        <v>6145</v>
      </c>
      <c r="C1527" s="24" t="s">
        <v>6193</v>
      </c>
      <c r="D1527" s="151" t="s">
        <v>6326</v>
      </c>
      <c r="E1527" s="151" t="s">
        <v>6327</v>
      </c>
      <c r="F1527" s="151"/>
      <c r="G1527" s="52" t="str">
        <f t="shared" si="27"/>
        <v>EB 5B:化身刚体之法</v>
      </c>
    </row>
    <row r="1528" spans="1:7">
      <c r="A1528" s="24" t="s">
        <v>5650</v>
      </c>
      <c r="B1528" s="24" t="s">
        <v>6145</v>
      </c>
      <c r="C1528" s="24" t="s">
        <v>6193</v>
      </c>
      <c r="D1528" s="151" t="s">
        <v>6328</v>
      </c>
      <c r="E1528" s="151" t="s">
        <v>6329</v>
      </c>
      <c r="F1528" s="151"/>
      <c r="G1528" s="52" t="str">
        <f t="shared" si="27"/>
        <v>19 5C:克刚破铠之法</v>
      </c>
    </row>
    <row r="1529" spans="1:7">
      <c r="A1529" s="24" t="s">
        <v>5650</v>
      </c>
      <c r="B1529" s="24" t="s">
        <v>6145</v>
      </c>
      <c r="C1529" s="24" t="s">
        <v>6193</v>
      </c>
      <c r="D1529" s="151" t="s">
        <v>6330</v>
      </c>
      <c r="E1529" s="151" t="s">
        <v>6331</v>
      </c>
      <c r="F1529" s="151"/>
      <c r="G1529" s="52" t="str">
        <f t="shared" si="27"/>
        <v>C2 5C:阴之永恒</v>
      </c>
    </row>
    <row r="1530" spans="1:7">
      <c r="A1530" s="24" t="s">
        <v>5650</v>
      </c>
      <c r="B1530" s="24" t="s">
        <v>6145</v>
      </c>
      <c r="C1530" s="24" t="s">
        <v>6193</v>
      </c>
      <c r="D1530" s="151" t="s">
        <v>6332</v>
      </c>
      <c r="E1530" s="151" t="s">
        <v>6333</v>
      </c>
      <c r="F1530" s="151"/>
      <c r="G1530" s="52" t="str">
        <f t="shared" si="27"/>
        <v>5E 5D:青岚</v>
      </c>
    </row>
    <row r="1531" spans="1:7">
      <c r="A1531" s="24" t="s">
        <v>5650</v>
      </c>
      <c r="B1531" s="24" t="s">
        <v>6145</v>
      </c>
      <c r="C1531" s="24" t="s">
        <v>6193</v>
      </c>
      <c r="D1531" s="151" t="s">
        <v>6334</v>
      </c>
      <c r="E1531" s="151" t="s">
        <v>6335</v>
      </c>
      <c r="F1531" s="151"/>
      <c r="G1531" s="52" t="str">
        <f t="shared" si="27"/>
        <v>72 5D:昂龙角</v>
      </c>
    </row>
    <row r="1532" spans="1:7">
      <c r="A1532" s="24" t="s">
        <v>5650</v>
      </c>
      <c r="B1532" s="24" t="s">
        <v>6145</v>
      </c>
      <c r="C1532" s="24" t="s">
        <v>6193</v>
      </c>
      <c r="D1532" s="151" t="s">
        <v>6336</v>
      </c>
      <c r="E1532" s="151" t="s">
        <v>6337</v>
      </c>
      <c r="F1532" s="151"/>
      <c r="G1532" s="52" t="str">
        <f t="shared" si="27"/>
        <v>15 5F:琢技吸活之法</v>
      </c>
    </row>
    <row r="1533" spans="1:7">
      <c r="A1533" s="24" t="s">
        <v>5650</v>
      </c>
      <c r="B1533" s="24" t="s">
        <v>6145</v>
      </c>
      <c r="C1533" s="24" t="s">
        <v>6193</v>
      </c>
      <c r="D1533" s="151" t="s">
        <v>6338</v>
      </c>
      <c r="E1533" s="151" t="s">
        <v>6339</v>
      </c>
      <c r="F1533" s="151"/>
      <c r="G1533" s="52" t="str">
        <f t="shared" si="27"/>
        <v>39 5F:净天地咒</v>
      </c>
    </row>
    <row r="1534" spans="1:7">
      <c r="A1534" s="24" t="s">
        <v>5650</v>
      </c>
      <c r="B1534" s="24" t="s">
        <v>6145</v>
      </c>
      <c r="C1534" s="24" t="s">
        <v>6193</v>
      </c>
      <c r="D1534" s="151" t="s">
        <v>6340</v>
      </c>
      <c r="E1534" s="151" t="s">
        <v>6341</v>
      </c>
      <c r="F1534" s="151"/>
      <c r="G1534" s="52" t="str">
        <f t="shared" si="27"/>
        <v>07 60:琢技重刚之法</v>
      </c>
    </row>
    <row r="1535" spans="1:7">
      <c r="A1535" s="24" t="s">
        <v>5650</v>
      </c>
      <c r="B1535" s="24" t="s">
        <v>6145</v>
      </c>
      <c r="C1535" s="24" t="s">
        <v>6193</v>
      </c>
      <c r="D1535" s="151" t="s">
        <v>6342</v>
      </c>
      <c r="E1535" s="151" t="s">
        <v>6343</v>
      </c>
      <c r="F1535" s="151"/>
      <c r="G1535" s="52" t="str">
        <f t="shared" si="27"/>
        <v>44 60:刚技之型</v>
      </c>
    </row>
    <row r="1536" spans="1:7">
      <c r="A1536" s="24" t="s">
        <v>5650</v>
      </c>
      <c r="B1536" s="24" t="s">
        <v>6145</v>
      </c>
      <c r="C1536" s="24" t="s">
        <v>6193</v>
      </c>
      <c r="D1536" s="151" t="s">
        <v>6344</v>
      </c>
      <c r="E1536" s="151" t="s">
        <v>6345</v>
      </c>
      <c r="F1536" s="151"/>
      <c r="G1536" s="52" t="str">
        <f t="shared" si="27"/>
        <v>77 60:穿铠法</v>
      </c>
    </row>
    <row r="1537" spans="1:7">
      <c r="A1537" s="24" t="s">
        <v>5650</v>
      </c>
      <c r="B1537" s="24" t="s">
        <v>6145</v>
      </c>
      <c r="C1537" s="24" t="s">
        <v>6193</v>
      </c>
      <c r="D1537" s="151" t="s">
        <v>6346</v>
      </c>
      <c r="E1537" s="151" t="s">
        <v>6347</v>
      </c>
      <c r="F1537" s="151"/>
      <c r="G1537" s="52" t="str">
        <f t="shared" si="27"/>
        <v>85 62:刚健法　叁</v>
      </c>
    </row>
    <row r="1538" spans="1:7">
      <c r="A1538" s="24" t="s">
        <v>5650</v>
      </c>
      <c r="B1538" s="24" t="s">
        <v>6145</v>
      </c>
      <c r="C1538" s="24" t="s">
        <v>6193</v>
      </c>
      <c r="D1538" s="151" t="s">
        <v>6348</v>
      </c>
      <c r="E1538" s="151" t="s">
        <v>6349</v>
      </c>
      <c r="F1538" s="151"/>
      <c r="G1538" s="52" t="str">
        <f t="shared" si="27"/>
        <v>A8 62:四神心得　柔</v>
      </c>
    </row>
    <row r="1539" spans="1:7">
      <c r="A1539" s="24" t="s">
        <v>5650</v>
      </c>
      <c r="B1539" s="24" t="s">
        <v>6145</v>
      </c>
      <c r="C1539" s="24" t="s">
        <v>6193</v>
      </c>
      <c r="D1539" s="151" t="s">
        <v>6350</v>
      </c>
      <c r="E1539" s="151" t="s">
        <v>6351</v>
      </c>
      <c r="F1539" s="151"/>
      <c r="G1539" s="52" t="str">
        <f t="shared" si="27"/>
        <v>E0 62:转心斥风之法</v>
      </c>
    </row>
    <row r="1540" spans="1:7">
      <c r="A1540" s="24" t="s">
        <v>5650</v>
      </c>
      <c r="B1540" s="24" t="s">
        <v>6145</v>
      </c>
      <c r="C1540" s="24" t="s">
        <v>6193</v>
      </c>
      <c r="D1540" s="151" t="s">
        <v>6352</v>
      </c>
      <c r="E1540" s="151" t="s">
        <v>6353</v>
      </c>
      <c r="F1540" s="151"/>
      <c r="G1540" s="52" t="str">
        <f t="shared" si="27"/>
        <v>74 66:昂龙爪</v>
      </c>
    </row>
    <row r="1541" spans="1:7">
      <c r="A1541" s="24" t="s">
        <v>5650</v>
      </c>
      <c r="B1541" s="24" t="s">
        <v>6145</v>
      </c>
      <c r="C1541" s="24" t="s">
        <v>6193</v>
      </c>
      <c r="D1541" s="151" t="s">
        <v>6354</v>
      </c>
      <c r="E1541" s="151" t="s">
        <v>6355</v>
      </c>
      <c r="F1541" s="151"/>
      <c r="G1541" s="52" t="str">
        <f t="shared" si="27"/>
        <v>93 66:克刚之利</v>
      </c>
    </row>
    <row r="1542" spans="1:7">
      <c r="A1542" s="24" t="s">
        <v>5650</v>
      </c>
      <c r="B1542" s="24" t="s">
        <v>6145</v>
      </c>
      <c r="C1542" s="24" t="s">
        <v>6193</v>
      </c>
      <c r="D1542" s="151" t="s">
        <v>6356</v>
      </c>
      <c r="E1542" s="151" t="s">
        <v>6357</v>
      </c>
      <c r="F1542" s="151"/>
      <c r="G1542" s="52" t="str">
        <f t="shared" si="27"/>
        <v>47 67:涌活之法</v>
      </c>
    </row>
    <row r="1543" spans="1:7">
      <c r="A1543" s="24" t="s">
        <v>5650</v>
      </c>
      <c r="B1543" s="24" t="s">
        <v>6145</v>
      </c>
      <c r="C1543" s="24" t="s">
        <v>6193</v>
      </c>
      <c r="D1543" s="151" t="s">
        <v>6358</v>
      </c>
      <c r="E1543" s="151" t="s">
        <v>6359</v>
      </c>
      <c r="F1543" s="151"/>
      <c r="G1543" s="52" t="str">
        <f t="shared" si="27"/>
        <v>9E 67:毒蛇之法</v>
      </c>
    </row>
    <row r="1544" spans="1:7">
      <c r="A1544" s="24" t="s">
        <v>5650</v>
      </c>
      <c r="B1544" s="24" t="s">
        <v>6145</v>
      </c>
      <c r="C1544" s="24" t="s">
        <v>6193</v>
      </c>
      <c r="D1544" s="151" t="s">
        <v>6360</v>
      </c>
      <c r="E1544" s="151" t="s">
        <v>6361</v>
      </c>
      <c r="F1544" s="151"/>
      <c r="G1544" s="52" t="str">
        <f t="shared" ref="G1544:G1607" si="28">D1544&amp;":"&amp;E1544</f>
        <v>33 6A:冻霞之法</v>
      </c>
    </row>
    <row r="1545" spans="1:7">
      <c r="A1545" s="24" t="s">
        <v>5650</v>
      </c>
      <c r="B1545" s="24" t="s">
        <v>6145</v>
      </c>
      <c r="C1545" s="24" t="s">
        <v>6193</v>
      </c>
      <c r="D1545" s="151" t="s">
        <v>6362</v>
      </c>
      <c r="E1545" s="151" t="s">
        <v>6363</v>
      </c>
      <c r="F1545" s="151"/>
      <c r="G1545" s="52" t="str">
        <f t="shared" si="28"/>
        <v>E8 6C:无铠决死之法</v>
      </c>
    </row>
    <row r="1546" spans="1:7">
      <c r="A1546" s="24" t="s">
        <v>5650</v>
      </c>
      <c r="B1546" s="24" t="s">
        <v>6145</v>
      </c>
      <c r="C1546" s="24" t="s">
        <v>6193</v>
      </c>
      <c r="D1546" s="151" t="s">
        <v>6364</v>
      </c>
      <c r="E1546" s="151" t="s">
        <v>6365</v>
      </c>
      <c r="F1546" s="151"/>
      <c r="G1546" s="52" t="str">
        <f t="shared" si="28"/>
        <v>AA 72:乱伐轮</v>
      </c>
    </row>
    <row r="1547" spans="1:7">
      <c r="A1547" s="24" t="s">
        <v>5650</v>
      </c>
      <c r="B1547" s="24" t="s">
        <v>6145</v>
      </c>
      <c r="C1547" s="24" t="s">
        <v>6193</v>
      </c>
      <c r="D1547" s="151" t="s">
        <v>6366</v>
      </c>
      <c r="E1547" s="151" t="s">
        <v>6367</v>
      </c>
      <c r="F1547" s="151"/>
      <c r="G1547" s="52" t="str">
        <f t="shared" si="28"/>
        <v>E1 72:残心·地</v>
      </c>
    </row>
    <row r="1548" spans="1:7">
      <c r="A1548" s="24" t="s">
        <v>5650</v>
      </c>
      <c r="B1548" s="24" t="s">
        <v>6145</v>
      </c>
      <c r="C1548" s="24" t="s">
        <v>6193</v>
      </c>
      <c r="D1548" s="151" t="s">
        <v>6368</v>
      </c>
      <c r="E1548" s="151" t="s">
        <v>6369</v>
      </c>
      <c r="F1548" s="151"/>
      <c r="G1548" s="52" t="str">
        <f t="shared" si="28"/>
        <v>22 73:昂龙牙</v>
      </c>
    </row>
    <row r="1549" spans="1:7">
      <c r="A1549" s="24" t="s">
        <v>5650</v>
      </c>
      <c r="B1549" s="24" t="s">
        <v>6145</v>
      </c>
      <c r="C1549" s="24" t="s">
        <v>6193</v>
      </c>
      <c r="D1549" s="151" t="s">
        <v>6370</v>
      </c>
      <c r="E1549" s="151" t="s">
        <v>6371</v>
      </c>
      <c r="F1549" s="151"/>
      <c r="G1549" s="52" t="str">
        <f t="shared" si="28"/>
        <v>A5 73:化身不坏之法</v>
      </c>
    </row>
    <row r="1550" spans="1:7">
      <c r="A1550" s="24" t="s">
        <v>5650</v>
      </c>
      <c r="B1550" s="24" t="s">
        <v>6145</v>
      </c>
      <c r="C1550" s="24" t="s">
        <v>6193</v>
      </c>
      <c r="D1550" s="151" t="s">
        <v>6372</v>
      </c>
      <c r="E1550" s="151" t="s">
        <v>6373</v>
      </c>
      <c r="F1550" s="151"/>
      <c r="G1550" s="52" t="str">
        <f t="shared" si="28"/>
        <v>A0 79:刹那灵息</v>
      </c>
    </row>
    <row r="1551" spans="1:7">
      <c r="A1551" s="24" t="s">
        <v>5650</v>
      </c>
      <c r="B1551" s="24" t="s">
        <v>6145</v>
      </c>
      <c r="C1551" s="24" t="s">
        <v>6193</v>
      </c>
      <c r="D1551" s="151" t="s">
        <v>6374</v>
      </c>
      <c r="E1551" s="151" t="s">
        <v>6375</v>
      </c>
      <c r="F1551" s="151"/>
      <c r="G1551" s="52" t="str">
        <f t="shared" si="28"/>
        <v>CC 79:逆风剑</v>
      </c>
    </row>
    <row r="1552" spans="1:7">
      <c r="A1552" s="24" t="s">
        <v>5650</v>
      </c>
      <c r="B1552" s="24" t="s">
        <v>6145</v>
      </c>
      <c r="C1552" s="24" t="s">
        <v>6193</v>
      </c>
      <c r="D1552" s="151" t="s">
        <v>6376</v>
      </c>
      <c r="E1552" s="151" t="s">
        <v>6377</v>
      </c>
      <c r="F1552" s="151"/>
      <c r="G1552" s="52" t="str">
        <f t="shared" si="28"/>
        <v>CD 79:盗人法</v>
      </c>
    </row>
    <row r="1553" spans="1:7">
      <c r="A1553" s="24" t="s">
        <v>5650</v>
      </c>
      <c r="B1553" s="24" t="s">
        <v>6145</v>
      </c>
      <c r="C1553" s="24" t="s">
        <v>6193</v>
      </c>
      <c r="D1553" s="151" t="s">
        <v>6378</v>
      </c>
      <c r="E1553" s="151" t="s">
        <v>6379</v>
      </c>
      <c r="F1553" s="151"/>
      <c r="G1553" s="52" t="str">
        <f t="shared" si="28"/>
        <v>8F 7B:加工药箱</v>
      </c>
    </row>
    <row r="1554" spans="1:7">
      <c r="A1554" s="24" t="s">
        <v>5650</v>
      </c>
      <c r="B1554" s="24" t="s">
        <v>6145</v>
      </c>
      <c r="C1554" s="24" t="s">
        <v>6193</v>
      </c>
      <c r="D1554" s="151" t="s">
        <v>6380</v>
      </c>
      <c r="E1554" s="151" t="s">
        <v>6381</v>
      </c>
      <c r="F1554" s="151"/>
      <c r="G1554" s="52" t="str">
        <f t="shared" si="28"/>
        <v>26 7C:疾岚格挡</v>
      </c>
    </row>
    <row r="1555" spans="1:7">
      <c r="A1555" s="24" t="s">
        <v>5650</v>
      </c>
      <c r="B1555" s="24" t="s">
        <v>6145</v>
      </c>
      <c r="C1555" s="24" t="s">
        <v>6193</v>
      </c>
      <c r="D1555" s="151" t="s">
        <v>6382</v>
      </c>
      <c r="E1555" s="151" t="s">
        <v>6383</v>
      </c>
      <c r="F1555" s="151"/>
      <c r="G1555" s="52" t="str">
        <f t="shared" si="28"/>
        <v>6F 7E:练技心得</v>
      </c>
    </row>
    <row r="1556" spans="1:7">
      <c r="A1556" s="24" t="s">
        <v>5650</v>
      </c>
      <c r="B1556" s="24" t="s">
        <v>6145</v>
      </c>
      <c r="C1556" s="24" t="s">
        <v>6193</v>
      </c>
      <c r="D1556" s="151" t="s">
        <v>6384</v>
      </c>
      <c r="E1556" s="151" t="s">
        <v>6385</v>
      </c>
      <c r="F1556" s="151"/>
      <c r="G1556" s="52" t="str">
        <f t="shared" si="28"/>
        <v>BE 7E:掷钓瓶</v>
      </c>
    </row>
    <row r="1557" spans="1:7">
      <c r="A1557" s="24" t="s">
        <v>5650</v>
      </c>
      <c r="B1557" s="24" t="s">
        <v>6145</v>
      </c>
      <c r="C1557" s="24" t="s">
        <v>6193</v>
      </c>
      <c r="D1557" s="151" t="s">
        <v>6386</v>
      </c>
      <c r="E1557" s="151" t="s">
        <v>6387</v>
      </c>
      <c r="F1557" s="151"/>
      <c r="G1557" s="52" t="str">
        <f t="shared" si="28"/>
        <v>8D 7F:死战之型</v>
      </c>
    </row>
    <row r="1558" spans="1:7">
      <c r="A1558" s="24" t="s">
        <v>5650</v>
      </c>
      <c r="B1558" s="24" t="s">
        <v>6145</v>
      </c>
      <c r="C1558" s="24" t="s">
        <v>6193</v>
      </c>
      <c r="D1558" s="151" t="s">
        <v>6388</v>
      </c>
      <c r="E1558" s="151" t="s">
        <v>6389</v>
      </c>
      <c r="F1558" s="151"/>
      <c r="G1558" s="52" t="str">
        <f t="shared" si="28"/>
        <v>94 80:防守心得　参</v>
      </c>
    </row>
    <row r="1559" spans="1:7">
      <c r="A1559" s="24" t="s">
        <v>5650</v>
      </c>
      <c r="B1559" s="24" t="s">
        <v>6145</v>
      </c>
      <c r="C1559" s="24" t="s">
        <v>6193</v>
      </c>
      <c r="D1559" s="151" t="s">
        <v>6390</v>
      </c>
      <c r="E1559" s="151" t="s">
        <v>6391</v>
      </c>
      <c r="F1559" s="151"/>
      <c r="G1559" s="52" t="str">
        <f t="shared" si="28"/>
        <v>DA 80:极限识破之法</v>
      </c>
    </row>
    <row r="1560" spans="1:7">
      <c r="A1560" s="24" t="s">
        <v>5650</v>
      </c>
      <c r="B1560" s="24" t="s">
        <v>6145</v>
      </c>
      <c r="C1560" s="24" t="s">
        <v>6193</v>
      </c>
      <c r="D1560" s="151" t="s">
        <v>6392</v>
      </c>
      <c r="E1560" s="151" t="s">
        <v>6393</v>
      </c>
      <c r="F1560" s="151"/>
      <c r="G1560" s="52" t="str">
        <f t="shared" si="28"/>
        <v>7C 82:防守心得　贰</v>
      </c>
    </row>
    <row r="1561" spans="1:7">
      <c r="A1561" s="24" t="s">
        <v>5650</v>
      </c>
      <c r="B1561" s="24" t="s">
        <v>6145</v>
      </c>
      <c r="C1561" s="24" t="s">
        <v>6193</v>
      </c>
      <c r="D1561" s="151" t="s">
        <v>6394</v>
      </c>
      <c r="E1561" s="151" t="s">
        <v>6395</v>
      </c>
      <c r="F1561" s="151"/>
      <c r="G1561" s="52" t="str">
        <f t="shared" si="28"/>
        <v>5D 84:攻击心得　贰</v>
      </c>
    </row>
    <row r="1562" spans="1:7">
      <c r="A1562" s="24" t="s">
        <v>5650</v>
      </c>
      <c r="B1562" s="24" t="s">
        <v>6145</v>
      </c>
      <c r="C1562" s="24" t="s">
        <v>6193</v>
      </c>
      <c r="D1562" s="151" t="s">
        <v>6396</v>
      </c>
      <c r="E1562" s="151" t="s">
        <v>6397</v>
      </c>
      <c r="F1562" s="151"/>
      <c r="G1562" s="52" t="str">
        <f t="shared" si="28"/>
        <v>EB 85:背击吸活之法</v>
      </c>
    </row>
    <row r="1563" spans="1:7">
      <c r="A1563" s="24" t="s">
        <v>5650</v>
      </c>
      <c r="B1563" s="24" t="s">
        <v>6145</v>
      </c>
      <c r="C1563" s="24" t="s">
        <v>6193</v>
      </c>
      <c r="D1563" s="151" t="s">
        <v>6398</v>
      </c>
      <c r="E1563" s="151" t="s">
        <v>6331</v>
      </c>
      <c r="F1563" s="151"/>
      <c r="G1563" s="52" t="str">
        <f t="shared" si="28"/>
        <v>4A 87:阴之永恒</v>
      </c>
    </row>
    <row r="1564" spans="1:7">
      <c r="A1564" s="24" t="s">
        <v>5650</v>
      </c>
      <c r="B1564" s="24" t="s">
        <v>6145</v>
      </c>
      <c r="C1564" s="24" t="s">
        <v>6193</v>
      </c>
      <c r="D1564" s="151" t="s">
        <v>6399</v>
      </c>
      <c r="E1564" s="151" t="s">
        <v>6400</v>
      </c>
      <c r="F1564" s="151"/>
      <c r="G1564" s="52" t="str">
        <f t="shared" si="28"/>
        <v>9A 89:克刚气势之法</v>
      </c>
    </row>
    <row r="1565" spans="1:7">
      <c r="A1565" s="24" t="s">
        <v>5650</v>
      </c>
      <c r="B1565" s="24" t="s">
        <v>6145</v>
      </c>
      <c r="C1565" s="24" t="s">
        <v>6193</v>
      </c>
      <c r="D1565" s="151" t="s">
        <v>6401</v>
      </c>
      <c r="E1565" s="151" t="s">
        <v>6402</v>
      </c>
      <c r="F1565" s="151"/>
      <c r="G1565" s="52" t="str">
        <f t="shared" si="28"/>
        <v>93 8E:刚忍之法</v>
      </c>
    </row>
    <row r="1566" spans="1:7">
      <c r="A1566" s="24" t="s">
        <v>5650</v>
      </c>
      <c r="B1566" s="24" t="s">
        <v>6145</v>
      </c>
      <c r="C1566" s="24" t="s">
        <v>6193</v>
      </c>
      <c r="D1566" s="151" t="s">
        <v>6403</v>
      </c>
      <c r="E1566" s="151" t="s">
        <v>6404</v>
      </c>
      <c r="F1566" s="151"/>
      <c r="G1566" s="52" t="str">
        <f t="shared" si="28"/>
        <v>D9 90:鸢忍之法</v>
      </c>
    </row>
    <row r="1567" spans="1:7">
      <c r="A1567" s="24" t="s">
        <v>5650</v>
      </c>
      <c r="B1567" s="24" t="s">
        <v>6145</v>
      </c>
      <c r="C1567" s="24" t="s">
        <v>6193</v>
      </c>
      <c r="D1567" s="151" t="s">
        <v>6405</v>
      </c>
      <c r="E1567" s="151" t="s">
        <v>6406</v>
      </c>
      <c r="F1567" s="151"/>
      <c r="G1567" s="52" t="str">
        <f t="shared" si="28"/>
        <v>7F 92:祓除常世·灵</v>
      </c>
    </row>
    <row r="1568" spans="1:7">
      <c r="A1568" s="24" t="s">
        <v>5650</v>
      </c>
      <c r="B1568" s="24" t="s">
        <v>6145</v>
      </c>
      <c r="C1568" s="24" t="s">
        <v>6193</v>
      </c>
      <c r="D1568" s="151" t="s">
        <v>6407</v>
      </c>
      <c r="E1568" s="151" t="s">
        <v>6408</v>
      </c>
      <c r="F1568" s="151"/>
      <c r="G1568" s="52" t="str">
        <f t="shared" si="28"/>
        <v>8D 92:招灵自如之法</v>
      </c>
    </row>
    <row r="1569" spans="1:7">
      <c r="A1569" s="24" t="s">
        <v>5650</v>
      </c>
      <c r="B1569" s="24" t="s">
        <v>6145</v>
      </c>
      <c r="C1569" s="24" t="s">
        <v>6193</v>
      </c>
      <c r="D1569" s="151" t="s">
        <v>6409</v>
      </c>
      <c r="E1569" s="151" t="s">
        <v>6410</v>
      </c>
      <c r="F1569" s="151"/>
      <c r="G1569" s="52" t="str">
        <f t="shared" si="28"/>
        <v>24 93:琢技毒龙之法</v>
      </c>
    </row>
    <row r="1570" spans="1:7">
      <c r="A1570" s="24" t="s">
        <v>5650</v>
      </c>
      <c r="B1570" s="24" t="s">
        <v>6145</v>
      </c>
      <c r="C1570" s="24" t="s">
        <v>6193</v>
      </c>
      <c r="D1570" s="151" t="s">
        <v>6411</v>
      </c>
      <c r="E1570" s="151" t="s">
        <v>6412</v>
      </c>
      <c r="F1570" s="151"/>
      <c r="G1570" s="52" t="str">
        <f t="shared" si="28"/>
        <v>77 93:灵技布局之法</v>
      </c>
    </row>
    <row r="1571" spans="1:7">
      <c r="A1571" s="24" t="s">
        <v>5650</v>
      </c>
      <c r="B1571" s="24" t="s">
        <v>6145</v>
      </c>
      <c r="C1571" s="24" t="s">
        <v>6193</v>
      </c>
      <c r="D1571" s="151" t="s">
        <v>6413</v>
      </c>
      <c r="E1571" s="151" t="s">
        <v>6414</v>
      </c>
      <c r="F1571" s="151"/>
      <c r="G1571" s="52" t="str">
        <f t="shared" si="28"/>
        <v>E9 94:落华严</v>
      </c>
    </row>
    <row r="1572" spans="1:7">
      <c r="A1572" s="24" t="s">
        <v>5650</v>
      </c>
      <c r="B1572" s="24" t="s">
        <v>6145</v>
      </c>
      <c r="C1572" s="24" t="s">
        <v>6193</v>
      </c>
      <c r="D1572" s="151" t="s">
        <v>6415</v>
      </c>
      <c r="E1572" s="151" t="s">
        <v>6416</v>
      </c>
      <c r="F1572" s="151"/>
      <c r="G1572" s="52" t="str">
        <f t="shared" si="28"/>
        <v>9D 95:多才多艺</v>
      </c>
    </row>
    <row r="1573" spans="1:7">
      <c r="A1573" s="24" t="s">
        <v>5650</v>
      </c>
      <c r="B1573" s="24" t="s">
        <v>6145</v>
      </c>
      <c r="C1573" s="24" t="s">
        <v>6193</v>
      </c>
      <c r="D1573" s="151" t="s">
        <v>6417</v>
      </c>
      <c r="E1573" s="151" t="s">
        <v>6418</v>
      </c>
      <c r="F1573" s="151"/>
      <c r="G1573" s="52" t="str">
        <f t="shared" si="28"/>
        <v>0C 96:祓除常世·灵　改</v>
      </c>
    </row>
    <row r="1574" spans="1:7">
      <c r="A1574" s="24" t="s">
        <v>5650</v>
      </c>
      <c r="B1574" s="24" t="s">
        <v>6145</v>
      </c>
      <c r="C1574" s="24" t="s">
        <v>6193</v>
      </c>
      <c r="D1574" s="151" t="s">
        <v>6419</v>
      </c>
      <c r="E1574" s="151" t="s">
        <v>6420</v>
      </c>
      <c r="F1574" s="151"/>
      <c r="G1574" s="52" t="str">
        <f t="shared" si="28"/>
        <v>B4 97:磨练射法</v>
      </c>
    </row>
    <row r="1575" spans="1:7">
      <c r="A1575" s="24" t="s">
        <v>5650</v>
      </c>
      <c r="B1575" s="24" t="s">
        <v>6145</v>
      </c>
      <c r="C1575" s="24" t="s">
        <v>6193</v>
      </c>
      <c r="D1575" s="151" t="s">
        <v>6421</v>
      </c>
      <c r="E1575" s="151" t="s">
        <v>6422</v>
      </c>
      <c r="F1575" s="151"/>
      <c r="G1575" s="52" t="str">
        <f t="shared" si="28"/>
        <v>40 98:龙怒之法</v>
      </c>
    </row>
    <row r="1576" spans="1:7">
      <c r="A1576" s="24" t="s">
        <v>5650</v>
      </c>
      <c r="B1576" s="24" t="s">
        <v>6145</v>
      </c>
      <c r="C1576" s="24" t="s">
        <v>6193</v>
      </c>
      <c r="D1576" s="151" t="s">
        <v>6423</v>
      </c>
      <c r="E1576" s="151" t="s">
        <v>6424</v>
      </c>
      <c r="F1576" s="151"/>
      <c r="G1576" s="52" t="str">
        <f t="shared" si="28"/>
        <v>45 9B:溪水之法</v>
      </c>
    </row>
    <row r="1577" spans="1:7">
      <c r="A1577" s="24" t="s">
        <v>5650</v>
      </c>
      <c r="B1577" s="24" t="s">
        <v>6145</v>
      </c>
      <c r="C1577" s="24" t="s">
        <v>6193</v>
      </c>
      <c r="D1577" s="151" t="s">
        <v>6425</v>
      </c>
      <c r="E1577" s="151" t="s">
        <v>6426</v>
      </c>
      <c r="F1577" s="151"/>
      <c r="G1577" s="52" t="str">
        <f t="shared" si="28"/>
        <v>CE 9B:常世驱散之识破</v>
      </c>
    </row>
    <row r="1578" spans="1:7">
      <c r="A1578" s="24" t="s">
        <v>5650</v>
      </c>
      <c r="B1578" s="24" t="s">
        <v>6145</v>
      </c>
      <c r="C1578" s="24" t="s">
        <v>6193</v>
      </c>
      <c r="D1578" s="151" t="s">
        <v>6427</v>
      </c>
      <c r="E1578" s="151" t="s">
        <v>6428</v>
      </c>
      <c r="F1578" s="151"/>
      <c r="G1578" s="52" t="str">
        <f t="shared" si="28"/>
        <v>E6 9B:灵妙锐击之型</v>
      </c>
    </row>
    <row r="1579" spans="1:7">
      <c r="A1579" s="24" t="s">
        <v>5650</v>
      </c>
      <c r="B1579" s="24" t="s">
        <v>6145</v>
      </c>
      <c r="C1579" s="24" t="s">
        <v>6193</v>
      </c>
      <c r="D1579" s="151" t="s">
        <v>6429</v>
      </c>
      <c r="E1579" s="151" t="s">
        <v>6430</v>
      </c>
      <c r="F1579" s="151"/>
      <c r="G1579" s="52" t="str">
        <f t="shared" si="28"/>
        <v>5F 9D:磨练拳法</v>
      </c>
    </row>
    <row r="1580" spans="1:7">
      <c r="A1580" s="24" t="s">
        <v>5650</v>
      </c>
      <c r="B1580" s="24" t="s">
        <v>6145</v>
      </c>
      <c r="C1580" s="24" t="s">
        <v>6193</v>
      </c>
      <c r="D1580" s="151" t="s">
        <v>6431</v>
      </c>
      <c r="E1580" s="151" t="s">
        <v>6432</v>
      </c>
      <c r="F1580" s="151"/>
      <c r="G1580" s="52" t="str">
        <f t="shared" si="28"/>
        <v>62 9E:翔凰斩</v>
      </c>
    </row>
    <row r="1581" spans="1:7">
      <c r="A1581" s="24" t="s">
        <v>5650</v>
      </c>
      <c r="B1581" s="24" t="s">
        <v>6145</v>
      </c>
      <c r="C1581" s="24" t="s">
        <v>6193</v>
      </c>
      <c r="D1581" s="151" t="s">
        <v>6433</v>
      </c>
      <c r="E1581" s="151" t="s">
        <v>6434</v>
      </c>
      <c r="F1581" s="151"/>
      <c r="G1581" s="52" t="str">
        <f t="shared" si="28"/>
        <v>AF 9F:圆猫之法</v>
      </c>
    </row>
    <row r="1582" spans="1:7">
      <c r="A1582" s="24" t="s">
        <v>5650</v>
      </c>
      <c r="B1582" s="24" t="s">
        <v>6145</v>
      </c>
      <c r="C1582" s="24" t="s">
        <v>6193</v>
      </c>
      <c r="D1582" s="151" t="s">
        <v>6435</v>
      </c>
      <c r="E1582" s="151" t="s">
        <v>6436</v>
      </c>
      <c r="F1582" s="151"/>
      <c r="G1582" s="52" t="str">
        <f t="shared" si="28"/>
        <v>D2 9F:忍术磨练</v>
      </c>
    </row>
    <row r="1583" spans="1:7">
      <c r="A1583" s="24" t="s">
        <v>5650</v>
      </c>
      <c r="B1583" s="24" t="s">
        <v>6145</v>
      </c>
      <c r="C1583" s="24" t="s">
        <v>6193</v>
      </c>
      <c r="D1583" s="151" t="s">
        <v>6437</v>
      </c>
      <c r="E1583" s="151" t="s">
        <v>6438</v>
      </c>
      <c r="F1583" s="151"/>
      <c r="G1583" s="52" t="str">
        <f t="shared" si="28"/>
        <v>0F A0:祓除常世·影</v>
      </c>
    </row>
    <row r="1584" spans="1:7">
      <c r="A1584" s="24" t="s">
        <v>5650</v>
      </c>
      <c r="B1584" s="24" t="s">
        <v>6145</v>
      </c>
      <c r="C1584" s="24" t="s">
        <v>6193</v>
      </c>
      <c r="D1584" s="151" t="s">
        <v>6439</v>
      </c>
      <c r="E1584" s="151" t="s">
        <v>6440</v>
      </c>
      <c r="F1584" s="151"/>
      <c r="G1584" s="52" t="str">
        <f t="shared" si="28"/>
        <v>47 A1:总卷</v>
      </c>
    </row>
    <row r="1585" spans="1:7">
      <c r="A1585" s="24" t="s">
        <v>5650</v>
      </c>
      <c r="B1585" s="24" t="s">
        <v>6145</v>
      </c>
      <c r="C1585" s="24" t="s">
        <v>6193</v>
      </c>
      <c r="D1585" s="151" t="s">
        <v>6441</v>
      </c>
      <c r="E1585" s="151" t="s">
        <v>6442</v>
      </c>
      <c r="F1585" s="151"/>
      <c r="G1585" s="52" t="str">
        <f t="shared" si="28"/>
        <v>EA A1:祓除常世·地</v>
      </c>
    </row>
    <row r="1586" spans="1:7">
      <c r="A1586" s="24" t="s">
        <v>5650</v>
      </c>
      <c r="B1586" s="24" t="s">
        <v>6145</v>
      </c>
      <c r="C1586" s="24" t="s">
        <v>6193</v>
      </c>
      <c r="D1586" s="151" t="s">
        <v>6443</v>
      </c>
      <c r="E1586" s="151" t="s">
        <v>6444</v>
      </c>
      <c r="F1586" s="151"/>
      <c r="G1586" s="52" t="str">
        <f t="shared" si="28"/>
        <v>28 A7:飞击之心得</v>
      </c>
    </row>
    <row r="1587" spans="1:7">
      <c r="A1587" s="24" t="s">
        <v>5650</v>
      </c>
      <c r="B1587" s="24" t="s">
        <v>6145</v>
      </c>
      <c r="C1587" s="24" t="s">
        <v>6193</v>
      </c>
      <c r="D1587" s="151" t="s">
        <v>6445</v>
      </c>
      <c r="E1587" s="151" t="s">
        <v>6446</v>
      </c>
      <c r="F1587" s="151"/>
      <c r="G1587" s="52" t="str">
        <f t="shared" si="28"/>
        <v>AD A7:祸实之法</v>
      </c>
    </row>
    <row r="1588" spans="1:7">
      <c r="A1588" s="24" t="s">
        <v>5650</v>
      </c>
      <c r="B1588" s="24" t="s">
        <v>6145</v>
      </c>
      <c r="C1588" s="24" t="s">
        <v>6193</v>
      </c>
      <c r="D1588" s="151" t="s">
        <v>6447</v>
      </c>
      <c r="E1588" s="151" t="s">
        <v>6448</v>
      </c>
      <c r="F1588" s="151"/>
      <c r="G1588" s="52" t="str">
        <f t="shared" si="28"/>
        <v>4E A8:水神踢</v>
      </c>
    </row>
    <row r="1589" spans="1:7">
      <c r="A1589" s="24" t="s">
        <v>5650</v>
      </c>
      <c r="B1589" s="24" t="s">
        <v>6145</v>
      </c>
      <c r="C1589" s="24" t="s">
        <v>6193</v>
      </c>
      <c r="D1589" s="151" t="s">
        <v>6449</v>
      </c>
      <c r="E1589" s="151" t="s">
        <v>6450</v>
      </c>
      <c r="F1589" s="151"/>
      <c r="G1589" s="52" t="str">
        <f t="shared" si="28"/>
        <v>AD A8:回天之法</v>
      </c>
    </row>
    <row r="1590" spans="1:7">
      <c r="A1590" s="24" t="s">
        <v>5650</v>
      </c>
      <c r="B1590" s="24" t="s">
        <v>6145</v>
      </c>
      <c r="C1590" s="24" t="s">
        <v>6193</v>
      </c>
      <c r="D1590" s="151" t="s">
        <v>6451</v>
      </c>
      <c r="E1590" s="151" t="s">
        <v>6452</v>
      </c>
      <c r="F1590" s="151"/>
      <c r="G1590" s="52" t="str">
        <f t="shared" si="28"/>
        <v>F9 A8:压斩之法</v>
      </c>
    </row>
    <row r="1591" spans="1:7">
      <c r="A1591" s="24" t="s">
        <v>5650</v>
      </c>
      <c r="B1591" s="24" t="s">
        <v>6145</v>
      </c>
      <c r="C1591" s="24" t="s">
        <v>6193</v>
      </c>
      <c r="D1591" s="151" t="s">
        <v>6453</v>
      </c>
      <c r="E1591" s="151" t="s">
        <v>6454</v>
      </c>
      <c r="F1591" s="151"/>
      <c r="G1591" s="52" t="str">
        <f t="shared" si="28"/>
        <v>BC A9:修罗连舞碎</v>
      </c>
    </row>
    <row r="1592" spans="1:7">
      <c r="A1592" s="24" t="s">
        <v>5650</v>
      </c>
      <c r="B1592" s="24" t="s">
        <v>6145</v>
      </c>
      <c r="C1592" s="24" t="s">
        <v>6193</v>
      </c>
      <c r="D1592" s="151" t="s">
        <v>6455</v>
      </c>
      <c r="E1592" s="151" t="s">
        <v>6456</v>
      </c>
      <c r="F1592" s="151"/>
      <c r="G1592" s="52" t="str">
        <f t="shared" si="28"/>
        <v>D5 A9:火炎龙术</v>
      </c>
    </row>
    <row r="1593" spans="1:7">
      <c r="A1593" s="24" t="s">
        <v>5650</v>
      </c>
      <c r="B1593" s="24" t="s">
        <v>6145</v>
      </c>
      <c r="C1593" s="24" t="s">
        <v>6193</v>
      </c>
      <c r="D1593" s="151" t="s">
        <v>6457</v>
      </c>
      <c r="E1593" s="151" t="s">
        <v>6458</v>
      </c>
      <c r="F1593" s="151"/>
      <c r="G1593" s="52" t="str">
        <f t="shared" si="28"/>
        <v>25 AA:夜叉一文字</v>
      </c>
    </row>
    <row r="1594" spans="1:7">
      <c r="A1594" s="24" t="s">
        <v>5650</v>
      </c>
      <c r="B1594" s="24" t="s">
        <v>6145</v>
      </c>
      <c r="C1594" s="24" t="s">
        <v>6193</v>
      </c>
      <c r="D1594" s="151" t="s">
        <v>6459</v>
      </c>
      <c r="E1594" s="151" t="s">
        <v>6460</v>
      </c>
      <c r="F1594" s="151"/>
      <c r="G1594" s="52" t="str">
        <f t="shared" si="28"/>
        <v>7C AA:转心气势之法</v>
      </c>
    </row>
    <row r="1595" spans="1:7">
      <c r="A1595" s="24" t="s">
        <v>5650</v>
      </c>
      <c r="B1595" s="24" t="s">
        <v>6145</v>
      </c>
      <c r="C1595" s="24" t="s">
        <v>6193</v>
      </c>
      <c r="D1595" s="151" t="s">
        <v>6461</v>
      </c>
      <c r="E1595" s="151" t="s">
        <v>6462</v>
      </c>
      <c r="F1595" s="151"/>
      <c r="G1595" s="52" t="str">
        <f t="shared" si="28"/>
        <v>07 AC:飞天剑</v>
      </c>
    </row>
    <row r="1596" spans="1:7">
      <c r="A1596" s="24" t="s">
        <v>5650</v>
      </c>
      <c r="B1596" s="24" t="s">
        <v>6145</v>
      </c>
      <c r="C1596" s="24" t="s">
        <v>6193</v>
      </c>
      <c r="D1596" s="151" t="s">
        <v>6463</v>
      </c>
      <c r="E1596" s="151" t="s">
        <v>6464</v>
      </c>
      <c r="F1596" s="151"/>
      <c r="G1596" s="52" t="str">
        <f t="shared" si="28"/>
        <v>8A AC:顺风之法</v>
      </c>
    </row>
    <row r="1597" spans="1:7">
      <c r="A1597" s="24" t="s">
        <v>5650</v>
      </c>
      <c r="B1597" s="24" t="s">
        <v>6145</v>
      </c>
      <c r="C1597" s="24" t="s">
        <v>6193</v>
      </c>
      <c r="D1597" s="151" t="s">
        <v>6465</v>
      </c>
      <c r="E1597" s="151" t="s">
        <v>6466</v>
      </c>
      <c r="F1597" s="151"/>
      <c r="G1597" s="52" t="str">
        <f t="shared" si="28"/>
        <v>EA AD:鞍马剑舞</v>
      </c>
    </row>
    <row r="1598" spans="1:7">
      <c r="A1598" s="24" t="s">
        <v>5650</v>
      </c>
      <c r="B1598" s="24" t="s">
        <v>6145</v>
      </c>
      <c r="C1598" s="24" t="s">
        <v>6193</v>
      </c>
      <c r="D1598" s="151" t="s">
        <v>6467</v>
      </c>
      <c r="E1598" s="151" t="s">
        <v>6468</v>
      </c>
      <c r="F1598" s="151"/>
      <c r="G1598" s="52" t="str">
        <f t="shared" si="28"/>
        <v>EC AF:使役心得</v>
      </c>
    </row>
    <row r="1599" spans="1:7">
      <c r="A1599" s="24" t="s">
        <v>5650</v>
      </c>
      <c r="B1599" s="24" t="s">
        <v>6145</v>
      </c>
      <c r="C1599" s="24" t="s">
        <v>6193</v>
      </c>
      <c r="D1599" s="151" t="s">
        <v>6469</v>
      </c>
      <c r="E1599" s="151" t="s">
        <v>6470</v>
      </c>
      <c r="F1599" s="151"/>
      <c r="G1599" s="52" t="str">
        <f t="shared" si="28"/>
        <v>54 B1:灵活之法</v>
      </c>
    </row>
    <row r="1600" spans="1:7">
      <c r="A1600" s="24" t="s">
        <v>5650</v>
      </c>
      <c r="B1600" s="24" t="s">
        <v>6145</v>
      </c>
      <c r="C1600" s="24" t="s">
        <v>6193</v>
      </c>
      <c r="D1600" s="151" t="s">
        <v>6471</v>
      </c>
      <c r="E1600" s="151" t="s">
        <v>6472</v>
      </c>
      <c r="F1600" s="151"/>
      <c r="G1600" s="52" t="str">
        <f t="shared" si="28"/>
        <v>AB B5:巴吹雪</v>
      </c>
    </row>
    <row r="1601" spans="1:7">
      <c r="A1601" s="24" t="s">
        <v>5650</v>
      </c>
      <c r="B1601" s="24" t="s">
        <v>6145</v>
      </c>
      <c r="C1601" s="24" t="s">
        <v>6193</v>
      </c>
      <c r="D1601" s="151" t="s">
        <v>6473</v>
      </c>
      <c r="E1601" s="151" t="s">
        <v>6474</v>
      </c>
      <c r="F1601" s="151"/>
      <c r="G1601" s="52" t="str">
        <f t="shared" si="28"/>
        <v>23 B6:小夜时雨</v>
      </c>
    </row>
    <row r="1602" spans="1:7">
      <c r="A1602" s="24" t="s">
        <v>5650</v>
      </c>
      <c r="B1602" s="24" t="s">
        <v>6145</v>
      </c>
      <c r="C1602" s="24" t="s">
        <v>6193</v>
      </c>
      <c r="D1602" s="151" t="s">
        <v>6475</v>
      </c>
      <c r="E1602" s="151" t="s">
        <v>6476</v>
      </c>
      <c r="F1602" s="151"/>
      <c r="G1602" s="52" t="str">
        <f t="shared" si="28"/>
        <v>6B BA:遁转强袭之法</v>
      </c>
    </row>
    <row r="1603" spans="1:7">
      <c r="A1603" s="24" t="s">
        <v>5650</v>
      </c>
      <c r="B1603" s="24" t="s">
        <v>6145</v>
      </c>
      <c r="C1603" s="24" t="s">
        <v>6193</v>
      </c>
      <c r="D1603" s="151" t="s">
        <v>6477</v>
      </c>
      <c r="E1603" s="151" t="s">
        <v>6478</v>
      </c>
      <c r="F1603" s="151"/>
      <c r="G1603" s="52" t="str">
        <f t="shared" si="28"/>
        <v>85 BA:阴阳自如之法</v>
      </c>
    </row>
    <row r="1604" spans="1:7">
      <c r="A1604" s="24" t="s">
        <v>5650</v>
      </c>
      <c r="B1604" s="24" t="s">
        <v>6145</v>
      </c>
      <c r="C1604" s="24" t="s">
        <v>6193</v>
      </c>
      <c r="D1604" s="151" t="s">
        <v>6479</v>
      </c>
      <c r="E1604" s="151" t="s">
        <v>6480</v>
      </c>
      <c r="F1604" s="151"/>
      <c r="G1604" s="52" t="str">
        <f t="shared" si="28"/>
        <v>58 BB:残心·人</v>
      </c>
    </row>
    <row r="1605" spans="1:7">
      <c r="A1605" s="24" t="s">
        <v>5650</v>
      </c>
      <c r="B1605" s="24" t="s">
        <v>6145</v>
      </c>
      <c r="C1605" s="24" t="s">
        <v>6193</v>
      </c>
      <c r="D1605" s="151" t="s">
        <v>6481</v>
      </c>
      <c r="E1605" s="151" t="s">
        <v>6482</v>
      </c>
      <c r="F1605" s="151"/>
      <c r="G1605" s="52" t="str">
        <f t="shared" si="28"/>
        <v>89 BC:瞬步之法</v>
      </c>
    </row>
    <row r="1606" spans="1:7">
      <c r="A1606" s="24" t="s">
        <v>5650</v>
      </c>
      <c r="B1606" s="24" t="s">
        <v>6145</v>
      </c>
      <c r="C1606" s="24" t="s">
        <v>6193</v>
      </c>
      <c r="D1606" s="151" t="s">
        <v>6483</v>
      </c>
      <c r="E1606" s="151" t="s">
        <v>6484</v>
      </c>
      <c r="F1606" s="151"/>
      <c r="G1606" s="52" t="str">
        <f t="shared" si="28"/>
        <v>5D C0:灵技昂灵之法</v>
      </c>
    </row>
    <row r="1607" spans="1:7">
      <c r="A1607" s="24" t="s">
        <v>5650</v>
      </c>
      <c r="B1607" s="24" t="s">
        <v>6145</v>
      </c>
      <c r="C1607" s="24" t="s">
        <v>6193</v>
      </c>
      <c r="D1607" s="151" t="s">
        <v>6485</v>
      </c>
      <c r="E1607" s="151" t="s">
        <v>6486</v>
      </c>
      <c r="F1607" s="151"/>
      <c r="G1607" s="52" t="str">
        <f t="shared" si="28"/>
        <v>BC C1:四神心得　刚</v>
      </c>
    </row>
    <row r="1608" spans="1:7">
      <c r="A1608" s="24" t="s">
        <v>5650</v>
      </c>
      <c r="B1608" s="24" t="s">
        <v>6145</v>
      </c>
      <c r="C1608" s="24" t="s">
        <v>6193</v>
      </c>
      <c r="D1608" s="151" t="s">
        <v>6487</v>
      </c>
      <c r="E1608" s="151" t="s">
        <v>6488</v>
      </c>
      <c r="F1608" s="151"/>
      <c r="G1608" s="52" t="str">
        <f t="shared" ref="G1608:G1671" si="29">D1608&amp;":"&amp;E1608</f>
        <v>E1 C1:夜叉岚</v>
      </c>
    </row>
    <row r="1609" spans="1:7">
      <c r="A1609" s="24" t="s">
        <v>5650</v>
      </c>
      <c r="B1609" s="24" t="s">
        <v>6145</v>
      </c>
      <c r="C1609" s="24" t="s">
        <v>6193</v>
      </c>
      <c r="D1609" s="151" t="s">
        <v>6489</v>
      </c>
      <c r="E1609" s="151" t="s">
        <v>6490</v>
      </c>
      <c r="F1609" s="151"/>
      <c r="G1609" s="52" t="str">
        <f t="shared" si="29"/>
        <v>3A C2:婆娑罗三段</v>
      </c>
    </row>
    <row r="1610" spans="1:7">
      <c r="A1610" s="24" t="s">
        <v>5650</v>
      </c>
      <c r="B1610" s="24" t="s">
        <v>6145</v>
      </c>
      <c r="C1610" s="24" t="s">
        <v>6193</v>
      </c>
      <c r="D1610" s="151" t="s">
        <v>6491</v>
      </c>
      <c r="E1610" s="151" t="s">
        <v>6492</v>
      </c>
      <c r="F1610" s="151"/>
      <c r="G1610" s="52" t="str">
        <f t="shared" si="29"/>
        <v>3E C3:三战架式</v>
      </c>
    </row>
    <row r="1611" spans="1:7">
      <c r="A1611" s="24" t="s">
        <v>5650</v>
      </c>
      <c r="B1611" s="24" t="s">
        <v>6145</v>
      </c>
      <c r="C1611" s="24" t="s">
        <v>6193</v>
      </c>
      <c r="D1611" s="151" t="s">
        <v>6493</v>
      </c>
      <c r="E1611" s="151" t="s">
        <v>6494</v>
      </c>
      <c r="F1611" s="151"/>
      <c r="G1611" s="52" t="str">
        <f t="shared" si="29"/>
        <v>5F C4:流舞锋</v>
      </c>
    </row>
    <row r="1612" spans="1:7">
      <c r="A1612" s="24" t="s">
        <v>5650</v>
      </c>
      <c r="B1612" s="24" t="s">
        <v>6145</v>
      </c>
      <c r="C1612" s="24" t="s">
        <v>6193</v>
      </c>
      <c r="D1612" s="151" t="s">
        <v>6495</v>
      </c>
      <c r="E1612" s="151" t="s">
        <v>6496</v>
      </c>
      <c r="F1612" s="151"/>
      <c r="G1612" s="52" t="str">
        <f t="shared" si="29"/>
        <v>90 C4:暗极重波弹</v>
      </c>
    </row>
    <row r="1613" spans="1:7">
      <c r="A1613" s="24" t="s">
        <v>5650</v>
      </c>
      <c r="B1613" s="24" t="s">
        <v>6145</v>
      </c>
      <c r="C1613" s="24" t="s">
        <v>6193</v>
      </c>
      <c r="D1613" s="151" t="s">
        <v>6497</v>
      </c>
      <c r="E1613" s="151" t="s">
        <v>6498</v>
      </c>
      <c r="F1613" s="151"/>
      <c r="G1613" s="52" t="str">
        <f t="shared" si="29"/>
        <v>9F C4:残心·天</v>
      </c>
    </row>
    <row r="1614" spans="1:7">
      <c r="A1614" s="24" t="s">
        <v>5650</v>
      </c>
      <c r="B1614" s="24" t="s">
        <v>6145</v>
      </c>
      <c r="C1614" s="24" t="s">
        <v>6193</v>
      </c>
      <c r="D1614" s="151" t="s">
        <v>6499</v>
      </c>
      <c r="E1614" s="151" t="s">
        <v>6500</v>
      </c>
      <c r="F1614" s="151"/>
      <c r="G1614" s="52" t="str">
        <f t="shared" si="29"/>
        <v>6C C6:常世驱散</v>
      </c>
    </row>
    <row r="1615" spans="1:7">
      <c r="A1615" s="24" t="s">
        <v>5650</v>
      </c>
      <c r="B1615" s="24" t="s">
        <v>6145</v>
      </c>
      <c r="C1615" s="24" t="s">
        <v>6193</v>
      </c>
      <c r="D1615" s="151" t="s">
        <v>6501</v>
      </c>
      <c r="E1615" s="151" t="s">
        <v>6502</v>
      </c>
      <c r="F1615" s="151"/>
      <c r="G1615" s="52" t="str">
        <f t="shared" si="29"/>
        <v>88 C7:初刀之理</v>
      </c>
    </row>
    <row r="1616" spans="1:7">
      <c r="A1616" s="24" t="s">
        <v>5650</v>
      </c>
      <c r="B1616" s="24" t="s">
        <v>6145</v>
      </c>
      <c r="C1616" s="24" t="s">
        <v>6193</v>
      </c>
      <c r="D1616" s="151" t="s">
        <v>6503</v>
      </c>
      <c r="E1616" s="151" t="s">
        <v>6504</v>
      </c>
      <c r="F1616" s="151"/>
      <c r="G1616" s="52" t="str">
        <f t="shared" si="29"/>
        <v>C6 C9:踢击</v>
      </c>
    </row>
    <row r="1617" spans="1:7">
      <c r="A1617" s="24" t="s">
        <v>5650</v>
      </c>
      <c r="B1617" s="24" t="s">
        <v>6145</v>
      </c>
      <c r="C1617" s="24" t="s">
        <v>6193</v>
      </c>
      <c r="D1617" s="151" t="s">
        <v>6505</v>
      </c>
      <c r="E1617" s="151" t="s">
        <v>6506</v>
      </c>
      <c r="F1617" s="151"/>
      <c r="G1617" s="52" t="str">
        <f t="shared" si="29"/>
        <v>8B CA:祓除常世·人</v>
      </c>
    </row>
    <row r="1618" spans="1:7">
      <c r="A1618" s="24" t="s">
        <v>5650</v>
      </c>
      <c r="B1618" s="24" t="s">
        <v>6145</v>
      </c>
      <c r="C1618" s="24" t="s">
        <v>6193</v>
      </c>
      <c r="D1618" s="151" t="s">
        <v>6507</v>
      </c>
      <c r="E1618" s="151" t="s">
        <v>6508</v>
      </c>
      <c r="F1618" s="151"/>
      <c r="G1618" s="52" t="str">
        <f t="shared" si="29"/>
        <v>39 CB:幻惑斩轮</v>
      </c>
    </row>
    <row r="1619" spans="1:7">
      <c r="A1619" s="24" t="s">
        <v>5650</v>
      </c>
      <c r="B1619" s="24" t="s">
        <v>6145</v>
      </c>
      <c r="C1619" s="24" t="s">
        <v>6193</v>
      </c>
      <c r="D1619" s="151" t="s">
        <v>6509</v>
      </c>
      <c r="E1619" s="151" t="s">
        <v>6510</v>
      </c>
      <c r="F1619" s="151"/>
      <c r="G1619" s="52" t="str">
        <f t="shared" si="29"/>
        <v>56 CD:不逊罚</v>
      </c>
    </row>
    <row r="1620" spans="1:7">
      <c r="A1620" s="24" t="s">
        <v>5650</v>
      </c>
      <c r="B1620" s="24" t="s">
        <v>6145</v>
      </c>
      <c r="C1620" s="24" t="s">
        <v>6193</v>
      </c>
      <c r="D1620" s="151" t="s">
        <v>6511</v>
      </c>
      <c r="E1620" s="151" t="s">
        <v>6512</v>
      </c>
      <c r="F1620" s="151"/>
      <c r="G1620" s="52" t="str">
        <f t="shared" si="29"/>
        <v>7A CD:打剑反攻之法</v>
      </c>
    </row>
    <row r="1621" spans="1:7">
      <c r="A1621" s="24" t="s">
        <v>5650</v>
      </c>
      <c r="B1621" s="24" t="s">
        <v>6145</v>
      </c>
      <c r="C1621" s="24" t="s">
        <v>6193</v>
      </c>
      <c r="D1621" s="151" t="s">
        <v>6513</v>
      </c>
      <c r="E1621" s="151" t="s">
        <v>6514</v>
      </c>
      <c r="F1621" s="151"/>
      <c r="G1621" s="52" t="str">
        <f t="shared" si="29"/>
        <v>E9 CD:刚健法　壹</v>
      </c>
    </row>
    <row r="1622" spans="1:7">
      <c r="A1622" s="24" t="s">
        <v>5650</v>
      </c>
      <c r="B1622" s="24" t="s">
        <v>6145</v>
      </c>
      <c r="C1622" s="24" t="s">
        <v>6193</v>
      </c>
      <c r="D1622" s="151" t="s">
        <v>6515</v>
      </c>
      <c r="E1622" s="151" t="s">
        <v>6516</v>
      </c>
      <c r="F1622" s="151"/>
      <c r="G1622" s="52" t="str">
        <f t="shared" si="29"/>
        <v>6F CE:重·十字斩</v>
      </c>
    </row>
    <row r="1623" spans="1:7">
      <c r="A1623" s="24" t="s">
        <v>5650</v>
      </c>
      <c r="B1623" s="24" t="s">
        <v>6145</v>
      </c>
      <c r="C1623" s="24" t="s">
        <v>6193</v>
      </c>
      <c r="D1623" s="151" t="s">
        <v>6517</v>
      </c>
      <c r="E1623" s="151" t="s">
        <v>6518</v>
      </c>
      <c r="F1623" s="151"/>
      <c r="G1623" s="52" t="str">
        <f t="shared" si="29"/>
        <v>78 D0:忍技锐击之法</v>
      </c>
    </row>
    <row r="1624" spans="1:7">
      <c r="A1624" s="24" t="s">
        <v>5650</v>
      </c>
      <c r="B1624" s="24" t="s">
        <v>6145</v>
      </c>
      <c r="C1624" s="24" t="s">
        <v>6193</v>
      </c>
      <c r="D1624" s="151" t="s">
        <v>6519</v>
      </c>
      <c r="E1624" s="151" t="s">
        <v>6520</v>
      </c>
      <c r="F1624" s="151"/>
      <c r="G1624" s="52" t="str">
        <f t="shared" si="29"/>
        <v>02 D2:暴刃之型</v>
      </c>
    </row>
    <row r="1625" spans="1:7">
      <c r="A1625" s="24" t="s">
        <v>5650</v>
      </c>
      <c r="B1625" s="24" t="s">
        <v>6145</v>
      </c>
      <c r="C1625" s="24" t="s">
        <v>6193</v>
      </c>
      <c r="D1625" s="151" t="s">
        <v>6521</v>
      </c>
      <c r="E1625" s="151" t="s">
        <v>6522</v>
      </c>
      <c r="F1625" s="151"/>
      <c r="G1625" s="52" t="str">
        <f t="shared" si="29"/>
        <v>C5 D3:破魔裂风刃</v>
      </c>
    </row>
    <row r="1626" spans="1:7">
      <c r="A1626" s="24" t="s">
        <v>5650</v>
      </c>
      <c r="B1626" s="24" t="s">
        <v>6145</v>
      </c>
      <c r="C1626" s="24" t="s">
        <v>6193</v>
      </c>
      <c r="D1626" s="151" t="s">
        <v>6523</v>
      </c>
      <c r="E1626" s="151" t="s">
        <v>6524</v>
      </c>
      <c r="F1626" s="151"/>
      <c r="G1626" s="52" t="str">
        <f t="shared" si="29"/>
        <v>99 D5:拟忍杀法</v>
      </c>
    </row>
    <row r="1627" spans="1:7">
      <c r="A1627" s="24" t="s">
        <v>5650</v>
      </c>
      <c r="B1627" s="24" t="s">
        <v>6145</v>
      </c>
      <c r="C1627" s="24" t="s">
        <v>6193</v>
      </c>
      <c r="D1627" s="151" t="s">
        <v>6525</v>
      </c>
      <c r="E1627" s="151" t="s">
        <v>6526</v>
      </c>
      <c r="F1627" s="151"/>
      <c r="G1627" s="52" t="str">
        <f t="shared" si="29"/>
        <v>66 D7:不屈不挠</v>
      </c>
    </row>
    <row r="1628" spans="1:7">
      <c r="A1628" s="24" t="s">
        <v>5650</v>
      </c>
      <c r="B1628" s="24" t="s">
        <v>6145</v>
      </c>
      <c r="C1628" s="24" t="s">
        <v>6193</v>
      </c>
      <c r="D1628" s="151" t="s">
        <v>6527</v>
      </c>
      <c r="E1628" s="151" t="s">
        <v>6528</v>
      </c>
      <c r="F1628" s="151"/>
      <c r="G1628" s="52" t="str">
        <f t="shared" si="29"/>
        <v>21 D8:怒号烈破</v>
      </c>
    </row>
    <row r="1629" spans="1:7">
      <c r="A1629" s="24" t="s">
        <v>5650</v>
      </c>
      <c r="B1629" s="24" t="s">
        <v>6145</v>
      </c>
      <c r="C1629" s="24" t="s">
        <v>6193</v>
      </c>
      <c r="D1629" s="151" t="s">
        <v>6529</v>
      </c>
      <c r="E1629" s="151" t="s">
        <v>6530</v>
      </c>
      <c r="F1629" s="151"/>
      <c r="G1629" s="52" t="str">
        <f t="shared" si="29"/>
        <v>1E D9:反弹好手</v>
      </c>
    </row>
    <row r="1630" spans="1:7">
      <c r="A1630" s="24" t="s">
        <v>5650</v>
      </c>
      <c r="B1630" s="24" t="s">
        <v>6145</v>
      </c>
      <c r="C1630" s="24" t="s">
        <v>6193</v>
      </c>
      <c r="D1630" s="151" t="s">
        <v>6531</v>
      </c>
      <c r="E1630" s="151" t="s">
        <v>6532</v>
      </c>
      <c r="F1630" s="151"/>
      <c r="G1630" s="52" t="str">
        <f t="shared" si="29"/>
        <v>BE DC:灵妙之型</v>
      </c>
    </row>
    <row r="1631" spans="1:7">
      <c r="A1631" s="24" t="s">
        <v>5650</v>
      </c>
      <c r="B1631" s="24" t="s">
        <v>6145</v>
      </c>
      <c r="C1631" s="24" t="s">
        <v>6193</v>
      </c>
      <c r="D1631" s="151" t="s">
        <v>6533</v>
      </c>
      <c r="E1631" s="151" t="s">
        <v>6534</v>
      </c>
      <c r="F1631" s="151"/>
      <c r="G1631" s="52" t="str">
        <f t="shared" si="29"/>
        <v>28 DD:流轮之法</v>
      </c>
    </row>
    <row r="1632" spans="1:7">
      <c r="A1632" s="24" t="s">
        <v>5650</v>
      </c>
      <c r="B1632" s="24" t="s">
        <v>6145</v>
      </c>
      <c r="C1632" s="24" t="s">
        <v>6193</v>
      </c>
      <c r="D1632" s="151" t="s">
        <v>6535</v>
      </c>
      <c r="E1632" s="151" t="s">
        <v>6536</v>
      </c>
      <c r="F1632" s="151"/>
      <c r="G1632" s="52" t="str">
        <f t="shared" si="29"/>
        <v>9F E1:幻缠之法</v>
      </c>
    </row>
    <row r="1633" spans="1:7">
      <c r="A1633" s="24" t="s">
        <v>5650</v>
      </c>
      <c r="B1633" s="24" t="s">
        <v>6145</v>
      </c>
      <c r="C1633" s="24" t="s">
        <v>6193</v>
      </c>
      <c r="D1633" s="151" t="s">
        <v>6537</v>
      </c>
      <c r="E1633" s="151" t="s">
        <v>6450</v>
      </c>
      <c r="F1633" s="151"/>
      <c r="G1633" s="52" t="str">
        <f t="shared" si="29"/>
        <v>D6 E1:回天之法</v>
      </c>
    </row>
    <row r="1634" spans="1:7">
      <c r="A1634" s="24" t="s">
        <v>5650</v>
      </c>
      <c r="B1634" s="24" t="s">
        <v>6145</v>
      </c>
      <c r="C1634" s="24" t="s">
        <v>6193</v>
      </c>
      <c r="D1634" s="151" t="s">
        <v>6538</v>
      </c>
      <c r="E1634" s="151" t="s">
        <v>6539</v>
      </c>
      <c r="F1634" s="151"/>
      <c r="G1634" s="52" t="str">
        <f t="shared" si="29"/>
        <v>AE E3:千手千变</v>
      </c>
    </row>
    <row r="1635" spans="1:7">
      <c r="A1635" s="24" t="s">
        <v>5650</v>
      </c>
      <c r="B1635" s="24" t="s">
        <v>6145</v>
      </c>
      <c r="C1635" s="24" t="s">
        <v>6193</v>
      </c>
      <c r="D1635" s="151" t="s">
        <v>6540</v>
      </c>
      <c r="E1635" s="151" t="s">
        <v>6541</v>
      </c>
      <c r="F1635" s="151"/>
      <c r="G1635" s="52" t="str">
        <f t="shared" si="29"/>
        <v>88 E6:轻业法</v>
      </c>
    </row>
    <row r="1636" spans="1:7">
      <c r="A1636" s="24" t="s">
        <v>5650</v>
      </c>
      <c r="B1636" s="24" t="s">
        <v>6145</v>
      </c>
      <c r="C1636" s="24" t="s">
        <v>6193</v>
      </c>
      <c r="D1636" s="151" t="s">
        <v>6542</v>
      </c>
      <c r="E1636" s="151" t="s">
        <v>6543</v>
      </c>
      <c r="F1636" s="151"/>
      <c r="G1636" s="52" t="str">
        <f t="shared" si="29"/>
        <v>C6 E6:冬月明澄法</v>
      </c>
    </row>
    <row r="1637" spans="1:7">
      <c r="A1637" s="24" t="s">
        <v>5650</v>
      </c>
      <c r="B1637" s="24" t="s">
        <v>6145</v>
      </c>
      <c r="C1637" s="24" t="s">
        <v>6193</v>
      </c>
      <c r="D1637" s="151" t="s">
        <v>6544</v>
      </c>
      <c r="E1637" s="151" t="s">
        <v>6545</v>
      </c>
      <c r="F1637" s="151"/>
      <c r="G1637" s="52" t="str">
        <f t="shared" si="29"/>
        <v>8D E7:反攻格挡</v>
      </c>
    </row>
    <row r="1638" spans="1:7">
      <c r="A1638" s="24" t="s">
        <v>5650</v>
      </c>
      <c r="B1638" s="24" t="s">
        <v>6145</v>
      </c>
      <c r="C1638" s="24" t="s">
        <v>6193</v>
      </c>
      <c r="D1638" s="151" t="s">
        <v>6546</v>
      </c>
      <c r="E1638" s="151" t="s">
        <v>6547</v>
      </c>
      <c r="F1638" s="151"/>
      <c r="G1638" s="52" t="str">
        <f t="shared" si="29"/>
        <v>B1 E7:蝴蝶之法</v>
      </c>
    </row>
    <row r="1639" spans="1:7">
      <c r="A1639" s="24" t="s">
        <v>5650</v>
      </c>
      <c r="B1639" s="24" t="s">
        <v>6145</v>
      </c>
      <c r="C1639" s="24" t="s">
        <v>6193</v>
      </c>
      <c r="D1639" s="151" t="s">
        <v>6548</v>
      </c>
      <c r="E1639" s="151" t="s">
        <v>6549</v>
      </c>
      <c r="F1639" s="151"/>
      <c r="G1639" s="52" t="str">
        <f t="shared" si="29"/>
        <v>27 E9:符术·光刃符</v>
      </c>
    </row>
    <row r="1640" spans="1:7">
      <c r="A1640" s="24" t="s">
        <v>5650</v>
      </c>
      <c r="B1640" s="24" t="s">
        <v>6145</v>
      </c>
      <c r="C1640" s="24" t="s">
        <v>6193</v>
      </c>
      <c r="D1640" s="151" t="s">
        <v>6550</v>
      </c>
      <c r="E1640" s="151" t="s">
        <v>6551</v>
      </c>
      <c r="F1640" s="151"/>
      <c r="G1640" s="52" t="str">
        <f t="shared" si="29"/>
        <v>35 E9:流水</v>
      </c>
    </row>
    <row r="1641" spans="1:7">
      <c r="A1641" s="24" t="s">
        <v>5650</v>
      </c>
      <c r="B1641" s="24" t="s">
        <v>6145</v>
      </c>
      <c r="C1641" s="24" t="s">
        <v>6193</v>
      </c>
      <c r="D1641" s="151" t="s">
        <v>6552</v>
      </c>
      <c r="E1641" s="151" t="s">
        <v>6553</v>
      </c>
      <c r="F1641" s="151"/>
      <c r="G1641" s="52" t="str">
        <f t="shared" si="29"/>
        <v>EC E9:残心之心得　改</v>
      </c>
    </row>
    <row r="1642" spans="1:7">
      <c r="A1642" s="24" t="s">
        <v>5650</v>
      </c>
      <c r="B1642" s="24" t="s">
        <v>6145</v>
      </c>
      <c r="C1642" s="24" t="s">
        <v>6193</v>
      </c>
      <c r="D1642" s="151" t="s">
        <v>6554</v>
      </c>
      <c r="E1642" s="151" t="s">
        <v>6555</v>
      </c>
      <c r="F1642" s="151"/>
      <c r="G1642" s="52" t="str">
        <f t="shared" si="29"/>
        <v>C6 EF:虚身之法</v>
      </c>
    </row>
    <row r="1643" spans="1:7">
      <c r="A1643" s="24" t="s">
        <v>5650</v>
      </c>
      <c r="B1643" s="24" t="s">
        <v>6145</v>
      </c>
      <c r="C1643" s="24" t="s">
        <v>6193</v>
      </c>
      <c r="D1643" s="151" t="s">
        <v>6556</v>
      </c>
      <c r="E1643" s="151" t="s">
        <v>6557</v>
      </c>
      <c r="F1643" s="151"/>
      <c r="G1643" s="52" t="str">
        <f t="shared" si="29"/>
        <v>4F F0:居合</v>
      </c>
    </row>
    <row r="1644" spans="1:7">
      <c r="A1644" s="24" t="s">
        <v>5650</v>
      </c>
      <c r="B1644" s="24" t="s">
        <v>6145</v>
      </c>
      <c r="C1644" s="24" t="s">
        <v>6193</v>
      </c>
      <c r="D1644" s="151" t="s">
        <v>6558</v>
      </c>
      <c r="E1644" s="151" t="s">
        <v>6559</v>
      </c>
      <c r="F1644" s="151"/>
      <c r="G1644" s="52" t="str">
        <f t="shared" si="29"/>
        <v>86 F3:坚忍之法</v>
      </c>
    </row>
    <row r="1645" spans="1:7">
      <c r="A1645" s="24" t="s">
        <v>5650</v>
      </c>
      <c r="B1645" s="24" t="s">
        <v>6145</v>
      </c>
      <c r="C1645" s="24" t="s">
        <v>6193</v>
      </c>
      <c r="D1645" s="151" t="s">
        <v>6560</v>
      </c>
      <c r="E1645" s="151" t="s">
        <v>6295</v>
      </c>
      <c r="F1645" s="151"/>
      <c r="G1645" s="52" t="str">
        <f t="shared" si="29"/>
        <v>DB F4:望月之型</v>
      </c>
    </row>
    <row r="1646" spans="1:7">
      <c r="A1646" s="24" t="s">
        <v>5650</v>
      </c>
      <c r="B1646" s="24" t="s">
        <v>6145</v>
      </c>
      <c r="C1646" s="24" t="s">
        <v>6193</v>
      </c>
      <c r="D1646" s="151" t="s">
        <v>6561</v>
      </c>
      <c r="E1646" s="151" t="s">
        <v>6562</v>
      </c>
      <c r="F1646" s="151"/>
      <c r="G1646" s="52" t="str">
        <f t="shared" si="29"/>
        <v>30 F6:防守心得　壹</v>
      </c>
    </row>
    <row r="1647" spans="1:7">
      <c r="A1647" s="24" t="s">
        <v>5650</v>
      </c>
      <c r="B1647" s="24" t="s">
        <v>6145</v>
      </c>
      <c r="C1647" s="24" t="s">
        <v>6193</v>
      </c>
      <c r="D1647" s="151" t="s">
        <v>6563</v>
      </c>
      <c r="E1647" s="151" t="s">
        <v>6564</v>
      </c>
      <c r="F1647" s="151"/>
      <c r="G1647" s="52" t="str">
        <f t="shared" si="29"/>
        <v>FF F6:攻击心得　参</v>
      </c>
    </row>
    <row r="1648" spans="1:7">
      <c r="A1648" s="24" t="s">
        <v>5650</v>
      </c>
      <c r="B1648" s="24" t="s">
        <v>6145</v>
      </c>
      <c r="C1648" s="24" t="s">
        <v>6193</v>
      </c>
      <c r="D1648" s="151" t="s">
        <v>6565</v>
      </c>
      <c r="E1648" s="151" t="s">
        <v>6566</v>
      </c>
      <c r="F1648" s="151"/>
      <c r="G1648" s="52" t="str">
        <f t="shared" si="29"/>
        <v>34 F8:增益复制灵技</v>
      </c>
    </row>
    <row r="1649" spans="1:7">
      <c r="A1649" s="24" t="s">
        <v>5650</v>
      </c>
      <c r="B1649" s="24" t="s">
        <v>6145</v>
      </c>
      <c r="C1649" s="24" t="s">
        <v>6193</v>
      </c>
      <c r="D1649" s="151" t="s">
        <v>6567</v>
      </c>
      <c r="E1649" s="151" t="s">
        <v>6568</v>
      </c>
      <c r="F1649" s="151"/>
      <c r="G1649" s="52" t="str">
        <f t="shared" si="29"/>
        <v>62 F9:克刚使役之法</v>
      </c>
    </row>
    <row r="1650" spans="1:7">
      <c r="A1650" s="24" t="s">
        <v>5650</v>
      </c>
      <c r="B1650" s="24" t="s">
        <v>6145</v>
      </c>
      <c r="C1650" s="24" t="s">
        <v>6193</v>
      </c>
      <c r="D1650" s="151" t="s">
        <v>6569</v>
      </c>
      <c r="E1650" s="151" t="s">
        <v>6570</v>
      </c>
      <c r="F1650" s="151"/>
      <c r="G1650" s="52" t="str">
        <f t="shared" si="29"/>
        <v>9A F9:妙药心得</v>
      </c>
    </row>
    <row r="1651" spans="1:7">
      <c r="A1651" s="24" t="s">
        <v>5650</v>
      </c>
      <c r="B1651" s="24" t="s">
        <v>6145</v>
      </c>
      <c r="C1651" s="24" t="s">
        <v>6193</v>
      </c>
      <c r="D1651" s="151" t="s">
        <v>6571</v>
      </c>
      <c r="E1651" s="151" t="s">
        <v>6572</v>
      </c>
      <c r="F1651" s="151"/>
      <c r="G1651" s="52" t="str">
        <f t="shared" si="29"/>
        <v>81 FC:克刚琢技之法</v>
      </c>
    </row>
    <row r="1652" spans="1:7">
      <c r="A1652" s="24" t="s">
        <v>5650</v>
      </c>
      <c r="B1652" s="24" t="s">
        <v>6145</v>
      </c>
      <c r="C1652" s="24" t="s">
        <v>6193</v>
      </c>
      <c r="D1652" s="151" t="s">
        <v>6573</v>
      </c>
      <c r="E1652" s="151" t="s">
        <v>6574</v>
      </c>
      <c r="F1652" s="151"/>
      <c r="G1652" s="52" t="str">
        <f t="shared" si="29"/>
        <v>A7 FC:一击专心之型</v>
      </c>
    </row>
    <row r="1653" spans="1:7">
      <c r="A1653" s="24" t="s">
        <v>5650</v>
      </c>
      <c r="B1653" s="24" t="s">
        <v>6145</v>
      </c>
      <c r="C1653" s="24" t="s">
        <v>6575</v>
      </c>
      <c r="D1653" s="151" t="s">
        <v>6576</v>
      </c>
      <c r="E1653" s="151" t="s">
        <v>5142</v>
      </c>
      <c r="F1653" s="151"/>
      <c r="G1653" s="52" t="str">
        <f t="shared" si="29"/>
        <v>C7 00:鬼神面</v>
      </c>
    </row>
    <row r="1654" spans="1:7">
      <c r="A1654" s="24" t="s">
        <v>5650</v>
      </c>
      <c r="B1654" s="24" t="s">
        <v>6145</v>
      </c>
      <c r="C1654" s="24" t="s">
        <v>6575</v>
      </c>
      <c r="D1654" s="151" t="s">
        <v>6577</v>
      </c>
      <c r="E1654" s="151" t="s">
        <v>6578</v>
      </c>
      <c r="F1654" s="151"/>
      <c r="G1654" s="52" t="str">
        <f t="shared" si="29"/>
        <v>C9 00:剑术无双之衣</v>
      </c>
    </row>
    <row r="1655" spans="1:7">
      <c r="A1655" s="24" t="s">
        <v>5650</v>
      </c>
      <c r="B1655" s="24" t="s">
        <v>6145</v>
      </c>
      <c r="C1655" s="24" t="s">
        <v>6575</v>
      </c>
      <c r="D1655" s="151" t="s">
        <v>6579</v>
      </c>
      <c r="E1655" s="151" t="s">
        <v>3332</v>
      </c>
      <c r="F1655" s="151"/>
      <c r="G1655" s="52" t="str">
        <f t="shared" si="29"/>
        <v>D9 01:家光的装饰刀</v>
      </c>
    </row>
    <row r="1656" spans="1:7">
      <c r="A1656" s="24" t="s">
        <v>5650</v>
      </c>
      <c r="B1656" s="24" t="s">
        <v>6145</v>
      </c>
      <c r="C1656" s="24" t="s">
        <v>6575</v>
      </c>
      <c r="D1656" s="151" t="s">
        <v>6580</v>
      </c>
      <c r="E1656" s="151" t="s">
        <v>3677</v>
      </c>
      <c r="F1656" s="151"/>
      <c r="G1656" s="52" t="str">
        <f t="shared" si="29"/>
        <v>53 02:狱妖手甲</v>
      </c>
    </row>
    <row r="1657" spans="1:7">
      <c r="A1657" s="24" t="s">
        <v>5650</v>
      </c>
      <c r="B1657" s="24" t="s">
        <v>6145</v>
      </c>
      <c r="C1657" s="24" t="s">
        <v>6575</v>
      </c>
      <c r="D1657" s="151" t="s">
        <v>6581</v>
      </c>
      <c r="E1657" s="151" t="s">
        <v>6582</v>
      </c>
      <c r="F1657" s="151"/>
      <c r="G1657" s="52" t="str">
        <f t="shared" si="29"/>
        <v>71 02:同田贯正国</v>
      </c>
    </row>
    <row r="1658" spans="1:7">
      <c r="A1658" s="24" t="s">
        <v>5650</v>
      </c>
      <c r="B1658" s="24" t="s">
        <v>6145</v>
      </c>
      <c r="C1658" s="24" t="s">
        <v>6575</v>
      </c>
      <c r="D1658" s="151" t="s">
        <v>6583</v>
      </c>
      <c r="E1658" s="151" t="s">
        <v>6584</v>
      </c>
      <c r="F1658" s="151"/>
      <c r="G1658" s="52" t="str">
        <f t="shared" si="29"/>
        <v>3E 03:行商人装束</v>
      </c>
    </row>
    <row r="1659" spans="1:7">
      <c r="A1659" s="24" t="s">
        <v>5650</v>
      </c>
      <c r="B1659" s="24" t="s">
        <v>6145</v>
      </c>
      <c r="C1659" s="24" t="s">
        <v>6575</v>
      </c>
      <c r="D1659" s="151" t="s">
        <v>6585</v>
      </c>
      <c r="E1659" s="151" t="s">
        <v>3365</v>
      </c>
      <c r="F1659" s="151"/>
      <c r="G1659" s="52" t="str">
        <f t="shared" si="29"/>
        <v>90 03:大般若长光·刨切</v>
      </c>
    </row>
    <row r="1660" spans="1:7">
      <c r="A1660" s="24" t="s">
        <v>5650</v>
      </c>
      <c r="B1660" s="24" t="s">
        <v>6145</v>
      </c>
      <c r="C1660" s="24" t="s">
        <v>6575</v>
      </c>
      <c r="D1660" s="151" t="s">
        <v>6586</v>
      </c>
      <c r="E1660" s="151" t="s">
        <v>6587</v>
      </c>
      <c r="F1660" s="151"/>
      <c r="G1660" s="52" t="str">
        <f t="shared" si="29"/>
        <v>1E 04:楚叶矢众铠</v>
      </c>
    </row>
    <row r="1661" spans="1:7">
      <c r="A1661" s="24" t="s">
        <v>5650</v>
      </c>
      <c r="B1661" s="24" t="s">
        <v>6145</v>
      </c>
      <c r="C1661" s="24" t="s">
        <v>6575</v>
      </c>
      <c r="D1661" s="151" t="s">
        <v>6588</v>
      </c>
      <c r="E1661" s="151" t="s">
        <v>3957</v>
      </c>
      <c r="F1661" s="151"/>
      <c r="G1661" s="52" t="str">
        <f t="shared" si="29"/>
        <v>66 04:破邪机关棍</v>
      </c>
    </row>
    <row r="1662" spans="1:7">
      <c r="A1662" s="24" t="s">
        <v>5650</v>
      </c>
      <c r="B1662" s="24" t="s">
        <v>6145</v>
      </c>
      <c r="C1662" s="24" t="s">
        <v>6575</v>
      </c>
      <c r="D1662" s="151" t="s">
        <v>6589</v>
      </c>
      <c r="E1662" s="151" t="s">
        <v>6590</v>
      </c>
      <c r="F1662" s="151"/>
      <c r="G1662" s="52" t="str">
        <f t="shared" si="29"/>
        <v>DB 04:螺旋角眼镜头盔</v>
      </c>
    </row>
    <row r="1663" spans="1:7">
      <c r="A1663" s="24" t="s">
        <v>5650</v>
      </c>
      <c r="B1663" s="24" t="s">
        <v>6145</v>
      </c>
      <c r="C1663" s="24" t="s">
        <v>6575</v>
      </c>
      <c r="D1663" s="151" t="s">
        <v>6591</v>
      </c>
      <c r="E1663" s="151" t="s">
        <v>6592</v>
      </c>
      <c r="F1663" s="151"/>
      <c r="G1663" s="52" t="str">
        <f t="shared" si="29"/>
        <v>47 05:宇佐美长光</v>
      </c>
    </row>
    <row r="1664" spans="1:7">
      <c r="A1664" s="24" t="s">
        <v>5650</v>
      </c>
      <c r="B1664" s="24" t="s">
        <v>6145</v>
      </c>
      <c r="C1664" s="24" t="s">
        <v>6575</v>
      </c>
      <c r="D1664" s="151" t="s">
        <v>6593</v>
      </c>
      <c r="E1664" s="151" t="s">
        <v>6594</v>
      </c>
      <c r="F1664" s="151"/>
      <c r="G1664" s="52" t="str">
        <f t="shared" si="29"/>
        <v>D2 05:少武者中铠</v>
      </c>
    </row>
    <row r="1665" spans="1:7">
      <c r="A1665" s="24" t="s">
        <v>5650</v>
      </c>
      <c r="B1665" s="24" t="s">
        <v>6145</v>
      </c>
      <c r="C1665" s="24" t="s">
        <v>6575</v>
      </c>
      <c r="D1665" s="151" t="s">
        <v>6595</v>
      </c>
      <c r="E1665" s="151" t="s">
        <v>6596</v>
      </c>
      <c r="F1665" s="151"/>
      <c r="G1665" s="52" t="str">
        <f t="shared" si="29"/>
        <v>45 06:讨鬼勇猛之铠</v>
      </c>
    </row>
    <row r="1666" spans="1:7">
      <c r="A1666" s="24" t="s">
        <v>5650</v>
      </c>
      <c r="B1666" s="24" t="s">
        <v>6145</v>
      </c>
      <c r="C1666" s="24" t="s">
        <v>6575</v>
      </c>
      <c r="D1666" s="151" t="s">
        <v>6597</v>
      </c>
      <c r="E1666" s="151" t="s">
        <v>4633</v>
      </c>
      <c r="F1666" s="151"/>
      <c r="G1666" s="52" t="str">
        <f t="shared" si="29"/>
        <v>4E 06:黑漆涂雁金形盔</v>
      </c>
    </row>
    <row r="1667" spans="1:7">
      <c r="A1667" s="24" t="s">
        <v>5650</v>
      </c>
      <c r="B1667" s="24" t="s">
        <v>6145</v>
      </c>
      <c r="C1667" s="24" t="s">
        <v>6575</v>
      </c>
      <c r="D1667" s="151" t="s">
        <v>6598</v>
      </c>
      <c r="E1667" s="151" t="s">
        <v>5600</v>
      </c>
      <c r="F1667" s="151"/>
      <c r="G1667" s="52" t="str">
        <f t="shared" si="29"/>
        <v>C7 08:净化过的笔</v>
      </c>
    </row>
    <row r="1668" spans="1:7">
      <c r="A1668" s="24" t="s">
        <v>5650</v>
      </c>
      <c r="B1668" s="24" t="s">
        <v>6145</v>
      </c>
      <c r="C1668" s="24" t="s">
        <v>6575</v>
      </c>
      <c r="D1668" s="151" t="s">
        <v>6599</v>
      </c>
      <c r="E1668" s="151" t="s">
        <v>3463</v>
      </c>
      <c r="F1668" s="151"/>
      <c r="G1668" s="52" t="str">
        <f t="shared" si="29"/>
        <v>04 09:刀匠之锤</v>
      </c>
    </row>
    <row r="1669" spans="1:7">
      <c r="A1669" s="24" t="s">
        <v>5650</v>
      </c>
      <c r="B1669" s="24" t="s">
        <v>6145</v>
      </c>
      <c r="C1669" s="24" t="s">
        <v>6575</v>
      </c>
      <c r="D1669" s="151" t="s">
        <v>6600</v>
      </c>
      <c r="E1669" s="151" t="s">
        <v>6601</v>
      </c>
      <c r="F1669" s="151"/>
      <c r="G1669" s="52" t="str">
        <f t="shared" si="29"/>
        <v>6C 09:神官净衣</v>
      </c>
    </row>
    <row r="1670" spans="1:7">
      <c r="A1670" s="24" t="s">
        <v>5650</v>
      </c>
      <c r="B1670" s="24" t="s">
        <v>6145</v>
      </c>
      <c r="C1670" s="24" t="s">
        <v>6575</v>
      </c>
      <c r="D1670" s="151" t="s">
        <v>6602</v>
      </c>
      <c r="E1670" s="151" t="s">
        <v>3576</v>
      </c>
      <c r="F1670" s="151"/>
      <c r="G1670" s="52" t="str">
        <f t="shared" si="29"/>
        <v>85 09:狱妖大太刀</v>
      </c>
    </row>
    <row r="1671" spans="1:7">
      <c r="A1671" s="24" t="s">
        <v>5650</v>
      </c>
      <c r="B1671" s="24" t="s">
        <v>6145</v>
      </c>
      <c r="C1671" s="24" t="s">
        <v>6575</v>
      </c>
      <c r="D1671" s="151" t="s">
        <v>6603</v>
      </c>
      <c r="E1671" s="151" t="s">
        <v>3371</v>
      </c>
      <c r="F1671" s="151"/>
      <c r="G1671" s="52" t="str">
        <f t="shared" si="29"/>
        <v>92 09:本庄正宗·军刀</v>
      </c>
    </row>
    <row r="1672" spans="1:7">
      <c r="A1672" s="24" t="s">
        <v>5650</v>
      </c>
      <c r="B1672" s="24" t="s">
        <v>6145</v>
      </c>
      <c r="C1672" s="24" t="s">
        <v>6575</v>
      </c>
      <c r="D1672" s="151" t="s">
        <v>6604</v>
      </c>
      <c r="E1672" s="151" t="s">
        <v>5130</v>
      </c>
      <c r="F1672" s="151"/>
      <c r="G1672" s="52" t="str">
        <f t="shared" ref="G1672:G1735" si="30">D1672&amp;":"&amp;E1672</f>
        <v>A9 09:翁面</v>
      </c>
    </row>
    <row r="1673" spans="1:7">
      <c r="A1673" s="24" t="s">
        <v>5650</v>
      </c>
      <c r="B1673" s="24" t="s">
        <v>6145</v>
      </c>
      <c r="C1673" s="24" t="s">
        <v>6575</v>
      </c>
      <c r="D1673" s="151" t="s">
        <v>6605</v>
      </c>
      <c r="E1673" s="151" t="s">
        <v>3885</v>
      </c>
      <c r="F1673" s="151"/>
      <c r="G1673" s="52" t="str">
        <f t="shared" si="30"/>
        <v>AF 09:大目付旋棍</v>
      </c>
    </row>
    <row r="1674" spans="1:7">
      <c r="A1674" s="24" t="s">
        <v>5650</v>
      </c>
      <c r="B1674" s="24" t="s">
        <v>6145</v>
      </c>
      <c r="C1674" s="24" t="s">
        <v>6575</v>
      </c>
      <c r="D1674" s="151" t="s">
        <v>6606</v>
      </c>
      <c r="E1674" s="151" t="s">
        <v>5626</v>
      </c>
      <c r="F1674" s="151"/>
      <c r="G1674" s="52" t="str">
        <f t="shared" si="30"/>
        <v>EA 09:同伴护符</v>
      </c>
    </row>
    <row r="1675" spans="1:7">
      <c r="A1675" s="24" t="s">
        <v>5650</v>
      </c>
      <c r="B1675" s="24" t="s">
        <v>6145</v>
      </c>
      <c r="C1675" s="24" t="s">
        <v>6575</v>
      </c>
      <c r="D1675" s="151" t="s">
        <v>6607</v>
      </c>
      <c r="E1675" s="151" t="s">
        <v>6608</v>
      </c>
      <c r="F1675" s="151"/>
      <c r="G1675" s="52" t="str">
        <f t="shared" si="30"/>
        <v>11 0A:盾无</v>
      </c>
    </row>
    <row r="1676" spans="1:7">
      <c r="A1676" s="24" t="s">
        <v>5650</v>
      </c>
      <c r="B1676" s="24" t="s">
        <v>6145</v>
      </c>
      <c r="C1676" s="24" t="s">
        <v>6575</v>
      </c>
      <c r="D1676" s="151" t="s">
        <v>6609</v>
      </c>
      <c r="E1676" s="151" t="s">
        <v>6610</v>
      </c>
      <c r="F1676" s="151"/>
      <c r="G1676" s="52" t="str">
        <f t="shared" si="30"/>
        <v>0B 0B:笠子形盔</v>
      </c>
    </row>
    <row r="1677" spans="1:7">
      <c r="A1677" s="24" t="s">
        <v>5650</v>
      </c>
      <c r="B1677" s="24" t="s">
        <v>6145</v>
      </c>
      <c r="C1677" s="24" t="s">
        <v>6575</v>
      </c>
      <c r="D1677" s="151" t="s">
        <v>6611</v>
      </c>
      <c r="E1677" s="151" t="s">
        <v>3388</v>
      </c>
      <c r="F1677" s="151"/>
      <c r="G1677" s="52" t="str">
        <f t="shared" si="30"/>
        <v>4B 0C:万骨</v>
      </c>
    </row>
    <row r="1678" spans="1:7">
      <c r="A1678" s="24" t="s">
        <v>5650</v>
      </c>
      <c r="B1678" s="24" t="s">
        <v>6145</v>
      </c>
      <c r="C1678" s="24" t="s">
        <v>6575</v>
      </c>
      <c r="D1678" s="151" t="s">
        <v>6612</v>
      </c>
      <c r="E1678" s="151" t="s">
        <v>3410</v>
      </c>
      <c r="F1678" s="151"/>
      <c r="G1678" s="52" t="str">
        <f t="shared" si="30"/>
        <v>F7 0C:瓮通枪</v>
      </c>
    </row>
    <row r="1679" spans="1:7">
      <c r="A1679" s="24" t="s">
        <v>5650</v>
      </c>
      <c r="B1679" s="24" t="s">
        <v>6145</v>
      </c>
      <c r="C1679" s="24" t="s">
        <v>6575</v>
      </c>
      <c r="D1679" s="151" t="s">
        <v>6613</v>
      </c>
      <c r="E1679" s="151" t="s">
        <v>6614</v>
      </c>
      <c r="F1679" s="151"/>
      <c r="G1679" s="52" t="str">
        <f t="shared" si="30"/>
        <v>12 0D:海道第一大名之弓</v>
      </c>
    </row>
    <row r="1680" spans="1:7">
      <c r="A1680" s="24" t="s">
        <v>5650</v>
      </c>
      <c r="B1680" s="24" t="s">
        <v>6145</v>
      </c>
      <c r="C1680" s="24" t="s">
        <v>6575</v>
      </c>
      <c r="D1680" s="151" t="s">
        <v>6615</v>
      </c>
      <c r="E1680" s="151" t="s">
        <v>6616</v>
      </c>
      <c r="F1680" s="151"/>
      <c r="G1680" s="52" t="str">
        <f t="shared" si="30"/>
        <v>2D 0D:西国无双之铠</v>
      </c>
    </row>
    <row r="1681" spans="1:7">
      <c r="A1681" s="24" t="s">
        <v>5650</v>
      </c>
      <c r="B1681" s="24" t="s">
        <v>6145</v>
      </c>
      <c r="C1681" s="24" t="s">
        <v>6575</v>
      </c>
      <c r="D1681" s="151" t="s">
        <v>6617</v>
      </c>
      <c r="E1681" s="151" t="s">
        <v>6618</v>
      </c>
      <c r="F1681" s="151"/>
      <c r="G1681" s="52" t="str">
        <f t="shared" si="30"/>
        <v>A1 0D:血吸·蜘蛛切</v>
      </c>
    </row>
    <row r="1682" spans="1:7">
      <c r="A1682" s="24" t="s">
        <v>5650</v>
      </c>
      <c r="B1682" s="24" t="s">
        <v>6145</v>
      </c>
      <c r="C1682" s="24" t="s">
        <v>6575</v>
      </c>
      <c r="D1682" s="151" t="s">
        <v>6619</v>
      </c>
      <c r="E1682" s="151" t="s">
        <v>3377</v>
      </c>
      <c r="F1682" s="151"/>
      <c r="G1682" s="52" t="str">
        <f t="shared" si="30"/>
        <v>B3 0D:法桥来金道·宇多国光</v>
      </c>
    </row>
    <row r="1683" spans="1:7">
      <c r="A1683" s="24" t="s">
        <v>5650</v>
      </c>
      <c r="B1683" s="24" t="s">
        <v>6145</v>
      </c>
      <c r="C1683" s="24" t="s">
        <v>6575</v>
      </c>
      <c r="D1683" s="151" t="s">
        <v>6620</v>
      </c>
      <c r="E1683" s="151" t="s">
        <v>4095</v>
      </c>
      <c r="F1683" s="151"/>
      <c r="G1683" s="52" t="str">
        <f t="shared" si="30"/>
        <v>01 0E:稻富流火绳枪</v>
      </c>
    </row>
    <row r="1684" spans="1:7">
      <c r="A1684" s="24" t="s">
        <v>5650</v>
      </c>
      <c r="B1684" s="24" t="s">
        <v>6145</v>
      </c>
      <c r="C1684" s="24" t="s">
        <v>6575</v>
      </c>
      <c r="D1684" s="151" t="s">
        <v>6621</v>
      </c>
      <c r="E1684" s="151" t="s">
        <v>3497</v>
      </c>
      <c r="F1684" s="151"/>
      <c r="G1684" s="52" t="str">
        <f t="shared" si="30"/>
        <v>EA 0E:地狱棍棒</v>
      </c>
    </row>
    <row r="1685" spans="1:7">
      <c r="A1685" s="24" t="s">
        <v>5650</v>
      </c>
      <c r="B1685" s="24" t="s">
        <v>6145</v>
      </c>
      <c r="C1685" s="24" t="s">
        <v>6575</v>
      </c>
      <c r="D1685" s="151" t="s">
        <v>6622</v>
      </c>
      <c r="E1685" s="151" t="s">
        <v>6623</v>
      </c>
      <c r="F1685" s="151"/>
      <c r="G1685" s="52" t="str">
        <f t="shared" si="30"/>
        <v>45 0F:飞仓锁镰</v>
      </c>
    </row>
    <row r="1686" spans="1:7">
      <c r="A1686" s="24" t="s">
        <v>5650</v>
      </c>
      <c r="B1686" s="24" t="s">
        <v>6145</v>
      </c>
      <c r="C1686" s="24" t="s">
        <v>6575</v>
      </c>
      <c r="D1686" s="151" t="s">
        <v>6624</v>
      </c>
      <c r="E1686" s="151" t="s">
        <v>3628</v>
      </c>
      <c r="F1686" s="151"/>
      <c r="G1686" s="52" t="str">
        <f t="shared" si="30"/>
        <v>86 0F:木曾紫薙刀镰</v>
      </c>
    </row>
    <row r="1687" spans="1:7">
      <c r="A1687" s="24" t="s">
        <v>5650</v>
      </c>
      <c r="B1687" s="24" t="s">
        <v>6145</v>
      </c>
      <c r="C1687" s="24" t="s">
        <v>6575</v>
      </c>
      <c r="D1687" s="151" t="s">
        <v>6625</v>
      </c>
      <c r="E1687" s="151" t="s">
        <v>3773</v>
      </c>
      <c r="F1687" s="151"/>
      <c r="G1687" s="52" t="str">
        <f t="shared" si="30"/>
        <v>08 10:小乌丸·拔丸</v>
      </c>
    </row>
    <row r="1688" spans="1:7">
      <c r="A1688" s="24" t="s">
        <v>5650</v>
      </c>
      <c r="B1688" s="24" t="s">
        <v>6145</v>
      </c>
      <c r="C1688" s="24" t="s">
        <v>6575</v>
      </c>
      <c r="D1688" s="151" t="s">
        <v>6626</v>
      </c>
      <c r="E1688" s="151" t="s">
        <v>6627</v>
      </c>
      <c r="F1688" s="151"/>
      <c r="G1688" s="52" t="str">
        <f t="shared" si="30"/>
        <v>91 10:角突弓</v>
      </c>
    </row>
    <row r="1689" spans="1:7">
      <c r="A1689" s="24" t="s">
        <v>5650</v>
      </c>
      <c r="B1689" s="24" t="s">
        <v>6145</v>
      </c>
      <c r="C1689" s="24" t="s">
        <v>6575</v>
      </c>
      <c r="D1689" s="151" t="s">
        <v>6628</v>
      </c>
      <c r="E1689" s="151" t="s">
        <v>3396</v>
      </c>
      <c r="F1689" s="151"/>
      <c r="G1689" s="52" t="str">
        <f t="shared" si="30"/>
        <v>50 12:小松明</v>
      </c>
    </row>
    <row r="1690" spans="1:7">
      <c r="A1690" s="24" t="s">
        <v>5650</v>
      </c>
      <c r="B1690" s="24" t="s">
        <v>6145</v>
      </c>
      <c r="C1690" s="24" t="s">
        <v>6575</v>
      </c>
      <c r="D1690" s="151" t="s">
        <v>6629</v>
      </c>
      <c r="E1690" s="151" t="s">
        <v>3483</v>
      </c>
      <c r="F1690" s="151"/>
      <c r="G1690" s="52" t="str">
        <f t="shared" si="30"/>
        <v>73 12:破军板斧</v>
      </c>
    </row>
    <row r="1691" spans="1:7">
      <c r="A1691" s="24" t="s">
        <v>5650</v>
      </c>
      <c r="B1691" s="24" t="s">
        <v>6145</v>
      </c>
      <c r="C1691" s="24" t="s">
        <v>6575</v>
      </c>
      <c r="D1691" s="151" t="s">
        <v>6630</v>
      </c>
      <c r="E1691" s="151" t="s">
        <v>6631</v>
      </c>
      <c r="F1691" s="151"/>
      <c r="G1691" s="52" t="str">
        <f t="shared" si="30"/>
        <v>EE 12:避来矢</v>
      </c>
    </row>
    <row r="1692" spans="1:7">
      <c r="A1692" s="24" t="s">
        <v>5650</v>
      </c>
      <c r="B1692" s="24" t="s">
        <v>6145</v>
      </c>
      <c r="C1692" s="24" t="s">
        <v>6575</v>
      </c>
      <c r="D1692" s="151" t="s">
        <v>6632</v>
      </c>
      <c r="E1692" s="151" t="s">
        <v>6633</v>
      </c>
      <c r="F1692" s="151"/>
      <c r="G1692" s="52" t="str">
        <f t="shared" si="30"/>
        <v>02 13:两面宿傩之斧</v>
      </c>
    </row>
    <row r="1693" spans="1:7">
      <c r="A1693" s="24" t="s">
        <v>5650</v>
      </c>
      <c r="B1693" s="24" t="s">
        <v>6145</v>
      </c>
      <c r="C1693" s="24" t="s">
        <v>6575</v>
      </c>
      <c r="D1693" s="151" t="s">
        <v>6634</v>
      </c>
      <c r="E1693" s="151" t="s">
        <v>3330</v>
      </c>
      <c r="F1693" s="151"/>
      <c r="G1693" s="52" t="str">
        <f t="shared" si="30"/>
        <v>43 13:鬼丸国纲</v>
      </c>
    </row>
    <row r="1694" spans="1:7">
      <c r="A1694" s="24" t="s">
        <v>5650</v>
      </c>
      <c r="B1694" s="24" t="s">
        <v>6145</v>
      </c>
      <c r="C1694" s="24" t="s">
        <v>6575</v>
      </c>
      <c r="D1694" s="151" t="s">
        <v>6635</v>
      </c>
      <c r="E1694" s="151" t="s">
        <v>6636</v>
      </c>
      <c r="F1694" s="151"/>
      <c r="G1694" s="52" t="str">
        <f t="shared" si="30"/>
        <v>4B 13:土佐守轻铠</v>
      </c>
    </row>
    <row r="1695" spans="1:7">
      <c r="A1695" s="24" t="s">
        <v>5650</v>
      </c>
      <c r="B1695" s="24" t="s">
        <v>6145</v>
      </c>
      <c r="C1695" s="24" t="s">
        <v>6575</v>
      </c>
      <c r="D1695" s="151" t="s">
        <v>6637</v>
      </c>
      <c r="E1695" s="151" t="s">
        <v>4078</v>
      </c>
      <c r="F1695" s="151"/>
      <c r="G1695" s="52" t="str">
        <f t="shared" si="30"/>
        <v>09 14:镰仓大人之弓</v>
      </c>
    </row>
    <row r="1696" spans="1:7">
      <c r="A1696" s="24" t="s">
        <v>5650</v>
      </c>
      <c r="B1696" s="24" t="s">
        <v>6145</v>
      </c>
      <c r="C1696" s="24" t="s">
        <v>6575</v>
      </c>
      <c r="D1696" s="151" t="s">
        <v>6638</v>
      </c>
      <c r="E1696" s="151" t="s">
        <v>3622</v>
      </c>
      <c r="F1696" s="151"/>
      <c r="G1696" s="52" t="str">
        <f t="shared" si="30"/>
        <v>62 14:明神镰</v>
      </c>
    </row>
    <row r="1697" spans="1:7">
      <c r="A1697" s="24" t="s">
        <v>5650</v>
      </c>
      <c r="B1697" s="24" t="s">
        <v>6145</v>
      </c>
      <c r="C1697" s="24" t="s">
        <v>6575</v>
      </c>
      <c r="D1697" s="151" t="s">
        <v>6639</v>
      </c>
      <c r="E1697" s="151" t="s">
        <v>6640</v>
      </c>
      <c r="F1697" s="151"/>
      <c r="G1697" s="52" t="str">
        <f t="shared" si="30"/>
        <v>98 14:宗三左文字·松仓江</v>
      </c>
    </row>
    <row r="1698" spans="1:7">
      <c r="A1698" s="24" t="s">
        <v>5650</v>
      </c>
      <c r="B1698" s="24" t="s">
        <v>6145</v>
      </c>
      <c r="C1698" s="24" t="s">
        <v>6575</v>
      </c>
      <c r="D1698" s="151" t="s">
        <v>6641</v>
      </c>
      <c r="E1698" s="151" t="s">
        <v>6642</v>
      </c>
      <c r="F1698" s="151"/>
      <c r="G1698" s="52" t="str">
        <f t="shared" si="30"/>
        <v>16 15:大义之铠</v>
      </c>
    </row>
    <row r="1699" spans="1:7">
      <c r="A1699" s="24" t="s">
        <v>5650</v>
      </c>
      <c r="B1699" s="24" t="s">
        <v>6145</v>
      </c>
      <c r="C1699" s="24" t="s">
        <v>6575</v>
      </c>
      <c r="D1699" s="151" t="s">
        <v>6643</v>
      </c>
      <c r="E1699" s="151" t="s">
        <v>6644</v>
      </c>
      <c r="F1699" s="151"/>
      <c r="G1699" s="52" t="str">
        <f t="shared" si="30"/>
        <v>F2 16:火焰光前立头盔</v>
      </c>
    </row>
    <row r="1700" spans="1:7">
      <c r="A1700" s="24" t="s">
        <v>5650</v>
      </c>
      <c r="B1700" s="24" t="s">
        <v>6145</v>
      </c>
      <c r="C1700" s="24" t="s">
        <v>6575</v>
      </c>
      <c r="D1700" s="151" t="s">
        <v>6645</v>
      </c>
      <c r="E1700" s="151" t="s">
        <v>3767</v>
      </c>
      <c r="F1700" s="151"/>
      <c r="G1700" s="52" t="str">
        <f t="shared" si="30"/>
        <v>03 17:笼钓瓶村正·猪切</v>
      </c>
    </row>
    <row r="1701" spans="1:7">
      <c r="A1701" s="24" t="s">
        <v>5650</v>
      </c>
      <c r="B1701" s="24" t="s">
        <v>6145</v>
      </c>
      <c r="C1701" s="24" t="s">
        <v>6575</v>
      </c>
      <c r="D1701" s="151" t="s">
        <v>6646</v>
      </c>
      <c r="E1701" s="151" t="s">
        <v>3824</v>
      </c>
      <c r="F1701" s="151"/>
      <c r="G1701" s="52" t="str">
        <f t="shared" si="30"/>
        <v>7F 17:小夜岚</v>
      </c>
    </row>
    <row r="1702" spans="1:7">
      <c r="A1702" s="24" t="s">
        <v>5650</v>
      </c>
      <c r="B1702" s="24" t="s">
        <v>6145</v>
      </c>
      <c r="C1702" s="24" t="s">
        <v>6575</v>
      </c>
      <c r="D1702" s="151" t="s">
        <v>6647</v>
      </c>
      <c r="E1702" s="151" t="s">
        <v>6648</v>
      </c>
      <c r="F1702" s="151"/>
      <c r="G1702" s="52" t="str">
        <f t="shared" si="30"/>
        <v>83 17:怨灵鬼头盔</v>
      </c>
    </row>
    <row r="1703" spans="1:7">
      <c r="A1703" s="24" t="s">
        <v>5650</v>
      </c>
      <c r="B1703" s="24" t="s">
        <v>6145</v>
      </c>
      <c r="C1703" s="24" t="s">
        <v>6575</v>
      </c>
      <c r="D1703" s="151" t="s">
        <v>6649</v>
      </c>
      <c r="E1703" s="151" t="s">
        <v>6650</v>
      </c>
      <c r="F1703" s="151"/>
      <c r="G1703" s="52" t="str">
        <f t="shared" si="30"/>
        <v>24 18:无明面具</v>
      </c>
    </row>
    <row r="1704" spans="1:7">
      <c r="A1704" s="24" t="s">
        <v>5650</v>
      </c>
      <c r="B1704" s="24" t="s">
        <v>6145</v>
      </c>
      <c r="C1704" s="24" t="s">
        <v>6575</v>
      </c>
      <c r="D1704" s="151" t="s">
        <v>6651</v>
      </c>
      <c r="E1704" s="151" t="s">
        <v>6652</v>
      </c>
      <c r="F1704" s="151"/>
      <c r="G1704" s="52" t="str">
        <f t="shared" si="30"/>
        <v>34 18:石动</v>
      </c>
    </row>
    <row r="1705" spans="1:7">
      <c r="A1705" s="24" t="s">
        <v>5650</v>
      </c>
      <c r="B1705" s="24" t="s">
        <v>6145</v>
      </c>
      <c r="C1705" s="24" t="s">
        <v>6575</v>
      </c>
      <c r="D1705" s="151" t="s">
        <v>6653</v>
      </c>
      <c r="E1705" s="151" t="s">
        <v>3338</v>
      </c>
      <c r="F1705" s="151"/>
      <c r="G1705" s="52" t="str">
        <f t="shared" si="30"/>
        <v>E5 18:长船近景</v>
      </c>
    </row>
    <row r="1706" spans="1:7">
      <c r="A1706" s="24" t="s">
        <v>5650</v>
      </c>
      <c r="B1706" s="24" t="s">
        <v>6145</v>
      </c>
      <c r="C1706" s="24" t="s">
        <v>6575</v>
      </c>
      <c r="D1706" s="151" t="s">
        <v>6654</v>
      </c>
      <c r="E1706" s="151" t="s">
        <v>6655</v>
      </c>
      <c r="F1706" s="151"/>
      <c r="G1706" s="52" t="str">
        <f t="shared" si="30"/>
        <v>41 19:化狸头盔</v>
      </c>
    </row>
    <row r="1707" spans="1:7">
      <c r="A1707" s="24" t="s">
        <v>5650</v>
      </c>
      <c r="B1707" s="24" t="s">
        <v>6145</v>
      </c>
      <c r="C1707" s="24" t="s">
        <v>6575</v>
      </c>
      <c r="D1707" s="151" t="s">
        <v>6656</v>
      </c>
      <c r="E1707" s="151" t="s">
        <v>3570</v>
      </c>
      <c r="F1707" s="151"/>
      <c r="G1707" s="52" t="str">
        <f t="shared" si="30"/>
        <v>79 19:第二队队长大太刀</v>
      </c>
    </row>
    <row r="1708" spans="1:7">
      <c r="A1708" s="24" t="s">
        <v>5650</v>
      </c>
      <c r="B1708" s="24" t="s">
        <v>6145</v>
      </c>
      <c r="C1708" s="24" t="s">
        <v>6575</v>
      </c>
      <c r="D1708" s="151" t="s">
        <v>6657</v>
      </c>
      <c r="E1708" s="151" t="s">
        <v>6658</v>
      </c>
      <c r="F1708" s="151"/>
      <c r="G1708" s="52" t="str">
        <f t="shared" si="30"/>
        <v>7C 19:山姥之枪</v>
      </c>
    </row>
    <row r="1709" spans="1:7">
      <c r="A1709" s="24" t="s">
        <v>5650</v>
      </c>
      <c r="B1709" s="24" t="s">
        <v>6145</v>
      </c>
      <c r="C1709" s="24" t="s">
        <v>6575</v>
      </c>
      <c r="D1709" s="151" t="s">
        <v>6659</v>
      </c>
      <c r="E1709" s="151" t="s">
        <v>6660</v>
      </c>
      <c r="F1709" s="151"/>
      <c r="G1709" s="52" t="str">
        <f t="shared" si="30"/>
        <v>26 1A:绝群倾奇之铠</v>
      </c>
    </row>
    <row r="1710" spans="1:7">
      <c r="A1710" s="24" t="s">
        <v>5650</v>
      </c>
      <c r="B1710" s="24" t="s">
        <v>6145</v>
      </c>
      <c r="C1710" s="24" t="s">
        <v>6575</v>
      </c>
      <c r="D1710" s="151" t="s">
        <v>6661</v>
      </c>
      <c r="E1710" s="151" t="s">
        <v>6662</v>
      </c>
      <c r="F1710" s="151"/>
      <c r="G1710" s="52" t="str">
        <f t="shared" si="30"/>
        <v>4E 1A:立乌帽子薙刀镰</v>
      </c>
    </row>
    <row r="1711" spans="1:7">
      <c r="A1711" s="24" t="s">
        <v>5650</v>
      </c>
      <c r="B1711" s="24" t="s">
        <v>6145</v>
      </c>
      <c r="C1711" s="24" t="s">
        <v>6575</v>
      </c>
      <c r="D1711" s="151" t="s">
        <v>6663</v>
      </c>
      <c r="E1711" s="151" t="s">
        <v>6664</v>
      </c>
      <c r="F1711" s="151"/>
      <c r="G1711" s="52" t="str">
        <f t="shared" si="30"/>
        <v>23 1B:舞蹈刀</v>
      </c>
    </row>
    <row r="1712" spans="1:7">
      <c r="A1712" s="24" t="s">
        <v>5650</v>
      </c>
      <c r="B1712" s="24" t="s">
        <v>6145</v>
      </c>
      <c r="C1712" s="24" t="s">
        <v>6575</v>
      </c>
      <c r="D1712" s="151" t="s">
        <v>6665</v>
      </c>
      <c r="E1712" s="151" t="s">
        <v>6666</v>
      </c>
      <c r="F1712" s="151"/>
      <c r="G1712" s="52" t="str">
        <f t="shared" si="30"/>
        <v>66 1B:赤备大将大铠</v>
      </c>
    </row>
    <row r="1713" spans="1:7">
      <c r="A1713" s="24" t="s">
        <v>5650</v>
      </c>
      <c r="B1713" s="24" t="s">
        <v>6145</v>
      </c>
      <c r="C1713" s="24" t="s">
        <v>6575</v>
      </c>
      <c r="D1713" s="151" t="s">
        <v>6667</v>
      </c>
      <c r="E1713" s="151" t="s">
        <v>3544</v>
      </c>
      <c r="F1713" s="151"/>
      <c r="G1713" s="52" t="str">
        <f t="shared" si="30"/>
        <v>08 1C:次郎太刀</v>
      </c>
    </row>
    <row r="1714" spans="1:7">
      <c r="A1714" s="24" t="s">
        <v>5650</v>
      </c>
      <c r="B1714" s="24" t="s">
        <v>6145</v>
      </c>
      <c r="C1714" s="24" t="s">
        <v>6575</v>
      </c>
      <c r="D1714" s="151" t="s">
        <v>6668</v>
      </c>
      <c r="E1714" s="151" t="s">
        <v>6669</v>
      </c>
      <c r="F1714" s="151"/>
      <c r="G1714" s="52" t="str">
        <f t="shared" si="30"/>
        <v>96 1C:惟任日向守之铠</v>
      </c>
    </row>
    <row r="1715" spans="1:7">
      <c r="A1715" s="24" t="s">
        <v>5650</v>
      </c>
      <c r="B1715" s="24" t="s">
        <v>6145</v>
      </c>
      <c r="C1715" s="24" t="s">
        <v>6575</v>
      </c>
      <c r="D1715" s="151" t="s">
        <v>6670</v>
      </c>
      <c r="E1715" s="151" t="s">
        <v>3363</v>
      </c>
      <c r="F1715" s="151"/>
      <c r="G1715" s="52" t="str">
        <f t="shared" si="30"/>
        <v>22 1F:弟君双刀</v>
      </c>
    </row>
    <row r="1716" spans="1:7">
      <c r="A1716" s="24" t="s">
        <v>5650</v>
      </c>
      <c r="B1716" s="24" t="s">
        <v>6145</v>
      </c>
      <c r="C1716" s="24" t="s">
        <v>6575</v>
      </c>
      <c r="D1716" s="151" t="s">
        <v>6671</v>
      </c>
      <c r="E1716" s="151" t="s">
        <v>6672</v>
      </c>
      <c r="F1716" s="151"/>
      <c r="G1716" s="52" t="str">
        <f t="shared" si="30"/>
        <v>2E 1F:百鬼手斧</v>
      </c>
    </row>
    <row r="1717" spans="1:7">
      <c r="A1717" s="24" t="s">
        <v>5650</v>
      </c>
      <c r="B1717" s="24" t="s">
        <v>6145</v>
      </c>
      <c r="C1717" s="24" t="s">
        <v>6575</v>
      </c>
      <c r="D1717" s="151" t="s">
        <v>6673</v>
      </c>
      <c r="E1717" s="151" t="s">
        <v>6674</v>
      </c>
      <c r="F1717" s="151"/>
      <c r="G1717" s="52" t="str">
        <f t="shared" si="30"/>
        <v>9E 1F:合子形盔</v>
      </c>
    </row>
    <row r="1718" spans="1:7">
      <c r="A1718" s="24" t="s">
        <v>5650</v>
      </c>
      <c r="B1718" s="24" t="s">
        <v>6145</v>
      </c>
      <c r="C1718" s="24" t="s">
        <v>6575</v>
      </c>
      <c r="D1718" s="151" t="s">
        <v>6675</v>
      </c>
      <c r="E1718" s="151" t="s">
        <v>3491</v>
      </c>
      <c r="F1718" s="151"/>
      <c r="G1718" s="52" t="str">
        <f t="shared" si="30"/>
        <v>A2 1F:百鬼斧</v>
      </c>
    </row>
    <row r="1719" spans="1:7">
      <c r="A1719" s="24" t="s">
        <v>5650</v>
      </c>
      <c r="B1719" s="24" t="s">
        <v>6145</v>
      </c>
      <c r="C1719" s="24" t="s">
        <v>6575</v>
      </c>
      <c r="D1719" s="151" t="s">
        <v>6676</v>
      </c>
      <c r="E1719" s="151" t="s">
        <v>6677</v>
      </c>
      <c r="F1719" s="151"/>
      <c r="G1719" s="52" t="str">
        <f t="shared" si="30"/>
        <v>A7 1F:讨魔首领之铠</v>
      </c>
    </row>
    <row r="1720" spans="1:7">
      <c r="A1720" s="24" t="s">
        <v>5650</v>
      </c>
      <c r="B1720" s="24" t="s">
        <v>6145</v>
      </c>
      <c r="C1720" s="24" t="s">
        <v>6575</v>
      </c>
      <c r="D1720" s="151" t="s">
        <v>6678</v>
      </c>
      <c r="E1720" s="151" t="s">
        <v>3373</v>
      </c>
      <c r="F1720" s="151"/>
      <c r="G1720" s="52" t="str">
        <f t="shared" si="30"/>
        <v>33 20:一期一振·亲子藤四郎</v>
      </c>
    </row>
    <row r="1721" spans="1:7">
      <c r="A1721" s="24" t="s">
        <v>5650</v>
      </c>
      <c r="B1721" s="24" t="s">
        <v>6145</v>
      </c>
      <c r="C1721" s="24" t="s">
        <v>6575</v>
      </c>
      <c r="D1721" s="151" t="s">
        <v>6679</v>
      </c>
      <c r="E1721" s="151" t="s">
        <v>6680</v>
      </c>
      <c r="F1721" s="151"/>
      <c r="G1721" s="52" t="str">
        <f t="shared" si="30"/>
        <v>37 20:川并众战甲</v>
      </c>
    </row>
    <row r="1722" spans="1:7">
      <c r="A1722" s="24" t="s">
        <v>5650</v>
      </c>
      <c r="B1722" s="24" t="s">
        <v>6145</v>
      </c>
      <c r="C1722" s="24" t="s">
        <v>6575</v>
      </c>
      <c r="D1722" s="151" t="s">
        <v>6681</v>
      </c>
      <c r="E1722" s="151" t="s">
        <v>3734</v>
      </c>
      <c r="F1722" s="151"/>
      <c r="G1722" s="52" t="str">
        <f t="shared" si="30"/>
        <v>AB 20:三日月宗近</v>
      </c>
    </row>
    <row r="1723" spans="1:7">
      <c r="A1723" s="24" t="s">
        <v>5650</v>
      </c>
      <c r="B1723" s="24" t="s">
        <v>6145</v>
      </c>
      <c r="C1723" s="24" t="s">
        <v>6575</v>
      </c>
      <c r="D1723" s="151" t="s">
        <v>6682</v>
      </c>
      <c r="E1723" s="151" t="s">
        <v>3418</v>
      </c>
      <c r="F1723" s="151"/>
      <c r="G1723" s="52" t="str">
        <f t="shared" si="30"/>
        <v>D1 21:御手杵</v>
      </c>
    </row>
    <row r="1724" spans="1:7">
      <c r="A1724" s="24" t="s">
        <v>5650</v>
      </c>
      <c r="B1724" s="24" t="s">
        <v>6145</v>
      </c>
      <c r="C1724" s="24" t="s">
        <v>6575</v>
      </c>
      <c r="D1724" s="151" t="s">
        <v>6683</v>
      </c>
      <c r="E1724" s="151" t="s">
        <v>3560</v>
      </c>
      <c r="F1724" s="151"/>
      <c r="G1724" s="52" t="str">
        <f t="shared" si="30"/>
        <v>24 22:石切丸</v>
      </c>
    </row>
    <row r="1725" spans="1:7">
      <c r="A1725" s="24" t="s">
        <v>5650</v>
      </c>
      <c r="B1725" s="24" t="s">
        <v>6145</v>
      </c>
      <c r="C1725" s="24" t="s">
        <v>6575</v>
      </c>
      <c r="D1725" s="151" t="s">
        <v>6684</v>
      </c>
      <c r="E1725" s="151" t="s">
        <v>6685</v>
      </c>
      <c r="F1725" s="151"/>
      <c r="G1725" s="52" t="str">
        <f t="shared" si="30"/>
        <v>71 22:宝藏院十字枪</v>
      </c>
    </row>
    <row r="1726" spans="1:7">
      <c r="A1726" s="24" t="s">
        <v>5650</v>
      </c>
      <c r="B1726" s="24" t="s">
        <v>6145</v>
      </c>
      <c r="C1726" s="24" t="s">
        <v>6575</v>
      </c>
      <c r="D1726" s="151" t="s">
        <v>6686</v>
      </c>
      <c r="E1726" s="151" t="s">
        <v>6687</v>
      </c>
      <c r="F1726" s="151"/>
      <c r="G1726" s="52" t="str">
        <f t="shared" si="30"/>
        <v>5D 23:八咫乌轻铠</v>
      </c>
    </row>
    <row r="1727" spans="1:7">
      <c r="A1727" s="24" t="s">
        <v>5650</v>
      </c>
      <c r="B1727" s="24" t="s">
        <v>6145</v>
      </c>
      <c r="C1727" s="24" t="s">
        <v>6575</v>
      </c>
      <c r="D1727" s="151" t="s">
        <v>6688</v>
      </c>
      <c r="E1727" s="151" t="s">
        <v>3655</v>
      </c>
      <c r="F1727" s="151"/>
      <c r="G1727" s="52" t="str">
        <f t="shared" si="30"/>
        <v>62 23:辟邪手甲</v>
      </c>
    </row>
    <row r="1728" spans="1:7">
      <c r="A1728" s="24" t="s">
        <v>5650</v>
      </c>
      <c r="B1728" s="24" t="s">
        <v>6145</v>
      </c>
      <c r="C1728" s="24" t="s">
        <v>6575</v>
      </c>
      <c r="D1728" s="151" t="s">
        <v>6689</v>
      </c>
      <c r="E1728" s="151" t="s">
        <v>4657</v>
      </c>
      <c r="F1728" s="151"/>
      <c r="G1728" s="52" t="str">
        <f t="shared" si="30"/>
        <v>6B 23:毛虫前立鸟毛胁立头盔</v>
      </c>
    </row>
    <row r="1729" spans="1:7">
      <c r="A1729" s="24" t="s">
        <v>5650</v>
      </c>
      <c r="B1729" s="24" t="s">
        <v>6145</v>
      </c>
      <c r="C1729" s="24" t="s">
        <v>6575</v>
      </c>
      <c r="D1729" s="151" t="s">
        <v>6690</v>
      </c>
      <c r="E1729" s="151" t="s">
        <v>3971</v>
      </c>
      <c r="F1729" s="151"/>
      <c r="G1729" s="52" t="str">
        <f t="shared" si="30"/>
        <v>C6 23:日巫女之杖</v>
      </c>
    </row>
    <row r="1730" spans="1:7">
      <c r="A1730" s="24" t="s">
        <v>5650</v>
      </c>
      <c r="B1730" s="24" t="s">
        <v>6145</v>
      </c>
      <c r="C1730" s="24" t="s">
        <v>6575</v>
      </c>
      <c r="D1730" s="151" t="s">
        <v>6691</v>
      </c>
      <c r="E1730" s="151" t="s">
        <v>6692</v>
      </c>
      <c r="F1730" s="151"/>
      <c r="G1730" s="52" t="str">
        <f t="shared" si="30"/>
        <v>6A 24:百鬼刀</v>
      </c>
    </row>
    <row r="1731" spans="1:7">
      <c r="A1731" s="24" t="s">
        <v>5650</v>
      </c>
      <c r="B1731" s="24" t="s">
        <v>6145</v>
      </c>
      <c r="C1731" s="24" t="s">
        <v>6575</v>
      </c>
      <c r="D1731" s="151" t="s">
        <v>6693</v>
      </c>
      <c r="E1731" s="151" t="s">
        <v>6694</v>
      </c>
      <c r="F1731" s="151"/>
      <c r="G1731" s="52" t="str">
        <f t="shared" si="30"/>
        <v>5F 25:御神火之锤</v>
      </c>
    </row>
    <row r="1732" spans="1:7">
      <c r="A1732" s="24" t="s">
        <v>5650</v>
      </c>
      <c r="B1732" s="24" t="s">
        <v>6145</v>
      </c>
      <c r="C1732" s="24" t="s">
        <v>6575</v>
      </c>
      <c r="D1732" s="151" t="s">
        <v>6695</v>
      </c>
      <c r="E1732" s="151" t="s">
        <v>6696</v>
      </c>
      <c r="F1732" s="151"/>
      <c r="G1732" s="52" t="str">
        <f t="shared" si="30"/>
        <v>B1 25:一国长吉之枪</v>
      </c>
    </row>
    <row r="1733" spans="1:7">
      <c r="A1733" s="24" t="s">
        <v>5650</v>
      </c>
      <c r="B1733" s="24" t="s">
        <v>6145</v>
      </c>
      <c r="C1733" s="24" t="s">
        <v>6575</v>
      </c>
      <c r="D1733" s="151" t="s">
        <v>6697</v>
      </c>
      <c r="E1733" s="151" t="s">
        <v>3994</v>
      </c>
      <c r="F1733" s="151"/>
      <c r="G1733" s="52" t="str">
        <f t="shared" si="30"/>
        <v>FC 25:风魔首领手甲钩</v>
      </c>
    </row>
    <row r="1734" spans="1:7">
      <c r="A1734" s="24" t="s">
        <v>5650</v>
      </c>
      <c r="B1734" s="24" t="s">
        <v>6145</v>
      </c>
      <c r="C1734" s="24" t="s">
        <v>6575</v>
      </c>
      <c r="D1734" s="151" t="s">
        <v>6698</v>
      </c>
      <c r="E1734" s="151" t="s">
        <v>5146</v>
      </c>
      <c r="F1734" s="151"/>
      <c r="G1734" s="52" t="str">
        <f t="shared" si="30"/>
        <v>41 26:丛云形盔</v>
      </c>
    </row>
    <row r="1735" spans="1:7">
      <c r="A1735" s="24" t="s">
        <v>5650</v>
      </c>
      <c r="B1735" s="24" t="s">
        <v>6145</v>
      </c>
      <c r="C1735" s="24" t="s">
        <v>6575</v>
      </c>
      <c r="D1735" s="151" t="s">
        <v>6699</v>
      </c>
      <c r="E1735" s="151" t="s">
        <v>6700</v>
      </c>
      <c r="F1735" s="151"/>
      <c r="G1735" s="52" t="str">
        <f t="shared" si="30"/>
        <v>25 27:弟君锦衣</v>
      </c>
    </row>
    <row r="1736" spans="1:7">
      <c r="A1736" s="24" t="s">
        <v>5650</v>
      </c>
      <c r="B1736" s="24" t="s">
        <v>6145</v>
      </c>
      <c r="C1736" s="24" t="s">
        <v>6575</v>
      </c>
      <c r="D1736" s="151" t="s">
        <v>6701</v>
      </c>
      <c r="E1736" s="151" t="s">
        <v>6702</v>
      </c>
      <c r="F1736" s="151"/>
      <c r="G1736" s="52" t="str">
        <f t="shared" ref="G1736:G1799" si="31">D1736&amp;":"&amp;E1736</f>
        <v>C4 28:玄龙大铠</v>
      </c>
    </row>
    <row r="1737" spans="1:7">
      <c r="A1737" s="24" t="s">
        <v>5650</v>
      </c>
      <c r="B1737" s="24" t="s">
        <v>6145</v>
      </c>
      <c r="C1737" s="24" t="s">
        <v>6575</v>
      </c>
      <c r="D1737" s="151" t="s">
        <v>6703</v>
      </c>
      <c r="E1737" s="151" t="s">
        <v>3522</v>
      </c>
      <c r="F1737" s="151"/>
      <c r="G1737" s="52" t="str">
        <f t="shared" si="31"/>
        <v>D9 29:茨木童子大太刀</v>
      </c>
    </row>
    <row r="1738" spans="1:7">
      <c r="A1738" s="24" t="s">
        <v>5650</v>
      </c>
      <c r="B1738" s="24" t="s">
        <v>6145</v>
      </c>
      <c r="C1738" s="24" t="s">
        <v>6575</v>
      </c>
      <c r="D1738" s="151" t="s">
        <v>6704</v>
      </c>
      <c r="E1738" s="151" t="s">
        <v>3867</v>
      </c>
      <c r="F1738" s="151"/>
      <c r="G1738" s="52" t="str">
        <f t="shared" si="31"/>
        <v>43 2B:两仪旋棍</v>
      </c>
    </row>
    <row r="1739" spans="1:7">
      <c r="A1739" s="24" t="s">
        <v>5650</v>
      </c>
      <c r="B1739" s="24" t="s">
        <v>6145</v>
      </c>
      <c r="C1739" s="24" t="s">
        <v>6575</v>
      </c>
      <c r="D1739" s="151" t="s">
        <v>6705</v>
      </c>
      <c r="E1739" s="151" t="s">
        <v>6706</v>
      </c>
      <c r="F1739" s="151"/>
      <c r="G1739" s="52" t="str">
        <f t="shared" si="31"/>
        <v>60 2B:百万石之铠</v>
      </c>
    </row>
    <row r="1740" spans="1:7">
      <c r="A1740" s="24" t="s">
        <v>5650</v>
      </c>
      <c r="B1740" s="24" t="s">
        <v>6145</v>
      </c>
      <c r="C1740" s="24" t="s">
        <v>6575</v>
      </c>
      <c r="D1740" s="151" t="s">
        <v>6707</v>
      </c>
      <c r="E1740" s="151" t="s">
        <v>3487</v>
      </c>
      <c r="F1740" s="151"/>
      <c r="G1740" s="52" t="str">
        <f t="shared" si="31"/>
        <v>6E 2B:天目一个神之斧</v>
      </c>
    </row>
    <row r="1741" spans="1:7">
      <c r="A1741" s="24" t="s">
        <v>5650</v>
      </c>
      <c r="B1741" s="24" t="s">
        <v>6145</v>
      </c>
      <c r="C1741" s="24" t="s">
        <v>6575</v>
      </c>
      <c r="D1741" s="151" t="s">
        <v>6708</v>
      </c>
      <c r="E1741" s="151" t="s">
        <v>6709</v>
      </c>
      <c r="F1741" s="151"/>
      <c r="G1741" s="52" t="str">
        <f t="shared" si="31"/>
        <v>AC 2B:玄冥阴阳装束</v>
      </c>
    </row>
    <row r="1742" spans="1:7">
      <c r="A1742" s="24" t="s">
        <v>5650</v>
      </c>
      <c r="B1742" s="24" t="s">
        <v>6145</v>
      </c>
      <c r="C1742" s="24" t="s">
        <v>6575</v>
      </c>
      <c r="D1742" s="151" t="s">
        <v>6710</v>
      </c>
      <c r="E1742" s="151" t="s">
        <v>4659</v>
      </c>
      <c r="F1742" s="151"/>
      <c r="G1742" s="52" t="str">
        <f t="shared" si="31"/>
        <v>D1 2B:富士山形盔</v>
      </c>
    </row>
    <row r="1743" spans="1:7">
      <c r="A1743" s="24" t="s">
        <v>5650</v>
      </c>
      <c r="B1743" s="24" t="s">
        <v>6145</v>
      </c>
      <c r="C1743" s="24" t="s">
        <v>6575</v>
      </c>
      <c r="D1743" s="151" t="s">
        <v>6711</v>
      </c>
      <c r="E1743" s="151" t="s">
        <v>3416</v>
      </c>
      <c r="F1743" s="151"/>
      <c r="G1743" s="52" t="str">
        <f t="shared" si="31"/>
        <v>30 2C:鬼半藏之枪</v>
      </c>
    </row>
    <row r="1744" spans="1:7">
      <c r="A1744" s="24" t="s">
        <v>5650</v>
      </c>
      <c r="B1744" s="24" t="s">
        <v>6145</v>
      </c>
      <c r="C1744" s="24" t="s">
        <v>6575</v>
      </c>
      <c r="D1744" s="151" t="s">
        <v>6712</v>
      </c>
      <c r="E1744" s="151" t="s">
        <v>6713</v>
      </c>
      <c r="F1744" s="151"/>
      <c r="G1744" s="52" t="str">
        <f t="shared" si="31"/>
        <v>ED 2C:隼流战装束</v>
      </c>
    </row>
    <row r="1745" spans="1:7">
      <c r="A1745" s="24" t="s">
        <v>5650</v>
      </c>
      <c r="B1745" s="24" t="s">
        <v>6145</v>
      </c>
      <c r="C1745" s="24" t="s">
        <v>6575</v>
      </c>
      <c r="D1745" s="151" t="s">
        <v>6714</v>
      </c>
      <c r="E1745" s="151" t="s">
        <v>5128</v>
      </c>
      <c r="F1745" s="151"/>
      <c r="G1745" s="52" t="str">
        <f t="shared" si="31"/>
        <v>AA 2D:木灵碗</v>
      </c>
    </row>
    <row r="1746" spans="1:7">
      <c r="A1746" s="24" t="s">
        <v>5650</v>
      </c>
      <c r="B1746" s="24" t="s">
        <v>6145</v>
      </c>
      <c r="C1746" s="24" t="s">
        <v>6575</v>
      </c>
      <c r="D1746" s="151" t="s">
        <v>6715</v>
      </c>
      <c r="E1746" s="151" t="s">
        <v>6716</v>
      </c>
      <c r="F1746" s="151"/>
      <c r="G1746" s="52" t="str">
        <f t="shared" si="31"/>
        <v>D2 2D:平三之铠</v>
      </c>
    </row>
    <row r="1747" spans="1:7">
      <c r="A1747" s="24" t="s">
        <v>5650</v>
      </c>
      <c r="B1747" s="24" t="s">
        <v>6145</v>
      </c>
      <c r="C1747" s="24" t="s">
        <v>6575</v>
      </c>
      <c r="D1747" s="151" t="s">
        <v>6717</v>
      </c>
      <c r="E1747" s="151" t="s">
        <v>6718</v>
      </c>
      <c r="F1747" s="151"/>
      <c r="G1747" s="52" t="str">
        <f t="shared" si="31"/>
        <v>D6 2D:勇僧的袈裟头巾</v>
      </c>
    </row>
    <row r="1748" spans="1:7">
      <c r="A1748" s="24" t="s">
        <v>5650</v>
      </c>
      <c r="B1748" s="24" t="s">
        <v>6145</v>
      </c>
      <c r="C1748" s="24" t="s">
        <v>6575</v>
      </c>
      <c r="D1748" s="151" t="s">
        <v>6719</v>
      </c>
      <c r="E1748" s="151" t="s">
        <v>4000</v>
      </c>
      <c r="F1748" s="151"/>
      <c r="G1748" s="52" t="str">
        <f t="shared" si="31"/>
        <v>29 2E:土蜘蛛众手甲钩</v>
      </c>
    </row>
    <row r="1749" spans="1:7">
      <c r="A1749" s="24" t="s">
        <v>5650</v>
      </c>
      <c r="B1749" s="24" t="s">
        <v>6145</v>
      </c>
      <c r="C1749" s="24" t="s">
        <v>6575</v>
      </c>
      <c r="D1749" s="151" t="s">
        <v>6720</v>
      </c>
      <c r="E1749" s="151" t="s">
        <v>6721</v>
      </c>
      <c r="F1749" s="151"/>
      <c r="G1749" s="52" t="str">
        <f t="shared" si="31"/>
        <v>46 2E:鸢加藤忍衣</v>
      </c>
    </row>
    <row r="1750" spans="1:7">
      <c r="A1750" s="24" t="s">
        <v>5650</v>
      </c>
      <c r="B1750" s="24" t="s">
        <v>6145</v>
      </c>
      <c r="C1750" s="24" t="s">
        <v>6575</v>
      </c>
      <c r="D1750" s="151" t="s">
        <v>6722</v>
      </c>
      <c r="E1750" s="151" t="s">
        <v>4639</v>
      </c>
      <c r="F1750" s="151"/>
      <c r="G1750" s="52" t="str">
        <f t="shared" si="31"/>
        <v>56 2E:三钴剑前立头盔</v>
      </c>
    </row>
    <row r="1751" spans="1:7">
      <c r="A1751" s="24" t="s">
        <v>5650</v>
      </c>
      <c r="B1751" s="24" t="s">
        <v>6145</v>
      </c>
      <c r="C1751" s="24" t="s">
        <v>6575</v>
      </c>
      <c r="D1751" s="151" t="s">
        <v>6723</v>
      </c>
      <c r="E1751" s="151" t="s">
        <v>6724</v>
      </c>
      <c r="F1751" s="151"/>
      <c r="G1751" s="52" t="str">
        <f t="shared" si="31"/>
        <v>6D 2E:忍者工具箱</v>
      </c>
    </row>
    <row r="1752" spans="1:7">
      <c r="A1752" s="24" t="s">
        <v>5650</v>
      </c>
      <c r="B1752" s="24" t="s">
        <v>6145</v>
      </c>
      <c r="C1752" s="24" t="s">
        <v>6575</v>
      </c>
      <c r="D1752" s="151" t="s">
        <v>6725</v>
      </c>
      <c r="E1752" s="151" t="s">
        <v>6726</v>
      </c>
      <c r="F1752" s="151"/>
      <c r="G1752" s="52" t="str">
        <f t="shared" si="31"/>
        <v>0F 30:烛台切光忠·镐藤四郎</v>
      </c>
    </row>
    <row r="1753" spans="1:7">
      <c r="A1753" s="24" t="s">
        <v>5650</v>
      </c>
      <c r="B1753" s="24" t="s">
        <v>6145</v>
      </c>
      <c r="C1753" s="24" t="s">
        <v>6575</v>
      </c>
      <c r="D1753" s="151" t="s">
        <v>6727</v>
      </c>
      <c r="E1753" s="151" t="s">
        <v>6728</v>
      </c>
      <c r="F1753" s="151"/>
      <c r="G1753" s="52" t="str">
        <f t="shared" si="31"/>
        <v>FC 30:田村后裔之铠</v>
      </c>
    </row>
    <row r="1754" spans="1:7">
      <c r="A1754" s="24" t="s">
        <v>5650</v>
      </c>
      <c r="B1754" s="24" t="s">
        <v>6145</v>
      </c>
      <c r="C1754" s="24" t="s">
        <v>6575</v>
      </c>
      <c r="D1754" s="151" t="s">
        <v>6729</v>
      </c>
      <c r="E1754" s="151" t="s">
        <v>6730</v>
      </c>
      <c r="F1754" s="151"/>
      <c r="G1754" s="52" t="str">
        <f t="shared" si="31"/>
        <v>20 31:熊头形盔</v>
      </c>
    </row>
    <row r="1755" spans="1:7">
      <c r="A1755" s="24" t="s">
        <v>5650</v>
      </c>
      <c r="B1755" s="24" t="s">
        <v>6145</v>
      </c>
      <c r="C1755" s="24" t="s">
        <v>6575</v>
      </c>
      <c r="D1755" s="151" t="s">
        <v>6731</v>
      </c>
      <c r="E1755" s="151" t="s">
        <v>6732</v>
      </c>
      <c r="F1755" s="151"/>
      <c r="G1755" s="52" t="str">
        <f t="shared" si="31"/>
        <v>21 31:镰仓大人之铠</v>
      </c>
    </row>
    <row r="1756" spans="1:7">
      <c r="A1756" s="24" t="s">
        <v>5650</v>
      </c>
      <c r="B1756" s="24" t="s">
        <v>6145</v>
      </c>
      <c r="C1756" s="24" t="s">
        <v>6575</v>
      </c>
      <c r="D1756" s="151" t="s">
        <v>6733</v>
      </c>
      <c r="E1756" s="151" t="s">
        <v>3939</v>
      </c>
      <c r="F1756" s="151"/>
      <c r="G1756" s="52" t="str">
        <f t="shared" si="31"/>
        <v>4D 31:魔缘锡杖</v>
      </c>
    </row>
    <row r="1757" spans="1:7">
      <c r="A1757" s="24" t="s">
        <v>5650</v>
      </c>
      <c r="B1757" s="24" t="s">
        <v>6145</v>
      </c>
      <c r="C1757" s="24" t="s">
        <v>6575</v>
      </c>
      <c r="D1757" s="151" t="s">
        <v>6734</v>
      </c>
      <c r="E1757" s="151" t="s">
        <v>4677</v>
      </c>
      <c r="F1757" s="151"/>
      <c r="G1757" s="52" t="str">
        <f t="shared" si="31"/>
        <v>A3 31:日轮前立头盔</v>
      </c>
    </row>
    <row r="1758" spans="1:7">
      <c r="A1758" s="24" t="s">
        <v>5650</v>
      </c>
      <c r="B1758" s="24" t="s">
        <v>6145</v>
      </c>
      <c r="C1758" s="24" t="s">
        <v>6575</v>
      </c>
      <c r="D1758" s="151" t="s">
        <v>6735</v>
      </c>
      <c r="E1758" s="151" t="s">
        <v>6736</v>
      </c>
      <c r="F1758" s="151"/>
      <c r="G1758" s="52" t="str">
        <f t="shared" si="31"/>
        <v>DA 31:百鬼旋棍</v>
      </c>
    </row>
    <row r="1759" spans="1:7">
      <c r="A1759" s="24" t="s">
        <v>5650</v>
      </c>
      <c r="B1759" s="24" t="s">
        <v>6145</v>
      </c>
      <c r="C1759" s="24" t="s">
        <v>6575</v>
      </c>
      <c r="D1759" s="151" t="s">
        <v>6737</v>
      </c>
      <c r="E1759" s="151" t="s">
        <v>6738</v>
      </c>
      <c r="F1759" s="151"/>
      <c r="G1759" s="52" t="str">
        <f t="shared" si="31"/>
        <v>00 32:百鬼双刀</v>
      </c>
    </row>
    <row r="1760" spans="1:7">
      <c r="A1760" s="24" t="s">
        <v>5650</v>
      </c>
      <c r="B1760" s="24" t="s">
        <v>6145</v>
      </c>
      <c r="C1760" s="24" t="s">
        <v>6575</v>
      </c>
      <c r="D1760" s="151" t="s">
        <v>6739</v>
      </c>
      <c r="E1760" s="151" t="s">
        <v>6740</v>
      </c>
      <c r="F1760" s="151"/>
      <c r="G1760" s="52" t="str">
        <f t="shared" si="31"/>
        <v>17 32:大通连·小通连</v>
      </c>
    </row>
    <row r="1761" spans="1:7">
      <c r="A1761" s="24" t="s">
        <v>5650</v>
      </c>
      <c r="B1761" s="24" t="s">
        <v>6145</v>
      </c>
      <c r="C1761" s="24" t="s">
        <v>6575</v>
      </c>
      <c r="D1761" s="151" t="s">
        <v>6741</v>
      </c>
      <c r="E1761" s="151" t="s">
        <v>4097</v>
      </c>
      <c r="F1761" s="151"/>
      <c r="G1761" s="52" t="str">
        <f t="shared" si="31"/>
        <v>E5 32:田付流火绳枪</v>
      </c>
    </row>
    <row r="1762" spans="1:7">
      <c r="A1762" s="24" t="s">
        <v>5650</v>
      </c>
      <c r="B1762" s="24" t="s">
        <v>6145</v>
      </c>
      <c r="C1762" s="24" t="s">
        <v>6575</v>
      </c>
      <c r="D1762" s="151" t="s">
        <v>6742</v>
      </c>
      <c r="E1762" s="151" t="s">
        <v>6743</v>
      </c>
      <c r="F1762" s="151"/>
      <c r="G1762" s="52" t="str">
        <f t="shared" si="31"/>
        <v>DE 33:圣人旅装</v>
      </c>
    </row>
    <row r="1763" spans="1:7">
      <c r="A1763" s="24" t="s">
        <v>5650</v>
      </c>
      <c r="B1763" s="24" t="s">
        <v>6145</v>
      </c>
      <c r="C1763" s="24" t="s">
        <v>6575</v>
      </c>
      <c r="D1763" s="151" t="s">
        <v>6744</v>
      </c>
      <c r="E1763" s="151" t="s">
        <v>5136</v>
      </c>
      <c r="F1763" s="151"/>
      <c r="G1763" s="52" t="str">
        <f t="shared" si="31"/>
        <v>FB 33:黑狐面</v>
      </c>
    </row>
    <row r="1764" spans="1:7">
      <c r="A1764" s="24" t="s">
        <v>5650</v>
      </c>
      <c r="B1764" s="24" t="s">
        <v>6145</v>
      </c>
      <c r="C1764" s="24" t="s">
        <v>6575</v>
      </c>
      <c r="D1764" s="151" t="s">
        <v>6745</v>
      </c>
      <c r="E1764" s="151" t="s">
        <v>6746</v>
      </c>
      <c r="F1764" s="151"/>
      <c r="G1764" s="52" t="str">
        <f t="shared" si="31"/>
        <v>1A 34:冰狱忍者装束</v>
      </c>
    </row>
    <row r="1765" spans="1:7">
      <c r="A1765" s="24" t="s">
        <v>5650</v>
      </c>
      <c r="B1765" s="24" t="s">
        <v>6145</v>
      </c>
      <c r="C1765" s="24" t="s">
        <v>6575</v>
      </c>
      <c r="D1765" s="151" t="s">
        <v>6747</v>
      </c>
      <c r="E1765" s="151" t="s">
        <v>3324</v>
      </c>
      <c r="F1765" s="151"/>
      <c r="G1765" s="52" t="str">
        <f t="shared" si="31"/>
        <v>95 35:加州清光</v>
      </c>
    </row>
    <row r="1766" spans="1:7">
      <c r="A1766" s="24" t="s">
        <v>5650</v>
      </c>
      <c r="B1766" s="24" t="s">
        <v>6145</v>
      </c>
      <c r="C1766" s="24" t="s">
        <v>6575</v>
      </c>
      <c r="D1766" s="151" t="s">
        <v>6748</v>
      </c>
      <c r="E1766" s="151" t="s">
        <v>6749</v>
      </c>
      <c r="F1766" s="151"/>
      <c r="G1766" s="52" t="str">
        <f t="shared" si="31"/>
        <v>59 37:万雷武士之铠</v>
      </c>
    </row>
    <row r="1767" spans="1:7">
      <c r="A1767" s="24" t="s">
        <v>5650</v>
      </c>
      <c r="B1767" s="24" t="s">
        <v>6145</v>
      </c>
      <c r="C1767" s="24" t="s">
        <v>6575</v>
      </c>
      <c r="D1767" s="151" t="s">
        <v>6750</v>
      </c>
      <c r="E1767" s="151" t="s">
        <v>3554</v>
      </c>
      <c r="F1767" s="151"/>
      <c r="G1767" s="52" t="str">
        <f t="shared" si="31"/>
        <v>B2 37:石州和贞</v>
      </c>
    </row>
    <row r="1768" spans="1:7">
      <c r="A1768" s="24" t="s">
        <v>5650</v>
      </c>
      <c r="B1768" s="24" t="s">
        <v>6145</v>
      </c>
      <c r="C1768" s="24" t="s">
        <v>6575</v>
      </c>
      <c r="D1768" s="151" t="s">
        <v>6751</v>
      </c>
      <c r="E1768" s="151" t="s">
        <v>3380</v>
      </c>
      <c r="F1768" s="151"/>
      <c r="G1768" s="52" t="str">
        <f t="shared" si="31"/>
        <v>BF 37:木枪</v>
      </c>
    </row>
    <row r="1769" spans="1:7">
      <c r="A1769" s="24" t="s">
        <v>5650</v>
      </c>
      <c r="B1769" s="24" t="s">
        <v>6145</v>
      </c>
      <c r="C1769" s="24" t="s">
        <v>6575</v>
      </c>
      <c r="D1769" s="151" t="s">
        <v>6752</v>
      </c>
      <c r="E1769" s="151" t="s">
        <v>3332</v>
      </c>
      <c r="F1769" s="151"/>
      <c r="G1769" s="52" t="str">
        <f t="shared" si="31"/>
        <v>90 38:家光的装饰刀</v>
      </c>
    </row>
    <row r="1770" spans="1:7">
      <c r="A1770" s="24" t="s">
        <v>5650</v>
      </c>
      <c r="B1770" s="24" t="s">
        <v>6145</v>
      </c>
      <c r="C1770" s="24" t="s">
        <v>6575</v>
      </c>
      <c r="D1770" s="151" t="s">
        <v>6753</v>
      </c>
      <c r="E1770" s="151" t="s">
        <v>4655</v>
      </c>
      <c r="F1770" s="151"/>
      <c r="G1770" s="52" t="str">
        <f t="shared" si="31"/>
        <v>70 3A:蜷曲蛇形盔</v>
      </c>
    </row>
    <row r="1771" spans="1:7">
      <c r="A1771" s="24" t="s">
        <v>5650</v>
      </c>
      <c r="B1771" s="24" t="s">
        <v>6145</v>
      </c>
      <c r="C1771" s="24" t="s">
        <v>6575</v>
      </c>
      <c r="D1771" s="151" t="s">
        <v>6754</v>
      </c>
      <c r="E1771" s="151" t="s">
        <v>3495</v>
      </c>
      <c r="F1771" s="151"/>
      <c r="G1771" s="52" t="str">
        <f t="shared" si="31"/>
        <v>80 3A:锈蚀锄</v>
      </c>
    </row>
    <row r="1772" spans="1:7">
      <c r="A1772" s="24" t="s">
        <v>5650</v>
      </c>
      <c r="B1772" s="24" t="s">
        <v>6145</v>
      </c>
      <c r="C1772" s="24" t="s">
        <v>6575</v>
      </c>
      <c r="D1772" s="151" t="s">
        <v>6755</v>
      </c>
      <c r="E1772" s="151" t="s">
        <v>6756</v>
      </c>
      <c r="F1772" s="151"/>
      <c r="G1772" s="52" t="str">
        <f t="shared" si="31"/>
        <v>84 3A:镰鼬头盔</v>
      </c>
    </row>
    <row r="1773" spans="1:7">
      <c r="A1773" s="24" t="s">
        <v>5650</v>
      </c>
      <c r="B1773" s="24" t="s">
        <v>6145</v>
      </c>
      <c r="C1773" s="24" t="s">
        <v>6575</v>
      </c>
      <c r="D1773" s="151" t="s">
        <v>6757</v>
      </c>
      <c r="E1773" s="151" t="s">
        <v>3336</v>
      </c>
      <c r="F1773" s="151"/>
      <c r="G1773" s="52" t="str">
        <f t="shared" si="31"/>
        <v>A5 3A:狱妖刀</v>
      </c>
    </row>
    <row r="1774" spans="1:7">
      <c r="A1774" s="24" t="s">
        <v>5650</v>
      </c>
      <c r="B1774" s="24" t="s">
        <v>6145</v>
      </c>
      <c r="C1774" s="24" t="s">
        <v>6575</v>
      </c>
      <c r="D1774" s="151" t="s">
        <v>6758</v>
      </c>
      <c r="E1774" s="151" t="s">
        <v>6759</v>
      </c>
      <c r="F1774" s="151"/>
      <c r="G1774" s="52" t="str">
        <f t="shared" si="31"/>
        <v>84 3B:草薙剑</v>
      </c>
    </row>
    <row r="1775" spans="1:7">
      <c r="A1775" s="24" t="s">
        <v>5650</v>
      </c>
      <c r="B1775" s="24" t="s">
        <v>6145</v>
      </c>
      <c r="C1775" s="24" t="s">
        <v>6575</v>
      </c>
      <c r="D1775" s="151" t="s">
        <v>6760</v>
      </c>
      <c r="E1775" s="151" t="s">
        <v>6761</v>
      </c>
      <c r="F1775" s="151"/>
      <c r="G1775" s="52" t="str">
        <f t="shared" si="31"/>
        <v>85 3B:寄宿木灵之碗</v>
      </c>
    </row>
    <row r="1776" spans="1:7">
      <c r="A1776" s="24" t="s">
        <v>5650</v>
      </c>
      <c r="B1776" s="24" t="s">
        <v>6145</v>
      </c>
      <c r="C1776" s="24" t="s">
        <v>6575</v>
      </c>
      <c r="D1776" s="151" t="s">
        <v>6762</v>
      </c>
      <c r="E1776" s="151" t="s">
        <v>3742</v>
      </c>
      <c r="F1776" s="151"/>
      <c r="G1776" s="52" t="str">
        <f t="shared" si="31"/>
        <v>A7 3B:雷切</v>
      </c>
    </row>
    <row r="1777" spans="1:7">
      <c r="A1777" s="24" t="s">
        <v>5650</v>
      </c>
      <c r="B1777" s="24" t="s">
        <v>6145</v>
      </c>
      <c r="C1777" s="24" t="s">
        <v>6575</v>
      </c>
      <c r="D1777" s="151" t="s">
        <v>6763</v>
      </c>
      <c r="E1777" s="151" t="s">
        <v>3306</v>
      </c>
      <c r="F1777" s="151"/>
      <c r="G1777" s="52" t="str">
        <f t="shared" si="31"/>
        <v>1F 3C:楚叶矢之剑</v>
      </c>
    </row>
    <row r="1778" spans="1:7">
      <c r="A1778" s="24" t="s">
        <v>5650</v>
      </c>
      <c r="B1778" s="24" t="s">
        <v>6145</v>
      </c>
      <c r="C1778" s="24" t="s">
        <v>6575</v>
      </c>
      <c r="D1778" s="151" t="s">
        <v>6764</v>
      </c>
      <c r="E1778" s="151" t="s">
        <v>6765</v>
      </c>
      <c r="F1778" s="151"/>
      <c r="G1778" s="52" t="str">
        <f t="shared" si="31"/>
        <v>62 3D:烟罗面</v>
      </c>
    </row>
    <row r="1779" spans="1:7">
      <c r="A1779" s="24" t="s">
        <v>5650</v>
      </c>
      <c r="B1779" s="24" t="s">
        <v>6145</v>
      </c>
      <c r="C1779" s="24" t="s">
        <v>6575</v>
      </c>
      <c r="D1779" s="151" t="s">
        <v>6766</v>
      </c>
      <c r="E1779" s="151" t="s">
        <v>3542</v>
      </c>
      <c r="F1779" s="151"/>
      <c r="G1779" s="52" t="str">
        <f t="shared" si="31"/>
        <v>DE 3D:太郎太刀</v>
      </c>
    </row>
    <row r="1780" spans="1:7">
      <c r="A1780" s="24" t="s">
        <v>5650</v>
      </c>
      <c r="B1780" s="24" t="s">
        <v>6145</v>
      </c>
      <c r="C1780" s="24" t="s">
        <v>6575</v>
      </c>
      <c r="D1780" s="151" t="s">
        <v>6767</v>
      </c>
      <c r="E1780" s="151" t="s">
        <v>4108</v>
      </c>
      <c r="F1780" s="151"/>
      <c r="G1780" s="52" t="str">
        <f t="shared" si="31"/>
        <v>C5 3E:天龙大咆哮</v>
      </c>
    </row>
    <row r="1781" spans="1:7">
      <c r="A1781" s="24" t="s">
        <v>5650</v>
      </c>
      <c r="B1781" s="24" t="s">
        <v>6145</v>
      </c>
      <c r="C1781" s="24" t="s">
        <v>6575</v>
      </c>
      <c r="D1781" s="151" t="s">
        <v>6768</v>
      </c>
      <c r="E1781" s="151" t="s">
        <v>4645</v>
      </c>
      <c r="F1781" s="151"/>
      <c r="G1781" s="52" t="str">
        <f t="shared" si="31"/>
        <v>5E 3F:六字名号头盔</v>
      </c>
    </row>
    <row r="1782" spans="1:7">
      <c r="A1782" s="24" t="s">
        <v>5650</v>
      </c>
      <c r="B1782" s="24" t="s">
        <v>6145</v>
      </c>
      <c r="C1782" s="24" t="s">
        <v>6575</v>
      </c>
      <c r="D1782" s="151" t="s">
        <v>6769</v>
      </c>
      <c r="E1782" s="151" t="s">
        <v>6770</v>
      </c>
      <c r="F1782" s="151"/>
      <c r="G1782" s="52" t="str">
        <f t="shared" si="31"/>
        <v>76 3F:百鬼之铠</v>
      </c>
    </row>
    <row r="1783" spans="1:7">
      <c r="A1783" s="24" t="s">
        <v>5650</v>
      </c>
      <c r="B1783" s="24" t="s">
        <v>6145</v>
      </c>
      <c r="C1783" s="24" t="s">
        <v>6575</v>
      </c>
      <c r="D1783" s="151" t="s">
        <v>6771</v>
      </c>
      <c r="E1783" s="151" t="s">
        <v>6772</v>
      </c>
      <c r="F1783" s="151"/>
      <c r="G1783" s="52" t="str">
        <f t="shared" si="31"/>
        <v>BB 3F:美浓宿老之铠</v>
      </c>
    </row>
    <row r="1784" spans="1:7">
      <c r="A1784" s="24" t="s">
        <v>5650</v>
      </c>
      <c r="B1784" s="24" t="s">
        <v>6145</v>
      </c>
      <c r="C1784" s="24" t="s">
        <v>6575</v>
      </c>
      <c r="D1784" s="151" t="s">
        <v>6773</v>
      </c>
      <c r="E1784" s="151" t="s">
        <v>4663</v>
      </c>
      <c r="F1784" s="151"/>
      <c r="G1784" s="52" t="str">
        <f t="shared" si="31"/>
        <v>88 41:千千古头盔</v>
      </c>
    </row>
    <row r="1785" spans="1:7">
      <c r="A1785" s="24" t="s">
        <v>5650</v>
      </c>
      <c r="B1785" s="24" t="s">
        <v>6145</v>
      </c>
      <c r="C1785" s="24" t="s">
        <v>6575</v>
      </c>
      <c r="D1785" s="151" t="s">
        <v>6774</v>
      </c>
      <c r="E1785" s="151" t="s">
        <v>6775</v>
      </c>
      <c r="F1785" s="151"/>
      <c r="G1785" s="52" t="str">
        <f t="shared" si="31"/>
        <v>13 42:木薙刀镰</v>
      </c>
    </row>
    <row r="1786" spans="1:7">
      <c r="A1786" s="24" t="s">
        <v>5650</v>
      </c>
      <c r="B1786" s="24" t="s">
        <v>6145</v>
      </c>
      <c r="C1786" s="24" t="s">
        <v>6575</v>
      </c>
      <c r="D1786" s="151" t="s">
        <v>6776</v>
      </c>
      <c r="E1786" s="151" t="s">
        <v>6777</v>
      </c>
      <c r="F1786" s="151"/>
      <c r="G1786" s="52" t="str">
        <f t="shared" si="31"/>
        <v>24 42:新选组队服</v>
      </c>
    </row>
    <row r="1787" spans="1:7">
      <c r="A1787" s="24" t="s">
        <v>5650</v>
      </c>
      <c r="B1787" s="24" t="s">
        <v>6145</v>
      </c>
      <c r="C1787" s="24" t="s">
        <v>6575</v>
      </c>
      <c r="D1787" s="151" t="s">
        <v>6778</v>
      </c>
      <c r="E1787" s="151" t="s">
        <v>3626</v>
      </c>
      <c r="F1787" s="151"/>
      <c r="G1787" s="52" t="str">
        <f t="shared" si="31"/>
        <v>38 43:兼光薙刀镰</v>
      </c>
    </row>
    <row r="1788" spans="1:7">
      <c r="A1788" s="24" t="s">
        <v>5650</v>
      </c>
      <c r="B1788" s="24" t="s">
        <v>6145</v>
      </c>
      <c r="C1788" s="24" t="s">
        <v>6575</v>
      </c>
      <c r="D1788" s="151" t="s">
        <v>6779</v>
      </c>
      <c r="E1788" s="151" t="s">
        <v>4024</v>
      </c>
      <c r="F1788" s="151"/>
      <c r="G1788" s="52" t="str">
        <f t="shared" si="31"/>
        <v>B3 43:狱妖手甲钩</v>
      </c>
    </row>
    <row r="1789" spans="1:7">
      <c r="A1789" s="24" t="s">
        <v>5650</v>
      </c>
      <c r="B1789" s="24" t="s">
        <v>6145</v>
      </c>
      <c r="C1789" s="24" t="s">
        <v>6575</v>
      </c>
      <c r="D1789" s="151" t="s">
        <v>6780</v>
      </c>
      <c r="E1789" s="151" t="s">
        <v>6781</v>
      </c>
      <c r="F1789" s="151"/>
      <c r="G1789" s="52" t="str">
        <f t="shared" si="31"/>
        <v>11 44:履行大义之铠</v>
      </c>
    </row>
    <row r="1790" spans="1:7">
      <c r="A1790" s="24" t="s">
        <v>5650</v>
      </c>
      <c r="B1790" s="24" t="s">
        <v>6145</v>
      </c>
      <c r="C1790" s="24" t="s">
        <v>6575</v>
      </c>
      <c r="D1790" s="151" t="s">
        <v>6782</v>
      </c>
      <c r="E1790" s="151" t="s">
        <v>3675</v>
      </c>
      <c r="F1790" s="151"/>
      <c r="G1790" s="52" t="str">
        <f t="shared" si="31"/>
        <v>F8 44:副将军手甲</v>
      </c>
    </row>
    <row r="1791" spans="1:7">
      <c r="A1791" s="24" t="s">
        <v>5650</v>
      </c>
      <c r="B1791" s="24" t="s">
        <v>6145</v>
      </c>
      <c r="C1791" s="24" t="s">
        <v>6575</v>
      </c>
      <c r="D1791" s="151" t="s">
        <v>6783</v>
      </c>
      <c r="E1791" s="151" t="s">
        <v>3612</v>
      </c>
      <c r="F1791" s="151"/>
      <c r="G1791" s="52" t="str">
        <f t="shared" si="31"/>
        <v>76 45:雷神爪</v>
      </c>
    </row>
    <row r="1792" spans="1:7">
      <c r="A1792" s="24" t="s">
        <v>5650</v>
      </c>
      <c r="B1792" s="24" t="s">
        <v>6145</v>
      </c>
      <c r="C1792" s="24" t="s">
        <v>6575</v>
      </c>
      <c r="D1792" s="151" t="s">
        <v>6784</v>
      </c>
      <c r="E1792" s="151" t="s">
        <v>6785</v>
      </c>
      <c r="F1792" s="151"/>
      <c r="G1792" s="52" t="str">
        <f t="shared" si="31"/>
        <v>89 45:木制手斧</v>
      </c>
    </row>
    <row r="1793" spans="1:7">
      <c r="A1793" s="24" t="s">
        <v>5650</v>
      </c>
      <c r="B1793" s="24" t="s">
        <v>6145</v>
      </c>
      <c r="C1793" s="24" t="s">
        <v>6575</v>
      </c>
      <c r="D1793" s="151" t="s">
        <v>6786</v>
      </c>
      <c r="E1793" s="151" t="s">
        <v>3696</v>
      </c>
      <c r="F1793" s="151"/>
      <c r="G1793" s="52" t="str">
        <f t="shared" si="31"/>
        <v>BF 46:怨嗟剑盾</v>
      </c>
    </row>
    <row r="1794" spans="1:7">
      <c r="A1794" s="24" t="s">
        <v>5650</v>
      </c>
      <c r="B1794" s="24" t="s">
        <v>6145</v>
      </c>
      <c r="C1794" s="24" t="s">
        <v>6575</v>
      </c>
      <c r="D1794" s="151" t="s">
        <v>6787</v>
      </c>
      <c r="E1794" s="151" t="s">
        <v>6788</v>
      </c>
      <c r="F1794" s="151"/>
      <c r="G1794" s="52" t="str">
        <f t="shared" si="31"/>
        <v>09 47:痴·痣丸</v>
      </c>
    </row>
    <row r="1795" spans="1:7">
      <c r="A1795" s="24" t="s">
        <v>5650</v>
      </c>
      <c r="B1795" s="24" t="s">
        <v>6145</v>
      </c>
      <c r="C1795" s="24" t="s">
        <v>6575</v>
      </c>
      <c r="D1795" s="151" t="s">
        <v>6789</v>
      </c>
      <c r="E1795" s="151" t="s">
        <v>6790</v>
      </c>
      <c r="F1795" s="151"/>
      <c r="G1795" s="52" t="str">
        <f t="shared" si="31"/>
        <v>6A 47:魑魅的骨帽子</v>
      </c>
    </row>
    <row r="1796" spans="1:7">
      <c r="A1796" s="24" t="s">
        <v>5650</v>
      </c>
      <c r="B1796" s="24" t="s">
        <v>6145</v>
      </c>
      <c r="C1796" s="24" t="s">
        <v>6575</v>
      </c>
      <c r="D1796" s="151" t="s">
        <v>6791</v>
      </c>
      <c r="E1796" s="151" t="s">
        <v>6792</v>
      </c>
      <c r="F1796" s="151"/>
      <c r="G1796" s="52" t="str">
        <f t="shared" si="31"/>
        <v>7F 47:豪放猛牛之铠</v>
      </c>
    </row>
    <row r="1797" spans="1:7">
      <c r="A1797" s="24" t="s">
        <v>5650</v>
      </c>
      <c r="B1797" s="24" t="s">
        <v>6145</v>
      </c>
      <c r="C1797" s="24" t="s">
        <v>6575</v>
      </c>
      <c r="D1797" s="151" t="s">
        <v>6793</v>
      </c>
      <c r="E1797" s="151" t="s">
        <v>4673</v>
      </c>
      <c r="F1797" s="151"/>
      <c r="G1797" s="52" t="str">
        <f t="shared" si="31"/>
        <v>1A 48:一之谷形盔</v>
      </c>
    </row>
    <row r="1798" spans="1:7">
      <c r="A1798" s="24" t="s">
        <v>5650</v>
      </c>
      <c r="B1798" s="24" t="s">
        <v>6145</v>
      </c>
      <c r="C1798" s="24" t="s">
        <v>6575</v>
      </c>
      <c r="D1798" s="151" t="s">
        <v>6794</v>
      </c>
      <c r="E1798" s="151" t="s">
        <v>6795</v>
      </c>
      <c r="F1798" s="151"/>
      <c r="G1798" s="52" t="str">
        <f t="shared" si="31"/>
        <v>BF 48:又右卫门之衣</v>
      </c>
    </row>
    <row r="1799" spans="1:7">
      <c r="A1799" s="24" t="s">
        <v>5650</v>
      </c>
      <c r="B1799" s="24" t="s">
        <v>6145</v>
      </c>
      <c r="C1799" s="24" t="s">
        <v>6575</v>
      </c>
      <c r="D1799" s="151" t="s">
        <v>6796</v>
      </c>
      <c r="E1799" s="151" t="s">
        <v>3881</v>
      </c>
      <c r="F1799" s="151"/>
      <c r="G1799" s="52" t="str">
        <f t="shared" si="31"/>
        <v>0E 49:最后的忍者旋棍</v>
      </c>
    </row>
    <row r="1800" spans="1:7">
      <c r="A1800" s="24" t="s">
        <v>5650</v>
      </c>
      <c r="B1800" s="24" t="s">
        <v>6145</v>
      </c>
      <c r="C1800" s="24" t="s">
        <v>6575</v>
      </c>
      <c r="D1800" s="151" t="s">
        <v>6797</v>
      </c>
      <c r="E1800" s="151" t="s">
        <v>6798</v>
      </c>
      <c r="F1800" s="151"/>
      <c r="G1800" s="52" t="str">
        <f t="shared" ref="G1800:G1863" si="32">D1800&amp;":"&amp;E1800</f>
        <v>3D 49:二铭则宗·骨食藤四郎</v>
      </c>
    </row>
    <row r="1801" spans="1:7">
      <c r="A1801" s="24" t="s">
        <v>5650</v>
      </c>
      <c r="B1801" s="24" t="s">
        <v>6145</v>
      </c>
      <c r="C1801" s="24" t="s">
        <v>6575</v>
      </c>
      <c r="D1801" s="151" t="s">
        <v>6799</v>
      </c>
      <c r="E1801" s="151" t="s">
        <v>6800</v>
      </c>
      <c r="F1801" s="151"/>
      <c r="G1801" s="52" t="str">
        <f t="shared" si="32"/>
        <v>41 49:土蜘蛛众装束</v>
      </c>
    </row>
    <row r="1802" spans="1:7">
      <c r="A1802" s="24" t="s">
        <v>5650</v>
      </c>
      <c r="B1802" s="24" t="s">
        <v>6145</v>
      </c>
      <c r="C1802" s="24" t="s">
        <v>6575</v>
      </c>
      <c r="D1802" s="151" t="s">
        <v>6801</v>
      </c>
      <c r="E1802" s="151" t="s">
        <v>4643</v>
      </c>
      <c r="F1802" s="151"/>
      <c r="G1802" s="52" t="str">
        <f t="shared" si="32"/>
        <v>5A 49:铁三枚张峰界形盔</v>
      </c>
    </row>
    <row r="1803" spans="1:7">
      <c r="A1803" s="24" t="s">
        <v>5650</v>
      </c>
      <c r="B1803" s="24" t="s">
        <v>6145</v>
      </c>
      <c r="C1803" s="24" t="s">
        <v>6575</v>
      </c>
      <c r="D1803" s="151" t="s">
        <v>6802</v>
      </c>
      <c r="E1803" s="151" t="s">
        <v>6803</v>
      </c>
      <c r="F1803" s="151"/>
      <c r="G1803" s="52" t="str">
        <f t="shared" si="32"/>
        <v>90 49:伊贺上忍装束</v>
      </c>
    </row>
    <row r="1804" spans="1:7">
      <c r="A1804" s="24" t="s">
        <v>5650</v>
      </c>
      <c r="B1804" s="24" t="s">
        <v>6145</v>
      </c>
      <c r="C1804" s="24" t="s">
        <v>6575</v>
      </c>
      <c r="D1804" s="151" t="s">
        <v>6804</v>
      </c>
      <c r="E1804" s="151" t="s">
        <v>3436</v>
      </c>
      <c r="F1804" s="151"/>
      <c r="G1804" s="52" t="str">
        <f t="shared" si="32"/>
        <v>A8 49:白鸟枪</v>
      </c>
    </row>
    <row r="1805" spans="1:7">
      <c r="A1805" s="24" t="s">
        <v>5650</v>
      </c>
      <c r="B1805" s="24" t="s">
        <v>6145</v>
      </c>
      <c r="C1805" s="24" t="s">
        <v>6575</v>
      </c>
      <c r="D1805" s="151" t="s">
        <v>6805</v>
      </c>
      <c r="E1805" s="151" t="s">
        <v>3314</v>
      </c>
      <c r="F1805" s="151"/>
      <c r="G1805" s="52" t="str">
        <f t="shared" si="32"/>
        <v>67 4A:童子切安纲</v>
      </c>
    </row>
    <row r="1806" spans="1:7">
      <c r="A1806" s="24" t="s">
        <v>5650</v>
      </c>
      <c r="B1806" s="24" t="s">
        <v>6145</v>
      </c>
      <c r="C1806" s="24" t="s">
        <v>6575</v>
      </c>
      <c r="D1806" s="151" t="s">
        <v>6806</v>
      </c>
      <c r="E1806" s="151" t="s">
        <v>3432</v>
      </c>
      <c r="F1806" s="151"/>
      <c r="G1806" s="52" t="str">
        <f t="shared" si="32"/>
        <v>F5 4A:百万石长枪</v>
      </c>
    </row>
    <row r="1807" spans="1:7">
      <c r="A1807" s="24" t="s">
        <v>5650</v>
      </c>
      <c r="B1807" s="24" t="s">
        <v>6145</v>
      </c>
      <c r="C1807" s="24" t="s">
        <v>6575</v>
      </c>
      <c r="D1807" s="151" t="s">
        <v>6807</v>
      </c>
      <c r="E1807" s="151" t="s">
        <v>6808</v>
      </c>
      <c r="F1807" s="151"/>
      <c r="G1807" s="52" t="str">
        <f t="shared" si="32"/>
        <v>5B 4B:葵纹之铠</v>
      </c>
    </row>
    <row r="1808" spans="1:7">
      <c r="A1808" s="24" t="s">
        <v>5650</v>
      </c>
      <c r="B1808" s="24" t="s">
        <v>6145</v>
      </c>
      <c r="C1808" s="24" t="s">
        <v>6575</v>
      </c>
      <c r="D1808" s="151" t="s">
        <v>6809</v>
      </c>
      <c r="E1808" s="151" t="s">
        <v>3566</v>
      </c>
      <c r="F1808" s="151"/>
      <c r="G1808" s="52" t="str">
        <f t="shared" si="32"/>
        <v>CF 4B:凶王妖剑</v>
      </c>
    </row>
    <row r="1809" spans="1:7">
      <c r="A1809" s="24" t="s">
        <v>5650</v>
      </c>
      <c r="B1809" s="24" t="s">
        <v>6145</v>
      </c>
      <c r="C1809" s="24" t="s">
        <v>6575</v>
      </c>
      <c r="D1809" s="151" t="s">
        <v>6810</v>
      </c>
      <c r="E1809" s="151" t="s">
        <v>6811</v>
      </c>
      <c r="F1809" s="151"/>
      <c r="G1809" s="52" t="str">
        <f t="shared" si="32"/>
        <v>7E 4C:霸王将军铠</v>
      </c>
    </row>
    <row r="1810" spans="1:7">
      <c r="A1810" s="24" t="s">
        <v>5650</v>
      </c>
      <c r="B1810" s="24" t="s">
        <v>6145</v>
      </c>
      <c r="C1810" s="24" t="s">
        <v>6575</v>
      </c>
      <c r="D1810" s="151" t="s">
        <v>6812</v>
      </c>
      <c r="E1810" s="151" t="s">
        <v>6813</v>
      </c>
      <c r="F1810" s="151"/>
      <c r="G1810" s="52" t="str">
        <f t="shared" si="32"/>
        <v>06 4D:道鬼斋头盔</v>
      </c>
    </row>
    <row r="1811" spans="1:7">
      <c r="A1811" s="24" t="s">
        <v>5650</v>
      </c>
      <c r="B1811" s="24" t="s">
        <v>6145</v>
      </c>
      <c r="C1811" s="24" t="s">
        <v>6575</v>
      </c>
      <c r="D1811" s="151" t="s">
        <v>6814</v>
      </c>
      <c r="E1811" s="151" t="s">
        <v>6815</v>
      </c>
      <c r="F1811" s="151"/>
      <c r="G1811" s="52" t="str">
        <f t="shared" si="32"/>
        <v>32 4D:百鬼枪</v>
      </c>
    </row>
    <row r="1812" spans="1:7">
      <c r="A1812" s="24" t="s">
        <v>5650</v>
      </c>
      <c r="B1812" s="24" t="s">
        <v>6145</v>
      </c>
      <c r="C1812" s="24" t="s">
        <v>6575</v>
      </c>
      <c r="D1812" s="151" t="s">
        <v>6816</v>
      </c>
      <c r="E1812" s="151" t="s">
        <v>6817</v>
      </c>
      <c r="F1812" s="151"/>
      <c r="G1812" s="52" t="str">
        <f t="shared" si="32"/>
        <v>9A 4E:崇佛诚心之铠</v>
      </c>
    </row>
    <row r="1813" spans="1:7">
      <c r="A1813" s="24" t="s">
        <v>5650</v>
      </c>
      <c r="B1813" s="24" t="s">
        <v>6145</v>
      </c>
      <c r="C1813" s="24" t="s">
        <v>6575</v>
      </c>
      <c r="D1813" s="151" t="s">
        <v>6818</v>
      </c>
      <c r="E1813" s="151" t="s">
        <v>3873</v>
      </c>
      <c r="F1813" s="151"/>
      <c r="G1813" s="52" t="str">
        <f t="shared" si="32"/>
        <v>52 4F:猿飞秘枪棍</v>
      </c>
    </row>
    <row r="1814" spans="1:7">
      <c r="A1814" s="24" t="s">
        <v>5650</v>
      </c>
      <c r="B1814" s="24" t="s">
        <v>6145</v>
      </c>
      <c r="C1814" s="24" t="s">
        <v>6575</v>
      </c>
      <c r="D1814" s="151" t="s">
        <v>6819</v>
      </c>
      <c r="E1814" s="151" t="s">
        <v>6820</v>
      </c>
      <c r="F1814" s="151"/>
      <c r="G1814" s="52" t="str">
        <f t="shared" si="32"/>
        <v>15 50:双头蛇旋棍</v>
      </c>
    </row>
    <row r="1815" spans="1:7">
      <c r="A1815" s="24" t="s">
        <v>5650</v>
      </c>
      <c r="B1815" s="24" t="s">
        <v>6145</v>
      </c>
      <c r="C1815" s="24" t="s">
        <v>6575</v>
      </c>
      <c r="D1815" s="151" t="s">
        <v>6821</v>
      </c>
      <c r="E1815" s="151" t="s">
        <v>3969</v>
      </c>
      <c r="F1815" s="151"/>
      <c r="G1815" s="52" t="str">
        <f t="shared" si="32"/>
        <v>21 50:弘法大师的锡杖</v>
      </c>
    </row>
    <row r="1816" spans="1:7">
      <c r="A1816" s="24" t="s">
        <v>5650</v>
      </c>
      <c r="B1816" s="24" t="s">
        <v>6145</v>
      </c>
      <c r="C1816" s="24" t="s">
        <v>6575</v>
      </c>
      <c r="D1816" s="151" t="s">
        <v>6822</v>
      </c>
      <c r="E1816" s="151" t="s">
        <v>5132</v>
      </c>
      <c r="F1816" s="151"/>
      <c r="G1816" s="52" t="str">
        <f t="shared" si="32"/>
        <v>6F 50:天狗面</v>
      </c>
    </row>
    <row r="1817" spans="1:7">
      <c r="A1817" s="24" t="s">
        <v>5650</v>
      </c>
      <c r="B1817" s="24" t="s">
        <v>6145</v>
      </c>
      <c r="C1817" s="24" t="s">
        <v>6575</v>
      </c>
      <c r="D1817" s="151" t="s">
        <v>6823</v>
      </c>
      <c r="E1817" s="151" t="s">
        <v>6824</v>
      </c>
      <c r="F1817" s="151"/>
      <c r="G1817" s="52" t="str">
        <f t="shared" si="32"/>
        <v>CA 51:楚叶矢众装束</v>
      </c>
    </row>
    <row r="1818" spans="1:7">
      <c r="A1818" s="24" t="s">
        <v>5650</v>
      </c>
      <c r="B1818" s="24" t="s">
        <v>6145</v>
      </c>
      <c r="C1818" s="24" t="s">
        <v>6575</v>
      </c>
      <c r="D1818" s="151" t="s">
        <v>6825</v>
      </c>
      <c r="E1818" s="151" t="s">
        <v>6826</v>
      </c>
      <c r="F1818" s="151"/>
      <c r="G1818" s="52" t="str">
        <f t="shared" si="32"/>
        <v>02 52:御一门众之铠</v>
      </c>
    </row>
    <row r="1819" spans="1:7">
      <c r="A1819" s="24" t="s">
        <v>5650</v>
      </c>
      <c r="B1819" s="24" t="s">
        <v>6145</v>
      </c>
      <c r="C1819" s="24" t="s">
        <v>6575</v>
      </c>
      <c r="D1819" s="151" t="s">
        <v>6827</v>
      </c>
      <c r="E1819" s="151" t="s">
        <v>6828</v>
      </c>
      <c r="F1819" s="151"/>
      <c r="G1819" s="52" t="str">
        <f t="shared" si="32"/>
        <v>1E 52:赤鬼轻铠</v>
      </c>
    </row>
    <row r="1820" spans="1:7">
      <c r="A1820" s="24" t="s">
        <v>5650</v>
      </c>
      <c r="B1820" s="24" t="s">
        <v>6145</v>
      </c>
      <c r="C1820" s="24" t="s">
        <v>6575</v>
      </c>
      <c r="D1820" s="151" t="s">
        <v>6829</v>
      </c>
      <c r="E1820" s="151" t="s">
        <v>3777</v>
      </c>
      <c r="F1820" s="151"/>
      <c r="G1820" s="52" t="str">
        <f t="shared" si="32"/>
        <v>5F 52:曝野·白枝</v>
      </c>
    </row>
    <row r="1821" spans="1:7">
      <c r="A1821" s="24" t="s">
        <v>5650</v>
      </c>
      <c r="B1821" s="24" t="s">
        <v>6145</v>
      </c>
      <c r="C1821" s="24" t="s">
        <v>6575</v>
      </c>
      <c r="D1821" s="151" t="s">
        <v>6830</v>
      </c>
      <c r="E1821" s="151" t="s">
        <v>6831</v>
      </c>
      <c r="F1821" s="151"/>
      <c r="G1821" s="52" t="str">
        <f t="shared" si="32"/>
        <v>8B 52:酒吞童子的铁棒</v>
      </c>
    </row>
    <row r="1822" spans="1:7">
      <c r="A1822" s="24" t="s">
        <v>5650</v>
      </c>
      <c r="B1822" s="24" t="s">
        <v>6145</v>
      </c>
      <c r="C1822" s="24" t="s">
        <v>6575</v>
      </c>
      <c r="D1822" s="151" t="s">
        <v>6832</v>
      </c>
      <c r="E1822" s="151" t="s">
        <v>6833</v>
      </c>
      <c r="F1822" s="151"/>
      <c r="G1822" s="52" t="str">
        <f t="shared" si="32"/>
        <v>FD 52:征夷大将军之铠</v>
      </c>
    </row>
    <row r="1823" spans="1:7">
      <c r="A1823" s="24" t="s">
        <v>5650</v>
      </c>
      <c r="B1823" s="24" t="s">
        <v>6145</v>
      </c>
      <c r="C1823" s="24" t="s">
        <v>6575</v>
      </c>
      <c r="D1823" s="151" t="s">
        <v>6834</v>
      </c>
      <c r="E1823" s="151" t="s">
        <v>3749</v>
      </c>
      <c r="F1823" s="151"/>
      <c r="G1823" s="52" t="str">
        <f t="shared" si="32"/>
        <v>32 53:凶王之剑</v>
      </c>
    </row>
    <row r="1824" spans="1:7">
      <c r="A1824" s="24" t="s">
        <v>5650</v>
      </c>
      <c r="B1824" s="24" t="s">
        <v>6145</v>
      </c>
      <c r="C1824" s="24" t="s">
        <v>6575</v>
      </c>
      <c r="D1824" s="151" t="s">
        <v>6835</v>
      </c>
      <c r="E1824" s="151" t="s">
        <v>5598</v>
      </c>
      <c r="F1824" s="151"/>
      <c r="G1824" s="52" t="str">
        <f t="shared" si="32"/>
        <v>48 53:百夜香</v>
      </c>
    </row>
    <row r="1825" spans="1:7">
      <c r="A1825" s="24" t="s">
        <v>5650</v>
      </c>
      <c r="B1825" s="24" t="s">
        <v>6145</v>
      </c>
      <c r="C1825" s="24" t="s">
        <v>6575</v>
      </c>
      <c r="D1825" s="151" t="s">
        <v>6836</v>
      </c>
      <c r="E1825" s="151" t="s">
        <v>5138</v>
      </c>
      <c r="F1825" s="151"/>
      <c r="G1825" s="52" t="str">
        <f t="shared" si="32"/>
        <v>9E 53:白狐面</v>
      </c>
    </row>
    <row r="1826" spans="1:7">
      <c r="A1826" s="24" t="s">
        <v>5650</v>
      </c>
      <c r="B1826" s="24" t="s">
        <v>6145</v>
      </c>
      <c r="C1826" s="24" t="s">
        <v>6575</v>
      </c>
      <c r="D1826" s="151" t="s">
        <v>6837</v>
      </c>
      <c r="E1826" s="151" t="s">
        <v>5140</v>
      </c>
      <c r="F1826" s="151"/>
      <c r="G1826" s="52" t="str">
        <f t="shared" si="32"/>
        <v>BB 53:怨灵面</v>
      </c>
    </row>
    <row r="1827" spans="1:7">
      <c r="A1827" s="24" t="s">
        <v>5650</v>
      </c>
      <c r="B1827" s="24" t="s">
        <v>6145</v>
      </c>
      <c r="C1827" s="24" t="s">
        <v>6575</v>
      </c>
      <c r="D1827" s="151" t="s">
        <v>6838</v>
      </c>
      <c r="E1827" s="151" t="s">
        <v>3503</v>
      </c>
      <c r="F1827" s="151"/>
      <c r="G1827" s="52" t="str">
        <f t="shared" si="32"/>
        <v>31 54:狱妖之斧</v>
      </c>
    </row>
    <row r="1828" spans="1:7">
      <c r="A1828" s="24" t="s">
        <v>5650</v>
      </c>
      <c r="B1828" s="24" t="s">
        <v>6145</v>
      </c>
      <c r="C1828" s="24" t="s">
        <v>6575</v>
      </c>
      <c r="D1828" s="151" t="s">
        <v>6839</v>
      </c>
      <c r="E1828" s="151" t="s">
        <v>6840</v>
      </c>
      <c r="F1828" s="151"/>
      <c r="G1828" s="52" t="str">
        <f t="shared" si="32"/>
        <v>65 55:一文钱通</v>
      </c>
    </row>
    <row r="1829" spans="1:7">
      <c r="A1829" s="24" t="s">
        <v>5650</v>
      </c>
      <c r="B1829" s="24" t="s">
        <v>6145</v>
      </c>
      <c r="C1829" s="24" t="s">
        <v>6575</v>
      </c>
      <c r="D1829" s="151" t="s">
        <v>6841</v>
      </c>
      <c r="E1829" s="151" t="s">
        <v>6842</v>
      </c>
      <c r="F1829" s="151"/>
      <c r="G1829" s="52" t="str">
        <f t="shared" si="32"/>
        <v>21 56:上古之衣</v>
      </c>
    </row>
    <row r="1830" spans="1:7">
      <c r="A1830" s="24" t="s">
        <v>5650</v>
      </c>
      <c r="B1830" s="24" t="s">
        <v>6145</v>
      </c>
      <c r="C1830" s="24" t="s">
        <v>6575</v>
      </c>
      <c r="D1830" s="151" t="s">
        <v>6843</v>
      </c>
      <c r="E1830" s="151" t="s">
        <v>4363</v>
      </c>
      <c r="F1830" s="151"/>
      <c r="G1830" s="52" t="str">
        <f t="shared" si="32"/>
        <v>2B 56:道服上衣</v>
      </c>
    </row>
    <row r="1831" spans="1:7">
      <c r="A1831" s="24" t="s">
        <v>5650</v>
      </c>
      <c r="B1831" s="24" t="s">
        <v>6145</v>
      </c>
      <c r="C1831" s="24" t="s">
        <v>6575</v>
      </c>
      <c r="D1831" s="151" t="s">
        <v>6844</v>
      </c>
      <c r="E1831" s="151" t="s">
        <v>6845</v>
      </c>
      <c r="F1831" s="151"/>
      <c r="G1831" s="52" t="str">
        <f t="shared" si="32"/>
        <v>4A 56:锡杖后立头盔</v>
      </c>
    </row>
    <row r="1832" spans="1:7">
      <c r="A1832" s="24" t="s">
        <v>5650</v>
      </c>
      <c r="B1832" s="24" t="s">
        <v>6145</v>
      </c>
      <c r="C1832" s="24" t="s">
        <v>6575</v>
      </c>
      <c r="D1832" s="151" t="s">
        <v>6846</v>
      </c>
      <c r="E1832" s="151" t="s">
        <v>6847</v>
      </c>
      <c r="F1832" s="151"/>
      <c r="G1832" s="52" t="str">
        <f t="shared" si="32"/>
        <v>4E 57:宫司净衣</v>
      </c>
    </row>
    <row r="1833" spans="1:7">
      <c r="A1833" s="24" t="s">
        <v>5650</v>
      </c>
      <c r="B1833" s="24" t="s">
        <v>6145</v>
      </c>
      <c r="C1833" s="24" t="s">
        <v>6575</v>
      </c>
      <c r="D1833" s="151" t="s">
        <v>6848</v>
      </c>
      <c r="E1833" s="151" t="s">
        <v>6849</v>
      </c>
      <c r="F1833" s="151"/>
      <c r="G1833" s="52" t="str">
        <f t="shared" si="32"/>
        <v>8C 57:奇兵队长装束</v>
      </c>
    </row>
    <row r="1834" spans="1:7">
      <c r="A1834" s="24" t="s">
        <v>5650</v>
      </c>
      <c r="B1834" s="24" t="s">
        <v>6145</v>
      </c>
      <c r="C1834" s="24" t="s">
        <v>6575</v>
      </c>
      <c r="D1834" s="151" t="s">
        <v>6850</v>
      </c>
      <c r="E1834" s="151" t="s">
        <v>3322</v>
      </c>
      <c r="F1834" s="151"/>
      <c r="G1834" s="52" t="str">
        <f t="shared" si="32"/>
        <v>FF 58:大典太光世</v>
      </c>
    </row>
    <row r="1835" spans="1:7">
      <c r="A1835" s="24" t="s">
        <v>5650</v>
      </c>
      <c r="B1835" s="24" t="s">
        <v>6145</v>
      </c>
      <c r="C1835" s="24" t="s">
        <v>6575</v>
      </c>
      <c r="D1835" s="151" t="s">
        <v>6851</v>
      </c>
      <c r="E1835" s="151" t="s">
        <v>4651</v>
      </c>
      <c r="F1835" s="151"/>
      <c r="G1835" s="52" t="str">
        <f t="shared" si="32"/>
        <v>1A 59:改良冠形盔</v>
      </c>
    </row>
    <row r="1836" spans="1:7">
      <c r="A1836" s="24" t="s">
        <v>5650</v>
      </c>
      <c r="B1836" s="24" t="s">
        <v>6145</v>
      </c>
      <c r="C1836" s="24" t="s">
        <v>6575</v>
      </c>
      <c r="D1836" s="151" t="s">
        <v>6852</v>
      </c>
      <c r="E1836" s="151" t="s">
        <v>6853</v>
      </c>
      <c r="F1836" s="151"/>
      <c r="G1836" s="52" t="str">
        <f t="shared" si="32"/>
        <v>2A 59:川并众锁镰</v>
      </c>
    </row>
    <row r="1837" spans="1:7">
      <c r="A1837" s="24" t="s">
        <v>5650</v>
      </c>
      <c r="B1837" s="24" t="s">
        <v>6145</v>
      </c>
      <c r="C1837" s="24" t="s">
        <v>6575</v>
      </c>
      <c r="D1837" s="151" t="s">
        <v>6854</v>
      </c>
      <c r="E1837" s="151" t="s">
        <v>6855</v>
      </c>
      <c r="F1837" s="151"/>
      <c r="G1837" s="52" t="str">
        <f t="shared" si="32"/>
        <v>1A 5A:恶七兵卫之铠</v>
      </c>
    </row>
    <row r="1838" spans="1:7">
      <c r="A1838" s="24" t="s">
        <v>5650</v>
      </c>
      <c r="B1838" s="24" t="s">
        <v>6145</v>
      </c>
      <c r="C1838" s="24" t="s">
        <v>6575</v>
      </c>
      <c r="D1838" s="151" t="s">
        <v>6856</v>
      </c>
      <c r="E1838" s="151" t="s">
        <v>6857</v>
      </c>
      <c r="F1838" s="151"/>
      <c r="G1838" s="52" t="str">
        <f t="shared" si="32"/>
        <v>97 5A:弘法大师僧衣</v>
      </c>
    </row>
    <row r="1839" spans="1:7">
      <c r="A1839" s="24" t="s">
        <v>5650</v>
      </c>
      <c r="B1839" s="24" t="s">
        <v>6145</v>
      </c>
      <c r="C1839" s="24" t="s">
        <v>6575</v>
      </c>
      <c r="D1839" s="151" t="s">
        <v>6858</v>
      </c>
      <c r="E1839" s="151" t="s">
        <v>3673</v>
      </c>
      <c r="F1839" s="151"/>
      <c r="G1839" s="52" t="str">
        <f t="shared" si="32"/>
        <v>CF 5A:万两义贼手甲</v>
      </c>
    </row>
    <row r="1840" spans="1:7">
      <c r="A1840" s="24" t="s">
        <v>5650</v>
      </c>
      <c r="B1840" s="24" t="s">
        <v>6145</v>
      </c>
      <c r="C1840" s="24" t="s">
        <v>6575</v>
      </c>
      <c r="D1840" s="151" t="s">
        <v>6859</v>
      </c>
      <c r="E1840" s="151" t="s">
        <v>4675</v>
      </c>
      <c r="F1840" s="151"/>
      <c r="G1840" s="52" t="str">
        <f t="shared" si="32"/>
        <v>10 5B:神符八日月前立头盔</v>
      </c>
    </row>
    <row r="1841" spans="1:7">
      <c r="A1841" s="24" t="s">
        <v>5650</v>
      </c>
      <c r="B1841" s="24" t="s">
        <v>6145</v>
      </c>
      <c r="C1841" s="24" t="s">
        <v>6575</v>
      </c>
      <c r="D1841" s="151" t="s">
        <v>6860</v>
      </c>
      <c r="E1841" s="151" t="s">
        <v>6861</v>
      </c>
      <c r="F1841" s="151"/>
      <c r="G1841" s="52" t="str">
        <f t="shared" si="32"/>
        <v>A0 5C:盗贼首领大太刀</v>
      </c>
    </row>
    <row r="1842" spans="1:7">
      <c r="A1842" s="24" t="s">
        <v>5650</v>
      </c>
      <c r="B1842" s="24" t="s">
        <v>6145</v>
      </c>
      <c r="C1842" s="24" t="s">
        <v>6575</v>
      </c>
      <c r="D1842" s="151" t="s">
        <v>6862</v>
      </c>
      <c r="E1842" s="151" t="s">
        <v>3973</v>
      </c>
      <c r="F1842" s="151"/>
      <c r="G1842" s="52" t="str">
        <f t="shared" si="32"/>
        <v>A6 5C:见越锡杖</v>
      </c>
    </row>
    <row r="1843" spans="1:7">
      <c r="A1843" s="24" t="s">
        <v>5650</v>
      </c>
      <c r="B1843" s="24" t="s">
        <v>6145</v>
      </c>
      <c r="C1843" s="24" t="s">
        <v>6575</v>
      </c>
      <c r="D1843" s="151" t="s">
        <v>6863</v>
      </c>
      <c r="E1843" s="151" t="s">
        <v>3610</v>
      </c>
      <c r="F1843" s="151"/>
      <c r="G1843" s="52" t="str">
        <f t="shared" si="32"/>
        <v>2B 5D:黑莲</v>
      </c>
    </row>
    <row r="1844" spans="1:7">
      <c r="A1844" s="24" t="s">
        <v>5650</v>
      </c>
      <c r="B1844" s="24" t="s">
        <v>6145</v>
      </c>
      <c r="C1844" s="24" t="s">
        <v>6575</v>
      </c>
      <c r="D1844" s="151" t="s">
        <v>6864</v>
      </c>
      <c r="E1844" s="151" t="s">
        <v>6865</v>
      </c>
      <c r="F1844" s="151"/>
      <c r="G1844" s="52" t="str">
        <f t="shared" si="32"/>
        <v>88 5D:金吾中铠</v>
      </c>
    </row>
    <row r="1845" spans="1:7">
      <c r="A1845" s="24" t="s">
        <v>5650</v>
      </c>
      <c r="B1845" s="24" t="s">
        <v>6145</v>
      </c>
      <c r="C1845" s="24" t="s">
        <v>6575</v>
      </c>
      <c r="D1845" s="151" t="s">
        <v>6866</v>
      </c>
      <c r="E1845" s="151" t="s">
        <v>3489</v>
      </c>
      <c r="F1845" s="151"/>
      <c r="G1845" s="52" t="str">
        <f t="shared" si="32"/>
        <v>D9 5D:玄翁大槌</v>
      </c>
    </row>
    <row r="1846" spans="1:7">
      <c r="A1846" s="24" t="s">
        <v>5650</v>
      </c>
      <c r="B1846" s="24" t="s">
        <v>6145</v>
      </c>
      <c r="C1846" s="24" t="s">
        <v>6575</v>
      </c>
      <c r="D1846" s="151" t="s">
        <v>6867</v>
      </c>
      <c r="E1846" s="151" t="s">
        <v>4635</v>
      </c>
      <c r="F1846" s="151"/>
      <c r="G1846" s="52" t="str">
        <f t="shared" si="32"/>
        <v>77 5E:猪前立头盔</v>
      </c>
    </row>
    <row r="1847" spans="1:7">
      <c r="A1847" s="24" t="s">
        <v>5650</v>
      </c>
      <c r="B1847" s="24" t="s">
        <v>6145</v>
      </c>
      <c r="C1847" s="24" t="s">
        <v>6575</v>
      </c>
      <c r="D1847" s="151" t="s">
        <v>6868</v>
      </c>
      <c r="E1847" s="151" t="s">
        <v>3771</v>
      </c>
      <c r="F1847" s="151"/>
      <c r="G1847" s="52" t="str">
        <f t="shared" si="32"/>
        <v>A1 5E:七星剑·丙子椒林剑</v>
      </c>
    </row>
    <row r="1848" spans="1:7">
      <c r="A1848" s="24" t="s">
        <v>5650</v>
      </c>
      <c r="B1848" s="24" t="s">
        <v>6145</v>
      </c>
      <c r="C1848" s="24" t="s">
        <v>6575</v>
      </c>
      <c r="D1848" s="151" t="s">
        <v>6869</v>
      </c>
      <c r="E1848" s="151" t="s">
        <v>6870</v>
      </c>
      <c r="F1848" s="151"/>
      <c r="G1848" s="52" t="str">
        <f t="shared" si="32"/>
        <v>EF 60:石田正宗</v>
      </c>
    </row>
    <row r="1849" spans="1:7">
      <c r="A1849" s="24" t="s">
        <v>5650</v>
      </c>
      <c r="B1849" s="24" t="s">
        <v>6145</v>
      </c>
      <c r="C1849" s="24" t="s">
        <v>6575</v>
      </c>
      <c r="D1849" s="151" t="s">
        <v>6871</v>
      </c>
      <c r="E1849" s="151" t="s">
        <v>3894</v>
      </c>
      <c r="F1849" s="151"/>
      <c r="G1849" s="52" t="str">
        <f t="shared" si="32"/>
        <v>93 61:凶贼手斧</v>
      </c>
    </row>
    <row r="1850" spans="1:7">
      <c r="A1850" s="24" t="s">
        <v>5650</v>
      </c>
      <c r="B1850" s="24" t="s">
        <v>6145</v>
      </c>
      <c r="C1850" s="24" t="s">
        <v>6575</v>
      </c>
      <c r="D1850" s="151" t="s">
        <v>6872</v>
      </c>
      <c r="E1850" s="151" t="s">
        <v>5602</v>
      </c>
      <c r="F1850" s="151"/>
      <c r="G1850" s="52" t="str">
        <f t="shared" si="32"/>
        <v>9F 61:岁杀神之酒</v>
      </c>
    </row>
    <row r="1851" spans="1:7">
      <c r="A1851" s="24" t="s">
        <v>5650</v>
      </c>
      <c r="B1851" s="24" t="s">
        <v>6145</v>
      </c>
      <c r="C1851" s="24" t="s">
        <v>6575</v>
      </c>
      <c r="D1851" s="151" t="s">
        <v>6873</v>
      </c>
      <c r="E1851" s="151" t="s">
        <v>6874</v>
      </c>
      <c r="F1851" s="151"/>
      <c r="G1851" s="52" t="str">
        <f t="shared" si="32"/>
        <v>2C 62:剑圣衣装</v>
      </c>
    </row>
    <row r="1852" spans="1:7">
      <c r="A1852" s="24" t="s">
        <v>5650</v>
      </c>
      <c r="B1852" s="24" t="s">
        <v>6145</v>
      </c>
      <c r="C1852" s="24" t="s">
        <v>6575</v>
      </c>
      <c r="D1852" s="151" t="s">
        <v>6875</v>
      </c>
      <c r="E1852" s="151" t="s">
        <v>6876</v>
      </c>
      <c r="F1852" s="151"/>
      <c r="G1852" s="52" t="str">
        <f t="shared" si="32"/>
        <v>99 62:日本第一兵之铠</v>
      </c>
    </row>
    <row r="1853" spans="1:7">
      <c r="A1853" s="24" t="s">
        <v>5650</v>
      </c>
      <c r="B1853" s="24" t="s">
        <v>6145</v>
      </c>
      <c r="C1853" s="24" t="s">
        <v>6575</v>
      </c>
      <c r="D1853" s="151" t="s">
        <v>6877</v>
      </c>
      <c r="E1853" s="151" t="s">
        <v>6878</v>
      </c>
      <c r="F1853" s="151"/>
      <c r="G1853" s="52" t="str">
        <f t="shared" si="32"/>
        <v>59 63:护国禅师的袈裟</v>
      </c>
    </row>
    <row r="1854" spans="1:7">
      <c r="A1854" s="24" t="s">
        <v>5650</v>
      </c>
      <c r="B1854" s="24" t="s">
        <v>6145</v>
      </c>
      <c r="C1854" s="24" t="s">
        <v>6575</v>
      </c>
      <c r="D1854" s="151" t="s">
        <v>6879</v>
      </c>
      <c r="E1854" s="151" t="s">
        <v>6880</v>
      </c>
      <c r="F1854" s="151"/>
      <c r="G1854" s="52" t="str">
        <f t="shared" si="32"/>
        <v>DE 63:黄金饰铠</v>
      </c>
    </row>
    <row r="1855" spans="1:7">
      <c r="A1855" s="24" t="s">
        <v>5650</v>
      </c>
      <c r="B1855" s="24" t="s">
        <v>6145</v>
      </c>
      <c r="C1855" s="24" t="s">
        <v>6575</v>
      </c>
      <c r="D1855" s="151" t="s">
        <v>6881</v>
      </c>
      <c r="E1855" s="151" t="s">
        <v>6882</v>
      </c>
      <c r="F1855" s="151"/>
      <c r="G1855" s="52" t="str">
        <f t="shared" si="32"/>
        <v>7B 64:无缘人之铠</v>
      </c>
    </row>
    <row r="1856" spans="1:7">
      <c r="A1856" s="24" t="s">
        <v>5650</v>
      </c>
      <c r="B1856" s="24" t="s">
        <v>6145</v>
      </c>
      <c r="C1856" s="24" t="s">
        <v>6575</v>
      </c>
      <c r="D1856" s="151" t="s">
        <v>6883</v>
      </c>
      <c r="E1856" s="151" t="s">
        <v>3875</v>
      </c>
      <c r="F1856" s="151"/>
      <c r="G1856" s="52" t="str">
        <f t="shared" si="32"/>
        <v>8D 64:王祖旋棍</v>
      </c>
    </row>
    <row r="1857" spans="1:7">
      <c r="A1857" s="24" t="s">
        <v>5650</v>
      </c>
      <c r="B1857" s="24" t="s">
        <v>6145</v>
      </c>
      <c r="C1857" s="24" t="s">
        <v>6575</v>
      </c>
      <c r="D1857" s="151" t="s">
        <v>6884</v>
      </c>
      <c r="E1857" s="151" t="s">
        <v>3359</v>
      </c>
      <c r="F1857" s="151"/>
      <c r="G1857" s="52" t="str">
        <f t="shared" si="32"/>
        <v>F8 64:不动国行·药研藤四郎</v>
      </c>
    </row>
    <row r="1858" spans="1:7">
      <c r="A1858" s="24" t="s">
        <v>5650</v>
      </c>
      <c r="B1858" s="24" t="s">
        <v>6145</v>
      </c>
      <c r="C1858" s="24" t="s">
        <v>6575</v>
      </c>
      <c r="D1858" s="151" t="s">
        <v>6885</v>
      </c>
      <c r="E1858" s="151" t="s">
        <v>6886</v>
      </c>
      <c r="F1858" s="151"/>
      <c r="G1858" s="52" t="str">
        <f t="shared" si="32"/>
        <v>5C 65:落难御曹司装束</v>
      </c>
    </row>
    <row r="1859" spans="1:7">
      <c r="A1859" s="24" t="s">
        <v>5650</v>
      </c>
      <c r="B1859" s="24" t="s">
        <v>6145</v>
      </c>
      <c r="C1859" s="24" t="s">
        <v>6575</v>
      </c>
      <c r="D1859" s="151" t="s">
        <v>6887</v>
      </c>
      <c r="E1859" s="151" t="s">
        <v>6888</v>
      </c>
      <c r="F1859" s="151"/>
      <c r="G1859" s="52" t="str">
        <f t="shared" si="32"/>
        <v>CE 65:焚火油壶</v>
      </c>
    </row>
    <row r="1860" spans="1:7">
      <c r="A1860" s="24" t="s">
        <v>5650</v>
      </c>
      <c r="B1860" s="24" t="s">
        <v>6145</v>
      </c>
      <c r="C1860" s="24" t="s">
        <v>6575</v>
      </c>
      <c r="D1860" s="151" t="s">
        <v>6889</v>
      </c>
      <c r="E1860" s="151" t="s">
        <v>6890</v>
      </c>
      <c r="F1860" s="151"/>
      <c r="G1860" s="52" t="str">
        <f t="shared" si="32"/>
        <v>D9 65:威光中铠</v>
      </c>
    </row>
    <row r="1861" spans="1:7">
      <c r="A1861" s="24" t="s">
        <v>5650</v>
      </c>
      <c r="B1861" s="24" t="s">
        <v>6145</v>
      </c>
      <c r="C1861" s="24" t="s">
        <v>6575</v>
      </c>
      <c r="D1861" s="151" t="s">
        <v>6891</v>
      </c>
      <c r="E1861" s="151" t="s">
        <v>3556</v>
      </c>
      <c r="F1861" s="151"/>
      <c r="G1861" s="52" t="str">
        <f t="shared" si="32"/>
        <v>1C 66:萤丸</v>
      </c>
    </row>
    <row r="1862" spans="1:7">
      <c r="A1862" s="24" t="s">
        <v>5650</v>
      </c>
      <c r="B1862" s="24" t="s">
        <v>6145</v>
      </c>
      <c r="C1862" s="24" t="s">
        <v>6575</v>
      </c>
      <c r="D1862" s="151" t="s">
        <v>6892</v>
      </c>
      <c r="E1862" s="151" t="s">
        <v>6893</v>
      </c>
      <c r="F1862" s="151"/>
      <c r="G1862" s="52" t="str">
        <f t="shared" si="32"/>
        <v>30 67:诹访法性头盔</v>
      </c>
    </row>
    <row r="1863" spans="1:7">
      <c r="A1863" s="24" t="s">
        <v>5650</v>
      </c>
      <c r="B1863" s="24" t="s">
        <v>6145</v>
      </c>
      <c r="C1863" s="24" t="s">
        <v>6575</v>
      </c>
      <c r="D1863" s="151" t="s">
        <v>6894</v>
      </c>
      <c r="E1863" s="151" t="s">
        <v>3546</v>
      </c>
      <c r="F1863" s="151"/>
      <c r="G1863" s="52" t="str">
        <f t="shared" si="32"/>
        <v>3A 67:神威</v>
      </c>
    </row>
    <row r="1864" spans="1:7">
      <c r="A1864" s="24" t="s">
        <v>5650</v>
      </c>
      <c r="B1864" s="24" t="s">
        <v>6145</v>
      </c>
      <c r="C1864" s="24" t="s">
        <v>6575</v>
      </c>
      <c r="D1864" s="151" t="s">
        <v>6895</v>
      </c>
      <c r="E1864" s="151" t="s">
        <v>4363</v>
      </c>
      <c r="F1864" s="151"/>
      <c r="G1864" s="52" t="str">
        <f t="shared" ref="G1864:G1927" si="33">D1864&amp;":"&amp;E1864</f>
        <v>2A 68:道服上衣</v>
      </c>
    </row>
    <row r="1865" spans="1:7">
      <c r="A1865" s="24" t="s">
        <v>5650</v>
      </c>
      <c r="B1865" s="24" t="s">
        <v>6145</v>
      </c>
      <c r="C1865" s="24" t="s">
        <v>6575</v>
      </c>
      <c r="D1865" s="151" t="s">
        <v>6896</v>
      </c>
      <c r="E1865" s="151" t="s">
        <v>4072</v>
      </c>
      <c r="F1865" s="151"/>
      <c r="G1865" s="52" t="str">
        <f t="shared" si="33"/>
        <v>A9 68:御持弓</v>
      </c>
    </row>
    <row r="1866" spans="1:7">
      <c r="A1866" s="24" t="s">
        <v>5650</v>
      </c>
      <c r="B1866" s="24" t="s">
        <v>6145</v>
      </c>
      <c r="C1866" s="24" t="s">
        <v>6575</v>
      </c>
      <c r="D1866" s="151" t="s">
        <v>6897</v>
      </c>
      <c r="E1866" s="151" t="s">
        <v>6898</v>
      </c>
      <c r="F1866" s="151"/>
      <c r="G1866" s="52" t="str">
        <f t="shared" si="33"/>
        <v>FF 68:彦右卫门一文字</v>
      </c>
    </row>
    <row r="1867" spans="1:7">
      <c r="A1867" s="24" t="s">
        <v>5650</v>
      </c>
      <c r="B1867" s="24" t="s">
        <v>6145</v>
      </c>
      <c r="C1867" s="24" t="s">
        <v>6575</v>
      </c>
      <c r="D1867" s="151" t="s">
        <v>6899</v>
      </c>
      <c r="E1867" s="151" t="s">
        <v>6900</v>
      </c>
      <c r="F1867" s="151"/>
      <c r="G1867" s="52" t="str">
        <f t="shared" si="33"/>
        <v>34 69:木机关棍</v>
      </c>
    </row>
    <row r="1868" spans="1:7">
      <c r="A1868" s="24" t="s">
        <v>5650</v>
      </c>
      <c r="B1868" s="24" t="s">
        <v>6145</v>
      </c>
      <c r="C1868" s="24" t="s">
        <v>6575</v>
      </c>
      <c r="D1868" s="151" t="s">
        <v>6901</v>
      </c>
      <c r="E1868" s="151" t="s">
        <v>6902</v>
      </c>
      <c r="F1868" s="151"/>
      <c r="G1868" s="52" t="str">
        <f t="shared" si="33"/>
        <v>3D 69:显明连</v>
      </c>
    </row>
    <row r="1869" spans="1:7">
      <c r="A1869" s="24" t="s">
        <v>5650</v>
      </c>
      <c r="B1869" s="24" t="s">
        <v>6145</v>
      </c>
      <c r="C1869" s="24" t="s">
        <v>6575</v>
      </c>
      <c r="D1869" s="151" t="s">
        <v>6903</v>
      </c>
      <c r="E1869" s="151" t="s">
        <v>3785</v>
      </c>
      <c r="F1869" s="151"/>
      <c r="G1869" s="52" t="str">
        <f t="shared" si="33"/>
        <v>F2 69:大包平·莺丸</v>
      </c>
    </row>
    <row r="1870" spans="1:7">
      <c r="A1870" s="24" t="s">
        <v>5650</v>
      </c>
      <c r="B1870" s="24" t="s">
        <v>6145</v>
      </c>
      <c r="C1870" s="24" t="s">
        <v>6575</v>
      </c>
      <c r="D1870" s="151" t="s">
        <v>6904</v>
      </c>
      <c r="E1870" s="151" t="s">
        <v>6905</v>
      </c>
      <c r="F1870" s="151"/>
      <c r="G1870" s="52" t="str">
        <f t="shared" si="33"/>
        <v>B9 6A:太初武士之铠</v>
      </c>
    </row>
    <row r="1871" spans="1:7">
      <c r="A1871" s="24" t="s">
        <v>5650</v>
      </c>
      <c r="B1871" s="24" t="s">
        <v>6145</v>
      </c>
      <c r="C1871" s="24" t="s">
        <v>6575</v>
      </c>
      <c r="D1871" s="151" t="s">
        <v>6906</v>
      </c>
      <c r="E1871" s="151" t="s">
        <v>5134</v>
      </c>
      <c r="F1871" s="151"/>
      <c r="G1871" s="52" t="str">
        <f t="shared" si="33"/>
        <v>66 6B:般若面</v>
      </c>
    </row>
    <row r="1872" spans="1:7">
      <c r="A1872" s="24" t="s">
        <v>5650</v>
      </c>
      <c r="B1872" s="24" t="s">
        <v>6145</v>
      </c>
      <c r="C1872" s="24" t="s">
        <v>6575</v>
      </c>
      <c r="D1872" s="151" t="s">
        <v>6907</v>
      </c>
      <c r="E1872" s="151" t="s">
        <v>4022</v>
      </c>
      <c r="F1872" s="151"/>
      <c r="G1872" s="52" t="str">
        <f t="shared" si="33"/>
        <v>C4 6B:焰怒手甲钩</v>
      </c>
    </row>
    <row r="1873" spans="1:7">
      <c r="A1873" s="24" t="s">
        <v>5650</v>
      </c>
      <c r="B1873" s="24" t="s">
        <v>6145</v>
      </c>
      <c r="C1873" s="24" t="s">
        <v>6575</v>
      </c>
      <c r="D1873" s="151" t="s">
        <v>6908</v>
      </c>
      <c r="E1873" s="151" t="s">
        <v>3832</v>
      </c>
      <c r="F1873" s="151"/>
      <c r="G1873" s="52" t="str">
        <f t="shared" si="33"/>
        <v>36 6C:百鬼锁镰</v>
      </c>
    </row>
    <row r="1874" spans="1:7">
      <c r="A1874" s="24" t="s">
        <v>5650</v>
      </c>
      <c r="B1874" s="24" t="s">
        <v>6145</v>
      </c>
      <c r="C1874" s="24" t="s">
        <v>6575</v>
      </c>
      <c r="D1874" s="151" t="s">
        <v>6909</v>
      </c>
      <c r="E1874" s="151" t="s">
        <v>3924</v>
      </c>
      <c r="F1874" s="151"/>
      <c r="G1874" s="52" t="str">
        <f t="shared" si="33"/>
        <v>3E 6C:平三手斧</v>
      </c>
    </row>
    <row r="1875" spans="1:7">
      <c r="A1875" s="24" t="s">
        <v>5650</v>
      </c>
      <c r="B1875" s="24" t="s">
        <v>6145</v>
      </c>
      <c r="C1875" s="24" t="s">
        <v>6575</v>
      </c>
      <c r="D1875" s="151" t="s">
        <v>6910</v>
      </c>
      <c r="E1875" s="151" t="s">
        <v>4647</v>
      </c>
      <c r="F1875" s="151"/>
      <c r="G1875" s="52" t="str">
        <f t="shared" si="33"/>
        <v>2C 6D:稿编笠形盔</v>
      </c>
    </row>
    <row r="1876" spans="1:7">
      <c r="A1876" s="24" t="s">
        <v>5650</v>
      </c>
      <c r="B1876" s="24" t="s">
        <v>6145</v>
      </c>
      <c r="C1876" s="24" t="s">
        <v>6575</v>
      </c>
      <c r="D1876" s="151" t="s">
        <v>6911</v>
      </c>
      <c r="E1876" s="151" t="s">
        <v>3840</v>
      </c>
      <c r="F1876" s="151"/>
      <c r="G1876" s="52" t="str">
        <f t="shared" si="33"/>
        <v>35 6D:狱妖锁镰</v>
      </c>
    </row>
    <row r="1877" spans="1:7">
      <c r="A1877" s="24" t="s">
        <v>5650</v>
      </c>
      <c r="B1877" s="24" t="s">
        <v>6145</v>
      </c>
      <c r="C1877" s="24" t="s">
        <v>6575</v>
      </c>
      <c r="D1877" s="151" t="s">
        <v>6912</v>
      </c>
      <c r="E1877" s="151" t="s">
        <v>5624</v>
      </c>
      <c r="F1877" s="151"/>
      <c r="G1877" s="52" t="str">
        <f t="shared" si="33"/>
        <v>BE 6D:御箭护符</v>
      </c>
    </row>
    <row r="1878" spans="1:7">
      <c r="A1878" s="24" t="s">
        <v>5650</v>
      </c>
      <c r="B1878" s="24" t="s">
        <v>6145</v>
      </c>
      <c r="C1878" s="24" t="s">
        <v>6575</v>
      </c>
      <c r="D1878" s="151" t="s">
        <v>6913</v>
      </c>
      <c r="E1878" s="151" t="s">
        <v>6914</v>
      </c>
      <c r="F1878" s="151"/>
      <c r="G1878" s="52" t="str">
        <f t="shared" si="33"/>
        <v>6F 6E:日轮之子之铠</v>
      </c>
    </row>
    <row r="1879" spans="1:7">
      <c r="A1879" s="24" t="s">
        <v>5650</v>
      </c>
      <c r="B1879" s="24" t="s">
        <v>6145</v>
      </c>
      <c r="C1879" s="24" t="s">
        <v>6575</v>
      </c>
      <c r="D1879" s="151" t="s">
        <v>6915</v>
      </c>
      <c r="E1879" s="151" t="s">
        <v>6916</v>
      </c>
      <c r="F1879" s="151"/>
      <c r="G1879" s="52" t="str">
        <f t="shared" si="33"/>
        <v>84 6E:风魔头领忍者装束</v>
      </c>
    </row>
    <row r="1880" spans="1:7">
      <c r="A1880" s="24" t="s">
        <v>5650</v>
      </c>
      <c r="B1880" s="24" t="s">
        <v>6145</v>
      </c>
      <c r="C1880" s="24" t="s">
        <v>6575</v>
      </c>
      <c r="D1880" s="151" t="s">
        <v>6917</v>
      </c>
      <c r="E1880" s="151" t="s">
        <v>4076</v>
      </c>
      <c r="F1880" s="151"/>
      <c r="G1880" s="52" t="str">
        <f t="shared" si="33"/>
        <v>A9 6E:神通弓</v>
      </c>
    </row>
    <row r="1881" spans="1:7">
      <c r="A1881" s="24" t="s">
        <v>5650</v>
      </c>
      <c r="B1881" s="24" t="s">
        <v>6145</v>
      </c>
      <c r="C1881" s="24" t="s">
        <v>6575</v>
      </c>
      <c r="D1881" s="151" t="s">
        <v>6918</v>
      </c>
      <c r="E1881" s="151" t="s">
        <v>3842</v>
      </c>
      <c r="F1881" s="151"/>
      <c r="G1881" s="52" t="str">
        <f t="shared" si="33"/>
        <v>B0 6E:山田流锁镰</v>
      </c>
    </row>
    <row r="1882" spans="1:7">
      <c r="A1882" s="24" t="s">
        <v>5650</v>
      </c>
      <c r="B1882" s="24" t="s">
        <v>6145</v>
      </c>
      <c r="C1882" s="24" t="s">
        <v>6575</v>
      </c>
      <c r="D1882" s="151" t="s">
        <v>6919</v>
      </c>
      <c r="E1882" s="151" t="s">
        <v>3320</v>
      </c>
      <c r="F1882" s="151"/>
      <c r="G1882" s="52" t="str">
        <f t="shared" si="33"/>
        <v>2D 6F:笑面青江</v>
      </c>
    </row>
    <row r="1883" spans="1:7">
      <c r="A1883" s="24" t="s">
        <v>5650</v>
      </c>
      <c r="B1883" s="24" t="s">
        <v>6145</v>
      </c>
      <c r="C1883" s="24" t="s">
        <v>6575</v>
      </c>
      <c r="D1883" s="151" t="s">
        <v>6920</v>
      </c>
      <c r="E1883" s="151" t="s">
        <v>5148</v>
      </c>
      <c r="F1883" s="151"/>
      <c r="G1883" s="52" t="str">
        <f t="shared" si="33"/>
        <v>9F 6F:风神头盔</v>
      </c>
    </row>
    <row r="1884" spans="1:7">
      <c r="A1884" s="24" t="s">
        <v>5650</v>
      </c>
      <c r="B1884" s="24" t="s">
        <v>6145</v>
      </c>
      <c r="C1884" s="24" t="s">
        <v>6575</v>
      </c>
      <c r="D1884" s="151" t="s">
        <v>6921</v>
      </c>
      <c r="E1884" s="151" t="s">
        <v>6922</v>
      </c>
      <c r="F1884" s="151"/>
      <c r="G1884" s="52" t="str">
        <f t="shared" si="33"/>
        <v>51 70:髭切·膝丸</v>
      </c>
    </row>
    <row r="1885" spans="1:7">
      <c r="A1885" s="24" t="s">
        <v>5650</v>
      </c>
      <c r="B1885" s="24" t="s">
        <v>6145</v>
      </c>
      <c r="C1885" s="24" t="s">
        <v>6575</v>
      </c>
      <c r="D1885" s="151" t="s">
        <v>6923</v>
      </c>
      <c r="E1885" s="151" t="s">
        <v>6924</v>
      </c>
      <c r="F1885" s="151"/>
      <c r="G1885" s="52" t="str">
        <f t="shared" si="33"/>
        <v>A3 70:守护灵呼唤符</v>
      </c>
    </row>
    <row r="1886" spans="1:7">
      <c r="A1886" s="24" t="s">
        <v>5650</v>
      </c>
      <c r="B1886" s="24" t="s">
        <v>6145</v>
      </c>
      <c r="C1886" s="24" t="s">
        <v>6575</v>
      </c>
      <c r="D1886" s="151" t="s">
        <v>6925</v>
      </c>
      <c r="E1886" s="151" t="s">
        <v>6926</v>
      </c>
      <c r="F1886" s="151"/>
      <c r="G1886" s="52" t="str">
        <f t="shared" si="33"/>
        <v>0B 71:冰狱武者之铠</v>
      </c>
    </row>
    <row r="1887" spans="1:7">
      <c r="A1887" s="24" t="s">
        <v>5650</v>
      </c>
      <c r="B1887" s="24" t="s">
        <v>6145</v>
      </c>
      <c r="C1887" s="24" t="s">
        <v>6575</v>
      </c>
      <c r="D1887" s="151" t="s">
        <v>6927</v>
      </c>
      <c r="E1887" s="151" t="s">
        <v>3428</v>
      </c>
      <c r="F1887" s="151"/>
      <c r="G1887" s="52" t="str">
        <f t="shared" si="33"/>
        <v>2D 71:地狱冰枪</v>
      </c>
    </row>
    <row r="1888" spans="1:7">
      <c r="A1888" s="24" t="s">
        <v>5650</v>
      </c>
      <c r="B1888" s="24" t="s">
        <v>6145</v>
      </c>
      <c r="C1888" s="24" t="s">
        <v>6575</v>
      </c>
      <c r="D1888" s="151" t="s">
        <v>6928</v>
      </c>
      <c r="E1888" s="151" t="s">
        <v>3426</v>
      </c>
      <c r="F1888" s="151"/>
      <c r="G1888" s="52" t="str">
        <f t="shared" si="33"/>
        <v>3D 71:地狱刺叉</v>
      </c>
    </row>
    <row r="1889" spans="1:7">
      <c r="A1889" s="24" t="s">
        <v>5650</v>
      </c>
      <c r="B1889" s="24" t="s">
        <v>6145</v>
      </c>
      <c r="C1889" s="24" t="s">
        <v>6575</v>
      </c>
      <c r="D1889" s="151" t="s">
        <v>6929</v>
      </c>
      <c r="E1889" s="151" t="s">
        <v>3499</v>
      </c>
      <c r="F1889" s="151"/>
      <c r="G1889" s="52" t="str">
        <f t="shared" si="33"/>
        <v>49 71:护国禅师之锤</v>
      </c>
    </row>
    <row r="1890" spans="1:7">
      <c r="A1890" s="24" t="s">
        <v>5650</v>
      </c>
      <c r="B1890" s="24" t="s">
        <v>6145</v>
      </c>
      <c r="C1890" s="24" t="s">
        <v>6575</v>
      </c>
      <c r="D1890" s="151" t="s">
        <v>6930</v>
      </c>
      <c r="E1890" s="151" t="s">
        <v>6931</v>
      </c>
      <c r="F1890" s="151"/>
      <c r="G1890" s="52" t="str">
        <f t="shared" si="33"/>
        <v>C9 71:剑豪将军大铠</v>
      </c>
    </row>
    <row r="1891" spans="1:7">
      <c r="A1891" s="24" t="s">
        <v>5650</v>
      </c>
      <c r="B1891" s="24" t="s">
        <v>6145</v>
      </c>
      <c r="C1891" s="24" t="s">
        <v>6575</v>
      </c>
      <c r="D1891" s="151" t="s">
        <v>6932</v>
      </c>
      <c r="E1891" s="151" t="s">
        <v>6933</v>
      </c>
      <c r="F1891" s="151"/>
      <c r="G1891" s="52" t="str">
        <f t="shared" si="33"/>
        <v>8F 72:鬼颚</v>
      </c>
    </row>
    <row r="1892" spans="1:7">
      <c r="A1892" s="24" t="s">
        <v>5650</v>
      </c>
      <c r="B1892" s="24" t="s">
        <v>6145</v>
      </c>
      <c r="C1892" s="24" t="s">
        <v>6575</v>
      </c>
      <c r="D1892" s="151" t="s">
        <v>6934</v>
      </c>
      <c r="E1892" s="151" t="s">
        <v>6935</v>
      </c>
      <c r="F1892" s="151"/>
      <c r="G1892" s="52" t="str">
        <f t="shared" si="33"/>
        <v>32 73:入峰之斧</v>
      </c>
    </row>
    <row r="1893" spans="1:7">
      <c r="A1893" s="24" t="s">
        <v>5650</v>
      </c>
      <c r="B1893" s="24" t="s">
        <v>6145</v>
      </c>
      <c r="C1893" s="24" t="s">
        <v>6575</v>
      </c>
      <c r="D1893" s="151" t="s">
        <v>6936</v>
      </c>
      <c r="E1893" s="151" t="s">
        <v>3752</v>
      </c>
      <c r="F1893" s="151"/>
      <c r="G1893" s="52" t="str">
        <f t="shared" si="33"/>
        <v>C2 73:狱妖忍刀</v>
      </c>
    </row>
    <row r="1894" spans="1:7">
      <c r="A1894" s="24" t="s">
        <v>5650</v>
      </c>
      <c r="B1894" s="24" t="s">
        <v>6145</v>
      </c>
      <c r="C1894" s="24" t="s">
        <v>6575</v>
      </c>
      <c r="D1894" s="151" t="s">
        <v>6937</v>
      </c>
      <c r="E1894" s="151" t="s">
        <v>6938</v>
      </c>
      <c r="F1894" s="151"/>
      <c r="G1894" s="52" t="str">
        <f t="shared" si="33"/>
        <v>F4 73:木锁镰</v>
      </c>
    </row>
    <row r="1895" spans="1:7">
      <c r="A1895" s="24" t="s">
        <v>5650</v>
      </c>
      <c r="B1895" s="24" t="s">
        <v>6145</v>
      </c>
      <c r="C1895" s="24" t="s">
        <v>6575</v>
      </c>
      <c r="D1895" s="151" t="s">
        <v>6939</v>
      </c>
      <c r="E1895" s="151" t="s">
        <v>6940</v>
      </c>
      <c r="F1895" s="151"/>
      <c r="G1895" s="52" t="str">
        <f t="shared" si="33"/>
        <v>B1 74:仁王面·吽形</v>
      </c>
    </row>
    <row r="1896" spans="1:7">
      <c r="A1896" s="24" t="s">
        <v>5650</v>
      </c>
      <c r="B1896" s="24" t="s">
        <v>6145</v>
      </c>
      <c r="C1896" s="24" t="s">
        <v>6575</v>
      </c>
      <c r="D1896" s="151" t="s">
        <v>6941</v>
      </c>
      <c r="E1896" s="151" t="s">
        <v>6942</v>
      </c>
      <c r="F1896" s="151"/>
      <c r="G1896" s="52" t="str">
        <f t="shared" si="33"/>
        <v>5F 75:大型八龙</v>
      </c>
    </row>
    <row r="1897" spans="1:7">
      <c r="A1897" s="24" t="s">
        <v>5650</v>
      </c>
      <c r="B1897" s="24" t="s">
        <v>6145</v>
      </c>
      <c r="C1897" s="24" t="s">
        <v>6575</v>
      </c>
      <c r="D1897" s="151" t="s">
        <v>6943</v>
      </c>
      <c r="E1897" s="151" t="s">
        <v>3572</v>
      </c>
      <c r="F1897" s="151"/>
      <c r="G1897" s="52" t="str">
        <f t="shared" si="33"/>
        <v>79 75:鬼神丸国重</v>
      </c>
    </row>
    <row r="1898" spans="1:7">
      <c r="A1898" s="24" t="s">
        <v>5650</v>
      </c>
      <c r="B1898" s="24" t="s">
        <v>6145</v>
      </c>
      <c r="C1898" s="24" t="s">
        <v>6575</v>
      </c>
      <c r="D1898" s="151" t="s">
        <v>6944</v>
      </c>
      <c r="E1898" s="151" t="s">
        <v>4637</v>
      </c>
      <c r="F1898" s="151"/>
      <c r="G1898" s="52" t="str">
        <f t="shared" si="33"/>
        <v>B4 75:扇前立头盔</v>
      </c>
    </row>
    <row r="1899" spans="1:7">
      <c r="A1899" s="24" t="s">
        <v>5650</v>
      </c>
      <c r="B1899" s="24" t="s">
        <v>6145</v>
      </c>
      <c r="C1899" s="24" t="s">
        <v>6575</v>
      </c>
      <c r="D1899" s="151" t="s">
        <v>6945</v>
      </c>
      <c r="E1899" s="151" t="s">
        <v>3754</v>
      </c>
      <c r="F1899" s="151"/>
      <c r="G1899" s="52" t="str">
        <f t="shared" si="33"/>
        <v>D6 75:大目付忍刀</v>
      </c>
    </row>
    <row r="1900" spans="1:7">
      <c r="A1900" s="24" t="s">
        <v>5650</v>
      </c>
      <c r="B1900" s="24" t="s">
        <v>6145</v>
      </c>
      <c r="C1900" s="24" t="s">
        <v>6575</v>
      </c>
      <c r="D1900" s="151" t="s">
        <v>6946</v>
      </c>
      <c r="E1900" s="151" t="s">
        <v>6947</v>
      </c>
      <c r="F1900" s="151"/>
      <c r="G1900" s="52" t="str">
        <f t="shared" si="33"/>
        <v>39 76:鸦羽火枪</v>
      </c>
    </row>
    <row r="1901" spans="1:7">
      <c r="A1901" s="24" t="s">
        <v>5650</v>
      </c>
      <c r="B1901" s="24" t="s">
        <v>6145</v>
      </c>
      <c r="C1901" s="24" t="s">
        <v>6575</v>
      </c>
      <c r="D1901" s="151" t="s">
        <v>6948</v>
      </c>
      <c r="E1901" s="151" t="s">
        <v>6949</v>
      </c>
      <c r="F1901" s="151"/>
      <c r="G1901" s="52" t="str">
        <f t="shared" si="33"/>
        <v>C5 76:万雷忍者装束</v>
      </c>
    </row>
    <row r="1902" spans="1:7">
      <c r="A1902" s="24" t="s">
        <v>5650</v>
      </c>
      <c r="B1902" s="24" t="s">
        <v>6145</v>
      </c>
      <c r="C1902" s="24" t="s">
        <v>6575</v>
      </c>
      <c r="D1902" s="151" t="s">
        <v>6950</v>
      </c>
      <c r="E1902" s="151" t="s">
        <v>5525</v>
      </c>
      <c r="F1902" s="151"/>
      <c r="G1902" s="52" t="str">
        <f t="shared" si="33"/>
        <v>3E 77:神曲</v>
      </c>
    </row>
    <row r="1903" spans="1:7">
      <c r="A1903" s="24" t="s">
        <v>5650</v>
      </c>
      <c r="B1903" s="24" t="s">
        <v>6145</v>
      </c>
      <c r="C1903" s="24" t="s">
        <v>6575</v>
      </c>
      <c r="D1903" s="151" t="s">
        <v>6951</v>
      </c>
      <c r="E1903" s="151" t="s">
        <v>3290</v>
      </c>
      <c r="F1903" s="151"/>
      <c r="G1903" s="52" t="str">
        <f t="shared" si="33"/>
        <v>00 78:木刀</v>
      </c>
    </row>
    <row r="1904" spans="1:7">
      <c r="A1904" s="24" t="s">
        <v>5650</v>
      </c>
      <c r="B1904" s="24" t="s">
        <v>6145</v>
      </c>
      <c r="C1904" s="24" t="s">
        <v>6575</v>
      </c>
      <c r="D1904" s="151" t="s">
        <v>6952</v>
      </c>
      <c r="E1904" s="151" t="s">
        <v>6953</v>
      </c>
      <c r="F1904" s="151"/>
      <c r="G1904" s="52" t="str">
        <f t="shared" si="33"/>
        <v>7F 78:风鬼锁镰</v>
      </c>
    </row>
    <row r="1905" spans="1:7">
      <c r="A1905" s="24" t="s">
        <v>5650</v>
      </c>
      <c r="B1905" s="24" t="s">
        <v>6145</v>
      </c>
      <c r="C1905" s="24" t="s">
        <v>6575</v>
      </c>
      <c r="D1905" s="151" t="s">
        <v>6954</v>
      </c>
      <c r="E1905" s="151" t="s">
        <v>6955</v>
      </c>
      <c r="F1905" s="151"/>
      <c r="G1905" s="52" t="str">
        <f t="shared" si="33"/>
        <v>8F 79:最后的忍者装束</v>
      </c>
    </row>
    <row r="1906" spans="1:7">
      <c r="A1906" s="24" t="s">
        <v>5650</v>
      </c>
      <c r="B1906" s="24" t="s">
        <v>6145</v>
      </c>
      <c r="C1906" s="24" t="s">
        <v>6575</v>
      </c>
      <c r="D1906" s="151" t="s">
        <v>6956</v>
      </c>
      <c r="E1906" s="151" t="s">
        <v>6957</v>
      </c>
      <c r="F1906" s="151"/>
      <c r="G1906" s="52" t="str">
        <f t="shared" si="33"/>
        <v>A4 79:毘沙门戟</v>
      </c>
    </row>
    <row r="1907" spans="1:7">
      <c r="A1907" s="24" t="s">
        <v>5650</v>
      </c>
      <c r="B1907" s="24" t="s">
        <v>6145</v>
      </c>
      <c r="C1907" s="24" t="s">
        <v>6575</v>
      </c>
      <c r="D1907" s="151" t="s">
        <v>6958</v>
      </c>
      <c r="E1907" s="151" t="s">
        <v>6959</v>
      </c>
      <c r="F1907" s="151"/>
      <c r="G1907" s="52" t="str">
        <f t="shared" si="33"/>
        <v>43 7B:善擦手甲</v>
      </c>
    </row>
    <row r="1908" spans="1:7">
      <c r="A1908" s="24" t="s">
        <v>5650</v>
      </c>
      <c r="B1908" s="24" t="s">
        <v>6145</v>
      </c>
      <c r="C1908" s="24" t="s">
        <v>6575</v>
      </c>
      <c r="D1908" s="151" t="s">
        <v>6960</v>
      </c>
      <c r="E1908" s="151" t="s">
        <v>3353</v>
      </c>
      <c r="F1908" s="151"/>
      <c r="G1908" s="52" t="str">
        <f t="shared" si="33"/>
        <v>8B 7B:御一门众双刀</v>
      </c>
    </row>
    <row r="1909" spans="1:7">
      <c r="A1909" s="24" t="s">
        <v>5650</v>
      </c>
      <c r="B1909" s="24" t="s">
        <v>6145</v>
      </c>
      <c r="C1909" s="24" t="s">
        <v>6575</v>
      </c>
      <c r="D1909" s="151" t="s">
        <v>6961</v>
      </c>
      <c r="E1909" s="151" t="s">
        <v>3669</v>
      </c>
      <c r="F1909" s="151"/>
      <c r="G1909" s="52" t="str">
        <f t="shared" si="33"/>
        <v>B0 7C:百雷手甲</v>
      </c>
    </row>
    <row r="1910" spans="1:7">
      <c r="A1910" s="24" t="s">
        <v>5650</v>
      </c>
      <c r="B1910" s="24" t="s">
        <v>6145</v>
      </c>
      <c r="C1910" s="24" t="s">
        <v>6575</v>
      </c>
      <c r="D1910" s="151" t="s">
        <v>6962</v>
      </c>
      <c r="E1910" s="151" t="s">
        <v>3916</v>
      </c>
      <c r="F1910" s="151"/>
      <c r="G1910" s="52" t="str">
        <f t="shared" si="33"/>
        <v>BB 7C:前鬼·后鬼</v>
      </c>
    </row>
    <row r="1911" spans="1:7">
      <c r="A1911" s="24" t="s">
        <v>5650</v>
      </c>
      <c r="B1911" s="24" t="s">
        <v>6145</v>
      </c>
      <c r="C1911" s="24" t="s">
        <v>6575</v>
      </c>
      <c r="D1911" s="151" t="s">
        <v>6963</v>
      </c>
      <c r="E1911" s="151" t="s">
        <v>6964</v>
      </c>
      <c r="F1911" s="151"/>
      <c r="G1911" s="52" t="str">
        <f t="shared" si="33"/>
        <v>8D 7E:和冠形盔</v>
      </c>
    </row>
    <row r="1912" spans="1:7">
      <c r="A1912" s="24" t="s">
        <v>5650</v>
      </c>
      <c r="B1912" s="24" t="s">
        <v>6145</v>
      </c>
      <c r="C1912" s="24" t="s">
        <v>6575</v>
      </c>
      <c r="D1912" s="151" t="s">
        <v>6965</v>
      </c>
      <c r="E1912" s="151" t="s">
        <v>6966</v>
      </c>
      <c r="F1912" s="151"/>
      <c r="G1912" s="52" t="str">
        <f t="shared" si="33"/>
        <v>E8 7E:牛若之铠</v>
      </c>
    </row>
    <row r="1913" spans="1:7">
      <c r="A1913" s="24" t="s">
        <v>5650</v>
      </c>
      <c r="B1913" s="24" t="s">
        <v>6145</v>
      </c>
      <c r="C1913" s="24" t="s">
        <v>6575</v>
      </c>
      <c r="D1913" s="151" t="s">
        <v>6967</v>
      </c>
      <c r="E1913" s="151" t="s">
        <v>3869</v>
      </c>
      <c r="F1913" s="151"/>
      <c r="G1913" s="52" t="str">
        <f t="shared" si="33"/>
        <v>E9 7E:却邪旋棍</v>
      </c>
    </row>
    <row r="1914" spans="1:7">
      <c r="A1914" s="24" t="s">
        <v>5650</v>
      </c>
      <c r="B1914" s="24" t="s">
        <v>6145</v>
      </c>
      <c r="C1914" s="24" t="s">
        <v>6575</v>
      </c>
      <c r="D1914" s="151" t="s">
        <v>6968</v>
      </c>
      <c r="E1914" s="151" t="s">
        <v>6969</v>
      </c>
      <c r="F1914" s="151"/>
      <c r="G1914" s="52" t="str">
        <f t="shared" si="33"/>
        <v>A2 80:弁庆梦想锡杖</v>
      </c>
    </row>
    <row r="1915" spans="1:7">
      <c r="A1915" s="24" t="s">
        <v>5650</v>
      </c>
      <c r="B1915" s="24" t="s">
        <v>6145</v>
      </c>
      <c r="C1915" s="24" t="s">
        <v>6575</v>
      </c>
      <c r="D1915" s="151" t="s">
        <v>6970</v>
      </c>
      <c r="E1915" s="151" t="s">
        <v>6971</v>
      </c>
      <c r="F1915" s="151"/>
      <c r="G1915" s="52" t="str">
        <f t="shared" si="33"/>
        <v>D9 80:八重垣流装束</v>
      </c>
    </row>
    <row r="1916" spans="1:7">
      <c r="A1916" s="24" t="s">
        <v>5650</v>
      </c>
      <c r="B1916" s="24" t="s">
        <v>6145</v>
      </c>
      <c r="C1916" s="24" t="s">
        <v>6575</v>
      </c>
      <c r="D1916" s="151" t="s">
        <v>6972</v>
      </c>
      <c r="E1916" s="151" t="s">
        <v>6973</v>
      </c>
      <c r="F1916" s="151"/>
      <c r="G1916" s="52" t="str">
        <f t="shared" si="33"/>
        <v>66 81:雪斋薙刀镰</v>
      </c>
    </row>
    <row r="1917" spans="1:7">
      <c r="A1917" s="24" t="s">
        <v>5650</v>
      </c>
      <c r="B1917" s="24" t="s">
        <v>6145</v>
      </c>
      <c r="C1917" s="24" t="s">
        <v>6575</v>
      </c>
      <c r="D1917" s="151" t="s">
        <v>6974</v>
      </c>
      <c r="E1917" s="151" t="s">
        <v>4112</v>
      </c>
      <c r="F1917" s="151"/>
      <c r="G1917" s="52" t="str">
        <f t="shared" si="33"/>
        <v>96 81:田付流秘传大炮</v>
      </c>
    </row>
    <row r="1918" spans="1:7">
      <c r="A1918" s="24" t="s">
        <v>5650</v>
      </c>
      <c r="B1918" s="24" t="s">
        <v>6145</v>
      </c>
      <c r="C1918" s="24" t="s">
        <v>6575</v>
      </c>
      <c r="D1918" s="151" t="s">
        <v>6975</v>
      </c>
      <c r="E1918" s="151" t="s">
        <v>6976</v>
      </c>
      <c r="F1918" s="151"/>
      <c r="G1918" s="52" t="str">
        <f t="shared" si="33"/>
        <v>E0 81:水牛角头盔</v>
      </c>
    </row>
    <row r="1919" spans="1:7">
      <c r="A1919" s="24" t="s">
        <v>5650</v>
      </c>
      <c r="B1919" s="24" t="s">
        <v>6145</v>
      </c>
      <c r="C1919" s="24" t="s">
        <v>6575</v>
      </c>
      <c r="D1919" s="151" t="s">
        <v>6977</v>
      </c>
      <c r="E1919" s="151" t="s">
        <v>6978</v>
      </c>
      <c r="F1919" s="151"/>
      <c r="G1919" s="52" t="str">
        <f t="shared" si="33"/>
        <v>EB 81:大江·长铭正宗</v>
      </c>
    </row>
    <row r="1920" spans="1:7">
      <c r="A1920" s="24" t="s">
        <v>5650</v>
      </c>
      <c r="B1920" s="24" t="s">
        <v>6145</v>
      </c>
      <c r="C1920" s="24" t="s">
        <v>6575</v>
      </c>
      <c r="D1920" s="151" t="s">
        <v>6979</v>
      </c>
      <c r="E1920" s="151" t="s">
        <v>3341</v>
      </c>
      <c r="F1920" s="151"/>
      <c r="G1920" s="52" t="str">
        <f t="shared" si="33"/>
        <v>C1 82:双木刀</v>
      </c>
    </row>
    <row r="1921" spans="1:7">
      <c r="A1921" s="24" t="s">
        <v>5650</v>
      </c>
      <c r="B1921" s="24" t="s">
        <v>6145</v>
      </c>
      <c r="C1921" s="24" t="s">
        <v>6575</v>
      </c>
      <c r="D1921" s="151" t="s">
        <v>6980</v>
      </c>
      <c r="E1921" s="151" t="s">
        <v>6981</v>
      </c>
      <c r="F1921" s="151"/>
      <c r="G1921" s="52" t="str">
        <f t="shared" si="33"/>
        <v>E5 82:蝶形盔</v>
      </c>
    </row>
    <row r="1922" spans="1:7">
      <c r="A1922" s="24" t="s">
        <v>5650</v>
      </c>
      <c r="B1922" s="24" t="s">
        <v>6145</v>
      </c>
      <c r="C1922" s="24" t="s">
        <v>6575</v>
      </c>
      <c r="D1922" s="151" t="s">
        <v>6982</v>
      </c>
      <c r="E1922" s="151" t="s">
        <v>3883</v>
      </c>
      <c r="F1922" s="151"/>
      <c r="G1922" s="52" t="str">
        <f t="shared" si="33"/>
        <v>22 83:狱妖旋棍</v>
      </c>
    </row>
    <row r="1923" spans="1:7">
      <c r="A1923" s="24" t="s">
        <v>5650</v>
      </c>
      <c r="B1923" s="24" t="s">
        <v>6145</v>
      </c>
      <c r="C1923" s="24" t="s">
        <v>6575</v>
      </c>
      <c r="D1923" s="151" t="s">
        <v>6983</v>
      </c>
      <c r="E1923" s="151" t="s">
        <v>3304</v>
      </c>
      <c r="F1923" s="151"/>
      <c r="G1923" s="52" t="str">
        <f t="shared" si="33"/>
        <v>09 84:甲斐国江</v>
      </c>
    </row>
    <row r="1924" spans="1:7">
      <c r="A1924" s="24" t="s">
        <v>5650</v>
      </c>
      <c r="B1924" s="24" t="s">
        <v>6145</v>
      </c>
      <c r="C1924" s="24" t="s">
        <v>6575</v>
      </c>
      <c r="D1924" s="151" t="s">
        <v>6984</v>
      </c>
      <c r="E1924" s="151" t="s">
        <v>6985</v>
      </c>
      <c r="F1924" s="151"/>
      <c r="G1924" s="52" t="str">
        <f t="shared" si="33"/>
        <v>3F 85:赤鬼三角枪</v>
      </c>
    </row>
    <row r="1925" spans="1:7">
      <c r="A1925" s="24" t="s">
        <v>5650</v>
      </c>
      <c r="B1925" s="24" t="s">
        <v>6145</v>
      </c>
      <c r="C1925" s="24" t="s">
        <v>6575</v>
      </c>
      <c r="D1925" s="151" t="s">
        <v>6986</v>
      </c>
      <c r="E1925" s="151" t="s">
        <v>3727</v>
      </c>
      <c r="F1925" s="151"/>
      <c r="G1925" s="52" t="str">
        <f t="shared" si="33"/>
        <v>9B 85:压切长谷部</v>
      </c>
    </row>
    <row r="1926" spans="1:7">
      <c r="A1926" s="24" t="s">
        <v>5650</v>
      </c>
      <c r="B1926" s="24" t="s">
        <v>6145</v>
      </c>
      <c r="C1926" s="24" t="s">
        <v>6575</v>
      </c>
      <c r="D1926" s="151" t="s">
        <v>6987</v>
      </c>
      <c r="E1926" s="151" t="s">
        <v>3375</v>
      </c>
      <c r="F1926" s="151"/>
      <c r="G1926" s="52" t="str">
        <f t="shared" si="33"/>
        <v>23 86:狱妖双刀</v>
      </c>
    </row>
    <row r="1927" spans="1:7">
      <c r="A1927" s="24" t="s">
        <v>5650</v>
      </c>
      <c r="B1927" s="24" t="s">
        <v>6145</v>
      </c>
      <c r="C1927" s="24" t="s">
        <v>6575</v>
      </c>
      <c r="D1927" s="151" t="s">
        <v>6988</v>
      </c>
      <c r="E1927" s="151" t="s">
        <v>3512</v>
      </c>
      <c r="F1927" s="151"/>
      <c r="G1927" s="52" t="str">
        <f t="shared" si="33"/>
        <v>36 86:大木太刀</v>
      </c>
    </row>
    <row r="1928" spans="1:7">
      <c r="A1928" s="24" t="s">
        <v>5650</v>
      </c>
      <c r="B1928" s="24" t="s">
        <v>6145</v>
      </c>
      <c r="C1928" s="24" t="s">
        <v>6575</v>
      </c>
      <c r="D1928" s="151" t="s">
        <v>6989</v>
      </c>
      <c r="E1928" s="151" t="s">
        <v>3501</v>
      </c>
      <c r="F1928" s="151"/>
      <c r="G1928" s="52" t="str">
        <f t="shared" ref="G1928:G1991" si="34">D1928&amp;":"&amp;E1928</f>
        <v>E7 86:西洋炮术家铁锤</v>
      </c>
    </row>
    <row r="1929" spans="1:7">
      <c r="A1929" s="24" t="s">
        <v>5650</v>
      </c>
      <c r="B1929" s="24" t="s">
        <v>6145</v>
      </c>
      <c r="C1929" s="24" t="s">
        <v>6575</v>
      </c>
      <c r="D1929" s="151" t="s">
        <v>6990</v>
      </c>
      <c r="E1929" s="151" t="s">
        <v>3747</v>
      </c>
      <c r="F1929" s="151"/>
      <c r="G1929" s="52" t="str">
        <f t="shared" si="34"/>
        <v>43 87:藤原贞安</v>
      </c>
    </row>
    <row r="1930" spans="1:7">
      <c r="A1930" s="24" t="s">
        <v>5650</v>
      </c>
      <c r="B1930" s="24" t="s">
        <v>6145</v>
      </c>
      <c r="C1930" s="24" t="s">
        <v>6575</v>
      </c>
      <c r="D1930" s="151" t="s">
        <v>6991</v>
      </c>
      <c r="E1930" s="151" t="s">
        <v>6992</v>
      </c>
      <c r="F1930" s="151"/>
      <c r="G1930" s="52" t="str">
        <f t="shared" si="34"/>
        <v>64 87:木旋棍</v>
      </c>
    </row>
    <row r="1931" spans="1:7">
      <c r="A1931" s="24" t="s">
        <v>5650</v>
      </c>
      <c r="B1931" s="24" t="s">
        <v>6145</v>
      </c>
      <c r="C1931" s="24" t="s">
        <v>6575</v>
      </c>
      <c r="D1931" s="151" t="s">
        <v>6993</v>
      </c>
      <c r="E1931" s="151" t="s">
        <v>5610</v>
      </c>
      <c r="F1931" s="151"/>
      <c r="G1931" s="52" t="str">
        <f t="shared" si="34"/>
        <v>CD 88:妖香</v>
      </c>
    </row>
    <row r="1932" spans="1:7">
      <c r="A1932" s="24" t="s">
        <v>5650</v>
      </c>
      <c r="B1932" s="24" t="s">
        <v>6145</v>
      </c>
      <c r="C1932" s="24" t="s">
        <v>6575</v>
      </c>
      <c r="D1932" s="151" t="s">
        <v>6994</v>
      </c>
      <c r="E1932" s="151" t="s">
        <v>6995</v>
      </c>
      <c r="F1932" s="151"/>
      <c r="G1932" s="52" t="str">
        <f t="shared" si="34"/>
        <v>24 89:木斧</v>
      </c>
    </row>
    <row r="1933" spans="1:7">
      <c r="A1933" s="24" t="s">
        <v>5650</v>
      </c>
      <c r="B1933" s="24" t="s">
        <v>6145</v>
      </c>
      <c r="C1933" s="24" t="s">
        <v>6575</v>
      </c>
      <c r="D1933" s="151" t="s">
        <v>6996</v>
      </c>
      <c r="E1933" s="151" t="s">
        <v>6997</v>
      </c>
      <c r="F1933" s="151"/>
      <c r="G1933" s="52" t="str">
        <f t="shared" si="34"/>
        <v>41 89:有动刀</v>
      </c>
    </row>
    <row r="1934" spans="1:7">
      <c r="A1934" s="24" t="s">
        <v>5650</v>
      </c>
      <c r="B1934" s="24" t="s">
        <v>6145</v>
      </c>
      <c r="C1934" s="24" t="s">
        <v>6575</v>
      </c>
      <c r="D1934" s="151" t="s">
        <v>6998</v>
      </c>
      <c r="E1934" s="151" t="s">
        <v>3879</v>
      </c>
      <c r="F1934" s="151"/>
      <c r="G1934" s="52" t="str">
        <f t="shared" si="34"/>
        <v>5A 89:雷火旋棍</v>
      </c>
    </row>
    <row r="1935" spans="1:7">
      <c r="A1935" s="24" t="s">
        <v>5650</v>
      </c>
      <c r="B1935" s="24" t="s">
        <v>6145</v>
      </c>
      <c r="C1935" s="24" t="s">
        <v>6575</v>
      </c>
      <c r="D1935" s="151" t="s">
        <v>6999</v>
      </c>
      <c r="E1935" s="151" t="s">
        <v>5544</v>
      </c>
      <c r="F1935" s="151"/>
      <c r="G1935" s="52" t="str">
        <f t="shared" si="34"/>
        <v>2D 8A:护摩之灰</v>
      </c>
    </row>
    <row r="1936" spans="1:7">
      <c r="A1936" s="24" t="s">
        <v>5650</v>
      </c>
      <c r="B1936" s="24" t="s">
        <v>6145</v>
      </c>
      <c r="C1936" s="24" t="s">
        <v>6575</v>
      </c>
      <c r="D1936" s="151" t="s">
        <v>7000</v>
      </c>
      <c r="E1936" s="151" t="s">
        <v>7001</v>
      </c>
      <c r="F1936" s="151"/>
      <c r="G1936" s="52" t="str">
        <f t="shared" si="34"/>
        <v>73 8A:谋神头盔</v>
      </c>
    </row>
    <row r="1937" spans="1:7">
      <c r="A1937" s="24" t="s">
        <v>5650</v>
      </c>
      <c r="B1937" s="24" t="s">
        <v>6145</v>
      </c>
      <c r="C1937" s="24" t="s">
        <v>6575</v>
      </c>
      <c r="D1937" s="151" t="s">
        <v>7002</v>
      </c>
      <c r="E1937" s="151" t="s">
        <v>7003</v>
      </c>
      <c r="F1937" s="151"/>
      <c r="G1937" s="52" t="str">
        <f t="shared" si="34"/>
        <v>71 8B:袖神之铠</v>
      </c>
    </row>
    <row r="1938" spans="1:7">
      <c r="A1938" s="24" t="s">
        <v>5650</v>
      </c>
      <c r="B1938" s="24" t="s">
        <v>6145</v>
      </c>
      <c r="C1938" s="24" t="s">
        <v>6575</v>
      </c>
      <c r="D1938" s="151" t="s">
        <v>7004</v>
      </c>
      <c r="E1938" s="151" t="s">
        <v>3965</v>
      </c>
      <c r="F1938" s="151"/>
      <c r="G1938" s="52" t="str">
        <f t="shared" si="34"/>
        <v>BE 8B:武藏坊机关棍</v>
      </c>
    </row>
    <row r="1939" spans="1:7">
      <c r="A1939" s="24" t="s">
        <v>5650</v>
      </c>
      <c r="B1939" s="24" t="s">
        <v>6145</v>
      </c>
      <c r="C1939" s="24" t="s">
        <v>6575</v>
      </c>
      <c r="D1939" s="151" t="s">
        <v>7005</v>
      </c>
      <c r="E1939" s="151" t="s">
        <v>3836</v>
      </c>
      <c r="F1939" s="151"/>
      <c r="G1939" s="52" t="str">
        <f t="shared" si="34"/>
        <v>46 8C:诹访明神薙镰</v>
      </c>
    </row>
    <row r="1940" spans="1:7">
      <c r="A1940" s="24" t="s">
        <v>5650</v>
      </c>
      <c r="B1940" s="24" t="s">
        <v>6145</v>
      </c>
      <c r="C1940" s="24" t="s">
        <v>6575</v>
      </c>
      <c r="D1940" s="151" t="s">
        <v>7006</v>
      </c>
      <c r="E1940" s="151" t="s">
        <v>3738</v>
      </c>
      <c r="F1940" s="151"/>
      <c r="G1940" s="52" t="str">
        <f t="shared" si="34"/>
        <v>48 8C:安宅贞宗</v>
      </c>
    </row>
    <row r="1941" spans="1:7">
      <c r="A1941" s="24" t="s">
        <v>5650</v>
      </c>
      <c r="B1941" s="24" t="s">
        <v>6145</v>
      </c>
      <c r="C1941" s="24" t="s">
        <v>6575</v>
      </c>
      <c r="D1941" s="151" t="s">
        <v>7007</v>
      </c>
      <c r="E1941" s="151" t="s">
        <v>7008</v>
      </c>
      <c r="F1941" s="151"/>
      <c r="G1941" s="52" t="str">
        <f t="shared" si="34"/>
        <v>AB 8C:布都御魂</v>
      </c>
    </row>
    <row r="1942" spans="1:7">
      <c r="A1942" s="24" t="s">
        <v>5650</v>
      </c>
      <c r="B1942" s="24" t="s">
        <v>6145</v>
      </c>
      <c r="C1942" s="24" t="s">
        <v>6575</v>
      </c>
      <c r="D1942" s="151" t="s">
        <v>7009</v>
      </c>
      <c r="E1942" s="151" t="s">
        <v>3961</v>
      </c>
      <c r="F1942" s="151"/>
      <c r="G1942" s="52" t="str">
        <f t="shared" si="34"/>
        <v>E6 8C:金刚杵机关棍</v>
      </c>
    </row>
    <row r="1943" spans="1:7">
      <c r="A1943" s="24" t="s">
        <v>5650</v>
      </c>
      <c r="B1943" s="24" t="s">
        <v>6145</v>
      </c>
      <c r="C1943" s="24" t="s">
        <v>6575</v>
      </c>
      <c r="D1943" s="151" t="s">
        <v>7010</v>
      </c>
      <c r="E1943" s="151" t="s">
        <v>3505</v>
      </c>
      <c r="F1943" s="151"/>
      <c r="G1943" s="52" t="str">
        <f t="shared" si="34"/>
        <v>4E 8D:武藏坊之斧</v>
      </c>
    </row>
    <row r="1944" spans="1:7">
      <c r="A1944" s="24" t="s">
        <v>5650</v>
      </c>
      <c r="B1944" s="24" t="s">
        <v>6145</v>
      </c>
      <c r="C1944" s="24" t="s">
        <v>6575</v>
      </c>
      <c r="D1944" s="151" t="s">
        <v>7011</v>
      </c>
      <c r="E1944" s="151" t="s">
        <v>7012</v>
      </c>
      <c r="F1944" s="151"/>
      <c r="G1944" s="52" t="str">
        <f t="shared" si="34"/>
        <v>83 8D:猛禽爪</v>
      </c>
    </row>
    <row r="1945" spans="1:7">
      <c r="A1945" s="24" t="s">
        <v>5650</v>
      </c>
      <c r="B1945" s="24" t="s">
        <v>6145</v>
      </c>
      <c r="C1945" s="24" t="s">
        <v>6575</v>
      </c>
      <c r="D1945" s="151" t="s">
        <v>7013</v>
      </c>
      <c r="E1945" s="151" t="s">
        <v>4667</v>
      </c>
      <c r="F1945" s="151"/>
      <c r="G1945" s="52" t="str">
        <f t="shared" si="34"/>
        <v>10 8E:丹青双蛇头盔</v>
      </c>
    </row>
    <row r="1946" spans="1:7">
      <c r="A1946" s="24" t="s">
        <v>5650</v>
      </c>
      <c r="B1946" s="24" t="s">
        <v>6145</v>
      </c>
      <c r="C1946" s="24" t="s">
        <v>6575</v>
      </c>
      <c r="D1946" s="151" t="s">
        <v>7014</v>
      </c>
      <c r="E1946" s="151" t="s">
        <v>7015</v>
      </c>
      <c r="F1946" s="151"/>
      <c r="G1946" s="52" t="str">
        <f t="shared" si="34"/>
        <v>23 8E:凶王之衣</v>
      </c>
    </row>
    <row r="1947" spans="1:7">
      <c r="A1947" s="24" t="s">
        <v>5650</v>
      </c>
      <c r="B1947" s="24" t="s">
        <v>6145</v>
      </c>
      <c r="C1947" s="24" t="s">
        <v>6575</v>
      </c>
      <c r="D1947" s="151" t="s">
        <v>7016</v>
      </c>
      <c r="E1947" s="151" t="s">
        <v>4068</v>
      </c>
      <c r="F1947" s="151"/>
      <c r="G1947" s="52" t="str">
        <f t="shared" si="34"/>
        <v>77 8E:雷上动</v>
      </c>
    </row>
    <row r="1948" spans="1:7">
      <c r="A1948" s="24" t="s">
        <v>5650</v>
      </c>
      <c r="B1948" s="24" t="s">
        <v>6145</v>
      </c>
      <c r="C1948" s="24" t="s">
        <v>6575</v>
      </c>
      <c r="D1948" s="151" t="s">
        <v>7017</v>
      </c>
      <c r="E1948" s="151" t="s">
        <v>3562</v>
      </c>
      <c r="F1948" s="151"/>
      <c r="G1948" s="52" t="str">
        <f t="shared" si="34"/>
        <v>B1 8E:赤备大将长卷</v>
      </c>
    </row>
    <row r="1949" spans="1:7">
      <c r="A1949" s="24" t="s">
        <v>5650</v>
      </c>
      <c r="B1949" s="24" t="s">
        <v>6145</v>
      </c>
      <c r="C1949" s="24" t="s">
        <v>6575</v>
      </c>
      <c r="D1949" s="151" t="s">
        <v>7018</v>
      </c>
      <c r="E1949" s="151" t="s">
        <v>7019</v>
      </c>
      <c r="F1949" s="151"/>
      <c r="G1949" s="52" t="str">
        <f t="shared" si="34"/>
        <v>F3 8E:木曾紫之铠</v>
      </c>
    </row>
    <row r="1950" spans="1:7">
      <c r="A1950" s="24" t="s">
        <v>5650</v>
      </c>
      <c r="B1950" s="24" t="s">
        <v>6145</v>
      </c>
      <c r="C1950" s="24" t="s">
        <v>6575</v>
      </c>
      <c r="D1950" s="151" t="s">
        <v>7020</v>
      </c>
      <c r="E1950" s="151" t="s">
        <v>7021</v>
      </c>
      <c r="F1950" s="151"/>
      <c r="G1950" s="52" t="str">
        <f t="shared" si="34"/>
        <v>11 8F:鬼左近之枪</v>
      </c>
    </row>
    <row r="1951" spans="1:7">
      <c r="A1951" s="24" t="s">
        <v>5650</v>
      </c>
      <c r="B1951" s="24" t="s">
        <v>6145</v>
      </c>
      <c r="C1951" s="24" t="s">
        <v>6575</v>
      </c>
      <c r="D1951" s="151" t="s">
        <v>7022</v>
      </c>
      <c r="E1951" s="151" t="s">
        <v>7023</v>
      </c>
      <c r="F1951" s="151"/>
      <c r="G1951" s="52" t="str">
        <f t="shared" si="34"/>
        <v>B4 8F:金虎鲸立头盔</v>
      </c>
    </row>
    <row r="1952" spans="1:7">
      <c r="A1952" s="24" t="s">
        <v>5650</v>
      </c>
      <c r="B1952" s="24" t="s">
        <v>6145</v>
      </c>
      <c r="C1952" s="24" t="s">
        <v>6575</v>
      </c>
      <c r="D1952" s="151" t="s">
        <v>7024</v>
      </c>
      <c r="E1952" s="151" t="s">
        <v>7025</v>
      </c>
      <c r="F1952" s="151"/>
      <c r="G1952" s="52" t="str">
        <f t="shared" si="34"/>
        <v>E1 8F:金葫芦之铠</v>
      </c>
    </row>
    <row r="1953" spans="1:7">
      <c r="A1953" s="24" t="s">
        <v>5650</v>
      </c>
      <c r="B1953" s="24" t="s">
        <v>6145</v>
      </c>
      <c r="C1953" s="24" t="s">
        <v>6575</v>
      </c>
      <c r="D1953" s="151" t="s">
        <v>7026</v>
      </c>
      <c r="E1953" s="151" t="s">
        <v>4070</v>
      </c>
      <c r="F1953" s="151"/>
      <c r="G1953" s="52" t="str">
        <f t="shared" si="34"/>
        <v>F2 8F:射扇之弓</v>
      </c>
    </row>
    <row r="1954" spans="1:7">
      <c r="A1954" s="24" t="s">
        <v>5650</v>
      </c>
      <c r="B1954" s="24" t="s">
        <v>6145</v>
      </c>
      <c r="C1954" s="24" t="s">
        <v>6575</v>
      </c>
      <c r="D1954" s="151" t="s">
        <v>7027</v>
      </c>
      <c r="E1954" s="151" t="s">
        <v>3440</v>
      </c>
      <c r="F1954" s="151"/>
      <c r="G1954" s="52" t="str">
        <f t="shared" si="34"/>
        <v>DE 90:隼风矛</v>
      </c>
    </row>
    <row r="1955" spans="1:7">
      <c r="A1955" s="24" t="s">
        <v>5650</v>
      </c>
      <c r="B1955" s="24" t="s">
        <v>6145</v>
      </c>
      <c r="C1955" s="24" t="s">
        <v>6575</v>
      </c>
      <c r="D1955" s="151" t="s">
        <v>7028</v>
      </c>
      <c r="E1955" s="151" t="s">
        <v>7029</v>
      </c>
      <c r="F1955" s="151"/>
      <c r="G1955" s="52" t="str">
        <f t="shared" si="34"/>
        <v>58 91:阴阳武者战甲</v>
      </c>
    </row>
    <row r="1956" spans="1:7">
      <c r="A1956" s="24" t="s">
        <v>5650</v>
      </c>
      <c r="B1956" s="24" t="s">
        <v>6145</v>
      </c>
      <c r="C1956" s="24" t="s">
        <v>6575</v>
      </c>
      <c r="D1956" s="151" t="s">
        <v>7030</v>
      </c>
      <c r="E1956" s="151" t="s">
        <v>4669</v>
      </c>
      <c r="F1956" s="151"/>
      <c r="G1956" s="52" t="str">
        <f t="shared" si="34"/>
        <v>89 92:雷神头盔</v>
      </c>
    </row>
    <row r="1957" spans="1:7">
      <c r="A1957" s="24" t="s">
        <v>5650</v>
      </c>
      <c r="B1957" s="24" t="s">
        <v>6145</v>
      </c>
      <c r="C1957" s="24" t="s">
        <v>6575</v>
      </c>
      <c r="D1957" s="151" t="s">
        <v>7031</v>
      </c>
      <c r="E1957" s="151" t="s">
        <v>4110</v>
      </c>
      <c r="F1957" s="151"/>
      <c r="G1957" s="52" t="str">
        <f t="shared" si="34"/>
        <v>23 93:雷火炮</v>
      </c>
    </row>
    <row r="1958" spans="1:7">
      <c r="A1958" s="24" t="s">
        <v>5650</v>
      </c>
      <c r="B1958" s="24" t="s">
        <v>6145</v>
      </c>
      <c r="C1958" s="24" t="s">
        <v>6575</v>
      </c>
      <c r="D1958" s="151" t="s">
        <v>7032</v>
      </c>
      <c r="E1958" s="151" t="s">
        <v>3624</v>
      </c>
      <c r="F1958" s="151"/>
      <c r="G1958" s="52" t="str">
        <f t="shared" si="34"/>
        <v>7C 93:慈悲薙刀镰</v>
      </c>
    </row>
    <row r="1959" spans="1:7">
      <c r="A1959" s="24" t="s">
        <v>5650</v>
      </c>
      <c r="B1959" s="24" t="s">
        <v>6145</v>
      </c>
      <c r="C1959" s="24" t="s">
        <v>6575</v>
      </c>
      <c r="D1959" s="151" t="s">
        <v>7033</v>
      </c>
      <c r="E1959" s="151" t="s">
        <v>3568</v>
      </c>
      <c r="F1959" s="151"/>
      <c r="G1959" s="52" t="str">
        <f t="shared" si="34"/>
        <v>F0 93:破瓶</v>
      </c>
    </row>
    <row r="1960" spans="1:7">
      <c r="A1960" s="24" t="s">
        <v>5650</v>
      </c>
      <c r="B1960" s="24" t="s">
        <v>6145</v>
      </c>
      <c r="C1960" s="24" t="s">
        <v>6575</v>
      </c>
      <c r="D1960" s="151" t="s">
        <v>7034</v>
      </c>
      <c r="E1960" s="151" t="s">
        <v>3928</v>
      </c>
      <c r="F1960" s="151"/>
      <c r="G1960" s="52" t="str">
        <f t="shared" si="34"/>
        <v>32 94:狱妖手斧</v>
      </c>
    </row>
    <row r="1961" spans="1:7">
      <c r="A1961" s="24" t="s">
        <v>5650</v>
      </c>
      <c r="B1961" s="24" t="s">
        <v>6145</v>
      </c>
      <c r="C1961" s="24" t="s">
        <v>6575</v>
      </c>
      <c r="D1961" s="151" t="s">
        <v>7035</v>
      </c>
      <c r="E1961" s="151" t="s">
        <v>4016</v>
      </c>
      <c r="F1961" s="151"/>
      <c r="G1961" s="52" t="str">
        <f t="shared" si="34"/>
        <v>45 94:冰华手甲钩</v>
      </c>
    </row>
    <row r="1962" spans="1:7">
      <c r="A1962" s="24" t="s">
        <v>5650</v>
      </c>
      <c r="B1962" s="24" t="s">
        <v>6145</v>
      </c>
      <c r="C1962" s="24" t="s">
        <v>6575</v>
      </c>
      <c r="D1962" s="151" t="s">
        <v>7036</v>
      </c>
      <c r="E1962" s="151" t="s">
        <v>3318</v>
      </c>
      <c r="F1962" s="151"/>
      <c r="G1962" s="52" t="str">
        <f t="shared" si="34"/>
        <v>AD 94:邪马台国之剑</v>
      </c>
    </row>
    <row r="1963" spans="1:7">
      <c r="A1963" s="24" t="s">
        <v>5650</v>
      </c>
      <c r="B1963" s="24" t="s">
        <v>6145</v>
      </c>
      <c r="C1963" s="24" t="s">
        <v>6575</v>
      </c>
      <c r="D1963" s="151" t="s">
        <v>7037</v>
      </c>
      <c r="E1963" s="151" t="s">
        <v>7038</v>
      </c>
      <c r="F1963" s="151"/>
      <c r="G1963" s="52" t="str">
        <f t="shared" si="34"/>
        <v>E5 94:赤河童头盔</v>
      </c>
    </row>
    <row r="1964" spans="1:7">
      <c r="A1964" s="24" t="s">
        <v>5650</v>
      </c>
      <c r="B1964" s="24" t="s">
        <v>6145</v>
      </c>
      <c r="C1964" s="24" t="s">
        <v>6575</v>
      </c>
      <c r="D1964" s="151" t="s">
        <v>7039</v>
      </c>
      <c r="E1964" s="151" t="s">
        <v>3369</v>
      </c>
      <c r="F1964" s="151"/>
      <c r="G1964" s="52" t="str">
        <f t="shared" si="34"/>
        <v>F7 94:和泉守兼定·葵纹越前康继</v>
      </c>
    </row>
    <row r="1965" spans="1:7">
      <c r="A1965" s="24" t="s">
        <v>5650</v>
      </c>
      <c r="B1965" s="24" t="s">
        <v>6145</v>
      </c>
      <c r="C1965" s="24" t="s">
        <v>6575</v>
      </c>
      <c r="D1965" s="151" t="s">
        <v>7040</v>
      </c>
      <c r="E1965" s="151" t="s">
        <v>3493</v>
      </c>
      <c r="F1965" s="151"/>
      <c r="G1965" s="52" t="str">
        <f t="shared" si="34"/>
        <v>4A 95:蜃影战斧</v>
      </c>
    </row>
    <row r="1966" spans="1:7">
      <c r="A1966" s="24" t="s">
        <v>5650</v>
      </c>
      <c r="B1966" s="24" t="s">
        <v>6145</v>
      </c>
      <c r="C1966" s="24" t="s">
        <v>6575</v>
      </c>
      <c r="D1966" s="151" t="s">
        <v>7041</v>
      </c>
      <c r="E1966" s="151" t="s">
        <v>7042</v>
      </c>
      <c r="F1966" s="151"/>
      <c r="G1966" s="52" t="str">
        <f t="shared" si="34"/>
        <v>B8 99:鬼柴田之铠</v>
      </c>
    </row>
    <row r="1967" spans="1:7">
      <c r="A1967" s="24" t="s">
        <v>5650</v>
      </c>
      <c r="B1967" s="24" t="s">
        <v>6145</v>
      </c>
      <c r="C1967" s="24" t="s">
        <v>6575</v>
      </c>
      <c r="D1967" s="151" t="s">
        <v>7043</v>
      </c>
      <c r="E1967" s="151" t="s">
        <v>7044</v>
      </c>
      <c r="F1967" s="151"/>
      <c r="G1967" s="52" t="str">
        <f t="shared" si="34"/>
        <v>1A 9A:肥后之虎的枪</v>
      </c>
    </row>
    <row r="1968" spans="1:7">
      <c r="A1968" s="24" t="s">
        <v>5650</v>
      </c>
      <c r="B1968" s="24" t="s">
        <v>6145</v>
      </c>
      <c r="C1968" s="24" t="s">
        <v>6575</v>
      </c>
      <c r="D1968" s="151" t="s">
        <v>7045</v>
      </c>
      <c r="E1968" s="151" t="s">
        <v>7046</v>
      </c>
      <c r="F1968" s="151"/>
      <c r="G1968" s="52" t="str">
        <f t="shared" si="34"/>
        <v>2D 9A:江北雄豪之铠</v>
      </c>
    </row>
    <row r="1969" spans="1:7">
      <c r="A1969" s="24" t="s">
        <v>5650</v>
      </c>
      <c r="B1969" s="24" t="s">
        <v>6145</v>
      </c>
      <c r="C1969" s="24" t="s">
        <v>6575</v>
      </c>
      <c r="D1969" s="151" t="s">
        <v>7047</v>
      </c>
      <c r="E1969" s="151" t="s">
        <v>7048</v>
      </c>
      <c r="F1969" s="151"/>
      <c r="G1969" s="52" t="str">
        <f t="shared" si="34"/>
        <v>55 9A:弁庆梦想手甲钩</v>
      </c>
    </row>
    <row r="1970" spans="1:7">
      <c r="A1970" s="24" t="s">
        <v>5650</v>
      </c>
      <c r="B1970" s="24" t="s">
        <v>6145</v>
      </c>
      <c r="C1970" s="24" t="s">
        <v>6575</v>
      </c>
      <c r="D1970" s="151" t="s">
        <v>7049</v>
      </c>
      <c r="E1970" s="151" t="s">
        <v>3618</v>
      </c>
      <c r="F1970" s="151"/>
      <c r="G1970" s="52" t="str">
        <f t="shared" si="34"/>
        <v>1C 9C:岩融</v>
      </c>
    </row>
    <row r="1971" spans="1:7">
      <c r="A1971" s="24" t="s">
        <v>5650</v>
      </c>
      <c r="B1971" s="24" t="s">
        <v>6145</v>
      </c>
      <c r="C1971" s="24" t="s">
        <v>6575</v>
      </c>
      <c r="D1971" s="151" t="s">
        <v>7050</v>
      </c>
      <c r="E1971" s="151" t="s">
        <v>7051</v>
      </c>
      <c r="F1971" s="151"/>
      <c r="G1971" s="52" t="str">
        <f t="shared" si="34"/>
        <v>23 9C:明智近景</v>
      </c>
    </row>
    <row r="1972" spans="1:7">
      <c r="A1972" s="24" t="s">
        <v>5650</v>
      </c>
      <c r="B1972" s="24" t="s">
        <v>6145</v>
      </c>
      <c r="C1972" s="24" t="s">
        <v>6575</v>
      </c>
      <c r="D1972" s="151" t="s">
        <v>7052</v>
      </c>
      <c r="E1972" s="151" t="s">
        <v>7053</v>
      </c>
      <c r="F1972" s="151"/>
      <c r="G1972" s="52" t="str">
        <f t="shared" si="34"/>
        <v>66 9C:梦鬼之铠</v>
      </c>
    </row>
    <row r="1973" spans="1:7">
      <c r="A1973" s="24" t="s">
        <v>5650</v>
      </c>
      <c r="B1973" s="24" t="s">
        <v>6145</v>
      </c>
      <c r="C1973" s="24" t="s">
        <v>6575</v>
      </c>
      <c r="D1973" s="151" t="s">
        <v>7054</v>
      </c>
      <c r="E1973" s="151" t="s">
        <v>7055</v>
      </c>
      <c r="F1973" s="151"/>
      <c r="G1973" s="52" t="str">
        <f t="shared" si="34"/>
        <v>6D 9C:八丁念佛</v>
      </c>
    </row>
    <row r="1974" spans="1:7">
      <c r="A1974" s="24" t="s">
        <v>5650</v>
      </c>
      <c r="B1974" s="24" t="s">
        <v>6145</v>
      </c>
      <c r="C1974" s="24" t="s">
        <v>6575</v>
      </c>
      <c r="D1974" s="151" t="s">
        <v>7056</v>
      </c>
      <c r="E1974" s="151" t="s">
        <v>3520</v>
      </c>
      <c r="F1974" s="151"/>
      <c r="G1974" s="52" t="str">
        <f t="shared" si="34"/>
        <v>74 9D:独脚踏鞴大太刀</v>
      </c>
    </row>
    <row r="1975" spans="1:7">
      <c r="A1975" s="24" t="s">
        <v>5650</v>
      </c>
      <c r="B1975" s="24" t="s">
        <v>6145</v>
      </c>
      <c r="C1975" s="24" t="s">
        <v>6575</v>
      </c>
      <c r="D1975" s="151" t="s">
        <v>7057</v>
      </c>
      <c r="E1975" s="151" t="s">
        <v>7058</v>
      </c>
      <c r="F1975" s="151"/>
      <c r="G1975" s="52" t="str">
        <f t="shared" si="34"/>
        <v>81 9E:再世孔明之铠</v>
      </c>
    </row>
    <row r="1976" spans="1:7">
      <c r="A1976" s="24" t="s">
        <v>5650</v>
      </c>
      <c r="B1976" s="24" t="s">
        <v>6145</v>
      </c>
      <c r="C1976" s="24" t="s">
        <v>6575</v>
      </c>
      <c r="D1976" s="151" t="s">
        <v>7059</v>
      </c>
      <c r="E1976" s="151" t="s">
        <v>7060</v>
      </c>
      <c r="F1976" s="151"/>
      <c r="G1976" s="52" t="str">
        <f t="shared" si="34"/>
        <v>62 9F:西洋炮术家装束</v>
      </c>
    </row>
    <row r="1977" spans="1:7">
      <c r="A1977" s="24" t="s">
        <v>5650</v>
      </c>
      <c r="B1977" s="24" t="s">
        <v>6145</v>
      </c>
      <c r="C1977" s="24" t="s">
        <v>6575</v>
      </c>
      <c r="D1977" s="151" t="s">
        <v>7061</v>
      </c>
      <c r="E1977" s="151" t="s">
        <v>3787</v>
      </c>
      <c r="F1977" s="151"/>
      <c r="G1977" s="52" t="str">
        <f t="shared" si="34"/>
        <v>80 A0:狱妖忍双刀</v>
      </c>
    </row>
    <row r="1978" spans="1:7">
      <c r="A1978" s="24" t="s">
        <v>5650</v>
      </c>
      <c r="B1978" s="24" t="s">
        <v>6145</v>
      </c>
      <c r="C1978" s="24" t="s">
        <v>6575</v>
      </c>
      <c r="D1978" s="151" t="s">
        <v>7062</v>
      </c>
      <c r="E1978" s="151" t="s">
        <v>7063</v>
      </c>
      <c r="F1978" s="151"/>
      <c r="G1978" s="52" t="str">
        <f t="shared" si="34"/>
        <v>F9 A0:枪又左之铠</v>
      </c>
    </row>
    <row r="1979" spans="1:7">
      <c r="A1979" s="24" t="s">
        <v>5650</v>
      </c>
      <c r="B1979" s="24" t="s">
        <v>6145</v>
      </c>
      <c r="C1979" s="24" t="s">
        <v>6575</v>
      </c>
      <c r="D1979" s="151" t="s">
        <v>7064</v>
      </c>
      <c r="E1979" s="151" t="s">
        <v>3580</v>
      </c>
      <c r="F1979" s="151"/>
      <c r="G1979" s="52" t="str">
        <f t="shared" si="34"/>
        <v>EB A1:蛇腹大太刀</v>
      </c>
    </row>
    <row r="1980" spans="1:7">
      <c r="A1980" s="24" t="s">
        <v>5650</v>
      </c>
      <c r="B1980" s="24" t="s">
        <v>6145</v>
      </c>
      <c r="C1980" s="24" t="s">
        <v>6575</v>
      </c>
      <c r="D1980" s="151" t="s">
        <v>7065</v>
      </c>
      <c r="E1980" s="151" t="s">
        <v>7066</v>
      </c>
      <c r="F1980" s="151"/>
      <c r="G1980" s="52" t="str">
        <f t="shared" si="34"/>
        <v>25 A3:浅井一文字</v>
      </c>
    </row>
    <row r="1981" spans="1:7">
      <c r="A1981" s="24" t="s">
        <v>5650</v>
      </c>
      <c r="B1981" s="24" t="s">
        <v>6145</v>
      </c>
      <c r="C1981" s="24" t="s">
        <v>6575</v>
      </c>
      <c r="D1981" s="151" t="s">
        <v>7067</v>
      </c>
      <c r="E1981" s="151" t="s">
        <v>7068</v>
      </c>
      <c r="F1981" s="151"/>
      <c r="G1981" s="52" t="str">
        <f t="shared" si="34"/>
        <v>CE A3:黑漆大刀</v>
      </c>
    </row>
    <row r="1982" spans="1:7">
      <c r="A1982" s="24" t="s">
        <v>5650</v>
      </c>
      <c r="B1982" s="24" t="s">
        <v>6145</v>
      </c>
      <c r="C1982" s="24" t="s">
        <v>6575</v>
      </c>
      <c r="D1982" s="151" t="s">
        <v>7069</v>
      </c>
      <c r="E1982" s="151" t="s">
        <v>3828</v>
      </c>
      <c r="F1982" s="151"/>
      <c r="G1982" s="52" t="str">
        <f t="shared" si="34"/>
        <v>14 A4:鸣神</v>
      </c>
    </row>
    <row r="1983" spans="1:7">
      <c r="A1983" s="24" t="s">
        <v>5650</v>
      </c>
      <c r="B1983" s="24" t="s">
        <v>6145</v>
      </c>
      <c r="C1983" s="24" t="s">
        <v>6575</v>
      </c>
      <c r="D1983" s="151" t="s">
        <v>7070</v>
      </c>
      <c r="E1983" s="151" t="s">
        <v>3963</v>
      </c>
      <c r="F1983" s="151"/>
      <c r="G1983" s="52" t="str">
        <f t="shared" si="34"/>
        <v>B0 A4:火焰光机关棍</v>
      </c>
    </row>
    <row r="1984" spans="1:7">
      <c r="A1984" s="24" t="s">
        <v>5650</v>
      </c>
      <c r="B1984" s="24" t="s">
        <v>6145</v>
      </c>
      <c r="C1984" s="24" t="s">
        <v>6575</v>
      </c>
      <c r="D1984" s="151" t="s">
        <v>7071</v>
      </c>
      <c r="E1984" s="151" t="s">
        <v>7072</v>
      </c>
      <c r="F1984" s="151"/>
      <c r="G1984" s="52" t="str">
        <f t="shared" si="34"/>
        <v>17 A5:破瓶二丁斧</v>
      </c>
    </row>
    <row r="1985" spans="1:7">
      <c r="A1985" s="24" t="s">
        <v>5650</v>
      </c>
      <c r="B1985" s="24" t="s">
        <v>6145</v>
      </c>
      <c r="C1985" s="24" t="s">
        <v>6575</v>
      </c>
      <c r="D1985" s="151" t="s">
        <v>7073</v>
      </c>
      <c r="E1985" s="151" t="s">
        <v>3564</v>
      </c>
      <c r="F1985" s="151"/>
      <c r="G1985" s="52" t="str">
        <f t="shared" si="34"/>
        <v>69 A5:鬼武者大太刀</v>
      </c>
    </row>
    <row r="1986" spans="1:7">
      <c r="A1986" s="24" t="s">
        <v>5650</v>
      </c>
      <c r="B1986" s="24" t="s">
        <v>6145</v>
      </c>
      <c r="C1986" s="24" t="s">
        <v>6575</v>
      </c>
      <c r="D1986" s="151" t="s">
        <v>7074</v>
      </c>
      <c r="E1986" s="151" t="s">
        <v>7075</v>
      </c>
      <c r="F1986" s="151"/>
      <c r="G1986" s="52" t="str">
        <f t="shared" si="34"/>
        <v>B6 A5:兔耳形盔</v>
      </c>
    </row>
    <row r="1987" spans="1:7">
      <c r="A1987" s="24" t="s">
        <v>5650</v>
      </c>
      <c r="B1987" s="24" t="s">
        <v>6145</v>
      </c>
      <c r="C1987" s="24" t="s">
        <v>6575</v>
      </c>
      <c r="D1987" s="151" t="s">
        <v>7076</v>
      </c>
      <c r="E1987" s="151" t="s">
        <v>5542</v>
      </c>
      <c r="F1987" s="151"/>
      <c r="G1987" s="52" t="str">
        <f t="shared" si="34"/>
        <v>77 A6:太阴神之酒</v>
      </c>
    </row>
    <row r="1988" spans="1:7">
      <c r="A1988" s="24" t="s">
        <v>5650</v>
      </c>
      <c r="B1988" s="24" t="s">
        <v>6145</v>
      </c>
      <c r="C1988" s="24" t="s">
        <v>6575</v>
      </c>
      <c r="D1988" s="151" t="s">
        <v>7077</v>
      </c>
      <c r="E1988" s="151" t="s">
        <v>7078</v>
      </c>
      <c r="F1988" s="151"/>
      <c r="G1988" s="52" t="str">
        <f t="shared" si="34"/>
        <v>E1 A6:塔婆后立头盔</v>
      </c>
    </row>
    <row r="1989" spans="1:7">
      <c r="A1989" s="24" t="s">
        <v>5650</v>
      </c>
      <c r="B1989" s="24" t="s">
        <v>6145</v>
      </c>
      <c r="C1989" s="24" t="s">
        <v>6575</v>
      </c>
      <c r="D1989" s="151" t="s">
        <v>7079</v>
      </c>
      <c r="E1989" s="151" t="s">
        <v>7080</v>
      </c>
      <c r="F1989" s="151"/>
      <c r="G1989" s="52" t="str">
        <f t="shared" si="34"/>
        <v>8C A7:独眼龙中铠</v>
      </c>
    </row>
    <row r="1990" spans="1:7">
      <c r="A1990" s="24" t="s">
        <v>5650</v>
      </c>
      <c r="B1990" s="24" t="s">
        <v>6145</v>
      </c>
      <c r="C1990" s="24" t="s">
        <v>6575</v>
      </c>
      <c r="D1990" s="151" t="s">
        <v>7081</v>
      </c>
      <c r="E1990" s="151" t="s">
        <v>7082</v>
      </c>
      <c r="F1990" s="151"/>
      <c r="G1990" s="52" t="str">
        <f t="shared" si="34"/>
        <v>FD A7:大兼光</v>
      </c>
    </row>
    <row r="1991" spans="1:7">
      <c r="A1991" s="24" t="s">
        <v>5650</v>
      </c>
      <c r="B1991" s="24" t="s">
        <v>6145</v>
      </c>
      <c r="C1991" s="24" t="s">
        <v>6575</v>
      </c>
      <c r="D1991" s="151" t="s">
        <v>7083</v>
      </c>
      <c r="E1991" s="151" t="s">
        <v>7084</v>
      </c>
      <c r="F1991" s="151"/>
      <c r="G1991" s="52" t="str">
        <f t="shared" si="34"/>
        <v>D4 A9:修理亮之铠</v>
      </c>
    </row>
    <row r="1992" spans="1:7">
      <c r="A1992" s="24" t="s">
        <v>5650</v>
      </c>
      <c r="B1992" s="24" t="s">
        <v>6145</v>
      </c>
      <c r="C1992" s="24" t="s">
        <v>6575</v>
      </c>
      <c r="D1992" s="151" t="s">
        <v>7085</v>
      </c>
      <c r="E1992" s="151" t="s">
        <v>3745</v>
      </c>
      <c r="F1992" s="151"/>
      <c r="G1992" s="52" t="str">
        <f t="shared" ref="G1992:G2055" si="35">D1992&amp;":"&amp;E1992</f>
        <v>7F AA:念珠丸恒次</v>
      </c>
    </row>
    <row r="1993" spans="1:7">
      <c r="A1993" s="24" t="s">
        <v>5650</v>
      </c>
      <c r="B1993" s="24" t="s">
        <v>6145</v>
      </c>
      <c r="C1993" s="24" t="s">
        <v>6575</v>
      </c>
      <c r="D1993" s="151" t="s">
        <v>7086</v>
      </c>
      <c r="E1993" s="151" t="s">
        <v>7087</v>
      </c>
      <c r="F1993" s="151"/>
      <c r="G1993" s="52" t="str">
        <f t="shared" si="35"/>
        <v>BD AA:百鬼大太刀</v>
      </c>
    </row>
    <row r="1994" spans="1:7">
      <c r="A1994" s="24" t="s">
        <v>5650</v>
      </c>
      <c r="B1994" s="24" t="s">
        <v>6145</v>
      </c>
      <c r="C1994" s="24" t="s">
        <v>6575</v>
      </c>
      <c r="D1994" s="151" t="s">
        <v>7088</v>
      </c>
      <c r="E1994" s="151" t="s">
        <v>7089</v>
      </c>
      <c r="F1994" s="151"/>
      <c r="G1994" s="52" t="str">
        <f t="shared" si="35"/>
        <v>CD AB:暗行忍者装束</v>
      </c>
    </row>
    <row r="1995" spans="1:7">
      <c r="A1995" s="24" t="s">
        <v>5650</v>
      </c>
      <c r="B1995" s="24" t="s">
        <v>6145</v>
      </c>
      <c r="C1995" s="24" t="s">
        <v>6575</v>
      </c>
      <c r="D1995" s="151" t="s">
        <v>7090</v>
      </c>
      <c r="E1995" s="151" t="s">
        <v>5645</v>
      </c>
      <c r="F1995" s="151"/>
      <c r="G1995" s="52" t="str">
        <f t="shared" si="35"/>
        <v>25 AC:招灵蜡烛</v>
      </c>
    </row>
    <row r="1996" spans="1:7">
      <c r="A1996" s="24" t="s">
        <v>5650</v>
      </c>
      <c r="B1996" s="24" t="s">
        <v>6145</v>
      </c>
      <c r="C1996" s="24" t="s">
        <v>6575</v>
      </c>
      <c r="D1996" s="151" t="s">
        <v>7091</v>
      </c>
      <c r="E1996" s="151" t="s">
        <v>7092</v>
      </c>
      <c r="F1996" s="151"/>
      <c r="G1996" s="52" t="str">
        <f t="shared" si="35"/>
        <v>35 AC:万两义贼之铠</v>
      </c>
    </row>
    <row r="1997" spans="1:7">
      <c r="A1997" s="24" t="s">
        <v>5650</v>
      </c>
      <c r="B1997" s="24" t="s">
        <v>6145</v>
      </c>
      <c r="C1997" s="24" t="s">
        <v>6575</v>
      </c>
      <c r="D1997" s="151" t="s">
        <v>7093</v>
      </c>
      <c r="E1997" s="151" t="s">
        <v>7094</v>
      </c>
      <c r="F1997" s="151"/>
      <c r="G1997" s="52" t="str">
        <f t="shared" si="35"/>
        <v>8D AC:第一队队长队服</v>
      </c>
    </row>
    <row r="1998" spans="1:7">
      <c r="A1998" s="24" t="s">
        <v>5650</v>
      </c>
      <c r="B1998" s="24" t="s">
        <v>6145</v>
      </c>
      <c r="C1998" s="24" t="s">
        <v>6575</v>
      </c>
      <c r="D1998" s="151" t="s">
        <v>7095</v>
      </c>
      <c r="E1998" s="151" t="s">
        <v>3967</v>
      </c>
      <c r="F1998" s="151"/>
      <c r="G1998" s="52" t="str">
        <f t="shared" si="35"/>
        <v>69 AD:龙王机关棍</v>
      </c>
    </row>
    <row r="1999" spans="1:7">
      <c r="A1999" s="24" t="s">
        <v>5650</v>
      </c>
      <c r="B1999" s="24" t="s">
        <v>6145</v>
      </c>
      <c r="C1999" s="24" t="s">
        <v>6575</v>
      </c>
      <c r="D1999" s="151" t="s">
        <v>7096</v>
      </c>
      <c r="E1999" s="151" t="s">
        <v>7097</v>
      </c>
      <c r="F1999" s="151"/>
      <c r="G1999" s="52" t="str">
        <f t="shared" si="35"/>
        <v>03 AE:波游兼光</v>
      </c>
    </row>
    <row r="2000" spans="1:7">
      <c r="A2000" s="24" t="s">
        <v>5650</v>
      </c>
      <c r="B2000" s="24" t="s">
        <v>6145</v>
      </c>
      <c r="C2000" s="24" t="s">
        <v>6575</v>
      </c>
      <c r="D2000" s="151" t="s">
        <v>7098</v>
      </c>
      <c r="E2000" s="151" t="s">
        <v>7099</v>
      </c>
      <c r="F2000" s="151"/>
      <c r="G2000" s="52" t="str">
        <f t="shared" si="35"/>
        <v>A1 AF:又左长枪</v>
      </c>
    </row>
    <row r="2001" spans="1:7">
      <c r="A2001" s="24" t="s">
        <v>5650</v>
      </c>
      <c r="B2001" s="24" t="s">
        <v>6145</v>
      </c>
      <c r="C2001" s="24" t="s">
        <v>6575</v>
      </c>
      <c r="D2001" s="151" t="s">
        <v>7100</v>
      </c>
      <c r="E2001" s="151" t="s">
        <v>7101</v>
      </c>
      <c r="F2001" s="151"/>
      <c r="G2001" s="52" t="str">
        <f t="shared" si="35"/>
        <v>B3 AF:坚守者中铠</v>
      </c>
    </row>
    <row r="2002" spans="1:7">
      <c r="A2002" s="24" t="s">
        <v>5650</v>
      </c>
      <c r="B2002" s="24" t="s">
        <v>6145</v>
      </c>
      <c r="C2002" s="24" t="s">
        <v>6575</v>
      </c>
      <c r="D2002" s="151" t="s">
        <v>7102</v>
      </c>
      <c r="E2002" s="151" t="s">
        <v>7103</v>
      </c>
      <c r="F2002" s="151"/>
      <c r="G2002" s="52" t="str">
        <f t="shared" si="35"/>
        <v>79 B1:大千鸟十字枪</v>
      </c>
    </row>
    <row r="2003" spans="1:7">
      <c r="A2003" s="24" t="s">
        <v>5650</v>
      </c>
      <c r="B2003" s="24" t="s">
        <v>6145</v>
      </c>
      <c r="C2003" s="24" t="s">
        <v>6575</v>
      </c>
      <c r="D2003" s="151" t="s">
        <v>7104</v>
      </c>
      <c r="E2003" s="151" t="s">
        <v>5618</v>
      </c>
      <c r="F2003" s="151"/>
      <c r="G2003" s="52" t="str">
        <f t="shared" si="35"/>
        <v>EE B1:黄泉水罐</v>
      </c>
    </row>
    <row r="2004" spans="1:7">
      <c r="A2004" s="24" t="s">
        <v>5650</v>
      </c>
      <c r="B2004" s="24" t="s">
        <v>6145</v>
      </c>
      <c r="C2004" s="24" t="s">
        <v>6575</v>
      </c>
      <c r="D2004" s="151" t="s">
        <v>7105</v>
      </c>
      <c r="E2004" s="151" t="s">
        <v>7106</v>
      </c>
      <c r="F2004" s="151"/>
      <c r="G2004" s="52" t="str">
        <f t="shared" si="35"/>
        <v>21 B3:美浓蝮衣</v>
      </c>
    </row>
    <row r="2005" spans="1:7">
      <c r="A2005" s="24" t="s">
        <v>5650</v>
      </c>
      <c r="B2005" s="24" t="s">
        <v>6145</v>
      </c>
      <c r="C2005" s="24" t="s">
        <v>6575</v>
      </c>
      <c r="D2005" s="151" t="s">
        <v>7107</v>
      </c>
      <c r="E2005" s="151" t="s">
        <v>3914</v>
      </c>
      <c r="F2005" s="151"/>
      <c r="G2005" s="52" t="str">
        <f t="shared" si="35"/>
        <v>BA B3:震雷</v>
      </c>
    </row>
    <row r="2006" spans="1:7">
      <c r="A2006" s="24" t="s">
        <v>5650</v>
      </c>
      <c r="B2006" s="24" t="s">
        <v>6145</v>
      </c>
      <c r="C2006" s="24" t="s">
        <v>6575</v>
      </c>
      <c r="D2006" s="151" t="s">
        <v>7108</v>
      </c>
      <c r="E2006" s="151" t="s">
        <v>4661</v>
      </c>
      <c r="F2006" s="151"/>
      <c r="G2006" s="52" t="str">
        <f t="shared" si="35"/>
        <v>AC B4:螺形乌帽子</v>
      </c>
    </row>
    <row r="2007" spans="1:7">
      <c r="A2007" s="24" t="s">
        <v>5650</v>
      </c>
      <c r="B2007" s="24" t="s">
        <v>6145</v>
      </c>
      <c r="C2007" s="24" t="s">
        <v>6575</v>
      </c>
      <c r="D2007" s="151" t="s">
        <v>7109</v>
      </c>
      <c r="E2007" s="151" t="s">
        <v>7110</v>
      </c>
      <c r="F2007" s="151"/>
      <c r="G2007" s="52" t="str">
        <f t="shared" si="35"/>
        <v>E7 B4:武家贵族装束</v>
      </c>
    </row>
    <row r="2008" spans="1:7">
      <c r="A2008" s="24" t="s">
        <v>5650</v>
      </c>
      <c r="B2008" s="24" t="s">
        <v>6145</v>
      </c>
      <c r="C2008" s="24" t="s">
        <v>6575</v>
      </c>
      <c r="D2008" s="151" t="s">
        <v>7111</v>
      </c>
      <c r="E2008" s="151" t="s">
        <v>7112</v>
      </c>
      <c r="F2008" s="151"/>
      <c r="G2008" s="52" t="str">
        <f t="shared" si="35"/>
        <v>84 B5:凛然装束</v>
      </c>
    </row>
    <row r="2009" spans="1:7">
      <c r="A2009" s="24" t="s">
        <v>5650</v>
      </c>
      <c r="B2009" s="24" t="s">
        <v>6145</v>
      </c>
      <c r="C2009" s="24" t="s">
        <v>6575</v>
      </c>
      <c r="D2009" s="151" t="s">
        <v>7113</v>
      </c>
      <c r="E2009" s="151" t="s">
        <v>3930</v>
      </c>
      <c r="F2009" s="151"/>
      <c r="G2009" s="52" t="str">
        <f t="shared" si="35"/>
        <v>34 B6:投掷名手的手斧</v>
      </c>
    </row>
    <row r="2010" spans="1:7">
      <c r="A2010" s="24" t="s">
        <v>5650</v>
      </c>
      <c r="B2010" s="24" t="s">
        <v>6145</v>
      </c>
      <c r="C2010" s="24" t="s">
        <v>6575</v>
      </c>
      <c r="D2010" s="151" t="s">
        <v>7114</v>
      </c>
      <c r="E2010" s="151" t="s">
        <v>7115</v>
      </c>
      <c r="F2010" s="151"/>
      <c r="G2010" s="52" t="str">
        <f t="shared" si="35"/>
        <v>74 B6:两面宿傩之剑</v>
      </c>
    </row>
    <row r="2011" spans="1:7">
      <c r="A2011" s="24" t="s">
        <v>5650</v>
      </c>
      <c r="B2011" s="24" t="s">
        <v>6145</v>
      </c>
      <c r="C2011" s="24" t="s">
        <v>6575</v>
      </c>
      <c r="D2011" s="151" t="s">
        <v>7116</v>
      </c>
      <c r="E2011" s="151" t="s">
        <v>7117</v>
      </c>
      <c r="F2011" s="151"/>
      <c r="G2011" s="52" t="str">
        <f t="shared" si="35"/>
        <v>7C B6:炎狱武者之铠</v>
      </c>
    </row>
    <row r="2012" spans="1:7">
      <c r="A2012" s="24" t="s">
        <v>5650</v>
      </c>
      <c r="B2012" s="24" t="s">
        <v>6145</v>
      </c>
      <c r="C2012" s="24" t="s">
        <v>6575</v>
      </c>
      <c r="D2012" s="151" t="s">
        <v>7118</v>
      </c>
      <c r="E2012" s="151" t="s">
        <v>7119</v>
      </c>
      <c r="F2012" s="151"/>
      <c r="G2012" s="52" t="str">
        <f t="shared" si="35"/>
        <v>32 B7:九郎判官之铠</v>
      </c>
    </row>
    <row r="2013" spans="1:7">
      <c r="A2013" s="24" t="s">
        <v>5650</v>
      </c>
      <c r="B2013" s="24" t="s">
        <v>6145</v>
      </c>
      <c r="C2013" s="24" t="s">
        <v>6575</v>
      </c>
      <c r="D2013" s="151" t="s">
        <v>7120</v>
      </c>
      <c r="E2013" s="151" t="s">
        <v>3479</v>
      </c>
      <c r="F2013" s="151"/>
      <c r="G2013" s="52" t="str">
        <f t="shared" si="35"/>
        <v>81 B7:物部氏斧</v>
      </c>
    </row>
    <row r="2014" spans="1:7">
      <c r="A2014" s="24" t="s">
        <v>5650</v>
      </c>
      <c r="B2014" s="24" t="s">
        <v>6145</v>
      </c>
      <c r="C2014" s="24" t="s">
        <v>6575</v>
      </c>
      <c r="D2014" s="151" t="s">
        <v>7121</v>
      </c>
      <c r="E2014" s="151" t="s">
        <v>6104</v>
      </c>
      <c r="F2014" s="151"/>
      <c r="G2014" s="52" t="str">
        <f t="shared" si="35"/>
        <v>A1 B7:振分发广光</v>
      </c>
    </row>
    <row r="2015" spans="1:7">
      <c r="A2015" s="24" t="s">
        <v>5650</v>
      </c>
      <c r="B2015" s="24" t="s">
        <v>6145</v>
      </c>
      <c r="C2015" s="24" t="s">
        <v>6575</v>
      </c>
      <c r="D2015" s="151" t="s">
        <v>7122</v>
      </c>
      <c r="E2015" s="151" t="s">
        <v>7123</v>
      </c>
      <c r="F2015" s="151"/>
      <c r="G2015" s="52" t="str">
        <f t="shared" si="35"/>
        <v>FC B7:唐冠形盔</v>
      </c>
    </row>
    <row r="2016" spans="1:7">
      <c r="A2016" s="24" t="s">
        <v>5650</v>
      </c>
      <c r="B2016" s="24" t="s">
        <v>6145</v>
      </c>
      <c r="C2016" s="24" t="s">
        <v>6575</v>
      </c>
      <c r="D2016" s="151" t="s">
        <v>7124</v>
      </c>
      <c r="E2016" s="151" t="s">
        <v>3975</v>
      </c>
      <c r="F2016" s="151"/>
      <c r="G2016" s="52" t="str">
        <f t="shared" si="35"/>
        <v>56 B8:圣人锡杖</v>
      </c>
    </row>
    <row r="2017" spans="1:7">
      <c r="A2017" s="24" t="s">
        <v>5650</v>
      </c>
      <c r="B2017" s="24" t="s">
        <v>6145</v>
      </c>
      <c r="C2017" s="24" t="s">
        <v>6575</v>
      </c>
      <c r="D2017" s="151" t="s">
        <v>7125</v>
      </c>
      <c r="E2017" s="151" t="s">
        <v>7126</v>
      </c>
      <c r="F2017" s="151"/>
      <c r="G2017" s="52" t="str">
        <f t="shared" si="35"/>
        <v>F0 B8:武藏坊之铠</v>
      </c>
    </row>
    <row r="2018" spans="1:7">
      <c r="A2018" s="24" t="s">
        <v>5650</v>
      </c>
      <c r="B2018" s="24" t="s">
        <v>6145</v>
      </c>
      <c r="C2018" s="24" t="s">
        <v>6575</v>
      </c>
      <c r="D2018" s="151" t="s">
        <v>7127</v>
      </c>
      <c r="E2018" s="151" t="s">
        <v>3485</v>
      </c>
      <c r="F2018" s="151"/>
      <c r="G2018" s="52" t="str">
        <f t="shared" si="35"/>
        <v>5E BA:鬼神大槌</v>
      </c>
    </row>
    <row r="2019" spans="1:7">
      <c r="A2019" s="24" t="s">
        <v>5650</v>
      </c>
      <c r="B2019" s="24" t="s">
        <v>6145</v>
      </c>
      <c r="C2019" s="24" t="s">
        <v>6575</v>
      </c>
      <c r="D2019" s="151" t="s">
        <v>7128</v>
      </c>
      <c r="E2019" s="151" t="s">
        <v>3420</v>
      </c>
      <c r="F2019" s="151"/>
      <c r="G2019" s="52" t="str">
        <f t="shared" si="35"/>
        <v>9A BA:皆朱枪</v>
      </c>
    </row>
    <row r="2020" spans="1:7">
      <c r="A2020" s="24" t="s">
        <v>5650</v>
      </c>
      <c r="B2020" s="24" t="s">
        <v>6145</v>
      </c>
      <c r="C2020" s="24" t="s">
        <v>6575</v>
      </c>
      <c r="D2020" s="151" t="s">
        <v>7129</v>
      </c>
      <c r="E2020" s="151" t="s">
        <v>7130</v>
      </c>
      <c r="F2020" s="151"/>
      <c r="G2020" s="52" t="str">
        <f t="shared" si="35"/>
        <v>59 BD:鬼猎鬼机关棍</v>
      </c>
    </row>
    <row r="2021" spans="1:7">
      <c r="A2021" s="24" t="s">
        <v>5650</v>
      </c>
      <c r="B2021" s="24" t="s">
        <v>6145</v>
      </c>
      <c r="C2021" s="24" t="s">
        <v>6575</v>
      </c>
      <c r="D2021" s="151" t="s">
        <v>7131</v>
      </c>
      <c r="E2021" s="151" t="s">
        <v>7132</v>
      </c>
      <c r="F2021" s="151"/>
      <c r="G2021" s="52" t="str">
        <f t="shared" si="35"/>
        <v>F1 BD:与一之弓</v>
      </c>
    </row>
    <row r="2022" spans="1:7">
      <c r="A2022" s="24" t="s">
        <v>5650</v>
      </c>
      <c r="B2022" s="24" t="s">
        <v>6145</v>
      </c>
      <c r="C2022" s="24" t="s">
        <v>6575</v>
      </c>
      <c r="D2022" s="151" t="s">
        <v>7133</v>
      </c>
      <c r="E2022" s="151" t="s">
        <v>7134</v>
      </c>
      <c r="F2022" s="151"/>
      <c r="G2022" s="52" t="str">
        <f t="shared" si="35"/>
        <v>11 BF:游历剑士装束</v>
      </c>
    </row>
    <row r="2023" spans="1:7">
      <c r="A2023" s="24" t="s">
        <v>5650</v>
      </c>
      <c r="B2023" s="24" t="s">
        <v>6145</v>
      </c>
      <c r="C2023" s="24" t="s">
        <v>6575</v>
      </c>
      <c r="D2023" s="151" t="s">
        <v>7135</v>
      </c>
      <c r="E2023" s="151" t="s">
        <v>7136</v>
      </c>
      <c r="F2023" s="151"/>
      <c r="G2023" s="52" t="str">
        <f t="shared" si="35"/>
        <v>32 BF:一玄居士之衣</v>
      </c>
    </row>
    <row r="2024" spans="1:7">
      <c r="A2024" s="24" t="s">
        <v>5650</v>
      </c>
      <c r="B2024" s="24" t="s">
        <v>6145</v>
      </c>
      <c r="C2024" s="24" t="s">
        <v>6575</v>
      </c>
      <c r="D2024" s="151" t="s">
        <v>7137</v>
      </c>
      <c r="E2024" s="151" t="s">
        <v>3400</v>
      </c>
      <c r="F2024" s="151"/>
      <c r="G2024" s="52" t="str">
        <f t="shared" si="35"/>
        <v>77 BF:古笼火之枪</v>
      </c>
    </row>
    <row r="2025" spans="1:7">
      <c r="A2025" s="24" t="s">
        <v>5650</v>
      </c>
      <c r="B2025" s="24" t="s">
        <v>6145</v>
      </c>
      <c r="C2025" s="24" t="s">
        <v>6575</v>
      </c>
      <c r="D2025" s="151" t="s">
        <v>7138</v>
      </c>
      <c r="E2025" s="151" t="s">
        <v>7139</v>
      </c>
      <c r="F2025" s="151"/>
      <c r="G2025" s="52" t="str">
        <f t="shared" si="35"/>
        <v>78 BF:副将军之铠</v>
      </c>
    </row>
    <row r="2026" spans="1:7">
      <c r="A2026" s="24" t="s">
        <v>5650</v>
      </c>
      <c r="B2026" s="24" t="s">
        <v>6145</v>
      </c>
      <c r="C2026" s="24" t="s">
        <v>6575</v>
      </c>
      <c r="D2026" s="151" t="s">
        <v>7140</v>
      </c>
      <c r="E2026" s="151" t="s">
        <v>3507</v>
      </c>
      <c r="F2026" s="151"/>
      <c r="G2026" s="52" t="str">
        <f t="shared" si="35"/>
        <v>BD BF:破魔金刚锤</v>
      </c>
    </row>
    <row r="2027" spans="1:7">
      <c r="A2027" s="24" t="s">
        <v>5650</v>
      </c>
      <c r="B2027" s="24" t="s">
        <v>6145</v>
      </c>
      <c r="C2027" s="24" t="s">
        <v>6575</v>
      </c>
      <c r="D2027" s="151" t="s">
        <v>7141</v>
      </c>
      <c r="E2027" s="151" t="s">
        <v>3736</v>
      </c>
      <c r="F2027" s="151"/>
      <c r="G2027" s="52" t="str">
        <f t="shared" si="35"/>
        <v>00 C0:早鹰</v>
      </c>
    </row>
    <row r="2028" spans="1:7">
      <c r="A2028" s="24" t="s">
        <v>5650</v>
      </c>
      <c r="B2028" s="24" t="s">
        <v>6145</v>
      </c>
      <c r="C2028" s="24" t="s">
        <v>6575</v>
      </c>
      <c r="D2028" s="151" t="s">
        <v>7142</v>
      </c>
      <c r="E2028" s="151" t="s">
        <v>3877</v>
      </c>
      <c r="F2028" s="151"/>
      <c r="G2028" s="52" t="str">
        <f t="shared" si="35"/>
        <v>0A C0:宝塔旋棍</v>
      </c>
    </row>
    <row r="2029" spans="1:7">
      <c r="A2029" s="24" t="s">
        <v>5650</v>
      </c>
      <c r="B2029" s="24" t="s">
        <v>6145</v>
      </c>
      <c r="C2029" s="24" t="s">
        <v>6575</v>
      </c>
      <c r="D2029" s="151" t="s">
        <v>7143</v>
      </c>
      <c r="E2029" s="151" t="s">
        <v>7144</v>
      </c>
      <c r="F2029" s="151"/>
      <c r="G2029" s="52" t="str">
        <f t="shared" si="35"/>
        <v>97 C0:源太产衣</v>
      </c>
    </row>
    <row r="2030" spans="1:7">
      <c r="A2030" s="24" t="s">
        <v>5650</v>
      </c>
      <c r="B2030" s="24" t="s">
        <v>6145</v>
      </c>
      <c r="C2030" s="24" t="s">
        <v>6575</v>
      </c>
      <c r="D2030" s="151" t="s">
        <v>7145</v>
      </c>
      <c r="E2030" s="151" t="s">
        <v>3598</v>
      </c>
      <c r="F2030" s="151"/>
      <c r="G2030" s="52" t="str">
        <f t="shared" si="35"/>
        <v>D9 C0:竹叶雪</v>
      </c>
    </row>
    <row r="2031" spans="1:7">
      <c r="A2031" s="24" t="s">
        <v>5650</v>
      </c>
      <c r="B2031" s="24" t="s">
        <v>6145</v>
      </c>
      <c r="C2031" s="24" t="s">
        <v>6575</v>
      </c>
      <c r="D2031" s="151" t="s">
        <v>7146</v>
      </c>
      <c r="E2031" s="151" t="s">
        <v>7147</v>
      </c>
      <c r="F2031" s="151"/>
      <c r="G2031" s="52" t="str">
        <f t="shared" si="35"/>
        <v>33 C1:肥后之虎铠</v>
      </c>
    </row>
    <row r="2032" spans="1:7">
      <c r="A2032" s="24" t="s">
        <v>5650</v>
      </c>
      <c r="B2032" s="24" t="s">
        <v>6145</v>
      </c>
      <c r="C2032" s="24" t="s">
        <v>6575</v>
      </c>
      <c r="D2032" s="151" t="s">
        <v>7148</v>
      </c>
      <c r="E2032" s="151" t="s">
        <v>7149</v>
      </c>
      <c r="F2032" s="151"/>
      <c r="G2032" s="52" t="str">
        <f t="shared" si="35"/>
        <v>F3 C1:逃弹正之铠</v>
      </c>
    </row>
    <row r="2033" spans="1:7">
      <c r="A2033" s="24" t="s">
        <v>5650</v>
      </c>
      <c r="B2033" s="24" t="s">
        <v>6145</v>
      </c>
      <c r="C2033" s="24" t="s">
        <v>6575</v>
      </c>
      <c r="D2033" s="151" t="s">
        <v>7150</v>
      </c>
      <c r="E2033" s="151" t="s">
        <v>5144</v>
      </c>
      <c r="F2033" s="151"/>
      <c r="G2033" s="52" t="str">
        <f t="shared" si="35"/>
        <v>7B C2:修罗护颊</v>
      </c>
    </row>
    <row r="2034" spans="1:7">
      <c r="A2034" s="24" t="s">
        <v>5650</v>
      </c>
      <c r="B2034" s="24" t="s">
        <v>6145</v>
      </c>
      <c r="C2034" s="24" t="s">
        <v>6575</v>
      </c>
      <c r="D2034" s="151" t="s">
        <v>7151</v>
      </c>
      <c r="E2034" s="151" t="s">
        <v>3449</v>
      </c>
      <c r="F2034" s="151"/>
      <c r="G2034" s="52" t="str">
        <f t="shared" si="35"/>
        <v>FF C2:独脚踏鞴之锤</v>
      </c>
    </row>
    <row r="2035" spans="1:7">
      <c r="A2035" s="24" t="s">
        <v>5650</v>
      </c>
      <c r="B2035" s="24" t="s">
        <v>6145</v>
      </c>
      <c r="C2035" s="24" t="s">
        <v>6575</v>
      </c>
      <c r="D2035" s="151" t="s">
        <v>7152</v>
      </c>
      <c r="E2035" s="151" t="s">
        <v>7153</v>
      </c>
      <c r="F2035" s="151"/>
      <c r="G2035" s="52" t="str">
        <f t="shared" si="35"/>
        <v>01 C3:海内无双之衣</v>
      </c>
    </row>
    <row r="2036" spans="1:7">
      <c r="A2036" s="24" t="s">
        <v>5650</v>
      </c>
      <c r="B2036" s="24" t="s">
        <v>6145</v>
      </c>
      <c r="C2036" s="24" t="s">
        <v>6575</v>
      </c>
      <c r="D2036" s="151" t="s">
        <v>7154</v>
      </c>
      <c r="E2036" s="151" t="s">
        <v>7155</v>
      </c>
      <c r="F2036" s="151"/>
      <c r="G2036" s="52" t="str">
        <f t="shared" si="35"/>
        <v>84 C3:弁庆梦想装束</v>
      </c>
    </row>
    <row r="2037" spans="1:7">
      <c r="A2037" s="24" t="s">
        <v>5650</v>
      </c>
      <c r="B2037" s="24" t="s">
        <v>6145</v>
      </c>
      <c r="C2037" s="24" t="s">
        <v>6575</v>
      </c>
      <c r="D2037" s="151" t="s">
        <v>7156</v>
      </c>
      <c r="E2037" s="151" t="s">
        <v>7157</v>
      </c>
      <c r="F2037" s="151"/>
      <c r="G2037" s="52" t="str">
        <f t="shared" si="35"/>
        <v>EC C3:无常刀</v>
      </c>
    </row>
    <row r="2038" spans="1:7">
      <c r="A2038" s="24" t="s">
        <v>5650</v>
      </c>
      <c r="B2038" s="24" t="s">
        <v>6145</v>
      </c>
      <c r="C2038" s="24" t="s">
        <v>6575</v>
      </c>
      <c r="D2038" s="151" t="s">
        <v>7158</v>
      </c>
      <c r="E2038" s="151" t="s">
        <v>3422</v>
      </c>
      <c r="F2038" s="151"/>
      <c r="G2038" s="52" t="str">
        <f t="shared" si="35"/>
        <v>91 C4:日本号</v>
      </c>
    </row>
    <row r="2039" spans="1:7">
      <c r="A2039" s="24" t="s">
        <v>5650</v>
      </c>
      <c r="B2039" s="24" t="s">
        <v>6145</v>
      </c>
      <c r="C2039" s="24" t="s">
        <v>6575</v>
      </c>
      <c r="D2039" s="151" t="s">
        <v>7159</v>
      </c>
      <c r="E2039" s="151" t="s">
        <v>7160</v>
      </c>
      <c r="F2039" s="151"/>
      <c r="G2039" s="52" t="str">
        <f t="shared" si="35"/>
        <v>12 C5:百鬼薙刀镰</v>
      </c>
    </row>
    <row r="2040" spans="1:7">
      <c r="A2040" s="24" t="s">
        <v>5650</v>
      </c>
      <c r="B2040" s="24" t="s">
        <v>6145</v>
      </c>
      <c r="C2040" s="24" t="s">
        <v>6575</v>
      </c>
      <c r="D2040" s="151" t="s">
        <v>7161</v>
      </c>
      <c r="E2040" s="151" t="s">
        <v>7162</v>
      </c>
      <c r="F2040" s="151"/>
      <c r="G2040" s="52" t="str">
        <f t="shared" si="35"/>
        <v>18 C5:污泥壶</v>
      </c>
    </row>
    <row r="2041" spans="1:7">
      <c r="A2041" s="24" t="s">
        <v>5650</v>
      </c>
      <c r="B2041" s="24" t="s">
        <v>6145</v>
      </c>
      <c r="C2041" s="24" t="s">
        <v>6575</v>
      </c>
      <c r="D2041" s="151" t="s">
        <v>7163</v>
      </c>
      <c r="E2041" s="151" t="s">
        <v>3481</v>
      </c>
      <c r="F2041" s="151"/>
      <c r="G2041" s="52" t="str">
        <f t="shared" si="35"/>
        <v>71 C5:怪童板斧</v>
      </c>
    </row>
    <row r="2042" spans="1:7">
      <c r="A2042" s="24" t="s">
        <v>5650</v>
      </c>
      <c r="B2042" s="24" t="s">
        <v>6145</v>
      </c>
      <c r="C2042" s="24" t="s">
        <v>6575</v>
      </c>
      <c r="D2042" s="151" t="s">
        <v>7164</v>
      </c>
      <c r="E2042" s="151" t="s">
        <v>7165</v>
      </c>
      <c r="F2042" s="151"/>
      <c r="G2042" s="52" t="str">
        <f t="shared" si="35"/>
        <v>99 C5:两面宿傩之弓</v>
      </c>
    </row>
    <row r="2043" spans="1:7">
      <c r="A2043" s="24" t="s">
        <v>5650</v>
      </c>
      <c r="B2043" s="24" t="s">
        <v>6145</v>
      </c>
      <c r="C2043" s="24" t="s">
        <v>6575</v>
      </c>
      <c r="D2043" s="151" t="s">
        <v>7166</v>
      </c>
      <c r="E2043" s="151" t="s">
        <v>3918</v>
      </c>
      <c r="F2043" s="151"/>
      <c r="G2043" s="52" t="str">
        <f t="shared" si="35"/>
        <v>2A C7:日轮·月轮</v>
      </c>
    </row>
    <row r="2044" spans="1:7">
      <c r="A2044" s="24" t="s">
        <v>5650</v>
      </c>
      <c r="B2044" s="24" t="s">
        <v>6145</v>
      </c>
      <c r="C2044" s="24" t="s">
        <v>6575</v>
      </c>
      <c r="D2044" s="151" t="s">
        <v>7167</v>
      </c>
      <c r="E2044" s="151" t="s">
        <v>7168</v>
      </c>
      <c r="F2044" s="151"/>
      <c r="G2044" s="52" t="str">
        <f t="shared" si="35"/>
        <v>B3 C9:黏液罐</v>
      </c>
    </row>
    <row r="2045" spans="1:7">
      <c r="A2045" s="24" t="s">
        <v>5650</v>
      </c>
      <c r="B2045" s="24" t="s">
        <v>6145</v>
      </c>
      <c r="C2045" s="24" t="s">
        <v>6575</v>
      </c>
      <c r="D2045" s="151" t="s">
        <v>7169</v>
      </c>
      <c r="E2045" s="151" t="s">
        <v>3851</v>
      </c>
      <c r="F2045" s="151"/>
      <c r="G2045" s="52" t="str">
        <f t="shared" si="35"/>
        <v>0C CB:白骨精旋棍</v>
      </c>
    </row>
    <row r="2046" spans="1:7">
      <c r="A2046" s="24" t="s">
        <v>5650</v>
      </c>
      <c r="B2046" s="24" t="s">
        <v>6145</v>
      </c>
      <c r="C2046" s="24" t="s">
        <v>6575</v>
      </c>
      <c r="D2046" s="151" t="s">
        <v>7170</v>
      </c>
      <c r="E2046" s="151" t="s">
        <v>7171</v>
      </c>
      <c r="F2046" s="151"/>
      <c r="G2046" s="52" t="str">
        <f t="shared" si="35"/>
        <v>15 CB:仁王面·阿形</v>
      </c>
    </row>
    <row r="2047" spans="1:7">
      <c r="A2047" s="24" t="s">
        <v>5650</v>
      </c>
      <c r="B2047" s="24" t="s">
        <v>6145</v>
      </c>
      <c r="C2047" s="24" t="s">
        <v>6575</v>
      </c>
      <c r="D2047" s="151" t="s">
        <v>7172</v>
      </c>
      <c r="E2047" s="151" t="s">
        <v>7173</v>
      </c>
      <c r="F2047" s="151"/>
      <c r="G2047" s="52" t="str">
        <f t="shared" si="35"/>
        <v>BB CB:海道第一大名之铠</v>
      </c>
    </row>
    <row r="2048" spans="1:7">
      <c r="A2048" s="24" t="s">
        <v>5650</v>
      </c>
      <c r="B2048" s="24" t="s">
        <v>6145</v>
      </c>
      <c r="C2048" s="24" t="s">
        <v>6575</v>
      </c>
      <c r="D2048" s="151" t="s">
        <v>7174</v>
      </c>
      <c r="E2048" s="151" t="s">
        <v>4641</v>
      </c>
      <c r="F2048" s="151"/>
      <c r="G2048" s="52" t="str">
        <f t="shared" si="35"/>
        <v>DA CB:蝾螺形盔</v>
      </c>
    </row>
    <row r="2049" spans="1:7">
      <c r="A2049" s="24" t="s">
        <v>5650</v>
      </c>
      <c r="B2049" s="24" t="s">
        <v>6145</v>
      </c>
      <c r="C2049" s="24" t="s">
        <v>6575</v>
      </c>
      <c r="D2049" s="151" t="s">
        <v>7175</v>
      </c>
      <c r="E2049" s="151" t="s">
        <v>4080</v>
      </c>
      <c r="F2049" s="151"/>
      <c r="G2049" s="52" t="str">
        <f t="shared" si="35"/>
        <v>0E CC:赤备大将之弓</v>
      </c>
    </row>
    <row r="2050" spans="1:7">
      <c r="A2050" s="24" t="s">
        <v>5650</v>
      </c>
      <c r="B2050" s="24" t="s">
        <v>6145</v>
      </c>
      <c r="C2050" s="24" t="s">
        <v>6575</v>
      </c>
      <c r="D2050" s="151" t="s">
        <v>7176</v>
      </c>
      <c r="E2050" s="151" t="s">
        <v>3630</v>
      </c>
      <c r="F2050" s="151"/>
      <c r="G2050" s="52" t="str">
        <f t="shared" si="35"/>
        <v>28 CC:狱妖薙刀镰</v>
      </c>
    </row>
    <row r="2051" spans="1:7">
      <c r="A2051" s="24" t="s">
        <v>5650</v>
      </c>
      <c r="B2051" s="24" t="s">
        <v>6145</v>
      </c>
      <c r="C2051" s="24" t="s">
        <v>6575</v>
      </c>
      <c r="D2051" s="151" t="s">
        <v>7177</v>
      </c>
      <c r="E2051" s="151" t="s">
        <v>3326</v>
      </c>
      <c r="F2051" s="151"/>
      <c r="G2051" s="52" t="str">
        <f t="shared" si="35"/>
        <v>7C CC:蜥蜴丸</v>
      </c>
    </row>
    <row r="2052" spans="1:7">
      <c r="A2052" s="24" t="s">
        <v>5650</v>
      </c>
      <c r="B2052" s="24" t="s">
        <v>6145</v>
      </c>
      <c r="C2052" s="24" t="s">
        <v>6575</v>
      </c>
      <c r="D2052" s="151" t="s">
        <v>7178</v>
      </c>
      <c r="E2052" s="151" t="s">
        <v>5126</v>
      </c>
      <c r="F2052" s="151"/>
      <c r="G2052" s="52" t="str">
        <f t="shared" si="35"/>
        <v>88 CC:女面</v>
      </c>
    </row>
    <row r="2053" spans="1:7">
      <c r="A2053" s="24" t="s">
        <v>5650</v>
      </c>
      <c r="B2053" s="24" t="s">
        <v>6145</v>
      </c>
      <c r="C2053" s="24" t="s">
        <v>6575</v>
      </c>
      <c r="D2053" s="151" t="s">
        <v>7179</v>
      </c>
      <c r="E2053" s="151" t="s">
        <v>7180</v>
      </c>
      <c r="F2053" s="151"/>
      <c r="G2053" s="52" t="str">
        <f t="shared" si="35"/>
        <v>BE CC:西国无双之弓</v>
      </c>
    </row>
    <row r="2054" spans="1:7">
      <c r="A2054" s="24" t="s">
        <v>5650</v>
      </c>
      <c r="B2054" s="24" t="s">
        <v>6145</v>
      </c>
      <c r="C2054" s="24" t="s">
        <v>6575</v>
      </c>
      <c r="D2054" s="151" t="s">
        <v>7181</v>
      </c>
      <c r="E2054" s="151" t="s">
        <v>7182</v>
      </c>
      <c r="F2054" s="151"/>
      <c r="G2054" s="52" t="str">
        <f t="shared" si="35"/>
        <v>19 CD:兔耳头盔</v>
      </c>
    </row>
    <row r="2055" spans="1:7">
      <c r="A2055" s="24" t="s">
        <v>5650</v>
      </c>
      <c r="B2055" s="24" t="s">
        <v>6145</v>
      </c>
      <c r="C2055" s="24" t="s">
        <v>6575</v>
      </c>
      <c r="D2055" s="151" t="s">
        <v>7183</v>
      </c>
      <c r="E2055" s="151" t="s">
        <v>4665</v>
      </c>
      <c r="F2055" s="151"/>
      <c r="G2055" s="52" t="str">
        <f t="shared" si="35"/>
        <v>6F CD:草薙形盔</v>
      </c>
    </row>
    <row r="2056" spans="1:7">
      <c r="A2056" s="24" t="s">
        <v>5650</v>
      </c>
      <c r="B2056" s="24" t="s">
        <v>6145</v>
      </c>
      <c r="C2056" s="24" t="s">
        <v>6575</v>
      </c>
      <c r="D2056" s="151" t="s">
        <v>7184</v>
      </c>
      <c r="E2056" s="151" t="s">
        <v>3558</v>
      </c>
      <c r="F2056" s="151"/>
      <c r="G2056" s="52" t="str">
        <f t="shared" ref="G2056:G2119" si="36">D2056&amp;":"&amp;E2056</f>
        <v>EE CD:祢祢切丸</v>
      </c>
    </row>
    <row r="2057" spans="1:7">
      <c r="A2057" s="24" t="s">
        <v>5650</v>
      </c>
      <c r="B2057" s="24" t="s">
        <v>6145</v>
      </c>
      <c r="C2057" s="24" t="s">
        <v>6575</v>
      </c>
      <c r="D2057" s="151" t="s">
        <v>7185</v>
      </c>
      <c r="E2057" s="151" t="s">
        <v>3830</v>
      </c>
      <c r="F2057" s="151"/>
      <c r="G2057" s="52" t="str">
        <f t="shared" si="36"/>
        <v>F7 CD:雪代</v>
      </c>
    </row>
    <row r="2058" spans="1:7">
      <c r="A2058" s="24" t="s">
        <v>5650</v>
      </c>
      <c r="B2058" s="24" t="s">
        <v>6145</v>
      </c>
      <c r="C2058" s="24" t="s">
        <v>6575</v>
      </c>
      <c r="D2058" s="151" t="s">
        <v>7186</v>
      </c>
      <c r="E2058" s="151" t="s">
        <v>3910</v>
      </c>
      <c r="F2058" s="151"/>
      <c r="G2058" s="52" t="str">
        <f t="shared" si="36"/>
        <v>9A CE:灼炎</v>
      </c>
    </row>
    <row r="2059" spans="1:7">
      <c r="A2059" s="24" t="s">
        <v>5650</v>
      </c>
      <c r="B2059" s="24" t="s">
        <v>6145</v>
      </c>
      <c r="C2059" s="24" t="s">
        <v>6575</v>
      </c>
      <c r="D2059" s="151" t="s">
        <v>7187</v>
      </c>
      <c r="E2059" s="151" t="s">
        <v>7188</v>
      </c>
      <c r="F2059" s="151"/>
      <c r="G2059" s="52" t="str">
        <f t="shared" si="36"/>
        <v>AF CE:铃鹿战装束</v>
      </c>
    </row>
    <row r="2060" spans="1:7">
      <c r="A2060" s="24" t="s">
        <v>5650</v>
      </c>
      <c r="B2060" s="24" t="s">
        <v>6145</v>
      </c>
      <c r="C2060" s="24" t="s">
        <v>6575</v>
      </c>
      <c r="D2060" s="151" t="s">
        <v>7189</v>
      </c>
      <c r="E2060" s="151" t="s">
        <v>7190</v>
      </c>
      <c r="F2060" s="151"/>
      <c r="G2060" s="52" t="str">
        <f t="shared" si="36"/>
        <v>AD CF:清廉义铠</v>
      </c>
    </row>
    <row r="2061" spans="1:7">
      <c r="A2061" s="24" t="s">
        <v>5650</v>
      </c>
      <c r="B2061" s="24" t="s">
        <v>6145</v>
      </c>
      <c r="C2061" s="24" t="s">
        <v>6575</v>
      </c>
      <c r="D2061" s="151" t="s">
        <v>7191</v>
      </c>
      <c r="E2061" s="151" t="s">
        <v>3578</v>
      </c>
      <c r="F2061" s="151"/>
      <c r="G2061" s="52" t="str">
        <f t="shared" si="36"/>
        <v>35 D0:三郎兵卫大太刀</v>
      </c>
    </row>
    <row r="2062" spans="1:7">
      <c r="A2062" s="24" t="s">
        <v>5650</v>
      </c>
      <c r="B2062" s="24" t="s">
        <v>6145</v>
      </c>
      <c r="C2062" s="24" t="s">
        <v>6575</v>
      </c>
      <c r="D2062" s="151" t="s">
        <v>7192</v>
      </c>
      <c r="E2062" s="151" t="s">
        <v>7193</v>
      </c>
      <c r="F2062" s="151"/>
      <c r="G2062" s="52" t="str">
        <f t="shared" si="36"/>
        <v>41 D0:炎狱忍者装束</v>
      </c>
    </row>
    <row r="2063" spans="1:7">
      <c r="A2063" s="24" t="s">
        <v>5650</v>
      </c>
      <c r="B2063" s="24" t="s">
        <v>6145</v>
      </c>
      <c r="C2063" s="24" t="s">
        <v>6575</v>
      </c>
      <c r="D2063" s="151" t="s">
        <v>7194</v>
      </c>
      <c r="E2063" s="151" t="s">
        <v>3361</v>
      </c>
      <c r="F2063" s="151"/>
      <c r="G2063" s="52" t="str">
        <f t="shared" si="36"/>
        <v>09 D1:狮子王·骨食</v>
      </c>
    </row>
    <row r="2064" spans="1:7">
      <c r="A2064" s="24" t="s">
        <v>5650</v>
      </c>
      <c r="B2064" s="24" t="s">
        <v>6145</v>
      </c>
      <c r="C2064" s="24" t="s">
        <v>6575</v>
      </c>
      <c r="D2064" s="151" t="s">
        <v>7195</v>
      </c>
      <c r="E2064" s="151" t="s">
        <v>3538</v>
      </c>
      <c r="F2064" s="151"/>
      <c r="G2064" s="52" t="str">
        <f t="shared" si="36"/>
        <v>2A D1:染血大菜刀</v>
      </c>
    </row>
    <row r="2065" spans="1:7">
      <c r="A2065" s="24" t="s">
        <v>5650</v>
      </c>
      <c r="B2065" s="24" t="s">
        <v>6145</v>
      </c>
      <c r="C2065" s="24" t="s">
        <v>6575</v>
      </c>
      <c r="D2065" s="151" t="s">
        <v>7196</v>
      </c>
      <c r="E2065" s="151" t="s">
        <v>7197</v>
      </c>
      <c r="F2065" s="151"/>
      <c r="G2065" s="52" t="str">
        <f t="shared" si="36"/>
        <v>7F D1:流浪楚叶矢装束</v>
      </c>
    </row>
    <row r="2066" spans="1:7">
      <c r="A2066" s="24" t="s">
        <v>5650</v>
      </c>
      <c r="B2066" s="24" t="s">
        <v>6145</v>
      </c>
      <c r="C2066" s="24" t="s">
        <v>6575</v>
      </c>
      <c r="D2066" s="151" t="s">
        <v>7198</v>
      </c>
      <c r="E2066" s="151" t="s">
        <v>7199</v>
      </c>
      <c r="F2066" s="151"/>
      <c r="G2066" s="52" t="str">
        <f t="shared" si="36"/>
        <v>8A D1:敦贺正宗·包丁藤四郎</v>
      </c>
    </row>
    <row r="2067" spans="1:7">
      <c r="A2067" s="24" t="s">
        <v>5650</v>
      </c>
      <c r="B2067" s="24" t="s">
        <v>6145</v>
      </c>
      <c r="C2067" s="24" t="s">
        <v>6575</v>
      </c>
      <c r="D2067" s="151" t="s">
        <v>7200</v>
      </c>
      <c r="E2067" s="151" t="s">
        <v>4671</v>
      </c>
      <c r="F2067" s="151"/>
      <c r="G2067" s="52" t="str">
        <f t="shared" si="36"/>
        <v>91 D1:总黑熊毛植盔</v>
      </c>
    </row>
    <row r="2068" spans="1:7">
      <c r="A2068" s="24" t="s">
        <v>5650</v>
      </c>
      <c r="B2068" s="24" t="s">
        <v>6145</v>
      </c>
      <c r="C2068" s="24" t="s">
        <v>6575</v>
      </c>
      <c r="D2068" s="151" t="s">
        <v>7201</v>
      </c>
      <c r="E2068" s="151" t="s">
        <v>7202</v>
      </c>
      <c r="F2068" s="151"/>
      <c r="G2068" s="52" t="str">
        <f t="shared" si="36"/>
        <v>54 D3:木手甲</v>
      </c>
    </row>
    <row r="2069" spans="1:7">
      <c r="A2069" s="24" t="s">
        <v>5650</v>
      </c>
      <c r="B2069" s="24" t="s">
        <v>6145</v>
      </c>
      <c r="C2069" s="24" t="s">
        <v>6575</v>
      </c>
      <c r="D2069" s="151" t="s">
        <v>7203</v>
      </c>
      <c r="E2069" s="151" t="s">
        <v>3316</v>
      </c>
      <c r="F2069" s="151"/>
      <c r="G2069" s="52" t="str">
        <f t="shared" si="36"/>
        <v>69 D4:髭切</v>
      </c>
    </row>
    <row r="2070" spans="1:7">
      <c r="A2070" s="24" t="s">
        <v>5650</v>
      </c>
      <c r="B2070" s="24" t="s">
        <v>6145</v>
      </c>
      <c r="C2070" s="24" t="s">
        <v>6575</v>
      </c>
      <c r="D2070" s="151" t="s">
        <v>7204</v>
      </c>
      <c r="E2070" s="151" t="s">
        <v>7205</v>
      </c>
      <c r="F2070" s="151"/>
      <c r="G2070" s="52" t="str">
        <f t="shared" si="36"/>
        <v>24 D5:燕尾中铠</v>
      </c>
    </row>
    <row r="2071" spans="1:7">
      <c r="A2071" s="24" t="s">
        <v>5650</v>
      </c>
      <c r="B2071" s="24" t="s">
        <v>6145</v>
      </c>
      <c r="C2071" s="24" t="s">
        <v>6575</v>
      </c>
      <c r="D2071" s="151" t="s">
        <v>7206</v>
      </c>
      <c r="E2071" s="151" t="s">
        <v>7207</v>
      </c>
      <c r="F2071" s="151"/>
      <c r="G2071" s="52" t="str">
        <f t="shared" si="36"/>
        <v>46 D6:漆黑大铠</v>
      </c>
    </row>
    <row r="2072" spans="1:7">
      <c r="A2072" s="24" t="s">
        <v>5650</v>
      </c>
      <c r="B2072" s="24" t="s">
        <v>6145</v>
      </c>
      <c r="C2072" s="24" t="s">
        <v>6575</v>
      </c>
      <c r="D2072" s="151" t="s">
        <v>7208</v>
      </c>
      <c r="E2072" s="151" t="s">
        <v>7209</v>
      </c>
      <c r="F2072" s="151"/>
      <c r="G2072" s="52" t="str">
        <f t="shared" si="36"/>
        <v>4E D6:比比罗木之八寻矛</v>
      </c>
    </row>
    <row r="2073" spans="1:7">
      <c r="A2073" s="24" t="s">
        <v>5650</v>
      </c>
      <c r="B2073" s="24" t="s">
        <v>6145</v>
      </c>
      <c r="C2073" s="24" t="s">
        <v>6575</v>
      </c>
      <c r="D2073" s="151" t="s">
        <v>7210</v>
      </c>
      <c r="E2073" s="151" t="s">
        <v>3620</v>
      </c>
      <c r="F2073" s="151"/>
      <c r="G2073" s="52" t="str">
        <f t="shared" si="36"/>
        <v>8D D6:破戒薙刀镰</v>
      </c>
    </row>
    <row r="2074" spans="1:7">
      <c r="A2074" s="24" t="s">
        <v>5650</v>
      </c>
      <c r="B2074" s="24" t="s">
        <v>6145</v>
      </c>
      <c r="C2074" s="24" t="s">
        <v>6575</v>
      </c>
      <c r="D2074" s="151" t="s">
        <v>7211</v>
      </c>
      <c r="E2074" s="151" t="s">
        <v>7212</v>
      </c>
      <c r="F2074" s="151"/>
      <c r="G2074" s="52" t="str">
        <f t="shared" si="36"/>
        <v>BF D7:太郎坊兼光·刺剑</v>
      </c>
    </row>
    <row r="2075" spans="1:7">
      <c r="A2075" s="24" t="s">
        <v>5650</v>
      </c>
      <c r="B2075" s="24" t="s">
        <v>6145</v>
      </c>
      <c r="C2075" s="24" t="s">
        <v>6575</v>
      </c>
      <c r="D2075" s="151" t="s">
        <v>7213</v>
      </c>
      <c r="E2075" s="151" t="s">
        <v>3308</v>
      </c>
      <c r="F2075" s="151"/>
      <c r="G2075" s="52" t="str">
        <f t="shared" si="36"/>
        <v>CA D7:大天狗正家</v>
      </c>
    </row>
    <row r="2076" spans="1:7">
      <c r="A2076" s="24" t="s">
        <v>5650</v>
      </c>
      <c r="B2076" s="24" t="s">
        <v>6145</v>
      </c>
      <c r="C2076" s="24" t="s">
        <v>6575</v>
      </c>
      <c r="D2076" s="151" t="s">
        <v>7214</v>
      </c>
      <c r="E2076" s="151" t="s">
        <v>4649</v>
      </c>
      <c r="F2076" s="151"/>
      <c r="G2076" s="52" t="str">
        <f t="shared" si="36"/>
        <v>C4 D8:爱字前立头盔</v>
      </c>
    </row>
    <row r="2077" spans="1:7">
      <c r="A2077" s="24" t="s">
        <v>5650</v>
      </c>
      <c r="B2077" s="24" t="s">
        <v>6145</v>
      </c>
      <c r="C2077" s="24" t="s">
        <v>6575</v>
      </c>
      <c r="D2077" s="151" t="s">
        <v>7215</v>
      </c>
      <c r="E2077" s="151" t="s">
        <v>7216</v>
      </c>
      <c r="F2077" s="151"/>
      <c r="G2077" s="52" t="str">
        <f t="shared" si="36"/>
        <v>2D D9:枭雄之铠</v>
      </c>
    </row>
    <row r="2078" spans="1:7">
      <c r="A2078" s="24" t="s">
        <v>5650</v>
      </c>
      <c r="B2078" s="24" t="s">
        <v>6145</v>
      </c>
      <c r="C2078" s="24" t="s">
        <v>6575</v>
      </c>
      <c r="D2078" s="151" t="s">
        <v>7217</v>
      </c>
      <c r="E2078" s="151" t="s">
        <v>7218</v>
      </c>
      <c r="F2078" s="151"/>
      <c r="G2078" s="52" t="str">
        <f t="shared" si="36"/>
        <v>05 DA:备前景安</v>
      </c>
    </row>
    <row r="2079" spans="1:7">
      <c r="A2079" s="24" t="s">
        <v>5650</v>
      </c>
      <c r="B2079" s="24" t="s">
        <v>6145</v>
      </c>
      <c r="C2079" s="24" t="s">
        <v>6575</v>
      </c>
      <c r="D2079" s="151" t="s">
        <v>7219</v>
      </c>
      <c r="E2079" s="151" t="s">
        <v>7220</v>
      </c>
      <c r="F2079" s="151"/>
      <c r="G2079" s="52" t="str">
        <f t="shared" si="36"/>
        <v>11 DA:蜻蛉切</v>
      </c>
    </row>
    <row r="2080" spans="1:7">
      <c r="A2080" s="24" t="s">
        <v>5650</v>
      </c>
      <c r="B2080" s="24" t="s">
        <v>6145</v>
      </c>
      <c r="C2080" s="24" t="s">
        <v>6575</v>
      </c>
      <c r="D2080" s="151" t="s">
        <v>7221</v>
      </c>
      <c r="E2080" s="151" t="s">
        <v>3552</v>
      </c>
      <c r="F2080" s="151"/>
      <c r="G2080" s="52" t="str">
        <f t="shared" si="36"/>
        <v>86 DB:微尘丸</v>
      </c>
    </row>
    <row r="2081" spans="1:7">
      <c r="A2081" s="24" t="s">
        <v>5650</v>
      </c>
      <c r="B2081" s="24" t="s">
        <v>6145</v>
      </c>
      <c r="C2081" s="24" t="s">
        <v>6575</v>
      </c>
      <c r="D2081" s="151" t="s">
        <v>7222</v>
      </c>
      <c r="E2081" s="151" t="s">
        <v>3865</v>
      </c>
      <c r="F2081" s="151"/>
      <c r="G2081" s="52" t="str">
        <f t="shared" si="36"/>
        <v>C1 DE:双龙旋棍</v>
      </c>
    </row>
    <row r="2082" spans="1:7">
      <c r="A2082" s="24" t="s">
        <v>5650</v>
      </c>
      <c r="B2082" s="24" t="s">
        <v>6145</v>
      </c>
      <c r="C2082" s="24" t="s">
        <v>6575</v>
      </c>
      <c r="D2082" s="151" t="s">
        <v>7223</v>
      </c>
      <c r="E2082" s="151" t="s">
        <v>7224</v>
      </c>
      <c r="F2082" s="151"/>
      <c r="G2082" s="52" t="str">
        <f t="shared" si="36"/>
        <v>ED DF:调节阀后立头盔</v>
      </c>
    </row>
    <row r="2083" spans="1:7">
      <c r="A2083" s="24" t="s">
        <v>5650</v>
      </c>
      <c r="B2083" s="24" t="s">
        <v>6145</v>
      </c>
      <c r="C2083" s="24" t="s">
        <v>6575</v>
      </c>
      <c r="D2083" s="151" t="s">
        <v>7225</v>
      </c>
      <c r="E2083" s="151" t="s">
        <v>7226</v>
      </c>
      <c r="F2083" s="151"/>
      <c r="G2083" s="52" t="str">
        <f t="shared" si="36"/>
        <v>2D E0:霸王狙击装束</v>
      </c>
    </row>
    <row r="2084" spans="1:7">
      <c r="A2084" s="24" t="s">
        <v>5650</v>
      </c>
      <c r="B2084" s="24" t="s">
        <v>6145</v>
      </c>
      <c r="C2084" s="24" t="s">
        <v>6575</v>
      </c>
      <c r="D2084" s="151" t="s">
        <v>7227</v>
      </c>
      <c r="E2084" s="151" t="s">
        <v>3334</v>
      </c>
      <c r="F2084" s="151"/>
      <c r="G2084" s="52" t="str">
        <f t="shared" si="36"/>
        <v>72 E0:处斩丽刀</v>
      </c>
    </row>
    <row r="2085" spans="1:7">
      <c r="A2085" s="24" t="s">
        <v>5650</v>
      </c>
      <c r="B2085" s="24" t="s">
        <v>6145</v>
      </c>
      <c r="C2085" s="24" t="s">
        <v>6575</v>
      </c>
      <c r="D2085" s="151" t="s">
        <v>7228</v>
      </c>
      <c r="E2085" s="151" t="s">
        <v>7229</v>
      </c>
      <c r="F2085" s="151"/>
      <c r="G2085" s="52" t="str">
        <f t="shared" si="36"/>
        <v>D2 E1:怪童大铠</v>
      </c>
    </row>
    <row r="2086" spans="1:7">
      <c r="A2086" s="24" t="s">
        <v>5650</v>
      </c>
      <c r="B2086" s="24" t="s">
        <v>6145</v>
      </c>
      <c r="C2086" s="24" t="s">
        <v>6575</v>
      </c>
      <c r="D2086" s="151" t="s">
        <v>7230</v>
      </c>
      <c r="E2086" s="151" t="s">
        <v>3977</v>
      </c>
      <c r="F2086" s="151"/>
      <c r="G2086" s="52" t="str">
        <f t="shared" si="36"/>
        <v>FE E1:狱妖机关棍</v>
      </c>
    </row>
    <row r="2087" spans="1:7">
      <c r="A2087" s="24" t="s">
        <v>5650</v>
      </c>
      <c r="B2087" s="24" t="s">
        <v>6145</v>
      </c>
      <c r="C2087" s="24" t="s">
        <v>6575</v>
      </c>
      <c r="D2087" s="151" t="s">
        <v>7231</v>
      </c>
      <c r="E2087" s="151" t="s">
        <v>3653</v>
      </c>
      <c r="F2087" s="151"/>
      <c r="G2087" s="52" t="str">
        <f t="shared" si="36"/>
        <v>52 E2:鬼腕甲</v>
      </c>
    </row>
    <row r="2088" spans="1:7">
      <c r="A2088" s="24" t="s">
        <v>5650</v>
      </c>
      <c r="B2088" s="24" t="s">
        <v>6145</v>
      </c>
      <c r="C2088" s="24" t="s">
        <v>6575</v>
      </c>
      <c r="D2088" s="151" t="s">
        <v>7232</v>
      </c>
      <c r="E2088" s="151" t="s">
        <v>4020</v>
      </c>
      <c r="F2088" s="151"/>
      <c r="G2088" s="52" t="str">
        <f t="shared" si="36"/>
        <v>DC E2:万两义贼手甲钩</v>
      </c>
    </row>
    <row r="2089" spans="1:7">
      <c r="A2089" s="24" t="s">
        <v>5650</v>
      </c>
      <c r="B2089" s="24" t="s">
        <v>6145</v>
      </c>
      <c r="C2089" s="24" t="s">
        <v>6575</v>
      </c>
      <c r="D2089" s="151" t="s">
        <v>7233</v>
      </c>
      <c r="E2089" s="151" t="s">
        <v>3816</v>
      </c>
      <c r="F2089" s="151"/>
      <c r="G2089" s="52" t="str">
        <f t="shared" si="36"/>
        <v>E5 E2:肉户锁镰</v>
      </c>
    </row>
    <row r="2090" spans="1:7">
      <c r="A2090" s="24" t="s">
        <v>5650</v>
      </c>
      <c r="B2090" s="24" t="s">
        <v>6145</v>
      </c>
      <c r="C2090" s="24" t="s">
        <v>6575</v>
      </c>
      <c r="D2090" s="151" t="s">
        <v>7234</v>
      </c>
      <c r="E2090" s="151" t="s">
        <v>7235</v>
      </c>
      <c r="F2090" s="151"/>
      <c r="G2090" s="52" t="str">
        <f t="shared" si="36"/>
        <v>ED E2:善擦帽子</v>
      </c>
    </row>
    <row r="2091" spans="1:7">
      <c r="A2091" s="24" t="s">
        <v>5650</v>
      </c>
      <c r="B2091" s="24" t="s">
        <v>6145</v>
      </c>
      <c r="C2091" s="24" t="s">
        <v>6575</v>
      </c>
      <c r="D2091" s="151" t="s">
        <v>7236</v>
      </c>
      <c r="E2091" s="151" t="s">
        <v>3614</v>
      </c>
      <c r="F2091" s="151"/>
      <c r="G2091" s="52" t="str">
        <f t="shared" si="36"/>
        <v>F7 E2:绵津见</v>
      </c>
    </row>
    <row r="2092" spans="1:7">
      <c r="A2092" s="24" t="s">
        <v>5650</v>
      </c>
      <c r="B2092" s="24" t="s">
        <v>6145</v>
      </c>
      <c r="C2092" s="24" t="s">
        <v>6575</v>
      </c>
      <c r="D2092" s="151" t="s">
        <v>7237</v>
      </c>
      <c r="E2092" s="151" t="s">
        <v>4653</v>
      </c>
      <c r="F2092" s="151"/>
      <c r="G2092" s="52" t="str">
        <f t="shared" si="36"/>
        <v>31 E3:龙头形盔</v>
      </c>
    </row>
    <row r="2093" spans="1:7">
      <c r="A2093" s="24" t="s">
        <v>5650</v>
      </c>
      <c r="B2093" s="24" t="s">
        <v>6145</v>
      </c>
      <c r="C2093" s="24" t="s">
        <v>6575</v>
      </c>
      <c r="D2093" s="151" t="s">
        <v>7238</v>
      </c>
      <c r="E2093" s="151" t="s">
        <v>7239</v>
      </c>
      <c r="F2093" s="151"/>
      <c r="G2093" s="52" t="str">
        <f t="shared" si="36"/>
        <v>D0 E3:祈月斗将之铠</v>
      </c>
    </row>
    <row r="2094" spans="1:7">
      <c r="A2094" s="24" t="s">
        <v>5650</v>
      </c>
      <c r="B2094" s="24" t="s">
        <v>6145</v>
      </c>
      <c r="C2094" s="24" t="s">
        <v>6575</v>
      </c>
      <c r="D2094" s="151" t="s">
        <v>7240</v>
      </c>
      <c r="E2094" s="151" t="s">
        <v>3590</v>
      </c>
      <c r="F2094" s="151"/>
      <c r="G2094" s="52" t="str">
        <f t="shared" si="36"/>
        <v>F3 E3:忌龙</v>
      </c>
    </row>
    <row r="2095" spans="1:7">
      <c r="A2095" s="24" t="s">
        <v>5650</v>
      </c>
      <c r="B2095" s="24" t="s">
        <v>6145</v>
      </c>
      <c r="C2095" s="24" t="s">
        <v>6575</v>
      </c>
      <c r="D2095" s="151" t="s">
        <v>7241</v>
      </c>
      <c r="E2095" s="151" t="s">
        <v>3357</v>
      </c>
      <c r="F2095" s="151"/>
      <c r="G2095" s="52" t="str">
        <f t="shared" si="36"/>
        <v>54 E4:山姥菜刀</v>
      </c>
    </row>
    <row r="2096" spans="1:7">
      <c r="A2096" s="24" t="s">
        <v>5650</v>
      </c>
      <c r="B2096" s="24" t="s">
        <v>6145</v>
      </c>
      <c r="C2096" s="24" t="s">
        <v>6575</v>
      </c>
      <c r="D2096" s="151" t="s">
        <v>7242</v>
      </c>
      <c r="E2096" s="151" t="s">
        <v>3826</v>
      </c>
      <c r="F2096" s="151"/>
      <c r="G2096" s="52" t="str">
        <f t="shared" si="36"/>
        <v>C2 E4:鬼牙锁镰</v>
      </c>
    </row>
    <row r="2097" spans="1:7">
      <c r="A2097" s="24" t="s">
        <v>5650</v>
      </c>
      <c r="B2097" s="24" t="s">
        <v>6145</v>
      </c>
      <c r="C2097" s="24" t="s">
        <v>6575</v>
      </c>
      <c r="D2097" s="151" t="s">
        <v>7243</v>
      </c>
      <c r="E2097" s="151" t="s">
        <v>4091</v>
      </c>
      <c r="F2097" s="151"/>
      <c r="G2097" s="52" t="str">
        <f t="shared" si="36"/>
        <v>03 E5:日野铁炮</v>
      </c>
    </row>
    <row r="2098" spans="1:7">
      <c r="A2098" s="24" t="s">
        <v>5650</v>
      </c>
      <c r="B2098" s="24" t="s">
        <v>6145</v>
      </c>
      <c r="C2098" s="24" t="s">
        <v>6575</v>
      </c>
      <c r="D2098" s="151" t="s">
        <v>7244</v>
      </c>
      <c r="E2098" s="151" t="s">
        <v>3922</v>
      </c>
      <c r="F2098" s="151"/>
      <c r="G2098" s="52" t="str">
        <f t="shared" si="36"/>
        <v>91 E5:黑雨·霹雳</v>
      </c>
    </row>
    <row r="2099" spans="1:7">
      <c r="A2099" s="24" t="s">
        <v>5650</v>
      </c>
      <c r="B2099" s="24" t="s">
        <v>6145</v>
      </c>
      <c r="C2099" s="24" t="s">
        <v>6575</v>
      </c>
      <c r="D2099" s="151" t="s">
        <v>7245</v>
      </c>
      <c r="E2099" s="151" t="s">
        <v>7246</v>
      </c>
      <c r="F2099" s="151"/>
      <c r="G2099" s="52" t="str">
        <f t="shared" si="36"/>
        <v>B7 E5:武藏的头巾</v>
      </c>
    </row>
    <row r="2100" spans="1:7">
      <c r="A2100" s="24" t="s">
        <v>5650</v>
      </c>
      <c r="B2100" s="24" t="s">
        <v>6145</v>
      </c>
      <c r="C2100" s="24" t="s">
        <v>6575</v>
      </c>
      <c r="D2100" s="151" t="s">
        <v>7247</v>
      </c>
      <c r="E2100" s="151" t="s">
        <v>3822</v>
      </c>
      <c r="F2100" s="151"/>
      <c r="G2100" s="52" t="str">
        <f t="shared" si="36"/>
        <v>3B E6:不知火</v>
      </c>
    </row>
    <row r="2101" spans="1:7">
      <c r="A2101" s="24" t="s">
        <v>5650</v>
      </c>
      <c r="B2101" s="24" t="s">
        <v>6145</v>
      </c>
      <c r="C2101" s="24" t="s">
        <v>6575</v>
      </c>
      <c r="D2101" s="151" t="s">
        <v>7248</v>
      </c>
      <c r="E2101" s="151" t="s">
        <v>3912</v>
      </c>
      <c r="F2101" s="151"/>
      <c r="G2101" s="52" t="str">
        <f t="shared" si="36"/>
        <v>B7 E6:冰岳</v>
      </c>
    </row>
    <row r="2102" spans="1:7">
      <c r="A2102" s="24" t="s">
        <v>5650</v>
      </c>
      <c r="B2102" s="24" t="s">
        <v>6145</v>
      </c>
      <c r="C2102" s="24" t="s">
        <v>6575</v>
      </c>
      <c r="D2102" s="151" t="s">
        <v>7249</v>
      </c>
      <c r="E2102" s="151" t="s">
        <v>7250</v>
      </c>
      <c r="F2102" s="151"/>
      <c r="G2102" s="52" t="str">
        <f t="shared" si="36"/>
        <v>C0 E6:牛头天王之斧</v>
      </c>
    </row>
    <row r="2103" spans="1:7">
      <c r="A2103" s="24" t="s">
        <v>5650</v>
      </c>
      <c r="B2103" s="24" t="s">
        <v>6145</v>
      </c>
      <c r="C2103" s="24" t="s">
        <v>6575</v>
      </c>
      <c r="D2103" s="151" t="s">
        <v>7251</v>
      </c>
      <c r="E2103" s="151" t="s">
        <v>7252</v>
      </c>
      <c r="F2103" s="151"/>
      <c r="G2103" s="52" t="str">
        <f t="shared" si="36"/>
        <v>48 E7:上总介之铠</v>
      </c>
    </row>
    <row r="2104" spans="1:7">
      <c r="A2104" s="24" t="s">
        <v>5650</v>
      </c>
      <c r="B2104" s="24" t="s">
        <v>6145</v>
      </c>
      <c r="C2104" s="24" t="s">
        <v>6575</v>
      </c>
      <c r="D2104" s="151" t="s">
        <v>7253</v>
      </c>
      <c r="E2104" s="151" t="s">
        <v>3834</v>
      </c>
      <c r="F2104" s="151"/>
      <c r="G2104" s="52" t="str">
        <f t="shared" si="36"/>
        <v>50 E7:光世锁镰</v>
      </c>
    </row>
    <row r="2105" spans="1:7">
      <c r="A2105" s="24" t="s">
        <v>5650</v>
      </c>
      <c r="B2105" s="24" t="s">
        <v>6145</v>
      </c>
      <c r="C2105" s="24" t="s">
        <v>6575</v>
      </c>
      <c r="D2105" s="151" t="s">
        <v>7254</v>
      </c>
      <c r="E2105" s="151" t="s">
        <v>3632</v>
      </c>
      <c r="F2105" s="151"/>
      <c r="G2105" s="52" t="str">
        <f t="shared" si="36"/>
        <v>D8 E9:穴泽流薙刀镰</v>
      </c>
    </row>
    <row r="2106" spans="1:7">
      <c r="A2106" s="24" t="s">
        <v>5650</v>
      </c>
      <c r="B2106" s="24" t="s">
        <v>6145</v>
      </c>
      <c r="C2106" s="24" t="s">
        <v>6575</v>
      </c>
      <c r="D2106" s="151" t="s">
        <v>7255</v>
      </c>
      <c r="E2106" s="151" t="s">
        <v>3526</v>
      </c>
      <c r="F2106" s="151"/>
      <c r="G2106" s="52" t="str">
        <f t="shared" si="36"/>
        <v>F2 E9:红蜘蛛</v>
      </c>
    </row>
    <row r="2107" spans="1:7">
      <c r="A2107" s="24" t="s">
        <v>5650</v>
      </c>
      <c r="B2107" s="24" t="s">
        <v>6145</v>
      </c>
      <c r="C2107" s="24" t="s">
        <v>6575</v>
      </c>
      <c r="D2107" s="151" t="s">
        <v>7256</v>
      </c>
      <c r="E2107" s="151" t="s">
        <v>3414</v>
      </c>
      <c r="F2107" s="151"/>
      <c r="G2107" s="52" t="str">
        <f t="shared" si="36"/>
        <v>A9 EA:人间无骨</v>
      </c>
    </row>
    <row r="2108" spans="1:7">
      <c r="A2108" s="24" t="s">
        <v>5650</v>
      </c>
      <c r="B2108" s="24" t="s">
        <v>6145</v>
      </c>
      <c r="C2108" s="24" t="s">
        <v>6575</v>
      </c>
      <c r="D2108" s="151" t="s">
        <v>7257</v>
      </c>
      <c r="E2108" s="151" t="s">
        <v>3434</v>
      </c>
      <c r="F2108" s="151"/>
      <c r="G2108" s="52" t="str">
        <f t="shared" si="36"/>
        <v>15 EB:一玄居士之枪</v>
      </c>
    </row>
    <row r="2109" spans="1:7">
      <c r="A2109" s="24" t="s">
        <v>5650</v>
      </c>
      <c r="B2109" s="24" t="s">
        <v>6145</v>
      </c>
      <c r="C2109" s="24" t="s">
        <v>6575</v>
      </c>
      <c r="D2109" s="151" t="s">
        <v>7258</v>
      </c>
      <c r="E2109" s="151" t="s">
        <v>7259</v>
      </c>
      <c r="F2109" s="151"/>
      <c r="G2109" s="52" t="str">
        <f t="shared" si="36"/>
        <v>5B EB:象鼻头盔</v>
      </c>
    </row>
    <row r="2110" spans="1:7">
      <c r="A2110" s="24" t="s">
        <v>5650</v>
      </c>
      <c r="B2110" s="24" t="s">
        <v>6145</v>
      </c>
      <c r="C2110" s="24" t="s">
        <v>6575</v>
      </c>
      <c r="D2110" s="151" t="s">
        <v>7260</v>
      </c>
      <c r="E2110" s="151" t="s">
        <v>4074</v>
      </c>
      <c r="F2110" s="151"/>
      <c r="G2110" s="52" t="str">
        <f t="shared" si="36"/>
        <v>6B EB:镇西八郎之弓</v>
      </c>
    </row>
    <row r="2111" spans="1:7">
      <c r="A2111" s="24" t="s">
        <v>5650</v>
      </c>
      <c r="B2111" s="24" t="s">
        <v>6145</v>
      </c>
      <c r="C2111" s="24" t="s">
        <v>6575</v>
      </c>
      <c r="D2111" s="151" t="s">
        <v>7261</v>
      </c>
      <c r="E2111" s="151" t="s">
        <v>7262</v>
      </c>
      <c r="F2111" s="151"/>
      <c r="G2111" s="52" t="str">
        <f t="shared" si="36"/>
        <v>1C EC:甲斐之虎铠甲</v>
      </c>
    </row>
    <row r="2112" spans="1:7">
      <c r="A2112" s="24" t="s">
        <v>5650</v>
      </c>
      <c r="B2112" s="24" t="s">
        <v>6145</v>
      </c>
      <c r="C2112" s="24" t="s">
        <v>6575</v>
      </c>
      <c r="D2112" s="151" t="s">
        <v>7263</v>
      </c>
      <c r="E2112" s="151" t="s">
        <v>7264</v>
      </c>
      <c r="F2112" s="151"/>
      <c r="G2112" s="52" t="str">
        <f t="shared" si="36"/>
        <v>75 EC:刑部轻铠</v>
      </c>
    </row>
    <row r="2113" spans="1:7">
      <c r="A2113" s="24" t="s">
        <v>5650</v>
      </c>
      <c r="B2113" s="24" t="s">
        <v>6145</v>
      </c>
      <c r="C2113" s="24" t="s">
        <v>6575</v>
      </c>
      <c r="D2113" s="151" t="s">
        <v>7265</v>
      </c>
      <c r="E2113" s="151" t="s">
        <v>3920</v>
      </c>
      <c r="F2113" s="151"/>
      <c r="G2113" s="52" t="str">
        <f t="shared" si="36"/>
        <v>9E EC:波切二丁斧</v>
      </c>
    </row>
    <row r="2114" spans="1:7">
      <c r="A2114" s="24" t="s">
        <v>5650</v>
      </c>
      <c r="B2114" s="24" t="s">
        <v>6145</v>
      </c>
      <c r="C2114" s="24" t="s">
        <v>6575</v>
      </c>
      <c r="D2114" s="151" t="s">
        <v>7266</v>
      </c>
      <c r="E2114" s="151" t="s">
        <v>7267</v>
      </c>
      <c r="F2114" s="151"/>
      <c r="G2114" s="52" t="str">
        <f t="shared" si="36"/>
        <v>A7 EC:三池典太·编笠</v>
      </c>
    </row>
    <row r="2115" spans="1:7">
      <c r="A2115" s="24" t="s">
        <v>5650</v>
      </c>
      <c r="B2115" s="24" t="s">
        <v>6145</v>
      </c>
      <c r="C2115" s="24" t="s">
        <v>6575</v>
      </c>
      <c r="D2115" s="151" t="s">
        <v>7268</v>
      </c>
      <c r="E2115" s="151" t="s">
        <v>7235</v>
      </c>
      <c r="F2115" s="151"/>
      <c r="G2115" s="52" t="str">
        <f t="shared" si="36"/>
        <v>AE EC:善擦帽子</v>
      </c>
    </row>
    <row r="2116" spans="1:7">
      <c r="A2116" s="24" t="s">
        <v>5650</v>
      </c>
      <c r="B2116" s="24" t="s">
        <v>6145</v>
      </c>
      <c r="C2116" s="24" t="s">
        <v>6575</v>
      </c>
      <c r="D2116" s="151" t="s">
        <v>7269</v>
      </c>
      <c r="E2116" s="151" t="s">
        <v>7270</v>
      </c>
      <c r="F2116" s="151"/>
      <c r="G2116" s="52" t="str">
        <f t="shared" si="36"/>
        <v>AF EC:狱卒之斧</v>
      </c>
    </row>
    <row r="2117" spans="1:7">
      <c r="A2117" s="24" t="s">
        <v>5650</v>
      </c>
      <c r="B2117" s="24" t="s">
        <v>6145</v>
      </c>
      <c r="C2117" s="24" t="s">
        <v>6575</v>
      </c>
      <c r="D2117" s="151" t="s">
        <v>7271</v>
      </c>
      <c r="E2117" s="151" t="s">
        <v>7272</v>
      </c>
      <c r="F2117" s="151"/>
      <c r="G2117" s="52" t="str">
        <f t="shared" si="36"/>
        <v>B1 EC:水军装束</v>
      </c>
    </row>
    <row r="2118" spans="1:7">
      <c r="A2118" s="24" t="s">
        <v>5650</v>
      </c>
      <c r="B2118" s="24" t="s">
        <v>6145</v>
      </c>
      <c r="C2118" s="24" t="s">
        <v>6575</v>
      </c>
      <c r="D2118" s="151" t="s">
        <v>7273</v>
      </c>
      <c r="E2118" s="151" t="s">
        <v>7274</v>
      </c>
      <c r="F2118" s="151"/>
      <c r="G2118" s="52" t="str">
        <f t="shared" si="36"/>
        <v>41 ED:晒衣杆</v>
      </c>
    </row>
    <row r="2119" spans="1:7">
      <c r="A2119" s="24" t="s">
        <v>5650</v>
      </c>
      <c r="B2119" s="24" t="s">
        <v>6145</v>
      </c>
      <c r="C2119" s="24" t="s">
        <v>6575</v>
      </c>
      <c r="D2119" s="151" t="s">
        <v>7275</v>
      </c>
      <c r="E2119" s="151" t="s">
        <v>3731</v>
      </c>
      <c r="F2119" s="151"/>
      <c r="G2119" s="52" t="str">
        <f t="shared" si="36"/>
        <v>51 EF:鬼泪村正</v>
      </c>
    </row>
    <row r="2120" spans="1:7">
      <c r="A2120" s="24" t="s">
        <v>5650</v>
      </c>
      <c r="B2120" s="24" t="s">
        <v>6145</v>
      </c>
      <c r="C2120" s="24" t="s">
        <v>6575</v>
      </c>
      <c r="D2120" s="151" t="s">
        <v>7276</v>
      </c>
      <c r="E2120" s="151" t="s">
        <v>7277</v>
      </c>
      <c r="F2120" s="151"/>
      <c r="G2120" s="52" t="str">
        <f t="shared" ref="G2120:G2160" si="37">D2120&amp;":"&amp;E2120</f>
        <v>7F EF:唐皮铠</v>
      </c>
    </row>
    <row r="2121" spans="1:7">
      <c r="A2121" s="24" t="s">
        <v>5650</v>
      </c>
      <c r="B2121" s="24" t="s">
        <v>6145</v>
      </c>
      <c r="C2121" s="24" t="s">
        <v>6575</v>
      </c>
      <c r="D2121" s="151" t="s">
        <v>7278</v>
      </c>
      <c r="E2121" s="151" t="s">
        <v>3312</v>
      </c>
      <c r="F2121" s="151"/>
      <c r="G2121" s="52" t="str">
        <f t="shared" si="37"/>
        <v>D9 EF:鬼切</v>
      </c>
    </row>
    <row r="2122" spans="1:7">
      <c r="A2122" s="24" t="s">
        <v>5650</v>
      </c>
      <c r="B2122" s="24" t="s">
        <v>6145</v>
      </c>
      <c r="C2122" s="24" t="s">
        <v>6575</v>
      </c>
      <c r="D2122" s="151" t="s">
        <v>7279</v>
      </c>
      <c r="E2122" s="151" t="s">
        <v>7280</v>
      </c>
      <c r="F2122" s="151"/>
      <c r="G2122" s="52" t="str">
        <f t="shared" si="37"/>
        <v>40 F0:智慧伊豆之衣</v>
      </c>
    </row>
    <row r="2123" spans="1:7">
      <c r="A2123" s="24" t="s">
        <v>5650</v>
      </c>
      <c r="B2123" s="24" t="s">
        <v>6145</v>
      </c>
      <c r="C2123" s="24" t="s">
        <v>6575</v>
      </c>
      <c r="D2123" s="151" t="s">
        <v>7281</v>
      </c>
      <c r="E2123" s="151" t="s">
        <v>7282</v>
      </c>
      <c r="F2123" s="151"/>
      <c r="G2123" s="52" t="str">
        <f t="shared" si="37"/>
        <v>84 F0:傲世才子之铠</v>
      </c>
    </row>
    <row r="2124" spans="1:7">
      <c r="A2124" s="24" t="s">
        <v>5650</v>
      </c>
      <c r="B2124" s="24" t="s">
        <v>6145</v>
      </c>
      <c r="C2124" s="24" t="s">
        <v>6575</v>
      </c>
      <c r="D2124" s="151" t="s">
        <v>7283</v>
      </c>
      <c r="E2124" s="151" t="s">
        <v>7284</v>
      </c>
      <c r="F2124" s="151"/>
      <c r="G2124" s="52" t="str">
        <f t="shared" si="37"/>
        <v>BA F0:独眼剑豪之衣</v>
      </c>
    </row>
    <row r="2125" spans="1:7">
      <c r="A2125" s="24" t="s">
        <v>5650</v>
      </c>
      <c r="B2125" s="24" t="s">
        <v>6145</v>
      </c>
      <c r="C2125" s="24" t="s">
        <v>6575</v>
      </c>
      <c r="D2125" s="151" t="s">
        <v>7285</v>
      </c>
      <c r="E2125" s="151" t="s">
        <v>7286</v>
      </c>
      <c r="F2125" s="151"/>
      <c r="G2125" s="52" t="str">
        <f t="shared" si="37"/>
        <v>84 F1:过往名军师衣装</v>
      </c>
    </row>
    <row r="2126" spans="1:7">
      <c r="A2126" s="24" t="s">
        <v>5650</v>
      </c>
      <c r="B2126" s="24" t="s">
        <v>6145</v>
      </c>
      <c r="C2126" s="24" t="s">
        <v>6575</v>
      </c>
      <c r="D2126" s="151" t="s">
        <v>7287</v>
      </c>
      <c r="E2126" s="151" t="s">
        <v>7288</v>
      </c>
      <c r="F2126" s="151"/>
      <c r="G2126" s="52" t="str">
        <f t="shared" si="37"/>
        <v>10 F3:乌帽子形盔</v>
      </c>
    </row>
    <row r="2127" spans="1:7">
      <c r="A2127" s="24" t="s">
        <v>5650</v>
      </c>
      <c r="B2127" s="24" t="s">
        <v>6145</v>
      </c>
      <c r="C2127" s="24" t="s">
        <v>6575</v>
      </c>
      <c r="D2127" s="151" t="s">
        <v>7289</v>
      </c>
      <c r="E2127" s="151" t="s">
        <v>4679</v>
      </c>
      <c r="F2127" s="151"/>
      <c r="G2127" s="52" t="str">
        <f t="shared" si="37"/>
        <v>82 F3:夜袭护颊</v>
      </c>
    </row>
    <row r="2128" spans="1:7">
      <c r="A2128" s="24" t="s">
        <v>5650</v>
      </c>
      <c r="B2128" s="24" t="s">
        <v>6145</v>
      </c>
      <c r="C2128" s="24" t="s">
        <v>6575</v>
      </c>
      <c r="D2128" s="151" t="s">
        <v>7290</v>
      </c>
      <c r="E2128" s="151" t="s">
        <v>3328</v>
      </c>
      <c r="F2128" s="151"/>
      <c r="G2128" s="52" t="str">
        <f t="shared" si="37"/>
        <v>A8 F3:长曾祢虎彻</v>
      </c>
    </row>
    <row r="2129" spans="1:7">
      <c r="A2129" s="24" t="s">
        <v>5650</v>
      </c>
      <c r="B2129" s="24" t="s">
        <v>6145</v>
      </c>
      <c r="C2129" s="24" t="s">
        <v>6575</v>
      </c>
      <c r="D2129" s="151" t="s">
        <v>7291</v>
      </c>
      <c r="E2129" s="151" t="s">
        <v>4064</v>
      </c>
      <c r="F2129" s="151"/>
      <c r="G2129" s="52" t="str">
        <f t="shared" si="37"/>
        <v>BD F3:五人弓</v>
      </c>
    </row>
    <row r="2130" spans="1:7">
      <c r="A2130" s="24" t="s">
        <v>5650</v>
      </c>
      <c r="B2130" s="24" t="s">
        <v>6145</v>
      </c>
      <c r="C2130" s="24" t="s">
        <v>6575</v>
      </c>
      <c r="D2130" s="151" t="s">
        <v>7292</v>
      </c>
      <c r="E2130" s="151" t="s">
        <v>3926</v>
      </c>
      <c r="F2130" s="151"/>
      <c r="G2130" s="52" t="str">
        <f t="shared" si="37"/>
        <v>5D F4:污迹手斧·锈蚀镰</v>
      </c>
    </row>
    <row r="2131" spans="1:7">
      <c r="A2131" s="24" t="s">
        <v>5650</v>
      </c>
      <c r="B2131" s="24" t="s">
        <v>6145</v>
      </c>
      <c r="C2131" s="24" t="s">
        <v>6575</v>
      </c>
      <c r="D2131" s="151" t="s">
        <v>7293</v>
      </c>
      <c r="E2131" s="151" t="s">
        <v>3430</v>
      </c>
      <c r="F2131" s="151"/>
      <c r="G2131" s="52" t="str">
        <f t="shared" si="37"/>
        <v>76 F4:狱妖之枪</v>
      </c>
    </row>
    <row r="2132" spans="1:7">
      <c r="A2132" s="24" t="s">
        <v>5650</v>
      </c>
      <c r="B2132" s="24" t="s">
        <v>6145</v>
      </c>
      <c r="C2132" s="24" t="s">
        <v>6575</v>
      </c>
      <c r="D2132" s="151" t="s">
        <v>7294</v>
      </c>
      <c r="E2132" s="151" t="s">
        <v>7295</v>
      </c>
      <c r="F2132" s="151"/>
      <c r="G2132" s="52" t="str">
        <f t="shared" si="37"/>
        <v>D8 F4:东国无双之铠</v>
      </c>
    </row>
    <row r="2133" spans="1:7">
      <c r="A2133" s="24" t="s">
        <v>5650</v>
      </c>
      <c r="B2133" s="24" t="s">
        <v>6145</v>
      </c>
      <c r="C2133" s="24" t="s">
        <v>6575</v>
      </c>
      <c r="D2133" s="151" t="s">
        <v>7296</v>
      </c>
      <c r="E2133" s="151" t="s">
        <v>3871</v>
      </c>
      <c r="F2133" s="151"/>
      <c r="G2133" s="52" t="str">
        <f t="shared" si="37"/>
        <v>2F F6:金刚旋杵</v>
      </c>
    </row>
    <row r="2134" spans="1:7">
      <c r="A2134" s="24" t="s">
        <v>5650</v>
      </c>
      <c r="B2134" s="24" t="s">
        <v>6145</v>
      </c>
      <c r="C2134" s="24" t="s">
        <v>6575</v>
      </c>
      <c r="D2134" s="151" t="s">
        <v>7297</v>
      </c>
      <c r="E2134" s="151" t="s">
        <v>7298</v>
      </c>
      <c r="F2134" s="151"/>
      <c r="G2134" s="52" t="str">
        <f t="shared" si="37"/>
        <v>25 F7:星切太刀</v>
      </c>
    </row>
    <row r="2135" spans="1:7">
      <c r="A2135" s="24" t="s">
        <v>5650</v>
      </c>
      <c r="B2135" s="24" t="s">
        <v>6145</v>
      </c>
      <c r="C2135" s="24" t="s">
        <v>6575</v>
      </c>
      <c r="D2135" s="151" t="s">
        <v>7299</v>
      </c>
      <c r="E2135" s="151" t="s">
        <v>7300</v>
      </c>
      <c r="F2135" s="151"/>
      <c r="G2135" s="52" t="str">
        <f t="shared" si="37"/>
        <v>EE F7:错轮纹立缨后立盔</v>
      </c>
    </row>
    <row r="2136" spans="1:7">
      <c r="A2136" s="24" t="s">
        <v>5650</v>
      </c>
      <c r="B2136" s="24" t="s">
        <v>6145</v>
      </c>
      <c r="C2136" s="24" t="s">
        <v>6575</v>
      </c>
      <c r="D2136" s="151" t="s">
        <v>7301</v>
      </c>
      <c r="E2136" s="151" t="s">
        <v>7302</v>
      </c>
      <c r="F2136" s="151"/>
      <c r="G2136" s="52" t="str">
        <f t="shared" si="37"/>
        <v>B9 F8:万鬼之铠</v>
      </c>
    </row>
    <row r="2137" spans="1:7">
      <c r="A2137" s="24" t="s">
        <v>5650</v>
      </c>
      <c r="B2137" s="24" t="s">
        <v>6145</v>
      </c>
      <c r="C2137" s="24" t="s">
        <v>6575</v>
      </c>
      <c r="D2137" s="151" t="s">
        <v>7303</v>
      </c>
      <c r="E2137" s="151" t="s">
        <v>3355</v>
      </c>
      <c r="F2137" s="151"/>
      <c r="G2137" s="52" t="str">
        <f t="shared" si="37"/>
        <v>BC F8:染血双锲</v>
      </c>
    </row>
    <row r="2138" spans="1:7">
      <c r="A2138" s="24" t="s">
        <v>5650</v>
      </c>
      <c r="B2138" s="24" t="s">
        <v>6145</v>
      </c>
      <c r="C2138" s="24" t="s">
        <v>6575</v>
      </c>
      <c r="D2138" s="151" t="s">
        <v>7304</v>
      </c>
      <c r="E2138" s="151" t="s">
        <v>3310</v>
      </c>
      <c r="F2138" s="151"/>
      <c r="G2138" s="52" t="str">
        <f t="shared" si="37"/>
        <v>26 F9:薄绿</v>
      </c>
    </row>
    <row r="2139" spans="1:7">
      <c r="A2139" s="24" t="s">
        <v>5650</v>
      </c>
      <c r="B2139" s="24" t="s">
        <v>6145</v>
      </c>
      <c r="C2139" s="24" t="s">
        <v>6575</v>
      </c>
      <c r="D2139" s="151" t="s">
        <v>7305</v>
      </c>
      <c r="E2139" s="151" t="s">
        <v>3740</v>
      </c>
      <c r="F2139" s="151"/>
      <c r="G2139" s="52" t="str">
        <f t="shared" si="37"/>
        <v>42 F9:实休光忠</v>
      </c>
    </row>
    <row r="2140" spans="1:7">
      <c r="A2140" s="24" t="s">
        <v>5650</v>
      </c>
      <c r="B2140" s="24" t="s">
        <v>6145</v>
      </c>
      <c r="C2140" s="24" t="s">
        <v>6575</v>
      </c>
      <c r="D2140" s="151" t="s">
        <v>7306</v>
      </c>
      <c r="E2140" s="151" t="s">
        <v>3349</v>
      </c>
      <c r="F2140" s="151"/>
      <c r="G2140" s="52" t="str">
        <f t="shared" si="37"/>
        <v>85 F9:地狱锯</v>
      </c>
    </row>
    <row r="2141" spans="1:7">
      <c r="A2141" s="24" t="s">
        <v>5650</v>
      </c>
      <c r="B2141" s="24" t="s">
        <v>6145</v>
      </c>
      <c r="C2141" s="24" t="s">
        <v>6575</v>
      </c>
      <c r="D2141" s="151" t="s">
        <v>7307</v>
      </c>
      <c r="E2141" s="151" t="s">
        <v>7308</v>
      </c>
      <c r="F2141" s="151"/>
      <c r="G2141" s="52" t="str">
        <f t="shared" si="37"/>
        <v>B0 FA:大目付忍装束</v>
      </c>
    </row>
    <row r="2142" spans="1:7">
      <c r="A2142" s="24" t="s">
        <v>5650</v>
      </c>
      <c r="B2142" s="24" t="s">
        <v>6145</v>
      </c>
      <c r="C2142" s="24" t="s">
        <v>6575</v>
      </c>
      <c r="D2142" s="151" t="s">
        <v>7309</v>
      </c>
      <c r="E2142" s="151" t="s">
        <v>7310</v>
      </c>
      <c r="F2142" s="151"/>
      <c r="G2142" s="52" t="str">
        <f t="shared" si="37"/>
        <v>5A FB:酒吞童子的面具</v>
      </c>
    </row>
    <row r="2143" spans="1:7">
      <c r="A2143" s="24" t="s">
        <v>5650</v>
      </c>
      <c r="B2143" s="24" t="s">
        <v>6145</v>
      </c>
      <c r="C2143" s="24" t="s">
        <v>6575</v>
      </c>
      <c r="D2143" s="151" t="s">
        <v>7311</v>
      </c>
      <c r="E2143" s="151" t="s">
        <v>4365</v>
      </c>
      <c r="F2143" s="151"/>
      <c r="G2143" s="52" t="str">
        <f t="shared" si="37"/>
        <v>70 FB:道服裤裙</v>
      </c>
    </row>
    <row r="2144" spans="1:7">
      <c r="A2144" s="24" t="s">
        <v>5650</v>
      </c>
      <c r="B2144" s="24" t="s">
        <v>6145</v>
      </c>
      <c r="C2144" s="24" t="s">
        <v>6575</v>
      </c>
      <c r="D2144" s="151" t="s">
        <v>7312</v>
      </c>
      <c r="E2144" s="151" t="s">
        <v>3649</v>
      </c>
      <c r="F2144" s="151"/>
      <c r="G2144" s="52" t="str">
        <f t="shared" si="37"/>
        <v>10 FD:白莲手甲</v>
      </c>
    </row>
    <row r="2145" spans="1:7">
      <c r="A2145" s="24" t="s">
        <v>5650</v>
      </c>
      <c r="B2145" s="24" t="s">
        <v>6145</v>
      </c>
      <c r="C2145" s="24" t="s">
        <v>6575</v>
      </c>
      <c r="D2145" s="151" t="s">
        <v>7313</v>
      </c>
      <c r="E2145" s="151" t="s">
        <v>3616</v>
      </c>
      <c r="F2145" s="151"/>
      <c r="G2145" s="52" t="str">
        <f t="shared" si="37"/>
        <v>2A FD:凤凰翼</v>
      </c>
    </row>
    <row r="2146" spans="1:7">
      <c r="A2146" s="24" t="s">
        <v>5650</v>
      </c>
      <c r="B2146" s="24" t="s">
        <v>6145</v>
      </c>
      <c r="C2146" s="24" t="s">
        <v>6575</v>
      </c>
      <c r="D2146" s="151" t="s">
        <v>7314</v>
      </c>
      <c r="E2146" s="151" t="s">
        <v>3798</v>
      </c>
      <c r="F2146" s="151"/>
      <c r="G2146" s="52" t="str">
        <f t="shared" si="37"/>
        <v>27 FE:斩朽绳</v>
      </c>
    </row>
    <row r="2147" spans="1:7">
      <c r="A2147" s="24" t="s">
        <v>5650</v>
      </c>
      <c r="B2147" s="24" t="s">
        <v>6145</v>
      </c>
      <c r="C2147" s="24" t="s">
        <v>6575</v>
      </c>
      <c r="D2147" s="151" t="s">
        <v>7315</v>
      </c>
      <c r="E2147" s="151" t="s">
        <v>3959</v>
      </c>
      <c r="F2147" s="151"/>
      <c r="G2147" s="52" t="str">
        <f t="shared" si="37"/>
        <v>C0 FE:怒涛机关棍</v>
      </c>
    </row>
    <row r="2148" spans="1:7">
      <c r="A2148" s="24" t="s">
        <v>5650</v>
      </c>
      <c r="B2148" s="24" t="s">
        <v>6145</v>
      </c>
      <c r="C2148" s="24" t="s">
        <v>6575</v>
      </c>
      <c r="D2148" s="151" t="s">
        <v>7316</v>
      </c>
      <c r="E2148" s="151" t="s">
        <v>7317</v>
      </c>
      <c r="F2148" s="151"/>
      <c r="G2148" s="52" t="str">
        <f t="shared" si="37"/>
        <v>2B FF:活魂石</v>
      </c>
    </row>
    <row r="2149" spans="1:7">
      <c r="A2149" s="24" t="s">
        <v>5650</v>
      </c>
      <c r="B2149" s="24" t="s">
        <v>6145</v>
      </c>
      <c r="C2149" s="24" t="s">
        <v>6575</v>
      </c>
      <c r="D2149" s="151" t="s">
        <v>7318</v>
      </c>
      <c r="E2149" s="151" t="s">
        <v>7319</v>
      </c>
      <c r="F2149" s="151"/>
      <c r="G2149" s="52" t="str">
        <f t="shared" si="37"/>
        <v>35 FF:水神切兼光</v>
      </c>
    </row>
    <row r="2150" spans="1:7">
      <c r="A2150" s="24" t="s">
        <v>5650</v>
      </c>
      <c r="B2150" s="24" t="s">
        <v>6145</v>
      </c>
      <c r="C2150" s="24" t="s">
        <v>6575</v>
      </c>
      <c r="D2150" s="151" t="s">
        <v>7320</v>
      </c>
      <c r="E2150" s="151" t="s">
        <v>3310</v>
      </c>
      <c r="F2150" s="151"/>
      <c r="G2150" s="52" t="str">
        <f t="shared" si="37"/>
        <v>8B FF:薄绿</v>
      </c>
    </row>
    <row r="2151" spans="1:7">
      <c r="A2151" s="24" t="s">
        <v>7321</v>
      </c>
      <c r="B2151" s="24" t="s">
        <v>7321</v>
      </c>
      <c r="C2151" s="24" t="s">
        <v>7321</v>
      </c>
      <c r="D2151" s="151" t="s">
        <v>7322</v>
      </c>
      <c r="E2151" s="151" t="s">
        <v>7323</v>
      </c>
      <c r="F2151" s="151"/>
      <c r="G2151" s="52" t="str">
        <f t="shared" ref="G2151:G2187" si="38">D2151&amp;":"&amp;E2151</f>
        <v>82 1E:百境百怪绘卷</v>
      </c>
    </row>
    <row r="2152" spans="1:7">
      <c r="A2152" s="24" t="s">
        <v>7321</v>
      </c>
      <c r="B2152" s="24" t="s">
        <v>7321</v>
      </c>
      <c r="C2152" s="24" t="s">
        <v>7321</v>
      </c>
      <c r="D2152" s="151" t="s">
        <v>7324</v>
      </c>
      <c r="E2152" s="151" t="s">
        <v>7325</v>
      </c>
      <c r="F2152" s="151"/>
      <c r="G2152" s="52" t="str">
        <f t="shared" si="38"/>
        <v>6D 51:百境百怪绘卷·将军</v>
      </c>
    </row>
    <row r="2153" spans="1:7">
      <c r="A2153" s="24" t="s">
        <v>7321</v>
      </c>
      <c r="B2153" s="24" t="s">
        <v>7321</v>
      </c>
      <c r="C2153" s="24" t="s">
        <v>7321</v>
      </c>
      <c r="D2153" s="151" t="s">
        <v>7326</v>
      </c>
      <c r="E2153" s="151" t="s">
        <v>7327</v>
      </c>
      <c r="F2153" s="151"/>
      <c r="G2153" s="52" t="str">
        <f t="shared" si="38"/>
        <v>04 E6:百境百怪绘卷·顿悟</v>
      </c>
    </row>
    <row r="2154" spans="1:7">
      <c r="A2154" s="24" t="s">
        <v>7321</v>
      </c>
      <c r="B2154" s="24" t="s">
        <v>7321</v>
      </c>
      <c r="C2154" s="24" t="s">
        <v>7321</v>
      </c>
      <c r="D2154" s="151" t="s">
        <v>7328</v>
      </c>
      <c r="E2154" s="151" t="s">
        <v>7329</v>
      </c>
      <c r="F2154" s="151"/>
      <c r="G2154" s="52" t="str">
        <f t="shared" si="38"/>
        <v>82 DD:百境百怪绘卷·仁王</v>
      </c>
    </row>
    <row r="2155" spans="1:7">
      <c r="A2155" s="24" t="s">
        <v>7330</v>
      </c>
      <c r="B2155" s="24" t="s">
        <v>6188</v>
      </c>
      <c r="C2155" s="24" t="s">
        <v>6188</v>
      </c>
      <c r="D2155" s="151" t="s">
        <v>7331</v>
      </c>
      <c r="E2155" s="151" t="s">
        <v>6188</v>
      </c>
      <c r="F2155" s="151"/>
      <c r="G2155" s="52" t="str">
        <f t="shared" si="38"/>
        <v>EE F3:箭</v>
      </c>
    </row>
    <row r="2156" spans="1:7">
      <c r="A2156" s="24" t="s">
        <v>7330</v>
      </c>
      <c r="B2156" s="24" t="s">
        <v>6188</v>
      </c>
      <c r="C2156" s="24" t="s">
        <v>6188</v>
      </c>
      <c r="D2156" s="151" t="s">
        <v>7332</v>
      </c>
      <c r="E2156" s="151" t="s">
        <v>6153</v>
      </c>
      <c r="F2156" s="151"/>
      <c r="G2156" s="52" t="str">
        <f t="shared" si="38"/>
        <v>0B A7:火箭</v>
      </c>
    </row>
    <row r="2157" spans="1:7">
      <c r="A2157" s="24" t="s">
        <v>7330</v>
      </c>
      <c r="B2157" s="24" t="s">
        <v>7333</v>
      </c>
      <c r="C2157" s="24" t="s">
        <v>7333</v>
      </c>
      <c r="D2157" s="151" t="s">
        <v>7334</v>
      </c>
      <c r="E2157" s="151" t="s">
        <v>7333</v>
      </c>
      <c r="F2157" s="151"/>
      <c r="G2157" s="52" t="str">
        <f t="shared" si="38"/>
        <v>CF 79:枪弹</v>
      </c>
    </row>
    <row r="2158" spans="1:7">
      <c r="A2158" s="24" t="s">
        <v>7330</v>
      </c>
      <c r="B2158" s="24" t="s">
        <v>7333</v>
      </c>
      <c r="C2158" s="24" t="s">
        <v>7333</v>
      </c>
      <c r="D2158" s="151" t="s">
        <v>7335</v>
      </c>
      <c r="E2158" s="151" t="s">
        <v>7336</v>
      </c>
      <c r="F2158" s="151"/>
      <c r="G2158" s="52" t="str">
        <f t="shared" si="38"/>
        <v>B0 B1:轰音枪弹</v>
      </c>
    </row>
    <row r="2159" spans="1:7">
      <c r="A2159" s="24" t="s">
        <v>7330</v>
      </c>
      <c r="B2159" s="24" t="s">
        <v>7337</v>
      </c>
      <c r="C2159" s="24" t="s">
        <v>7337</v>
      </c>
      <c r="D2159" s="151" t="s">
        <v>7338</v>
      </c>
      <c r="E2159" s="151" t="s">
        <v>7337</v>
      </c>
      <c r="F2159" s="151"/>
      <c r="G2159" s="52" t="str">
        <f t="shared" si="38"/>
        <v>A3 9D:炮弹</v>
      </c>
    </row>
    <row r="2160" spans="1:7">
      <c r="A2160" s="24" t="s">
        <v>7330</v>
      </c>
      <c r="B2160" s="24" t="s">
        <v>7337</v>
      </c>
      <c r="C2160" s="24" t="s">
        <v>7337</v>
      </c>
      <c r="D2160" s="151" t="s">
        <v>7339</v>
      </c>
      <c r="E2160" s="151" t="s">
        <v>7340</v>
      </c>
      <c r="F2160" s="151"/>
      <c r="G2160" s="52" t="str">
        <f t="shared" si="38"/>
        <v>C9 CE:炸裂炮弹</v>
      </c>
    </row>
    <row r="2161" spans="1:7">
      <c r="A2161" s="24" t="s">
        <v>7341</v>
      </c>
      <c r="B2161" s="24" t="s">
        <v>7341</v>
      </c>
      <c r="C2161" s="24" t="s">
        <v>7342</v>
      </c>
      <c r="D2161" s="151" t="s">
        <v>7343</v>
      </c>
      <c r="E2161" s="151" t="s">
        <v>7344</v>
      </c>
      <c r="F2161" s="151"/>
      <c r="G2161" s="52" t="str">
        <f t="shared" si="38"/>
        <v>00 F0:髓材（造成伤害）</v>
      </c>
    </row>
    <row r="2162" spans="1:7">
      <c r="A2162" s="24" t="s">
        <v>7341</v>
      </c>
      <c r="B2162" s="24" t="s">
        <v>7341</v>
      </c>
      <c r="C2162" s="24" t="s">
        <v>7342</v>
      </c>
      <c r="D2162" s="151" t="s">
        <v>7345</v>
      </c>
      <c r="E2162" s="151" t="s">
        <v>7346</v>
      </c>
      <c r="F2162" s="151"/>
      <c r="G2162" s="52" t="str">
        <f t="shared" si="38"/>
        <v>01 05:髓材（承受伤害）</v>
      </c>
    </row>
    <row r="2163" spans="1:7">
      <c r="A2163" s="24" t="s">
        <v>7341</v>
      </c>
      <c r="B2163" s="24" t="s">
        <v>7341</v>
      </c>
      <c r="C2163" s="24" t="s">
        <v>7342</v>
      </c>
      <c r="D2163" s="151" t="s">
        <v>7347</v>
      </c>
      <c r="E2163" s="151" t="s">
        <v>7348</v>
      </c>
      <c r="F2163" s="151"/>
      <c r="G2163" s="52" t="str">
        <f t="shared" si="38"/>
        <v>7B C5:髓材（精华槽）</v>
      </c>
    </row>
    <row r="2164" spans="1:7">
      <c r="A2164" s="24" t="s">
        <v>7341</v>
      </c>
      <c r="B2164" s="24" t="s">
        <v>7341</v>
      </c>
      <c r="C2164" s="24" t="s">
        <v>7342</v>
      </c>
      <c r="D2164" s="151" t="s">
        <v>7349</v>
      </c>
      <c r="E2164" s="151" t="s">
        <v>7350</v>
      </c>
      <c r="F2164" s="151"/>
      <c r="G2164" s="52" t="str">
        <f t="shared" si="38"/>
        <v>8D 3A:髓材（造成精力伤害）</v>
      </c>
    </row>
    <row r="2165" spans="1:7">
      <c r="A2165" s="24" t="s">
        <v>7341</v>
      </c>
      <c r="B2165" s="24" t="s">
        <v>7341</v>
      </c>
      <c r="C2165" s="24" t="s">
        <v>7342</v>
      </c>
      <c r="D2165" s="151" t="s">
        <v>7351</v>
      </c>
      <c r="E2165" s="151" t="s">
        <v>7352</v>
      </c>
      <c r="F2165" s="151"/>
      <c r="G2165" s="52" t="str">
        <f t="shared" si="38"/>
        <v>CD 2C:髓材（承受精力伤害和精力消耗）</v>
      </c>
    </row>
    <row r="2166" spans="1:7">
      <c r="A2166" s="24" t="s">
        <v>7341</v>
      </c>
      <c r="B2166" s="24" t="s">
        <v>7341</v>
      </c>
      <c r="C2166" s="24" t="s">
        <v>7342</v>
      </c>
      <c r="D2166" s="151" t="s">
        <v>7353</v>
      </c>
      <c r="E2166" s="151" t="s">
        <v>7354</v>
      </c>
      <c r="F2166" s="151"/>
      <c r="G2166" s="52" t="str">
        <f t="shared" si="38"/>
        <v>0A AB:髓材（移动、闪避）</v>
      </c>
    </row>
    <row r="2167" spans="1:7">
      <c r="A2167" s="24" t="s">
        <v>7341</v>
      </c>
      <c r="B2167" s="24" t="s">
        <v>7341</v>
      </c>
      <c r="C2167" s="24" t="s">
        <v>7342</v>
      </c>
      <c r="D2167" s="151" t="s">
        <v>7355</v>
      </c>
      <c r="E2167" s="151" t="s">
        <v>7356</v>
      </c>
      <c r="F2167" s="151"/>
      <c r="G2167" s="52" t="str">
        <f t="shared" si="38"/>
        <v>E4 55:髓材(造成异常状态）</v>
      </c>
    </row>
    <row r="2168" spans="1:7">
      <c r="A2168" s="24" t="s">
        <v>7341</v>
      </c>
      <c r="B2168" s="24" t="s">
        <v>7341</v>
      </c>
      <c r="C2168" s="24" t="s">
        <v>7342</v>
      </c>
      <c r="D2168" s="151" t="s">
        <v>7357</v>
      </c>
      <c r="E2168" s="151" t="s">
        <v>7358</v>
      </c>
      <c r="F2168" s="151"/>
      <c r="G2168" s="52" t="str">
        <f t="shared" si="38"/>
        <v>61 CB:髓材（承受异常状态）</v>
      </c>
    </row>
    <row r="2169" spans="1:7">
      <c r="A2169" s="24" t="s">
        <v>7341</v>
      </c>
      <c r="B2169" s="24" t="s">
        <v>7341</v>
      </c>
      <c r="C2169" s="24" t="s">
        <v>7342</v>
      </c>
      <c r="D2169" s="151" t="s">
        <v>7359</v>
      </c>
      <c r="E2169" s="151" t="s">
        <v>7360</v>
      </c>
      <c r="F2169" s="151"/>
      <c r="G2169" s="52" t="str">
        <f t="shared" si="38"/>
        <v>F8 BE:髓材（掉落)</v>
      </c>
    </row>
    <row r="2170" spans="1:7">
      <c r="A2170" s="24" t="s">
        <v>7341</v>
      </c>
      <c r="B2170" s="24" t="s">
        <v>7341</v>
      </c>
      <c r="C2170" s="24" t="s">
        <v>7342</v>
      </c>
      <c r="D2170" s="151" t="s">
        <v>7361</v>
      </c>
      <c r="E2170" s="151" t="s">
        <v>7362</v>
      </c>
      <c r="F2170" s="151"/>
      <c r="G2170" s="52" t="str">
        <f t="shared" si="38"/>
        <v>FD E8:髄材（恢复体力）</v>
      </c>
    </row>
    <row r="2171" spans="1:7">
      <c r="A2171" s="24" t="s">
        <v>7341</v>
      </c>
      <c r="B2171" s="24" t="s">
        <v>7341</v>
      </c>
      <c r="C2171" s="24" t="s">
        <v>7342</v>
      </c>
      <c r="D2171" s="151" t="s">
        <v>7363</v>
      </c>
      <c r="E2171" s="151" t="s">
        <v>7364</v>
      </c>
      <c r="F2171" s="151"/>
      <c r="G2171" s="52" t="str">
        <f t="shared" si="38"/>
        <v>2B D2:髄材（恢复精力）</v>
      </c>
    </row>
    <row r="2172" spans="1:7">
      <c r="A2172" s="24" t="s">
        <v>7341</v>
      </c>
      <c r="B2172" s="24" t="s">
        <v>7341</v>
      </c>
      <c r="C2172" s="24" t="s">
        <v>7342</v>
      </c>
      <c r="D2172" s="151" t="s">
        <v>7365</v>
      </c>
      <c r="E2172" s="151" t="s">
        <v>7366</v>
      </c>
      <c r="F2172" s="151"/>
      <c r="G2172" s="52" t="str">
        <f t="shared" si="38"/>
        <v>46 8B:髄材（灵力）</v>
      </c>
    </row>
    <row r="2173" spans="1:7">
      <c r="A2173" s="24" t="s">
        <v>7341</v>
      </c>
      <c r="B2173" s="24" t="s">
        <v>7341</v>
      </c>
      <c r="C2173" s="24" t="s">
        <v>7342</v>
      </c>
      <c r="D2173" s="151" t="s">
        <v>7367</v>
      </c>
      <c r="E2173" s="151" t="s">
        <v>7368</v>
      </c>
      <c r="F2173" s="151"/>
      <c r="G2173" s="52" t="str">
        <f t="shared" si="38"/>
        <v>63 7E:髄材（远距离）</v>
      </c>
    </row>
    <row r="2174" spans="1:7">
      <c r="A2174" s="24" t="s">
        <v>7341</v>
      </c>
      <c r="B2174" s="24" t="s">
        <v>7341</v>
      </c>
      <c r="C2174" s="24" t="s">
        <v>7342</v>
      </c>
      <c r="D2174" s="151" t="s">
        <v>7369</v>
      </c>
      <c r="E2174" s="151" t="s">
        <v>7370</v>
      </c>
      <c r="F2174" s="151"/>
      <c r="G2174" s="52" t="str">
        <f t="shared" si="38"/>
        <v>07 6F:髄材（特殊)</v>
      </c>
    </row>
    <row r="2175" spans="1:7">
      <c r="A2175" s="24" t="s">
        <v>7341</v>
      </c>
      <c r="B2175" s="24" t="s">
        <v>7341</v>
      </c>
      <c r="C2175" s="24" t="s">
        <v>7341</v>
      </c>
      <c r="D2175" s="151" t="s">
        <v>7371</v>
      </c>
      <c r="E2175" s="151" t="s">
        <v>7372</v>
      </c>
      <c r="F2175" s="151"/>
      <c r="G2175" s="52" t="str">
        <f t="shared" si="38"/>
        <v>41 FE:灵石炭</v>
      </c>
    </row>
    <row r="2176" spans="1:7">
      <c r="A2176" s="24" t="s">
        <v>7341</v>
      </c>
      <c r="B2176" s="24" t="s">
        <v>7341</v>
      </c>
      <c r="C2176" s="24" t="s">
        <v>7341</v>
      </c>
      <c r="D2176" s="151" t="s">
        <v>7373</v>
      </c>
      <c r="E2176" s="151" t="s">
        <v>7374</v>
      </c>
      <c r="F2176" s="151"/>
      <c r="G2176" s="52" t="str">
        <f t="shared" si="38"/>
        <v>9D AE:玉钢</v>
      </c>
    </row>
    <row r="2177" spans="1:7">
      <c r="A2177" s="24" t="s">
        <v>7341</v>
      </c>
      <c r="B2177" s="24" t="s">
        <v>7341</v>
      </c>
      <c r="C2177" s="24" t="s">
        <v>7341</v>
      </c>
      <c r="D2177" s="151" t="s">
        <v>7375</v>
      </c>
      <c r="E2177" s="151" t="s">
        <v>7376</v>
      </c>
      <c r="F2177" s="151"/>
      <c r="G2177" s="52" t="str">
        <f t="shared" si="38"/>
        <v>5E 17:木材</v>
      </c>
    </row>
    <row r="2178" spans="1:7">
      <c r="A2178" s="24" t="s">
        <v>7341</v>
      </c>
      <c r="B2178" s="24" t="s">
        <v>7341</v>
      </c>
      <c r="C2178" s="24" t="s">
        <v>7341</v>
      </c>
      <c r="D2178" s="151" t="s">
        <v>7377</v>
      </c>
      <c r="E2178" s="151" t="s">
        <v>7378</v>
      </c>
      <c r="F2178" s="151"/>
      <c r="G2178" s="52" t="str">
        <f t="shared" si="38"/>
        <v>F1 3E:铁铸块</v>
      </c>
    </row>
    <row r="2179" spans="1:7">
      <c r="A2179" s="24" t="s">
        <v>7341</v>
      </c>
      <c r="B2179" s="24" t="s">
        <v>7341</v>
      </c>
      <c r="C2179" s="24" t="s">
        <v>7341</v>
      </c>
      <c r="D2179" s="151" t="s">
        <v>7379</v>
      </c>
      <c r="E2179" s="151" t="s">
        <v>7380</v>
      </c>
      <c r="F2179" s="151"/>
      <c r="G2179" s="52" t="str">
        <f t="shared" si="38"/>
        <v>8B B3:漆</v>
      </c>
    </row>
    <row r="2180" spans="1:7">
      <c r="A2180" s="24" t="s">
        <v>7341</v>
      </c>
      <c r="B2180" s="24" t="s">
        <v>7341</v>
      </c>
      <c r="C2180" s="24" t="s">
        <v>7341</v>
      </c>
      <c r="D2180" s="151" t="s">
        <v>7381</v>
      </c>
      <c r="E2180" s="151" t="s">
        <v>7382</v>
      </c>
      <c r="F2180" s="151"/>
      <c r="G2180" s="52" t="str">
        <f t="shared" si="38"/>
        <v>AB AE:皮绳</v>
      </c>
    </row>
    <row r="2181" spans="1:7">
      <c r="A2181" s="24" t="s">
        <v>7341</v>
      </c>
      <c r="B2181" s="24" t="s">
        <v>7341</v>
      </c>
      <c r="C2181" s="24" t="s">
        <v>7341</v>
      </c>
      <c r="D2181" s="151" t="s">
        <v>7383</v>
      </c>
      <c r="E2181" s="151" t="s">
        <v>7384</v>
      </c>
      <c r="F2181" s="151"/>
      <c r="G2181" s="52" t="str">
        <f t="shared" si="38"/>
        <v>E7 98:皮甲片</v>
      </c>
    </row>
    <row r="2182" spans="1:7">
      <c r="A2182" s="24" t="s">
        <v>7341</v>
      </c>
      <c r="B2182" s="24" t="s">
        <v>7341</v>
      </c>
      <c r="C2182" s="24" t="s">
        <v>7341</v>
      </c>
      <c r="D2182" s="151" t="s">
        <v>7385</v>
      </c>
      <c r="E2182" s="151" t="s">
        <v>7386</v>
      </c>
      <c r="F2182" s="151"/>
      <c r="G2182" s="52" t="str">
        <f t="shared" si="38"/>
        <v>16 CE:铁甲片</v>
      </c>
    </row>
    <row r="2183" spans="1:7">
      <c r="A2183" s="24" t="s">
        <v>7341</v>
      </c>
      <c r="B2183" s="24" t="s">
        <v>7341</v>
      </c>
      <c r="C2183" s="24" t="s">
        <v>7341</v>
      </c>
      <c r="D2183" s="151" t="s">
        <v>7387</v>
      </c>
      <c r="E2183" s="151" t="s">
        <v>7388</v>
      </c>
      <c r="F2183" s="151"/>
      <c r="G2183" s="52" t="str">
        <f t="shared" si="38"/>
        <v>38 87:黄魂矿</v>
      </c>
    </row>
    <row r="2184" spans="1:7">
      <c r="A2184" s="24" t="s">
        <v>7341</v>
      </c>
      <c r="B2184" s="24" t="s">
        <v>7341</v>
      </c>
      <c r="C2184" s="24" t="s">
        <v>7341</v>
      </c>
      <c r="D2184" s="151" t="s">
        <v>7389</v>
      </c>
      <c r="E2184" s="151" t="s">
        <v>7390</v>
      </c>
      <c r="F2184" s="151"/>
      <c r="G2184" s="52" t="str">
        <f t="shared" si="38"/>
        <v>B7 9F:翠魂矿</v>
      </c>
    </row>
    <row r="2185" spans="1:7">
      <c r="A2185" s="24" t="s">
        <v>7341</v>
      </c>
      <c r="B2185" s="24" t="s">
        <v>7341</v>
      </c>
      <c r="C2185" s="24" t="s">
        <v>7341</v>
      </c>
      <c r="D2185" s="151" t="s">
        <v>7391</v>
      </c>
      <c r="E2185" s="151" t="s">
        <v>7392</v>
      </c>
      <c r="F2185" s="151"/>
      <c r="G2185" s="52" t="str">
        <f t="shared" si="38"/>
        <v>96 2B:碧魂矿</v>
      </c>
    </row>
    <row r="2186" spans="1:7">
      <c r="A2186" s="24" t="s">
        <v>7341</v>
      </c>
      <c r="B2186" s="24" t="s">
        <v>7341</v>
      </c>
      <c r="C2186" s="24" t="s">
        <v>7341</v>
      </c>
      <c r="D2186" s="151" t="s">
        <v>7393</v>
      </c>
      <c r="E2186" s="151" t="s">
        <v>7394</v>
      </c>
      <c r="F2186" s="151"/>
      <c r="G2186" s="52" t="str">
        <f t="shared" si="38"/>
        <v>73 A1:鬼角</v>
      </c>
    </row>
    <row r="2187" spans="1:7">
      <c r="A2187" s="24" t="s">
        <v>7341</v>
      </c>
      <c r="B2187" s="24" t="s">
        <v>7341</v>
      </c>
      <c r="C2187" s="24" t="s">
        <v>7395</v>
      </c>
      <c r="D2187" s="151" t="s">
        <v>7396</v>
      </c>
      <c r="E2187" s="151" t="s">
        <v>7397</v>
      </c>
      <c r="F2187" s="151"/>
      <c r="G2187" s="52" t="str">
        <f t="shared" si="38"/>
        <v>36 6A:河童的背甲</v>
      </c>
    </row>
    <row r="2188" spans="1:7">
      <c r="A2188" s="24" t="s">
        <v>7341</v>
      </c>
      <c r="B2188" s="24" t="s">
        <v>7341</v>
      </c>
      <c r="C2188" s="24" t="s">
        <v>7395</v>
      </c>
      <c r="D2188" s="151" t="s">
        <v>7398</v>
      </c>
      <c r="E2188" s="151" t="s">
        <v>7399</v>
      </c>
      <c r="F2188" s="151"/>
      <c r="G2188" s="52" t="str">
        <f t="shared" ref="G2188:G2251" si="39">D2188&amp;":"&amp;E2188</f>
        <v>D8 7D:苦痛之舌</v>
      </c>
    </row>
    <row r="2189" spans="1:7">
      <c r="A2189" s="24" t="s">
        <v>7341</v>
      </c>
      <c r="B2189" s="24" t="s">
        <v>7341</v>
      </c>
      <c r="C2189" s="24" t="s">
        <v>7395</v>
      </c>
      <c r="D2189" s="151" t="s">
        <v>7400</v>
      </c>
      <c r="E2189" s="151" t="s">
        <v>7401</v>
      </c>
      <c r="F2189" s="151"/>
      <c r="G2189" s="52" t="str">
        <f t="shared" si="39"/>
        <v>50 A1:纸伞骨干</v>
      </c>
    </row>
    <row r="2190" spans="1:7">
      <c r="A2190" s="24" t="s">
        <v>7341</v>
      </c>
      <c r="B2190" s="24" t="s">
        <v>7341</v>
      </c>
      <c r="C2190" s="24" t="s">
        <v>7395</v>
      </c>
      <c r="D2190" s="151" t="s">
        <v>7402</v>
      </c>
      <c r="E2190" s="151" t="s">
        <v>7403</v>
      </c>
      <c r="F2190" s="151"/>
      <c r="G2190" s="52" t="str">
        <f t="shared" si="39"/>
        <v>90 CB:乌鸦天狗的羽毛</v>
      </c>
    </row>
    <row r="2191" spans="1:7">
      <c r="A2191" s="24" t="s">
        <v>7341</v>
      </c>
      <c r="B2191" s="24" t="s">
        <v>7341</v>
      </c>
      <c r="C2191" s="24" t="s">
        <v>7395</v>
      </c>
      <c r="D2191" s="151" t="s">
        <v>7404</v>
      </c>
      <c r="E2191" s="151" t="s">
        <v>7405</v>
      </c>
      <c r="F2191" s="151"/>
      <c r="G2191" s="52" t="str">
        <f t="shared" si="39"/>
        <v>68 1B:女郎蜘蛛的脚壳</v>
      </c>
    </row>
    <row r="2192" spans="1:7">
      <c r="A2192" s="24" t="s">
        <v>7341</v>
      </c>
      <c r="B2192" s="24" t="s">
        <v>7341</v>
      </c>
      <c r="C2192" s="24" t="s">
        <v>7395</v>
      </c>
      <c r="D2192" s="151" t="s">
        <v>7406</v>
      </c>
      <c r="E2192" s="151" t="s">
        <v>7407</v>
      </c>
      <c r="F2192" s="151"/>
      <c r="G2192" s="52" t="str">
        <f t="shared" si="39"/>
        <v>B9 48:赤河童的背甲</v>
      </c>
    </row>
    <row r="2193" spans="1:7">
      <c r="A2193" s="24" t="s">
        <v>7341</v>
      </c>
      <c r="B2193" s="24" t="s">
        <v>7341</v>
      </c>
      <c r="C2193" s="24" t="s">
        <v>7395</v>
      </c>
      <c r="D2193" s="151" t="s">
        <v>7408</v>
      </c>
      <c r="E2193" s="151" t="s">
        <v>7409</v>
      </c>
      <c r="F2193" s="151"/>
      <c r="G2193" s="52" t="str">
        <f t="shared" si="39"/>
        <v>46 17:怪鸟嘴喙</v>
      </c>
    </row>
    <row r="2194" spans="1:7">
      <c r="A2194" s="24" t="s">
        <v>7341</v>
      </c>
      <c r="B2194" s="24" t="s">
        <v>7341</v>
      </c>
      <c r="C2194" s="24" t="s">
        <v>7395</v>
      </c>
      <c r="D2194" s="151" t="s">
        <v>7410</v>
      </c>
      <c r="E2194" s="151" t="s">
        <v>7411</v>
      </c>
      <c r="F2194" s="151"/>
      <c r="G2194" s="52" t="str">
        <f t="shared" si="39"/>
        <v>0A 31:灵石之腕</v>
      </c>
    </row>
    <row r="2195" spans="1:7">
      <c r="A2195" s="24" t="s">
        <v>7341</v>
      </c>
      <c r="B2195" s="24" t="s">
        <v>7341</v>
      </c>
      <c r="C2195" s="24" t="s">
        <v>7395</v>
      </c>
      <c r="D2195" s="151" t="s">
        <v>7412</v>
      </c>
      <c r="E2195" s="151" t="s">
        <v>7413</v>
      </c>
      <c r="F2195" s="151"/>
      <c r="G2195" s="52" t="str">
        <f t="shared" si="39"/>
        <v>51 29:熏灰块</v>
      </c>
    </row>
    <row r="2196" spans="1:7">
      <c r="A2196" s="24" t="s">
        <v>7341</v>
      </c>
      <c r="B2196" s="24" t="s">
        <v>7341</v>
      </c>
      <c r="C2196" s="24" t="s">
        <v>7395</v>
      </c>
      <c r="D2196" s="151" t="s">
        <v>7414</v>
      </c>
      <c r="E2196" s="151" t="s">
        <v>7415</v>
      </c>
      <c r="F2196" s="151"/>
      <c r="G2196" s="52" t="str">
        <f t="shared" si="39"/>
        <v>33 B7:濡湿光亮的发束</v>
      </c>
    </row>
    <row r="2197" spans="1:7">
      <c r="A2197" s="24" t="s">
        <v>7341</v>
      </c>
      <c r="B2197" s="24" t="s">
        <v>7341</v>
      </c>
      <c r="C2197" s="24" t="s">
        <v>7395</v>
      </c>
      <c r="D2197" s="151" t="s">
        <v>7416</v>
      </c>
      <c r="E2197" s="151" t="s">
        <v>7417</v>
      </c>
      <c r="F2197" s="151"/>
      <c r="G2197" s="52" t="str">
        <f t="shared" si="39"/>
        <v>0D 8F:独脚踏鞴之牙</v>
      </c>
    </row>
    <row r="2198" spans="1:7">
      <c r="A2198" s="24" t="s">
        <v>7341</v>
      </c>
      <c r="B2198" s="24" t="s">
        <v>7341</v>
      </c>
      <c r="C2198" s="24" t="s">
        <v>7395</v>
      </c>
      <c r="D2198" s="151" t="s">
        <v>7418</v>
      </c>
      <c r="E2198" s="151" t="s">
        <v>7419</v>
      </c>
      <c r="F2198" s="151"/>
      <c r="G2198" s="52" t="str">
        <f t="shared" si="39"/>
        <v>FA 80:歪曲颚骨</v>
      </c>
    </row>
    <row r="2199" spans="1:7">
      <c r="A2199" s="24" t="s">
        <v>7341</v>
      </c>
      <c r="B2199" s="24" t="s">
        <v>7341</v>
      </c>
      <c r="C2199" s="24" t="s">
        <v>7395</v>
      </c>
      <c r="D2199" s="151" t="s">
        <v>7420</v>
      </c>
      <c r="E2199" s="151" t="s">
        <v>7421</v>
      </c>
      <c r="F2199" s="151"/>
      <c r="G2199" s="52" t="str">
        <f t="shared" si="39"/>
        <v>DF 06:白色发束</v>
      </c>
    </row>
    <row r="2200" spans="1:7">
      <c r="A2200" s="24" t="s">
        <v>7341</v>
      </c>
      <c r="B2200" s="24" t="s">
        <v>7341</v>
      </c>
      <c r="C2200" s="24" t="s">
        <v>7395</v>
      </c>
      <c r="D2200" s="151" t="s">
        <v>7422</v>
      </c>
      <c r="E2200" s="151" t="s">
        <v>7423</v>
      </c>
      <c r="F2200" s="151"/>
      <c r="G2200" s="52" t="str">
        <f t="shared" si="39"/>
        <v>84 CE:猥祼单爪</v>
      </c>
    </row>
    <row r="2201" spans="1:7">
      <c r="A2201" s="24" t="s">
        <v>7341</v>
      </c>
      <c r="B2201" s="24" t="s">
        <v>7341</v>
      </c>
      <c r="C2201" s="24" t="s">
        <v>7395</v>
      </c>
      <c r="D2201" s="151" t="s">
        <v>7424</v>
      </c>
      <c r="E2201" s="151" t="s">
        <v>7425</v>
      </c>
      <c r="F2201" s="151"/>
      <c r="G2201" s="52" t="str">
        <f t="shared" si="39"/>
        <v>9D 5B:燃尽的灯芯</v>
      </c>
    </row>
    <row r="2202" spans="1:7">
      <c r="A2202" s="24" t="s">
        <v>7341</v>
      </c>
      <c r="B2202" s="24" t="s">
        <v>7341</v>
      </c>
      <c r="C2202" s="24" t="s">
        <v>7395</v>
      </c>
      <c r="D2202" s="151" t="s">
        <v>7426</v>
      </c>
      <c r="E2202" s="151" t="s">
        <v>7427</v>
      </c>
      <c r="F2202" s="151"/>
      <c r="G2202" s="52" t="str">
        <f t="shared" si="39"/>
        <v>3E 8A:镰刃碎片</v>
      </c>
    </row>
    <row r="2203" spans="1:7">
      <c r="A2203" s="24" t="s">
        <v>7341</v>
      </c>
      <c r="B2203" s="24" t="s">
        <v>7341</v>
      </c>
      <c r="C2203" s="24" t="s">
        <v>7395</v>
      </c>
      <c r="D2203" s="151" t="s">
        <v>7428</v>
      </c>
      <c r="E2203" s="151" t="s">
        <v>7429</v>
      </c>
      <c r="F2203" s="151"/>
      <c r="G2203" s="52" t="str">
        <f t="shared" si="39"/>
        <v>49 8E:婴儿石的碎片</v>
      </c>
    </row>
    <row r="2204" spans="1:7">
      <c r="A2204" s="24" t="s">
        <v>7341</v>
      </c>
      <c r="B2204" s="24" t="s">
        <v>7341</v>
      </c>
      <c r="C2204" s="24" t="s">
        <v>7395</v>
      </c>
      <c r="D2204" s="151" t="s">
        <v>7430</v>
      </c>
      <c r="E2204" s="151" t="s">
        <v>7431</v>
      </c>
      <c r="F2204" s="151"/>
      <c r="G2204" s="52" t="str">
        <f t="shared" si="39"/>
        <v>33 7E:弯曲的大角</v>
      </c>
    </row>
    <row r="2205" spans="1:7">
      <c r="A2205" s="24" t="s">
        <v>7341</v>
      </c>
      <c r="B2205" s="24" t="s">
        <v>7341</v>
      </c>
      <c r="C2205" s="24" t="s">
        <v>7395</v>
      </c>
      <c r="D2205" s="151" t="s">
        <v>7432</v>
      </c>
      <c r="E2205" s="151" t="s">
        <v>7433</v>
      </c>
      <c r="F2205" s="151"/>
      <c r="G2205" s="52" t="str">
        <f t="shared" si="39"/>
        <v>5A 62:血锈的锯齿</v>
      </c>
    </row>
    <row r="2206" spans="1:7">
      <c r="A2206" s="24" t="s">
        <v>7341</v>
      </c>
      <c r="B2206" s="24" t="s">
        <v>7341</v>
      </c>
      <c r="C2206" s="24" t="s">
        <v>7395</v>
      </c>
      <c r="D2206" s="151" t="s">
        <v>7434</v>
      </c>
      <c r="E2206" s="151" t="s">
        <v>7435</v>
      </c>
      <c r="F2206" s="151"/>
      <c r="G2206" s="52" t="str">
        <f t="shared" si="39"/>
        <v>19 75:业火之钉</v>
      </c>
    </row>
    <row r="2207" spans="1:7">
      <c r="A2207" s="24" t="s">
        <v>7341</v>
      </c>
      <c r="B2207" s="24" t="s">
        <v>7341</v>
      </c>
      <c r="C2207" s="24" t="s">
        <v>7395</v>
      </c>
      <c r="D2207" s="151" t="s">
        <v>7436</v>
      </c>
      <c r="E2207" s="151" t="s">
        <v>7437</v>
      </c>
      <c r="F2207" s="151"/>
      <c r="G2207" s="52" t="str">
        <f t="shared" si="39"/>
        <v>A5 96:猿鬼的毛皮</v>
      </c>
    </row>
    <row r="2208" spans="1:7">
      <c r="A2208" s="24" t="s">
        <v>7341</v>
      </c>
      <c r="B2208" s="24" t="s">
        <v>7341</v>
      </c>
      <c r="C2208" s="24" t="s">
        <v>7395</v>
      </c>
      <c r="D2208" s="151" t="s">
        <v>7438</v>
      </c>
      <c r="E2208" s="151" t="s">
        <v>7439</v>
      </c>
      <c r="F2208" s="151"/>
      <c r="G2208" s="52" t="str">
        <f t="shared" si="39"/>
        <v>B9 66:束缚外道的灵石</v>
      </c>
    </row>
    <row r="2209" spans="1:7">
      <c r="A2209" s="24" t="s">
        <v>7341</v>
      </c>
      <c r="B2209" s="24" t="s">
        <v>7341</v>
      </c>
      <c r="C2209" s="24" t="s">
        <v>7395</v>
      </c>
      <c r="D2209" s="151" t="s">
        <v>7440</v>
      </c>
      <c r="E2209" s="151" t="s">
        <v>7441</v>
      </c>
      <c r="F2209" s="151"/>
      <c r="G2209" s="52" t="str">
        <f t="shared" si="39"/>
        <v>52 12:冰炎金轮</v>
      </c>
    </row>
    <row r="2210" spans="1:7">
      <c r="A2210" s="24" t="s">
        <v>7341</v>
      </c>
      <c r="B2210" s="24" t="s">
        <v>7341</v>
      </c>
      <c r="C2210" s="24" t="s">
        <v>7395</v>
      </c>
      <c r="D2210" s="151" t="s">
        <v>7442</v>
      </c>
      <c r="E2210" s="151" t="s">
        <v>7443</v>
      </c>
      <c r="F2210" s="151"/>
      <c r="G2210" s="52" t="str">
        <f t="shared" si="39"/>
        <v>61 F2:始源的泥土</v>
      </c>
    </row>
    <row r="2211" spans="1:7">
      <c r="A2211" s="24" t="s">
        <v>7341</v>
      </c>
      <c r="B2211" s="24" t="s">
        <v>7341</v>
      </c>
      <c r="C2211" s="24" t="s">
        <v>7395</v>
      </c>
      <c r="D2211" s="151" t="s">
        <v>7444</v>
      </c>
      <c r="E2211" s="151" t="s">
        <v>7445</v>
      </c>
      <c r="F2211" s="151"/>
      <c r="G2211" s="52" t="str">
        <f t="shared" si="39"/>
        <v>DB D1:怨憎荆棘</v>
      </c>
    </row>
    <row r="2212" spans="1:7">
      <c r="A2212" s="24" t="s">
        <v>7341</v>
      </c>
      <c r="B2212" s="24" t="s">
        <v>7341</v>
      </c>
      <c r="C2212" s="24" t="s">
        <v>7395</v>
      </c>
      <c r="D2212" s="151" t="s">
        <v>7446</v>
      </c>
      <c r="E2212" s="151" t="s">
        <v>7447</v>
      </c>
      <c r="F2212" s="151"/>
      <c r="G2212" s="52" t="str">
        <f t="shared" si="39"/>
        <v>DB A0:琵琶的拨片</v>
      </c>
    </row>
    <row r="2213" spans="1:7">
      <c r="A2213" s="24" t="s">
        <v>7341</v>
      </c>
      <c r="B2213" s="24" t="s">
        <v>7341</v>
      </c>
      <c r="C2213" s="24" t="s">
        <v>7395</v>
      </c>
      <c r="D2213" s="151" t="s">
        <v>7448</v>
      </c>
      <c r="E2213" s="151" t="s">
        <v>7449</v>
      </c>
      <c r="F2213" s="151"/>
      <c r="G2213" s="52" t="str">
        <f t="shared" si="39"/>
        <v>A9 D2:貉的围巾</v>
      </c>
    </row>
    <row r="2214" spans="1:7">
      <c r="A2214" s="24" t="s">
        <v>7341</v>
      </c>
      <c r="B2214" s="24" t="s">
        <v>7341</v>
      </c>
      <c r="C2214" s="24" t="s">
        <v>7395</v>
      </c>
      <c r="D2214" s="151" t="s">
        <v>7450</v>
      </c>
      <c r="E2214" s="151" t="s">
        <v>7451</v>
      </c>
      <c r="F2214" s="151"/>
      <c r="G2214" s="52" t="str">
        <f t="shared" si="39"/>
        <v>39 92:泥墙的碎片</v>
      </c>
    </row>
    <row r="2215" spans="1:7">
      <c r="A2215" s="24" t="s">
        <v>7341</v>
      </c>
      <c r="B2215" s="24" t="s">
        <v>7341</v>
      </c>
      <c r="C2215" s="24" t="s">
        <v>7395</v>
      </c>
      <c r="D2215" s="151" t="s">
        <v>7452</v>
      </c>
      <c r="E2215" s="151" t="s">
        <v>7453</v>
      </c>
      <c r="F2215" s="151"/>
      <c r="G2215" s="52" t="str">
        <f t="shared" si="39"/>
        <v>73 5D:独眼鬼的腰布</v>
      </c>
    </row>
    <row r="2216" spans="1:7">
      <c r="A2216" s="24" t="s">
        <v>7341</v>
      </c>
      <c r="B2216" s="24" t="s">
        <v>7341</v>
      </c>
      <c r="C2216" s="24" t="s">
        <v>7395</v>
      </c>
      <c r="D2216" s="151" t="s">
        <v>7454</v>
      </c>
      <c r="E2216" s="151" t="s">
        <v>7455</v>
      </c>
      <c r="F2216" s="151"/>
      <c r="G2216" s="52" t="str">
        <f t="shared" si="39"/>
        <v>D9 99:雪入道的腰布</v>
      </c>
    </row>
    <row r="2217" spans="1:7">
      <c r="A2217" s="24" t="s">
        <v>7341</v>
      </c>
      <c r="B2217" s="24" t="s">
        <v>7341</v>
      </c>
      <c r="C2217" s="24" t="s">
        <v>7395</v>
      </c>
      <c r="D2217" s="151" t="s">
        <v>7456</v>
      </c>
      <c r="E2217" s="151" t="s">
        <v>7457</v>
      </c>
      <c r="F2217" s="151"/>
      <c r="G2217" s="52" t="str">
        <f t="shared" si="39"/>
        <v>2C 3D:白色卷布</v>
      </c>
    </row>
    <row r="2218" spans="1:7">
      <c r="A2218" s="24" t="s">
        <v>7341</v>
      </c>
      <c r="B2218" s="24" t="s">
        <v>7341</v>
      </c>
      <c r="C2218" s="24" t="s">
        <v>7395</v>
      </c>
      <c r="D2218" s="151" t="s">
        <v>7458</v>
      </c>
      <c r="E2218" s="151" t="s">
        <v>7459</v>
      </c>
      <c r="F2218" s="151"/>
      <c r="G2218" s="52" t="str">
        <f t="shared" si="39"/>
        <v>68 60:小海坊主的眼石</v>
      </c>
    </row>
    <row r="2219" spans="1:7">
      <c r="A2219" s="24" t="s">
        <v>7341</v>
      </c>
      <c r="B2219" s="24" t="s">
        <v>7341</v>
      </c>
      <c r="C2219" s="24" t="s">
        <v>7395</v>
      </c>
      <c r="D2219" s="151" t="s">
        <v>7460</v>
      </c>
      <c r="E2219" s="151" t="s">
        <v>7461</v>
      </c>
      <c r="F2219" s="151"/>
      <c r="G2219" s="52" t="str">
        <f t="shared" si="39"/>
        <v>2A 64:变异皮肤片</v>
      </c>
    </row>
    <row r="2220" spans="1:7">
      <c r="A2220" s="24" t="s">
        <v>7341</v>
      </c>
      <c r="B2220" s="24" t="s">
        <v>7341</v>
      </c>
      <c r="C2220" s="24" t="s">
        <v>7395</v>
      </c>
      <c r="D2220" s="151" t="s">
        <v>7462</v>
      </c>
      <c r="E2220" s="151" t="s">
        <v>7463</v>
      </c>
      <c r="F2220" s="151"/>
      <c r="G2220" s="52" t="str">
        <f t="shared" si="39"/>
        <v>DA 13:亡骸武者的仙骨</v>
      </c>
    </row>
    <row r="2221" spans="1:7">
      <c r="A2221" s="24" t="s">
        <v>7341</v>
      </c>
      <c r="B2221" s="24" t="s">
        <v>7341</v>
      </c>
      <c r="C2221" s="24" t="s">
        <v>7395</v>
      </c>
      <c r="D2221" s="151" t="s">
        <v>7464</v>
      </c>
      <c r="E2221" s="151" t="s">
        <v>7465</v>
      </c>
      <c r="F2221" s="151"/>
      <c r="G2221" s="52" t="str">
        <f t="shared" si="39"/>
        <v>17 84:车轮碎片</v>
      </c>
    </row>
    <row r="2222" spans="1:7">
      <c r="A2222" s="24" t="s">
        <v>7341</v>
      </c>
      <c r="B2222" s="24" t="s">
        <v>7341</v>
      </c>
      <c r="C2222" s="24" t="s">
        <v>7395</v>
      </c>
      <c r="D2222" s="151" t="s">
        <v>7466</v>
      </c>
      <c r="E2222" s="151" t="s">
        <v>7467</v>
      </c>
      <c r="F2222" s="151"/>
      <c r="G2222" s="52" t="str">
        <f t="shared" si="39"/>
        <v>76 1A:鬼火核</v>
      </c>
    </row>
    <row r="2223" spans="1:7">
      <c r="A2223" s="24" t="s">
        <v>7341</v>
      </c>
      <c r="B2223" s="24" t="s">
        <v>7341</v>
      </c>
      <c r="C2223" s="24" t="s">
        <v>7395</v>
      </c>
      <c r="D2223" s="151" t="s">
        <v>7468</v>
      </c>
      <c r="E2223" s="151" t="s">
        <v>7469</v>
      </c>
      <c r="F2223" s="151"/>
      <c r="G2223" s="52" t="str">
        <f t="shared" si="39"/>
        <v>52 A0:妖蟹的螯</v>
      </c>
    </row>
    <row r="2224" spans="1:7">
      <c r="A2224" s="24" t="s">
        <v>7341</v>
      </c>
      <c r="B2224" s="24" t="s">
        <v>7341</v>
      </c>
      <c r="C2224" s="24" t="s">
        <v>7395</v>
      </c>
      <c r="D2224" s="151" t="s">
        <v>7470</v>
      </c>
      <c r="E2224" s="151" t="s">
        <v>7471</v>
      </c>
      <c r="F2224" s="151"/>
      <c r="G2224" s="52" t="str">
        <f t="shared" si="39"/>
        <v>96 10:肉瘤怪的肝</v>
      </c>
    </row>
    <row r="2225" spans="1:7">
      <c r="A2225" s="24" t="s">
        <v>7341</v>
      </c>
      <c r="B2225" s="24" t="s">
        <v>7341</v>
      </c>
      <c r="C2225" s="24" t="s">
        <v>7395</v>
      </c>
      <c r="D2225" s="151" t="s">
        <v>7472</v>
      </c>
      <c r="E2225" s="151" t="s">
        <v>7473</v>
      </c>
      <c r="F2225" s="151"/>
      <c r="G2225" s="52" t="str">
        <f t="shared" si="39"/>
        <v>A9 5B:诅咒五寸钉</v>
      </c>
    </row>
    <row r="2226" spans="1:7">
      <c r="A2226" s="24" t="s">
        <v>7341</v>
      </c>
      <c r="B2226" s="24" t="s">
        <v>7341</v>
      </c>
      <c r="C2226" s="24" t="s">
        <v>7395</v>
      </c>
      <c r="D2226" s="151" t="s">
        <v>7474</v>
      </c>
      <c r="E2226" s="151" t="s">
        <v>7475</v>
      </c>
      <c r="F2226" s="151"/>
      <c r="G2226" s="52" t="str">
        <f t="shared" si="39"/>
        <v>72 01:子泣爷爷的胡须</v>
      </c>
    </row>
    <row r="2227" spans="1:7">
      <c r="A2227" s="24" t="s">
        <v>7341</v>
      </c>
      <c r="B2227" s="24" t="s">
        <v>7341</v>
      </c>
      <c r="C2227" s="24" t="s">
        <v>7395</v>
      </c>
      <c r="D2227" s="151" t="s">
        <v>7476</v>
      </c>
      <c r="E2227" s="151" t="s">
        <v>7477</v>
      </c>
      <c r="F2227" s="151"/>
      <c r="G2227" s="52" t="str">
        <f t="shared" si="39"/>
        <v>7C D0:怪鸟的尾羽毛</v>
      </c>
    </row>
    <row r="2228" spans="1:7">
      <c r="A2228" s="24" t="s">
        <v>7341</v>
      </c>
      <c r="B2228" s="24" t="s">
        <v>7341</v>
      </c>
      <c r="C2228" s="24" t="s">
        <v>7395</v>
      </c>
      <c r="D2228" s="151" t="s">
        <v>7478</v>
      </c>
      <c r="E2228" s="151" t="s">
        <v>7479</v>
      </c>
      <c r="F2228" s="151"/>
      <c r="G2228" s="52" t="str">
        <f t="shared" si="39"/>
        <v>25 F6:狱来首饰</v>
      </c>
    </row>
    <row r="2229" spans="1:7">
      <c r="A2229" s="24" t="s">
        <v>7341</v>
      </c>
      <c r="B2229" s="24" t="s">
        <v>7341</v>
      </c>
      <c r="C2229" s="24" t="s">
        <v>7395</v>
      </c>
      <c r="D2229" s="151" t="s">
        <v>7480</v>
      </c>
      <c r="E2229" s="151" t="s">
        <v>7481</v>
      </c>
      <c r="F2229" s="151"/>
      <c r="G2229" s="52" t="str">
        <f t="shared" si="39"/>
        <v>B9 D3:雷兽的毛皮</v>
      </c>
    </row>
    <row r="2230" spans="1:7">
      <c r="A2230" s="24" t="s">
        <v>7341</v>
      </c>
      <c r="B2230" s="24" t="s">
        <v>7341</v>
      </c>
      <c r="C2230" s="24" t="s">
        <v>7395</v>
      </c>
      <c r="D2230" s="151" t="s">
        <v>7482</v>
      </c>
      <c r="E2230" s="151" t="s">
        <v>7483</v>
      </c>
      <c r="F2230" s="151"/>
      <c r="G2230" s="52" t="str">
        <f t="shared" si="39"/>
        <v>29 0F:饿狼之爪</v>
      </c>
    </row>
    <row r="2231" spans="1:7">
      <c r="A2231" s="24" t="s">
        <v>7341</v>
      </c>
      <c r="B2231" s="24" t="s">
        <v>7341</v>
      </c>
      <c r="C2231" s="24" t="s">
        <v>7395</v>
      </c>
      <c r="D2231" s="151" t="s">
        <v>7484</v>
      </c>
      <c r="E2231" s="151" t="s">
        <v>7485</v>
      </c>
      <c r="F2231" s="151"/>
      <c r="G2231" s="52" t="str">
        <f t="shared" si="39"/>
        <v>9C EF:绿化的表皮</v>
      </c>
    </row>
    <row r="2232" spans="1:7">
      <c r="A2232" s="24" t="s">
        <v>7341</v>
      </c>
      <c r="B2232" s="24" t="s">
        <v>7341</v>
      </c>
      <c r="C2232" s="24" t="s">
        <v>7395</v>
      </c>
      <c r="D2232" s="151" t="s">
        <v>7486</v>
      </c>
      <c r="E2232" s="151" t="s">
        <v>7487</v>
      </c>
      <c r="F2232" s="151"/>
      <c r="G2232" s="52" t="str">
        <f t="shared" si="39"/>
        <v>F9 F0:无头马的大尾</v>
      </c>
    </row>
    <row r="2233" spans="1:7">
      <c r="A2233" s="24" t="s">
        <v>7341</v>
      </c>
      <c r="B2233" s="24" t="s">
        <v>7341</v>
      </c>
      <c r="C2233" s="24" t="s">
        <v>7395</v>
      </c>
      <c r="D2233" s="151" t="s">
        <v>7488</v>
      </c>
      <c r="E2233" s="151" t="s">
        <v>7489</v>
      </c>
      <c r="F2233" s="151"/>
      <c r="G2233" s="52" t="str">
        <f t="shared" si="39"/>
        <v>8D 22:野兽的大耳</v>
      </c>
    </row>
    <row r="2234" spans="1:7">
      <c r="A2234" s="24" t="s">
        <v>7341</v>
      </c>
      <c r="B2234" s="24" t="s">
        <v>7341</v>
      </c>
      <c r="C2234" s="24" t="s">
        <v>7395</v>
      </c>
      <c r="D2234" s="151" t="s">
        <v>7490</v>
      </c>
      <c r="E2234" s="151" t="s">
        <v>7491</v>
      </c>
      <c r="F2234" s="151"/>
      <c r="G2234" s="52" t="str">
        <f t="shared" si="39"/>
        <v>41 3A:沾满沙子的布块</v>
      </c>
    </row>
    <row r="2235" spans="1:7">
      <c r="A2235" s="24" t="s">
        <v>7341</v>
      </c>
      <c r="B2235" s="24" t="s">
        <v>7341</v>
      </c>
      <c r="C2235" s="24" t="s">
        <v>7395</v>
      </c>
      <c r="D2235" s="151" t="s">
        <v>7492</v>
      </c>
      <c r="E2235" s="151" t="s">
        <v>7493</v>
      </c>
      <c r="F2235" s="151"/>
      <c r="G2235" s="52" t="str">
        <f t="shared" si="39"/>
        <v>AB A5:锐利的毒针</v>
      </c>
    </row>
    <row r="2236" spans="1:7">
      <c r="A2236" s="24" t="s">
        <v>7341</v>
      </c>
      <c r="B2236" s="24" t="s">
        <v>7341</v>
      </c>
      <c r="C2236" s="24" t="s">
        <v>7395</v>
      </c>
      <c r="D2236" s="151" t="s">
        <v>7494</v>
      </c>
      <c r="E2236" s="151" t="s">
        <v>7495</v>
      </c>
      <c r="F2236" s="151"/>
      <c r="G2236" s="52" t="str">
        <f t="shared" si="39"/>
        <v>CD 00:鲜艳的鳞片</v>
      </c>
    </row>
    <row r="2237" spans="1:7">
      <c r="A2237" s="24" t="s">
        <v>7341</v>
      </c>
      <c r="B2237" s="24" t="s">
        <v>7341</v>
      </c>
      <c r="C2237" s="24" t="s">
        <v>7395</v>
      </c>
      <c r="D2237" s="151" t="s">
        <v>7496</v>
      </c>
      <c r="E2237" s="151" t="s">
        <v>7497</v>
      </c>
      <c r="F2237" s="151"/>
      <c r="G2237" s="52" t="str">
        <f t="shared" si="39"/>
        <v>73 DF:强韧的长颈椎</v>
      </c>
    </row>
    <row r="2238" spans="1:7">
      <c r="A2238" s="24" t="s">
        <v>7341</v>
      </c>
      <c r="B2238" s="24" t="s">
        <v>7341</v>
      </c>
      <c r="C2238" s="24" t="s">
        <v>7395</v>
      </c>
      <c r="D2238" s="151" t="s">
        <v>7498</v>
      </c>
      <c r="E2238" s="151" t="s">
        <v>7499</v>
      </c>
      <c r="F2238" s="151"/>
      <c r="G2238" s="52" t="str">
        <f t="shared" si="39"/>
        <v>B0 CE:朱盆的独角</v>
      </c>
    </row>
    <row r="2239" spans="1:7">
      <c r="A2239" s="24" t="s">
        <v>7341</v>
      </c>
      <c r="B2239" s="24" t="s">
        <v>7341</v>
      </c>
      <c r="C2239" s="24" t="s">
        <v>7395</v>
      </c>
      <c r="D2239" s="151" t="s">
        <v>7500</v>
      </c>
      <c r="E2239" s="151" t="s">
        <v>7419</v>
      </c>
      <c r="F2239" s="151"/>
      <c r="G2239" s="52" t="str">
        <f t="shared" si="39"/>
        <v>9D 41:歪曲颚骨</v>
      </c>
    </row>
    <row r="2240" spans="1:7">
      <c r="A2240" s="24" t="s">
        <v>7341</v>
      </c>
      <c r="B2240" s="24" t="s">
        <v>7341</v>
      </c>
      <c r="C2240" s="24" t="s">
        <v>7395</v>
      </c>
      <c r="D2240" s="151" t="s">
        <v>7501</v>
      </c>
      <c r="E2240" s="151" t="s">
        <v>7502</v>
      </c>
      <c r="F2240" s="151"/>
      <c r="G2240" s="52" t="str">
        <f t="shared" si="39"/>
        <v>EC E2:发达的门齿</v>
      </c>
    </row>
    <row r="2241" spans="1:7">
      <c r="A2241" s="24" t="s">
        <v>7341</v>
      </c>
      <c r="B2241" s="24" t="s">
        <v>7341</v>
      </c>
      <c r="C2241" s="24" t="s">
        <v>7395</v>
      </c>
      <c r="D2241" s="151" t="s">
        <v>7503</v>
      </c>
      <c r="E2241" s="151" t="s">
        <v>7504</v>
      </c>
      <c r="F2241" s="151"/>
      <c r="G2241" s="52" t="str">
        <f t="shared" si="39"/>
        <v>65 0A:带角的头骨片</v>
      </c>
    </row>
    <row r="2242" spans="1:7">
      <c r="A2242" s="24" t="s">
        <v>7341</v>
      </c>
      <c r="B2242" s="24" t="s">
        <v>7341</v>
      </c>
      <c r="C2242" s="24" t="s">
        <v>7395</v>
      </c>
      <c r="D2242" s="151" t="s">
        <v>7505</v>
      </c>
      <c r="E2242" s="151" t="s">
        <v>7506</v>
      </c>
      <c r="F2242" s="151"/>
      <c r="G2242" s="52" t="str">
        <f t="shared" si="39"/>
        <v>C0 44:防人的石铠碎片</v>
      </c>
    </row>
    <row r="2243" spans="1:7">
      <c r="A2243" s="24" t="s">
        <v>7341</v>
      </c>
      <c r="B2243" s="24" t="s">
        <v>7341</v>
      </c>
      <c r="C2243" s="24" t="s">
        <v>7395</v>
      </c>
      <c r="D2243" s="151" t="s">
        <v>7507</v>
      </c>
      <c r="E2243" s="151" t="s">
        <v>7508</v>
      </c>
      <c r="F2243" s="151"/>
      <c r="G2243" s="52" t="str">
        <f t="shared" si="39"/>
        <v>35 64:不会融化的冰柱</v>
      </c>
    </row>
    <row r="2244" spans="1:7">
      <c r="A2244" s="24" t="s">
        <v>7341</v>
      </c>
      <c r="B2244" s="24" t="s">
        <v>7341</v>
      </c>
      <c r="C2244" s="24" t="s">
        <v>7509</v>
      </c>
      <c r="D2244" s="151" t="s">
        <v>7510</v>
      </c>
      <c r="E2244" s="151" t="s">
        <v>7511</v>
      </c>
      <c r="F2244" s="151"/>
      <c r="G2244" s="52" t="str">
        <f t="shared" si="39"/>
        <v>20 1B:成对的大蛇骨</v>
      </c>
    </row>
    <row r="2245" spans="1:7">
      <c r="A2245" s="24" t="s">
        <v>7341</v>
      </c>
      <c r="B2245" s="24" t="s">
        <v>7341</v>
      </c>
      <c r="C2245" s="24" t="s">
        <v>7509</v>
      </c>
      <c r="D2245" s="151" t="s">
        <v>7512</v>
      </c>
      <c r="E2245" s="151" t="s">
        <v>7513</v>
      </c>
      <c r="F2245" s="151"/>
      <c r="G2245" s="52" t="str">
        <f t="shared" si="39"/>
        <v>84 7C:大天狗的拨风羽</v>
      </c>
    </row>
    <row r="2246" spans="1:7">
      <c r="A2246" s="24" t="s">
        <v>7341</v>
      </c>
      <c r="B2246" s="24" t="s">
        <v>7341</v>
      </c>
      <c r="C2246" s="24" t="s">
        <v>7509</v>
      </c>
      <c r="D2246" s="151" t="s">
        <v>7514</v>
      </c>
      <c r="E2246" s="151" t="s">
        <v>7515</v>
      </c>
      <c r="F2246" s="151"/>
      <c r="G2246" s="52" t="str">
        <f t="shared" si="39"/>
        <v>05 DF:乌黑发亮的垂发</v>
      </c>
    </row>
    <row r="2247" spans="1:7">
      <c r="A2247" s="24" t="s">
        <v>7341</v>
      </c>
      <c r="B2247" s="24" t="s">
        <v>7341</v>
      </c>
      <c r="C2247" s="24" t="s">
        <v>7509</v>
      </c>
      <c r="D2247" s="151" t="s">
        <v>7516</v>
      </c>
      <c r="E2247" s="151" t="s">
        <v>7517</v>
      </c>
      <c r="F2247" s="151"/>
      <c r="G2247" s="52" t="str">
        <f t="shared" si="39"/>
        <v>45 48:茨木童子的雷刺</v>
      </c>
    </row>
    <row r="2248" spans="1:7">
      <c r="A2248" s="24" t="s">
        <v>7341</v>
      </c>
      <c r="B2248" s="24" t="s">
        <v>7341</v>
      </c>
      <c r="C2248" s="24" t="s">
        <v>7509</v>
      </c>
      <c r="D2248" s="151" t="s">
        <v>7518</v>
      </c>
      <c r="E2248" s="151" t="s">
        <v>7519</v>
      </c>
      <c r="F2248" s="151"/>
      <c r="G2248" s="52" t="str">
        <f t="shared" si="39"/>
        <v>84 DD:涂佛的绯眼</v>
      </c>
    </row>
    <row r="2249" spans="1:7">
      <c r="A2249" s="24" t="s">
        <v>7341</v>
      </c>
      <c r="B2249" s="24" t="s">
        <v>7341</v>
      </c>
      <c r="C2249" s="24" t="s">
        <v>7509</v>
      </c>
      <c r="D2249" s="151" t="s">
        <v>7520</v>
      </c>
      <c r="E2249" s="151" t="s">
        <v>7521</v>
      </c>
      <c r="F2249" s="151"/>
      <c r="G2249" s="52" t="str">
        <f t="shared" si="39"/>
        <v>ED 98:傲岸鬼角</v>
      </c>
    </row>
    <row r="2250" spans="1:7">
      <c r="A2250" s="24" t="s">
        <v>7341</v>
      </c>
      <c r="B2250" s="24" t="s">
        <v>7341</v>
      </c>
      <c r="C2250" s="24" t="s">
        <v>7509</v>
      </c>
      <c r="D2250" s="151" t="s">
        <v>7522</v>
      </c>
      <c r="E2250" s="151" t="s">
        <v>7523</v>
      </c>
      <c r="F2250" s="151"/>
      <c r="G2250" s="52" t="str">
        <f t="shared" si="39"/>
        <v>23 A6:冒疾鬼角</v>
      </c>
    </row>
    <row r="2251" spans="1:7">
      <c r="A2251" s="24" t="s">
        <v>7341</v>
      </c>
      <c r="B2251" s="24" t="s">
        <v>7341</v>
      </c>
      <c r="C2251" s="24" t="s">
        <v>7509</v>
      </c>
      <c r="D2251" s="151" t="s">
        <v>7524</v>
      </c>
      <c r="E2251" s="151" t="s">
        <v>7525</v>
      </c>
      <c r="F2251" s="151"/>
      <c r="G2251" s="52" t="str">
        <f t="shared" si="39"/>
        <v>F6 5B:执心鬼角</v>
      </c>
    </row>
    <row r="2252" spans="1:7">
      <c r="A2252" s="24" t="s">
        <v>7341</v>
      </c>
      <c r="B2252" s="24" t="s">
        <v>7341</v>
      </c>
      <c r="C2252" s="24" t="s">
        <v>7509</v>
      </c>
      <c r="D2252" s="151" t="s">
        <v>7526</v>
      </c>
      <c r="E2252" s="151" t="s">
        <v>7527</v>
      </c>
      <c r="F2252" s="151"/>
      <c r="G2252" s="52" t="str">
        <f t="shared" ref="G2252:G2315" si="40">D2252&amp;":"&amp;E2252</f>
        <v>21 02:飞缘魔的黑布</v>
      </c>
    </row>
    <row r="2253" spans="1:7">
      <c r="A2253" s="24" t="s">
        <v>7341</v>
      </c>
      <c r="B2253" s="24" t="s">
        <v>7341</v>
      </c>
      <c r="C2253" s="24" t="s">
        <v>7509</v>
      </c>
      <c r="D2253" s="151" t="s">
        <v>7528</v>
      </c>
      <c r="E2253" s="151" t="s">
        <v>7529</v>
      </c>
      <c r="F2253" s="151"/>
      <c r="G2253" s="52" t="str">
        <f t="shared" si="40"/>
        <v>FC 54:修罗的腥血</v>
      </c>
    </row>
    <row r="2254" spans="1:7">
      <c r="A2254" s="24" t="s">
        <v>7341</v>
      </c>
      <c r="B2254" s="24" t="s">
        <v>7341</v>
      </c>
      <c r="C2254" s="24" t="s">
        <v>7509</v>
      </c>
      <c r="D2254" s="151" t="s">
        <v>7530</v>
      </c>
      <c r="E2254" s="151" t="s">
        <v>7531</v>
      </c>
      <c r="F2254" s="151"/>
      <c r="G2254" s="52" t="str">
        <f t="shared" si="40"/>
        <v>48 08:地狱的魂玉</v>
      </c>
    </row>
    <row r="2255" spans="1:7">
      <c r="A2255" s="24" t="s">
        <v>7341</v>
      </c>
      <c r="B2255" s="24" t="s">
        <v>7341</v>
      </c>
      <c r="C2255" s="24" t="s">
        <v>7395</v>
      </c>
      <c r="D2255" s="151" t="s">
        <v>7532</v>
      </c>
      <c r="E2255" s="151" t="s">
        <v>7533</v>
      </c>
      <c r="F2255" s="151"/>
      <c r="G2255" s="52" t="str">
        <f t="shared" si="40"/>
        <v>95 BC:铁鼠的门牙</v>
      </c>
    </row>
    <row r="2256" spans="1:7">
      <c r="A2256" s="24" t="s">
        <v>7341</v>
      </c>
      <c r="B2256" s="24" t="s">
        <v>7341</v>
      </c>
      <c r="C2256" s="24" t="s">
        <v>7395</v>
      </c>
      <c r="D2256" s="151" t="s">
        <v>7534</v>
      </c>
      <c r="E2256" s="151" t="s">
        <v>7535</v>
      </c>
      <c r="F2256" s="151"/>
      <c r="G2256" s="52" t="str">
        <f t="shared" si="40"/>
        <v>EF EE:垢尝的棘舌</v>
      </c>
    </row>
    <row r="2257" spans="1:7">
      <c r="A2257" s="24" t="s">
        <v>7341</v>
      </c>
      <c r="B2257" s="24" t="s">
        <v>7341</v>
      </c>
      <c r="C2257" s="24" t="s">
        <v>7395</v>
      </c>
      <c r="D2257" s="151" t="s">
        <v>7536</v>
      </c>
      <c r="E2257" s="151" t="s">
        <v>7537</v>
      </c>
      <c r="F2257" s="151"/>
      <c r="G2257" s="52" t="str">
        <f t="shared" si="40"/>
        <v>70 96:狂暴旋角</v>
      </c>
    </row>
    <row r="2258" spans="1:7">
      <c r="A2258" s="24" t="s">
        <v>7341</v>
      </c>
      <c r="B2258" s="24" t="s">
        <v>7341</v>
      </c>
      <c r="C2258" s="24" t="s">
        <v>7509</v>
      </c>
      <c r="D2258" s="151" t="s">
        <v>7538</v>
      </c>
      <c r="E2258" s="151" t="s">
        <v>7539</v>
      </c>
      <c r="F2258" s="151"/>
      <c r="G2258" s="52" t="str">
        <f t="shared" si="40"/>
        <v>B2 04:大蛤蟆油</v>
      </c>
    </row>
    <row r="2259" spans="1:7">
      <c r="A2259" s="24"/>
      <c r="B2259" s="24"/>
      <c r="C2259" s="24"/>
      <c r="D2259" s="151"/>
      <c r="E2259" s="151"/>
      <c r="F2259" s="151"/>
      <c r="G2259" s="52" t="str">
        <f t="shared" si="40"/>
        <v>:</v>
      </c>
    </row>
    <row r="2260" spans="1:7">
      <c r="A2260" s="24"/>
      <c r="B2260" s="24"/>
      <c r="C2260" s="24"/>
      <c r="D2260" s="151"/>
      <c r="E2260" s="151"/>
      <c r="F2260" s="151"/>
      <c r="G2260" s="52" t="str">
        <f t="shared" si="40"/>
        <v>:</v>
      </c>
    </row>
    <row r="2261" spans="1:7">
      <c r="A2261" s="24"/>
      <c r="B2261" s="24"/>
      <c r="C2261" s="24"/>
      <c r="D2261" s="151"/>
      <c r="E2261" s="151"/>
      <c r="F2261" s="151"/>
      <c r="G2261" s="52" t="str">
        <f t="shared" si="40"/>
        <v>:</v>
      </c>
    </row>
    <row r="2262" spans="1:7">
      <c r="A2262" s="24"/>
      <c r="B2262" s="24"/>
      <c r="C2262" s="24"/>
      <c r="D2262" s="151"/>
      <c r="E2262" s="151"/>
      <c r="F2262" s="151"/>
      <c r="G2262" s="52" t="str">
        <f t="shared" si="40"/>
        <v>:</v>
      </c>
    </row>
    <row r="2263" spans="1:7">
      <c r="A2263" s="24"/>
      <c r="B2263" s="24"/>
      <c r="C2263" s="24"/>
      <c r="D2263" s="151"/>
      <c r="E2263" s="151"/>
      <c r="F2263" s="151"/>
      <c r="G2263" s="52" t="str">
        <f t="shared" si="40"/>
        <v>:</v>
      </c>
    </row>
    <row r="2264" spans="1:7">
      <c r="A2264" s="24"/>
      <c r="B2264" s="24"/>
      <c r="C2264" s="24"/>
      <c r="D2264" s="151"/>
      <c r="E2264" s="151"/>
      <c r="F2264" s="151"/>
      <c r="G2264" s="52" t="str">
        <f t="shared" si="40"/>
        <v>:</v>
      </c>
    </row>
    <row r="2265" spans="1:7">
      <c r="A2265" s="24"/>
      <c r="B2265" s="24"/>
      <c r="C2265" s="24"/>
      <c r="D2265" s="151"/>
      <c r="E2265" s="151"/>
      <c r="F2265" s="151"/>
      <c r="G2265" s="52" t="str">
        <f t="shared" si="40"/>
        <v>:</v>
      </c>
    </row>
    <row r="2266" spans="1:7">
      <c r="A2266" s="24"/>
      <c r="B2266" s="24"/>
      <c r="C2266" s="24"/>
      <c r="D2266" s="151"/>
      <c r="E2266" s="151"/>
      <c r="F2266" s="151"/>
      <c r="G2266" s="52" t="str">
        <f t="shared" si="40"/>
        <v>:</v>
      </c>
    </row>
    <row r="2267" spans="1:7">
      <c r="A2267" s="24"/>
      <c r="B2267" s="24"/>
      <c r="C2267" s="24"/>
      <c r="D2267" s="151"/>
      <c r="E2267" s="151"/>
      <c r="F2267" s="151"/>
      <c r="G2267" s="52" t="str">
        <f t="shared" si="40"/>
        <v>:</v>
      </c>
    </row>
    <row r="2268" spans="1:7">
      <c r="A2268" s="24"/>
      <c r="B2268" s="24"/>
      <c r="C2268" s="24"/>
      <c r="D2268" s="151"/>
      <c r="E2268" s="151"/>
      <c r="F2268" s="151"/>
      <c r="G2268" s="52" t="str">
        <f t="shared" si="40"/>
        <v>:</v>
      </c>
    </row>
    <row r="2269" spans="1:7">
      <c r="A2269" s="24"/>
      <c r="B2269" s="24"/>
      <c r="C2269" s="24"/>
      <c r="D2269" s="151"/>
      <c r="E2269" s="151"/>
      <c r="F2269" s="151"/>
      <c r="G2269" s="52" t="str">
        <f t="shared" si="40"/>
        <v>:</v>
      </c>
    </row>
    <row r="2270" spans="1:7">
      <c r="A2270" s="24"/>
      <c r="B2270" s="24"/>
      <c r="C2270" s="24"/>
      <c r="D2270" s="151"/>
      <c r="E2270" s="151"/>
      <c r="F2270" s="151"/>
      <c r="G2270" s="52" t="str">
        <f t="shared" si="40"/>
        <v>:</v>
      </c>
    </row>
    <row r="2271" spans="1:7">
      <c r="A2271" s="24"/>
      <c r="B2271" s="24"/>
      <c r="C2271" s="24"/>
      <c r="D2271" s="151"/>
      <c r="E2271" s="151"/>
      <c r="F2271" s="151"/>
      <c r="G2271" s="52" t="str">
        <f t="shared" si="40"/>
        <v>:</v>
      </c>
    </row>
    <row r="2272" spans="1:7">
      <c r="A2272" s="24"/>
      <c r="B2272" s="24"/>
      <c r="C2272" s="24"/>
      <c r="D2272" s="151"/>
      <c r="E2272" s="151"/>
      <c r="F2272" s="151"/>
      <c r="G2272" s="52" t="str">
        <f t="shared" si="40"/>
        <v>:</v>
      </c>
    </row>
    <row r="2273" spans="1:7">
      <c r="A2273" s="24"/>
      <c r="B2273" s="24"/>
      <c r="C2273" s="24"/>
      <c r="D2273" s="151"/>
      <c r="E2273" s="151"/>
      <c r="F2273" s="151"/>
      <c r="G2273" s="52" t="str">
        <f t="shared" si="40"/>
        <v>:</v>
      </c>
    </row>
    <row r="2274" spans="1:7">
      <c r="A2274" s="24"/>
      <c r="B2274" s="24"/>
      <c r="C2274" s="24"/>
      <c r="D2274" s="151"/>
      <c r="E2274" s="151"/>
      <c r="F2274" s="151"/>
      <c r="G2274" s="52" t="str">
        <f t="shared" si="40"/>
        <v>:</v>
      </c>
    </row>
    <row r="2275" spans="1:7">
      <c r="A2275" s="24"/>
      <c r="B2275" s="24"/>
      <c r="C2275" s="24"/>
      <c r="D2275" s="151"/>
      <c r="E2275" s="151"/>
      <c r="F2275" s="151"/>
      <c r="G2275" s="52" t="str">
        <f t="shared" si="40"/>
        <v>:</v>
      </c>
    </row>
    <row r="2276" spans="1:7">
      <c r="A2276" s="24"/>
      <c r="B2276" s="24"/>
      <c r="C2276" s="24"/>
      <c r="D2276" s="151"/>
      <c r="E2276" s="151"/>
      <c r="F2276" s="151"/>
      <c r="G2276" s="52" t="str">
        <f t="shared" si="40"/>
        <v>:</v>
      </c>
    </row>
    <row r="2277" spans="1:7">
      <c r="A2277" s="24"/>
      <c r="B2277" s="24"/>
      <c r="C2277" s="24"/>
      <c r="D2277" s="151"/>
      <c r="E2277" s="151"/>
      <c r="F2277" s="151"/>
      <c r="G2277" s="52" t="str">
        <f t="shared" si="40"/>
        <v>:</v>
      </c>
    </row>
    <row r="2278" spans="1:7">
      <c r="A2278" s="24"/>
      <c r="B2278" s="24"/>
      <c r="C2278" s="24"/>
      <c r="D2278" s="151"/>
      <c r="E2278" s="151"/>
      <c r="F2278" s="151"/>
      <c r="G2278" s="52" t="str">
        <f t="shared" si="40"/>
        <v>:</v>
      </c>
    </row>
    <row r="2279" spans="1:7">
      <c r="A2279" s="24"/>
      <c r="B2279" s="24"/>
      <c r="C2279" s="24"/>
      <c r="D2279" s="151"/>
      <c r="E2279" s="151"/>
      <c r="F2279" s="151"/>
      <c r="G2279" s="52" t="str">
        <f t="shared" si="40"/>
        <v>:</v>
      </c>
    </row>
    <row r="2280" spans="1:7">
      <c r="A2280" s="24"/>
      <c r="B2280" s="24"/>
      <c r="C2280" s="24"/>
      <c r="D2280" s="151"/>
      <c r="E2280" s="151"/>
      <c r="F2280" s="151"/>
      <c r="G2280" s="52" t="str">
        <f t="shared" si="40"/>
        <v>:</v>
      </c>
    </row>
    <row r="2281" spans="1:7">
      <c r="A2281" s="24"/>
      <c r="B2281" s="24"/>
      <c r="C2281" s="24"/>
      <c r="D2281" s="151"/>
      <c r="E2281" s="151"/>
      <c r="F2281" s="151"/>
      <c r="G2281" s="52" t="str">
        <f t="shared" si="40"/>
        <v>:</v>
      </c>
    </row>
    <row r="2282" spans="1:7">
      <c r="A2282" s="24"/>
      <c r="B2282" s="24"/>
      <c r="C2282" s="24"/>
      <c r="D2282" s="151"/>
      <c r="E2282" s="151"/>
      <c r="F2282" s="151"/>
      <c r="G2282" s="52" t="str">
        <f t="shared" si="40"/>
        <v>:</v>
      </c>
    </row>
    <row r="2283" spans="1:7">
      <c r="A2283" s="24"/>
      <c r="B2283" s="24"/>
      <c r="C2283" s="24"/>
      <c r="D2283" s="151"/>
      <c r="E2283" s="151"/>
      <c r="F2283" s="151"/>
      <c r="G2283" s="52" t="str">
        <f t="shared" si="40"/>
        <v>:</v>
      </c>
    </row>
    <row r="2284" spans="1:7">
      <c r="A2284" s="24"/>
      <c r="B2284" s="24"/>
      <c r="C2284" s="24"/>
      <c r="D2284" s="151"/>
      <c r="E2284" s="151"/>
      <c r="F2284" s="151"/>
      <c r="G2284" s="52" t="str">
        <f t="shared" si="40"/>
        <v>:</v>
      </c>
    </row>
    <row r="2285" spans="1:7">
      <c r="A2285" s="24"/>
      <c r="B2285" s="24"/>
      <c r="C2285" s="24"/>
      <c r="D2285" s="151"/>
      <c r="E2285" s="151"/>
      <c r="F2285" s="151"/>
      <c r="G2285" s="52" t="str">
        <f t="shared" si="40"/>
        <v>:</v>
      </c>
    </row>
    <row r="2286" spans="1:7">
      <c r="A2286" s="24"/>
      <c r="B2286" s="24"/>
      <c r="C2286" s="24"/>
      <c r="D2286" s="151"/>
      <c r="E2286" s="151"/>
      <c r="F2286" s="151"/>
      <c r="G2286" s="52" t="str">
        <f t="shared" si="40"/>
        <v>:</v>
      </c>
    </row>
    <row r="2287" spans="1:7">
      <c r="A2287" s="24"/>
      <c r="B2287" s="24"/>
      <c r="C2287" s="24"/>
      <c r="D2287" s="151"/>
      <c r="E2287" s="151"/>
      <c r="F2287" s="151"/>
      <c r="G2287" s="52" t="str">
        <f t="shared" si="40"/>
        <v>:</v>
      </c>
    </row>
    <row r="2288" spans="1:7">
      <c r="A2288" s="24"/>
      <c r="B2288" s="24"/>
      <c r="C2288" s="24"/>
      <c r="D2288" s="151"/>
      <c r="E2288" s="151"/>
      <c r="F2288" s="151"/>
      <c r="G2288" s="52" t="str">
        <f t="shared" si="40"/>
        <v>:</v>
      </c>
    </row>
    <row r="2289" spans="1:7">
      <c r="A2289" s="24"/>
      <c r="B2289" s="24"/>
      <c r="C2289" s="24"/>
      <c r="D2289" s="151"/>
      <c r="E2289" s="151"/>
      <c r="F2289" s="151"/>
      <c r="G2289" s="52" t="str">
        <f t="shared" si="40"/>
        <v>:</v>
      </c>
    </row>
    <row r="2290" spans="1:7">
      <c r="A2290" s="24"/>
      <c r="B2290" s="24"/>
      <c r="C2290" s="24"/>
      <c r="D2290" s="151"/>
      <c r="E2290" s="151"/>
      <c r="F2290" s="151"/>
      <c r="G2290" s="52" t="str">
        <f t="shared" si="40"/>
        <v>:</v>
      </c>
    </row>
    <row r="2291" spans="1:7">
      <c r="A2291" s="24"/>
      <c r="B2291" s="24"/>
      <c r="C2291" s="24"/>
      <c r="D2291" s="151"/>
      <c r="E2291" s="151"/>
      <c r="F2291" s="151"/>
      <c r="G2291" s="52" t="str">
        <f t="shared" si="40"/>
        <v>:</v>
      </c>
    </row>
    <row r="2292" spans="1:7">
      <c r="A2292" s="24"/>
      <c r="B2292" s="24"/>
      <c r="C2292" s="24"/>
      <c r="D2292" s="151"/>
      <c r="E2292" s="151"/>
      <c r="F2292" s="151"/>
      <c r="G2292" s="52" t="str">
        <f t="shared" si="40"/>
        <v>:</v>
      </c>
    </row>
    <row r="2293" spans="1:7">
      <c r="A2293" s="24"/>
      <c r="B2293" s="24"/>
      <c r="C2293" s="24"/>
      <c r="D2293" s="151"/>
      <c r="E2293" s="151"/>
      <c r="F2293" s="151"/>
      <c r="G2293" s="52" t="str">
        <f t="shared" si="40"/>
        <v>:</v>
      </c>
    </row>
    <row r="2294" spans="1:7">
      <c r="A2294" s="24"/>
      <c r="B2294" s="24"/>
      <c r="C2294" s="24"/>
      <c r="D2294" s="151"/>
      <c r="E2294" s="151"/>
      <c r="F2294" s="151"/>
      <c r="G2294" s="52" t="str">
        <f t="shared" si="40"/>
        <v>:</v>
      </c>
    </row>
    <row r="2295" spans="1:7">
      <c r="A2295" s="24"/>
      <c r="B2295" s="24"/>
      <c r="C2295" s="24"/>
      <c r="D2295" s="151"/>
      <c r="E2295" s="151"/>
      <c r="F2295" s="151"/>
      <c r="G2295" s="52" t="str">
        <f t="shared" si="40"/>
        <v>:</v>
      </c>
    </row>
    <row r="2296" spans="1:7">
      <c r="A2296" s="24"/>
      <c r="B2296" s="24"/>
      <c r="C2296" s="24"/>
      <c r="D2296" s="151"/>
      <c r="E2296" s="151"/>
      <c r="F2296" s="151"/>
      <c r="G2296" s="52" t="str">
        <f t="shared" si="40"/>
        <v>:</v>
      </c>
    </row>
    <row r="2297" spans="1:7">
      <c r="A2297" s="24"/>
      <c r="B2297" s="24"/>
      <c r="C2297" s="24"/>
      <c r="D2297" s="151"/>
      <c r="E2297" s="151"/>
      <c r="F2297" s="151"/>
      <c r="G2297" s="52" t="str">
        <f t="shared" si="40"/>
        <v>:</v>
      </c>
    </row>
    <row r="2298" spans="1:7">
      <c r="A2298" s="24"/>
      <c r="B2298" s="24"/>
      <c r="C2298" s="24"/>
      <c r="D2298" s="151"/>
      <c r="E2298" s="151"/>
      <c r="F2298" s="151"/>
      <c r="G2298" s="52" t="str">
        <f t="shared" si="40"/>
        <v>:</v>
      </c>
    </row>
    <row r="2299" spans="1:7">
      <c r="A2299" s="24"/>
      <c r="B2299" s="24"/>
      <c r="C2299" s="24"/>
      <c r="D2299" s="151"/>
      <c r="E2299" s="151"/>
      <c r="F2299" s="151"/>
      <c r="G2299" s="52" t="str">
        <f t="shared" si="40"/>
        <v>:</v>
      </c>
    </row>
    <row r="2300" spans="1:7">
      <c r="A2300" s="24"/>
      <c r="B2300" s="24"/>
      <c r="C2300" s="24"/>
      <c r="D2300" s="151"/>
      <c r="E2300" s="151"/>
      <c r="F2300" s="151"/>
      <c r="G2300" s="52" t="str">
        <f t="shared" si="40"/>
        <v>:</v>
      </c>
    </row>
    <row r="2301" spans="1:7">
      <c r="A2301" s="24"/>
      <c r="B2301" s="24"/>
      <c r="C2301" s="24"/>
      <c r="D2301" s="151"/>
      <c r="E2301" s="151"/>
      <c r="F2301" s="151"/>
      <c r="G2301" s="52" t="str">
        <f t="shared" si="40"/>
        <v>:</v>
      </c>
    </row>
    <row r="2302" spans="1:7">
      <c r="A2302" s="24"/>
      <c r="B2302" s="24"/>
      <c r="C2302" s="24"/>
      <c r="D2302" s="151"/>
      <c r="E2302" s="151"/>
      <c r="F2302" s="151"/>
      <c r="G2302" s="52" t="str">
        <f t="shared" si="40"/>
        <v>:</v>
      </c>
    </row>
    <row r="2303" spans="1:7">
      <c r="A2303" s="24"/>
      <c r="B2303" s="24"/>
      <c r="C2303" s="24"/>
      <c r="D2303" s="151"/>
      <c r="E2303" s="151"/>
      <c r="F2303" s="151"/>
      <c r="G2303" s="52" t="str">
        <f t="shared" si="40"/>
        <v>:</v>
      </c>
    </row>
    <row r="2304" spans="1:7">
      <c r="A2304" s="24"/>
      <c r="B2304" s="24"/>
      <c r="C2304" s="24"/>
      <c r="D2304" s="151"/>
      <c r="E2304" s="151"/>
      <c r="F2304" s="151"/>
      <c r="G2304" s="52" t="str">
        <f t="shared" si="40"/>
        <v>:</v>
      </c>
    </row>
    <row r="2305" spans="1:7">
      <c r="A2305" s="24"/>
      <c r="B2305" s="24"/>
      <c r="C2305" s="24"/>
      <c r="D2305" s="151"/>
      <c r="E2305" s="151"/>
      <c r="F2305" s="151"/>
      <c r="G2305" s="52" t="str">
        <f t="shared" si="40"/>
        <v>:</v>
      </c>
    </row>
    <row r="2306" spans="1:7">
      <c r="A2306" s="24"/>
      <c r="B2306" s="24"/>
      <c r="C2306" s="24"/>
      <c r="D2306" s="151"/>
      <c r="E2306" s="151"/>
      <c r="F2306" s="151"/>
      <c r="G2306" s="52" t="str">
        <f t="shared" si="40"/>
        <v>:</v>
      </c>
    </row>
    <row r="2307" spans="1:7">
      <c r="A2307" s="24"/>
      <c r="B2307" s="24"/>
      <c r="C2307" s="24"/>
      <c r="D2307" s="151"/>
      <c r="E2307" s="151"/>
      <c r="F2307" s="151"/>
      <c r="G2307" s="52" t="str">
        <f t="shared" si="40"/>
        <v>:</v>
      </c>
    </row>
    <row r="2308" spans="1:7">
      <c r="A2308" s="24"/>
      <c r="B2308" s="24"/>
      <c r="C2308" s="24"/>
      <c r="D2308" s="151"/>
      <c r="E2308" s="151"/>
      <c r="F2308" s="151"/>
      <c r="G2308" s="52" t="str">
        <f t="shared" si="40"/>
        <v>:</v>
      </c>
    </row>
    <row r="2309" spans="1:7">
      <c r="A2309" s="24"/>
      <c r="B2309" s="24"/>
      <c r="C2309" s="24"/>
      <c r="D2309" s="151"/>
      <c r="E2309" s="151"/>
      <c r="F2309" s="151"/>
      <c r="G2309" s="52" t="str">
        <f t="shared" si="40"/>
        <v>:</v>
      </c>
    </row>
    <row r="2310" spans="1:7">
      <c r="A2310" s="24"/>
      <c r="B2310" s="24"/>
      <c r="C2310" s="24"/>
      <c r="D2310" s="151"/>
      <c r="E2310" s="151"/>
      <c r="F2310" s="151"/>
      <c r="G2310" s="52" t="str">
        <f t="shared" si="40"/>
        <v>:</v>
      </c>
    </row>
    <row r="2311" spans="1:7">
      <c r="A2311" s="24"/>
      <c r="B2311" s="24"/>
      <c r="C2311" s="24"/>
      <c r="D2311" s="151"/>
      <c r="E2311" s="151"/>
      <c r="F2311" s="151"/>
      <c r="G2311" s="52" t="str">
        <f t="shared" si="40"/>
        <v>:</v>
      </c>
    </row>
    <row r="2312" spans="1:7">
      <c r="A2312" s="24"/>
      <c r="B2312" s="24"/>
      <c r="C2312" s="24"/>
      <c r="D2312" s="151"/>
      <c r="E2312" s="151"/>
      <c r="F2312" s="151"/>
      <c r="G2312" s="52" t="str">
        <f t="shared" si="40"/>
        <v>:</v>
      </c>
    </row>
    <row r="2313" spans="1:7">
      <c r="A2313" s="24"/>
      <c r="B2313" s="24"/>
      <c r="C2313" s="24"/>
      <c r="D2313" s="151"/>
      <c r="E2313" s="151"/>
      <c r="F2313" s="151"/>
      <c r="G2313" s="52" t="str">
        <f t="shared" si="40"/>
        <v>:</v>
      </c>
    </row>
    <row r="2314" spans="1:7">
      <c r="A2314" s="24"/>
      <c r="B2314" s="24"/>
      <c r="C2314" s="24"/>
      <c r="D2314" s="151"/>
      <c r="E2314" s="151"/>
      <c r="F2314" s="151"/>
      <c r="G2314" s="52" t="str">
        <f t="shared" si="40"/>
        <v>:</v>
      </c>
    </row>
    <row r="2315" spans="1:7">
      <c r="A2315" s="24"/>
      <c r="B2315" s="24"/>
      <c r="C2315" s="24"/>
      <c r="D2315" s="151"/>
      <c r="E2315" s="151"/>
      <c r="F2315" s="151"/>
      <c r="G2315" s="52" t="str">
        <f t="shared" si="40"/>
        <v>:</v>
      </c>
    </row>
    <row r="2316" spans="1:7">
      <c r="A2316" s="24"/>
      <c r="B2316" s="24"/>
      <c r="C2316" s="24"/>
      <c r="D2316" s="151"/>
      <c r="E2316" s="151"/>
      <c r="F2316" s="151"/>
      <c r="G2316" s="52" t="str">
        <f t="shared" ref="G2316:G2379" si="41">D2316&amp;":"&amp;E2316</f>
        <v>:</v>
      </c>
    </row>
    <row r="2317" spans="1:7">
      <c r="A2317" s="24"/>
      <c r="B2317" s="24"/>
      <c r="C2317" s="24"/>
      <c r="D2317" s="151"/>
      <c r="E2317" s="151"/>
      <c r="F2317" s="151"/>
      <c r="G2317" s="52" t="str">
        <f t="shared" si="41"/>
        <v>:</v>
      </c>
    </row>
    <row r="2318" spans="1:7">
      <c r="A2318" s="24"/>
      <c r="B2318" s="24"/>
      <c r="C2318" s="24"/>
      <c r="D2318" s="151"/>
      <c r="E2318" s="151"/>
      <c r="F2318" s="151"/>
      <c r="G2318" s="52" t="str">
        <f t="shared" si="41"/>
        <v>:</v>
      </c>
    </row>
    <row r="2319" spans="1:7">
      <c r="A2319" s="24"/>
      <c r="B2319" s="24"/>
      <c r="C2319" s="24"/>
      <c r="D2319" s="151"/>
      <c r="E2319" s="151"/>
      <c r="F2319" s="151"/>
      <c r="G2319" s="52" t="str">
        <f t="shared" si="41"/>
        <v>:</v>
      </c>
    </row>
    <row r="2320" spans="1:7">
      <c r="A2320" s="24"/>
      <c r="B2320" s="24"/>
      <c r="C2320" s="24"/>
      <c r="D2320" s="151"/>
      <c r="E2320" s="151"/>
      <c r="F2320" s="151"/>
      <c r="G2320" s="52" t="str">
        <f t="shared" si="41"/>
        <v>:</v>
      </c>
    </row>
    <row r="2321" spans="1:7">
      <c r="A2321" s="24"/>
      <c r="B2321" s="24"/>
      <c r="C2321" s="24"/>
      <c r="D2321" s="151"/>
      <c r="E2321" s="151"/>
      <c r="F2321" s="151"/>
      <c r="G2321" s="52" t="str">
        <f t="shared" si="41"/>
        <v>:</v>
      </c>
    </row>
    <row r="2322" spans="1:7">
      <c r="A2322" s="24"/>
      <c r="B2322" s="24"/>
      <c r="C2322" s="24"/>
      <c r="D2322" s="151"/>
      <c r="E2322" s="151"/>
      <c r="F2322" s="151"/>
      <c r="G2322" s="52" t="str">
        <f t="shared" si="41"/>
        <v>:</v>
      </c>
    </row>
    <row r="2323" spans="1:7">
      <c r="A2323" s="24"/>
      <c r="B2323" s="24"/>
      <c r="C2323" s="24"/>
      <c r="D2323" s="151"/>
      <c r="E2323" s="151"/>
      <c r="F2323" s="151"/>
      <c r="G2323" s="52" t="str">
        <f t="shared" si="41"/>
        <v>:</v>
      </c>
    </row>
    <row r="2324" spans="1:7">
      <c r="A2324" s="24"/>
      <c r="B2324" s="24"/>
      <c r="C2324" s="24"/>
      <c r="D2324" s="151"/>
      <c r="E2324" s="151"/>
      <c r="F2324" s="151"/>
      <c r="G2324" s="52" t="str">
        <f t="shared" si="41"/>
        <v>:</v>
      </c>
    </row>
    <row r="2325" spans="1:7">
      <c r="A2325" s="24"/>
      <c r="B2325" s="24"/>
      <c r="C2325" s="24"/>
      <c r="D2325" s="151"/>
      <c r="E2325" s="151"/>
      <c r="F2325" s="151"/>
      <c r="G2325" s="52" t="str">
        <f t="shared" si="41"/>
        <v>:</v>
      </c>
    </row>
    <row r="2326" spans="1:7">
      <c r="A2326" s="24"/>
      <c r="B2326" s="24"/>
      <c r="C2326" s="24"/>
      <c r="D2326" s="151"/>
      <c r="E2326" s="151"/>
      <c r="F2326" s="151"/>
      <c r="G2326" s="52" t="str">
        <f t="shared" si="41"/>
        <v>:</v>
      </c>
    </row>
    <row r="2327" spans="1:7">
      <c r="A2327" s="24"/>
      <c r="B2327" s="24"/>
      <c r="C2327" s="24"/>
      <c r="D2327" s="151"/>
      <c r="E2327" s="151"/>
      <c r="F2327" s="151"/>
      <c r="G2327" s="52" t="str">
        <f t="shared" si="41"/>
        <v>:</v>
      </c>
    </row>
    <row r="2328" spans="1:7">
      <c r="A2328" s="24"/>
      <c r="B2328" s="24"/>
      <c r="C2328" s="24"/>
      <c r="D2328" s="151"/>
      <c r="E2328" s="151"/>
      <c r="F2328" s="151"/>
      <c r="G2328" s="52" t="str">
        <f t="shared" si="41"/>
        <v>:</v>
      </c>
    </row>
    <row r="2329" spans="1:7">
      <c r="A2329" s="24"/>
      <c r="B2329" s="24"/>
      <c r="C2329" s="24"/>
      <c r="D2329" s="151"/>
      <c r="E2329" s="151"/>
      <c r="F2329" s="151"/>
      <c r="G2329" s="52" t="str">
        <f t="shared" si="41"/>
        <v>:</v>
      </c>
    </row>
    <row r="2330" spans="1:7">
      <c r="A2330" s="24"/>
      <c r="B2330" s="24"/>
      <c r="C2330" s="24"/>
      <c r="D2330" s="151"/>
      <c r="E2330" s="151"/>
      <c r="F2330" s="151"/>
      <c r="G2330" s="52" t="str">
        <f t="shared" si="41"/>
        <v>:</v>
      </c>
    </row>
    <row r="2331" spans="1:7">
      <c r="A2331" s="24"/>
      <c r="B2331" s="24"/>
      <c r="C2331" s="24"/>
      <c r="D2331" s="151"/>
      <c r="E2331" s="151"/>
      <c r="F2331" s="151"/>
      <c r="G2331" s="52" t="str">
        <f t="shared" si="41"/>
        <v>:</v>
      </c>
    </row>
    <row r="2332" spans="1:7">
      <c r="A2332" s="24"/>
      <c r="B2332" s="24"/>
      <c r="C2332" s="24"/>
      <c r="D2332" s="151"/>
      <c r="E2332" s="151"/>
      <c r="F2332" s="151"/>
      <c r="G2332" s="52" t="str">
        <f t="shared" si="41"/>
        <v>:</v>
      </c>
    </row>
    <row r="2333" spans="1:7">
      <c r="A2333" s="24"/>
      <c r="B2333" s="24"/>
      <c r="C2333" s="24"/>
      <c r="D2333" s="151"/>
      <c r="E2333" s="151"/>
      <c r="F2333" s="151"/>
      <c r="G2333" s="52" t="str">
        <f t="shared" si="41"/>
        <v>:</v>
      </c>
    </row>
    <row r="2334" spans="1:7">
      <c r="A2334" s="24"/>
      <c r="B2334" s="24"/>
      <c r="C2334" s="24"/>
      <c r="D2334" s="151"/>
      <c r="E2334" s="151"/>
      <c r="F2334" s="151"/>
      <c r="G2334" s="52" t="str">
        <f t="shared" si="41"/>
        <v>:</v>
      </c>
    </row>
    <row r="2335" spans="1:7">
      <c r="A2335" s="24"/>
      <c r="B2335" s="24"/>
      <c r="C2335" s="24"/>
      <c r="D2335" s="151"/>
      <c r="E2335" s="151"/>
      <c r="F2335" s="151"/>
      <c r="G2335" s="52" t="str">
        <f t="shared" si="41"/>
        <v>:</v>
      </c>
    </row>
    <row r="2336" spans="1:7">
      <c r="A2336" s="24"/>
      <c r="B2336" s="24"/>
      <c r="C2336" s="24"/>
      <c r="D2336" s="151"/>
      <c r="E2336" s="151"/>
      <c r="F2336" s="151"/>
      <c r="G2336" s="52" t="str">
        <f t="shared" si="41"/>
        <v>:</v>
      </c>
    </row>
    <row r="2337" spans="1:7">
      <c r="A2337" s="24"/>
      <c r="B2337" s="24"/>
      <c r="C2337" s="24"/>
      <c r="D2337" s="151"/>
      <c r="E2337" s="151"/>
      <c r="F2337" s="151"/>
      <c r="G2337" s="52" t="str">
        <f t="shared" si="41"/>
        <v>:</v>
      </c>
    </row>
    <row r="2338" spans="1:7">
      <c r="A2338" s="24"/>
      <c r="B2338" s="24"/>
      <c r="C2338" s="24"/>
      <c r="D2338" s="151"/>
      <c r="E2338" s="151"/>
      <c r="F2338" s="151"/>
      <c r="G2338" s="52" t="str">
        <f t="shared" si="41"/>
        <v>:</v>
      </c>
    </row>
    <row r="2339" spans="1:7">
      <c r="A2339" s="24"/>
      <c r="B2339" s="24"/>
      <c r="C2339" s="24"/>
      <c r="D2339" s="151"/>
      <c r="E2339" s="151"/>
      <c r="F2339" s="151"/>
      <c r="G2339" s="52" t="str">
        <f t="shared" si="41"/>
        <v>:</v>
      </c>
    </row>
    <row r="2340" spans="1:7">
      <c r="A2340" s="24"/>
      <c r="B2340" s="24"/>
      <c r="C2340" s="24"/>
      <c r="D2340" s="151"/>
      <c r="E2340" s="151"/>
      <c r="F2340" s="151"/>
      <c r="G2340" s="52" t="str">
        <f t="shared" si="41"/>
        <v>:</v>
      </c>
    </row>
  </sheetData>
  <autoFilter xmlns:etc="http://www.wps.cn/officeDocument/2017/etCustomData" ref="A1:F2340" etc:filterBottomFollowUsedRange="0">
    <extLst/>
  </autoFilter>
  <pageMargins left="0.75" right="0.75" top="1" bottom="1" header="0.5" footer="0.5"/>
  <headerFooter/>
  <ignoredErrors>
    <ignoredError sqref="F2322:F2340 A1:F965 B2259:E2340 A1013:F1022 A967:F101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1"/>
  <sheetViews>
    <sheetView workbookViewId="0">
      <selection activeCell="C28" sqref="C28"/>
    </sheetView>
  </sheetViews>
  <sheetFormatPr defaultColWidth="9" defaultRowHeight="13.5" outlineLevelCol="3"/>
  <cols>
    <col min="1" max="1" width="14.75" style="14" customWidth="1"/>
    <col min="2" max="2" width="39.375" customWidth="1"/>
    <col min="3" max="3" width="45.75" style="52" customWidth="1"/>
    <col min="4" max="4" width="36.125" style="52" customWidth="1"/>
  </cols>
  <sheetData>
    <row r="1" ht="38" customHeight="1" spans="1:4">
      <c r="A1" s="15" t="s">
        <v>7540</v>
      </c>
      <c r="B1" s="15" t="s">
        <v>7541</v>
      </c>
      <c r="C1" s="15" t="s">
        <v>22</v>
      </c>
      <c r="D1" s="15" t="s">
        <v>3284</v>
      </c>
    </row>
    <row r="2" spans="1:4">
      <c r="A2" s="24" t="s">
        <v>7542</v>
      </c>
      <c r="B2" s="55" t="s">
        <v>28</v>
      </c>
      <c r="C2" s="199" t="s">
        <v>29</v>
      </c>
      <c r="D2" s="61"/>
    </row>
    <row r="3" spans="1:4">
      <c r="A3" s="24" t="s">
        <v>7542</v>
      </c>
      <c r="B3" s="55" t="s">
        <v>31</v>
      </c>
      <c r="C3" s="199" t="s">
        <v>32</v>
      </c>
      <c r="D3" s="61"/>
    </row>
    <row r="4" spans="1:4">
      <c r="A4" s="24" t="s">
        <v>7542</v>
      </c>
      <c r="B4" s="55" t="s">
        <v>33</v>
      </c>
      <c r="C4" s="61" t="s">
        <v>34</v>
      </c>
      <c r="D4" s="61"/>
    </row>
    <row r="5" spans="1:4">
      <c r="A5" s="24" t="s">
        <v>7542</v>
      </c>
      <c r="B5" s="55" t="s">
        <v>35</v>
      </c>
      <c r="C5" s="61" t="s">
        <v>36</v>
      </c>
      <c r="D5" s="61"/>
    </row>
    <row r="6" spans="1:4">
      <c r="A6" s="24" t="s">
        <v>7542</v>
      </c>
      <c r="B6" s="55" t="s">
        <v>37</v>
      </c>
      <c r="C6" s="61" t="s">
        <v>38</v>
      </c>
      <c r="D6" s="61"/>
    </row>
    <row r="7" spans="1:4">
      <c r="A7" s="24" t="s">
        <v>7542</v>
      </c>
      <c r="B7" s="55" t="s">
        <v>39</v>
      </c>
      <c r="C7" s="61" t="s">
        <v>40</v>
      </c>
      <c r="D7" s="61"/>
    </row>
    <row r="8" spans="1:4">
      <c r="A8" s="24" t="s">
        <v>7542</v>
      </c>
      <c r="B8" s="55" t="s">
        <v>41</v>
      </c>
      <c r="C8" s="61" t="s">
        <v>42</v>
      </c>
      <c r="D8" s="61"/>
    </row>
    <row r="9" spans="1:4">
      <c r="A9" s="24" t="s">
        <v>7542</v>
      </c>
      <c r="B9" s="55" t="s">
        <v>43</v>
      </c>
      <c r="C9" s="61" t="s">
        <v>44</v>
      </c>
      <c r="D9" s="61"/>
    </row>
    <row r="10" spans="1:4">
      <c r="A10" s="24" t="s">
        <v>7542</v>
      </c>
      <c r="B10" s="55" t="s">
        <v>45</v>
      </c>
      <c r="C10" s="52" t="s">
        <v>46</v>
      </c>
      <c r="D10" s="61"/>
    </row>
    <row r="11" spans="1:4">
      <c r="A11" s="24" t="s">
        <v>7542</v>
      </c>
      <c r="B11" s="55" t="s">
        <v>47</v>
      </c>
      <c r="C11" s="56" t="s">
        <v>48</v>
      </c>
      <c r="D11" s="61"/>
    </row>
    <row r="12" spans="1:4">
      <c r="A12" s="24" t="s">
        <v>7542</v>
      </c>
      <c r="B12" s="55" t="s">
        <v>49</v>
      </c>
      <c r="C12" s="52" t="s">
        <v>50</v>
      </c>
      <c r="D12" s="61"/>
    </row>
    <row r="13" spans="1:4">
      <c r="A13" s="24" t="s">
        <v>7542</v>
      </c>
      <c r="B13" s="55" t="s">
        <v>51</v>
      </c>
      <c r="C13" s="56" t="s">
        <v>52</v>
      </c>
      <c r="D13" s="61"/>
    </row>
    <row r="14" spans="1:4">
      <c r="A14" s="24" t="s">
        <v>7542</v>
      </c>
      <c r="B14" s="55" t="s">
        <v>53</v>
      </c>
      <c r="C14" s="205" t="s">
        <v>54</v>
      </c>
      <c r="D14" s="61"/>
    </row>
    <row r="15" spans="1:4">
      <c r="A15" s="24" t="s">
        <v>7542</v>
      </c>
      <c r="B15" s="55" t="s">
        <v>55</v>
      </c>
      <c r="C15" s="61" t="s">
        <v>56</v>
      </c>
      <c r="D15" s="61"/>
    </row>
    <row r="16" spans="1:4">
      <c r="A16" s="24" t="s">
        <v>7542</v>
      </c>
      <c r="B16" s="55" t="s">
        <v>57</v>
      </c>
      <c r="C16" s="56" t="s">
        <v>58</v>
      </c>
      <c r="D16" s="61"/>
    </row>
    <row r="17" spans="1:4">
      <c r="A17" s="24" t="s">
        <v>7542</v>
      </c>
      <c r="B17" s="55" t="s">
        <v>59</v>
      </c>
      <c r="C17" s="205" t="s">
        <v>60</v>
      </c>
      <c r="D17" s="61"/>
    </row>
    <row r="18" spans="1:4">
      <c r="A18" s="24" t="s">
        <v>7542</v>
      </c>
      <c r="B18" s="55" t="s">
        <v>61</v>
      </c>
      <c r="C18" s="203" t="s">
        <v>62</v>
      </c>
      <c r="D18" s="61"/>
    </row>
    <row r="19" spans="1:4">
      <c r="A19" s="24" t="s">
        <v>7542</v>
      </c>
      <c r="B19" s="55" t="s">
        <v>63</v>
      </c>
      <c r="C19" s="56" t="s">
        <v>64</v>
      </c>
      <c r="D19" s="61"/>
    </row>
    <row r="20" spans="1:4">
      <c r="A20" s="24" t="s">
        <v>7542</v>
      </c>
      <c r="B20" s="55" t="s">
        <v>65</v>
      </c>
      <c r="C20" s="56" t="s">
        <v>66</v>
      </c>
      <c r="D20" s="61"/>
    </row>
    <row r="21" spans="1:4">
      <c r="A21" s="24" t="s">
        <v>7542</v>
      </c>
      <c r="B21" s="55" t="s">
        <v>67</v>
      </c>
      <c r="C21" s="56" t="s">
        <v>68</v>
      </c>
      <c r="D21" s="61"/>
    </row>
    <row r="22" spans="1:4">
      <c r="A22" s="24" t="s">
        <v>7542</v>
      </c>
      <c r="B22" s="55" t="s">
        <v>69</v>
      </c>
      <c r="C22" s="56" t="s">
        <v>70</v>
      </c>
      <c r="D22" s="61"/>
    </row>
    <row r="23" spans="1:4">
      <c r="A23" s="24" t="s">
        <v>7542</v>
      </c>
      <c r="B23" s="55" t="s">
        <v>71</v>
      </c>
      <c r="C23" s="56" t="s">
        <v>72</v>
      </c>
      <c r="D23" s="61"/>
    </row>
    <row r="24" spans="1:4">
      <c r="A24" s="24" t="s">
        <v>7542</v>
      </c>
      <c r="B24" s="55" t="s">
        <v>73</v>
      </c>
      <c r="C24" s="56" t="s">
        <v>74</v>
      </c>
      <c r="D24" s="61"/>
    </row>
    <row r="25" spans="1:4">
      <c r="A25" s="24" t="s">
        <v>7542</v>
      </c>
      <c r="B25" s="55" t="s">
        <v>75</v>
      </c>
      <c r="C25" s="56" t="s">
        <v>76</v>
      </c>
      <c r="D25" s="61"/>
    </row>
    <row r="26" spans="1:4">
      <c r="A26" s="24" t="s">
        <v>7542</v>
      </c>
      <c r="B26" s="55" t="s">
        <v>77</v>
      </c>
      <c r="C26" s="56" t="s">
        <v>78</v>
      </c>
      <c r="D26" s="61"/>
    </row>
    <row r="27" spans="1:4">
      <c r="A27" s="24" t="s">
        <v>7542</v>
      </c>
      <c r="B27" s="55" t="s">
        <v>79</v>
      </c>
      <c r="C27" s="56" t="s">
        <v>80</v>
      </c>
      <c r="D27" s="61"/>
    </row>
    <row r="28" spans="1:4">
      <c r="A28" s="24" t="s">
        <v>7542</v>
      </c>
      <c r="B28" s="55" t="s">
        <v>81</v>
      </c>
      <c r="C28" s="61" t="s">
        <v>82</v>
      </c>
      <c r="D28" s="61"/>
    </row>
    <row r="29" spans="1:4">
      <c r="A29" s="24" t="s">
        <v>7542</v>
      </c>
      <c r="B29" s="55" t="s">
        <v>83</v>
      </c>
      <c r="C29" s="56" t="s">
        <v>84</v>
      </c>
      <c r="D29" s="61"/>
    </row>
    <row r="30" spans="1:4">
      <c r="A30" s="24" t="s">
        <v>7542</v>
      </c>
      <c r="B30" s="55" t="s">
        <v>85</v>
      </c>
      <c r="C30" s="61" t="s">
        <v>86</v>
      </c>
      <c r="D30" s="61"/>
    </row>
    <row r="31" spans="1:4">
      <c r="A31" s="24" t="s">
        <v>7542</v>
      </c>
      <c r="B31" s="55" t="s">
        <v>87</v>
      </c>
      <c r="C31" s="61" t="s">
        <v>88</v>
      </c>
      <c r="D31" s="61"/>
    </row>
    <row r="32" spans="1:4">
      <c r="A32" s="24" t="s">
        <v>7542</v>
      </c>
      <c r="B32" s="55" t="s">
        <v>89</v>
      </c>
      <c r="C32" s="56" t="s">
        <v>90</v>
      </c>
      <c r="D32" s="61"/>
    </row>
    <row r="33" spans="1:4">
      <c r="A33" s="24" t="s">
        <v>7542</v>
      </c>
      <c r="B33" s="55" t="s">
        <v>91</v>
      </c>
      <c r="C33" s="56" t="s">
        <v>92</v>
      </c>
      <c r="D33" s="61"/>
    </row>
    <row r="34" spans="1:4">
      <c r="A34" s="24" t="s">
        <v>7542</v>
      </c>
      <c r="B34" s="55" t="s">
        <v>93</v>
      </c>
      <c r="C34" s="61" t="s">
        <v>94</v>
      </c>
      <c r="D34" s="61"/>
    </row>
    <row r="35" spans="1:4">
      <c r="A35" s="24" t="s">
        <v>7542</v>
      </c>
      <c r="B35" s="55" t="s">
        <v>95</v>
      </c>
      <c r="C35" s="56" t="s">
        <v>96</v>
      </c>
      <c r="D35" s="61"/>
    </row>
    <row r="36" spans="1:4">
      <c r="A36" s="24" t="s">
        <v>7542</v>
      </c>
      <c r="B36" s="55" t="s">
        <v>97</v>
      </c>
      <c r="C36" s="56" t="s">
        <v>98</v>
      </c>
      <c r="D36" s="61"/>
    </row>
    <row r="37" spans="1:4">
      <c r="A37" s="24" t="s">
        <v>7542</v>
      </c>
      <c r="B37" s="55" t="s">
        <v>99</v>
      </c>
      <c r="C37" s="61" t="s">
        <v>100</v>
      </c>
      <c r="D37" s="61"/>
    </row>
    <row r="38" spans="1:4">
      <c r="A38" s="24" t="s">
        <v>7542</v>
      </c>
      <c r="B38" s="55" t="s">
        <v>101</v>
      </c>
      <c r="C38" s="61" t="s">
        <v>102</v>
      </c>
      <c r="D38" s="61"/>
    </row>
    <row r="39" spans="1:4">
      <c r="A39" s="24" t="s">
        <v>7542</v>
      </c>
      <c r="B39" s="55" t="s">
        <v>103</v>
      </c>
      <c r="C39" s="203" t="s">
        <v>104</v>
      </c>
      <c r="D39" s="61"/>
    </row>
    <row r="40" spans="1:4">
      <c r="A40" s="24" t="s">
        <v>7542</v>
      </c>
      <c r="B40" s="55" t="s">
        <v>105</v>
      </c>
      <c r="C40" s="199" t="s">
        <v>106</v>
      </c>
      <c r="D40" s="61"/>
    </row>
    <row r="41" spans="1:4">
      <c r="A41" s="24" t="s">
        <v>7542</v>
      </c>
      <c r="B41" s="55" t="s">
        <v>107</v>
      </c>
      <c r="C41" s="61" t="s">
        <v>108</v>
      </c>
      <c r="D41" s="61"/>
    </row>
    <row r="42" spans="1:4">
      <c r="A42" s="24" t="s">
        <v>7542</v>
      </c>
      <c r="B42" s="55" t="s">
        <v>109</v>
      </c>
      <c r="C42" s="199" t="s">
        <v>110</v>
      </c>
      <c r="D42" s="61"/>
    </row>
    <row r="43" spans="1:4">
      <c r="A43" s="24" t="s">
        <v>7542</v>
      </c>
      <c r="B43" s="55" t="s">
        <v>111</v>
      </c>
      <c r="C43" s="199" t="s">
        <v>112</v>
      </c>
      <c r="D43" s="61"/>
    </row>
    <row r="44" spans="1:4">
      <c r="A44" s="24" t="s">
        <v>7542</v>
      </c>
      <c r="B44" s="55" t="s">
        <v>113</v>
      </c>
      <c r="C44" s="61" t="s">
        <v>114</v>
      </c>
      <c r="D44" s="61" t="s">
        <v>7543</v>
      </c>
    </row>
    <row r="45" spans="1:4">
      <c r="A45" s="24" t="s">
        <v>7542</v>
      </c>
      <c r="B45" s="55" t="s">
        <v>115</v>
      </c>
      <c r="C45" s="199" t="s">
        <v>116</v>
      </c>
      <c r="D45" s="61"/>
    </row>
    <row r="46" spans="1:4">
      <c r="A46" s="24" t="s">
        <v>7542</v>
      </c>
      <c r="B46" s="55" t="s">
        <v>117</v>
      </c>
      <c r="C46" s="56" t="s">
        <v>118</v>
      </c>
      <c r="D46" s="61"/>
    </row>
    <row r="47" spans="1:4">
      <c r="A47" s="24" t="s">
        <v>7542</v>
      </c>
      <c r="B47" s="55" t="s">
        <v>119</v>
      </c>
      <c r="C47" s="56" t="s">
        <v>120</v>
      </c>
      <c r="D47" s="61"/>
    </row>
    <row r="48" spans="1:4">
      <c r="A48" s="24" t="s">
        <v>7542</v>
      </c>
      <c r="B48" s="55" t="s">
        <v>121</v>
      </c>
      <c r="C48" s="56" t="s">
        <v>122</v>
      </c>
      <c r="D48" s="61"/>
    </row>
    <row r="49" spans="1:4">
      <c r="A49" s="24" t="s">
        <v>7542</v>
      </c>
      <c r="B49" s="55" t="s">
        <v>123</v>
      </c>
      <c r="C49" s="56" t="s">
        <v>124</v>
      </c>
      <c r="D49" s="61"/>
    </row>
    <row r="50" spans="1:4">
      <c r="A50" s="24" t="s">
        <v>7542</v>
      </c>
      <c r="B50" s="55" t="s">
        <v>125</v>
      </c>
      <c r="C50" s="56" t="s">
        <v>126</v>
      </c>
      <c r="D50" s="61"/>
    </row>
    <row r="51" spans="1:4">
      <c r="A51" s="24" t="s">
        <v>7542</v>
      </c>
      <c r="B51" s="55" t="s">
        <v>127</v>
      </c>
      <c r="C51" s="56" t="s">
        <v>128</v>
      </c>
      <c r="D51" s="61"/>
    </row>
    <row r="52" spans="1:4">
      <c r="A52" s="24" t="s">
        <v>7542</v>
      </c>
      <c r="B52" s="55" t="s">
        <v>129</v>
      </c>
      <c r="C52" s="56" t="s">
        <v>130</v>
      </c>
      <c r="D52" s="61"/>
    </row>
    <row r="53" spans="1:4">
      <c r="A53" s="24" t="s">
        <v>7542</v>
      </c>
      <c r="B53" s="55" t="s">
        <v>131</v>
      </c>
      <c r="C53" s="61" t="s">
        <v>132</v>
      </c>
      <c r="D53" s="61"/>
    </row>
    <row r="54" spans="1:4">
      <c r="A54" s="24" t="s">
        <v>7542</v>
      </c>
      <c r="B54" s="55" t="s">
        <v>133</v>
      </c>
      <c r="C54" s="61" t="s">
        <v>134</v>
      </c>
      <c r="D54" s="61"/>
    </row>
    <row r="55" spans="1:4">
      <c r="A55" s="24" t="s">
        <v>7542</v>
      </c>
      <c r="B55" s="55" t="s">
        <v>135</v>
      </c>
      <c r="C55" s="61" t="s">
        <v>136</v>
      </c>
      <c r="D55" s="61"/>
    </row>
    <row r="56" spans="1:4">
      <c r="A56" s="24" t="s">
        <v>7542</v>
      </c>
      <c r="B56" s="55" t="s">
        <v>137</v>
      </c>
      <c r="C56" s="61" t="s">
        <v>138</v>
      </c>
      <c r="D56" s="61"/>
    </row>
    <row r="57" spans="1:4">
      <c r="A57" s="24" t="s">
        <v>7542</v>
      </c>
      <c r="B57" s="55" t="s">
        <v>139</v>
      </c>
      <c r="C57" s="199" t="s">
        <v>140</v>
      </c>
      <c r="D57" s="61" t="s">
        <v>7544</v>
      </c>
    </row>
    <row r="58" spans="1:4">
      <c r="A58" s="24" t="s">
        <v>7542</v>
      </c>
      <c r="B58" s="55" t="s">
        <v>141</v>
      </c>
      <c r="C58" s="199" t="s">
        <v>142</v>
      </c>
      <c r="D58" s="61" t="s">
        <v>7545</v>
      </c>
    </row>
    <row r="59" spans="1:4">
      <c r="A59" s="24" t="s">
        <v>7542</v>
      </c>
      <c r="B59" s="55" t="s">
        <v>143</v>
      </c>
      <c r="C59" s="56" t="s">
        <v>144</v>
      </c>
      <c r="D59" s="61" t="s">
        <v>3781</v>
      </c>
    </row>
    <row r="60" spans="1:4">
      <c r="A60" s="24" t="s">
        <v>7542</v>
      </c>
      <c r="B60" s="55" t="s">
        <v>145</v>
      </c>
      <c r="C60" s="56" t="s">
        <v>146</v>
      </c>
      <c r="D60" s="61"/>
    </row>
    <row r="61" spans="1:4">
      <c r="A61" s="24" t="s">
        <v>7542</v>
      </c>
      <c r="B61" s="55" t="s">
        <v>147</v>
      </c>
      <c r="C61" s="61" t="s">
        <v>148</v>
      </c>
      <c r="D61" s="61"/>
    </row>
    <row r="62" spans="1:4">
      <c r="A62" s="24" t="s">
        <v>7542</v>
      </c>
      <c r="B62" s="55" t="s">
        <v>149</v>
      </c>
      <c r="C62" s="56" t="s">
        <v>150</v>
      </c>
      <c r="D62" s="61"/>
    </row>
    <row r="63" spans="1:4">
      <c r="A63" s="54" t="s">
        <v>7546</v>
      </c>
      <c r="B63" s="55" t="s">
        <v>151</v>
      </c>
      <c r="C63" s="61" t="s">
        <v>152</v>
      </c>
      <c r="D63" s="61"/>
    </row>
    <row r="64" spans="1:4">
      <c r="A64" s="54" t="s">
        <v>7546</v>
      </c>
      <c r="B64" s="55" t="s">
        <v>153</v>
      </c>
      <c r="C64" s="56" t="s">
        <v>154</v>
      </c>
      <c r="D64" s="61"/>
    </row>
    <row r="65" spans="1:4">
      <c r="A65" s="54" t="s">
        <v>7546</v>
      </c>
      <c r="B65" s="55" t="s">
        <v>155</v>
      </c>
      <c r="C65" s="205" t="s">
        <v>156</v>
      </c>
      <c r="D65" s="61"/>
    </row>
    <row r="66" spans="1:4">
      <c r="A66" s="54" t="s">
        <v>7546</v>
      </c>
      <c r="B66" s="55" t="s">
        <v>157</v>
      </c>
      <c r="C66" s="61" t="s">
        <v>158</v>
      </c>
      <c r="D66" s="61"/>
    </row>
    <row r="67" spans="1:4">
      <c r="A67" s="54" t="s">
        <v>7546</v>
      </c>
      <c r="B67" s="55" t="s">
        <v>159</v>
      </c>
      <c r="C67" s="61" t="s">
        <v>160</v>
      </c>
      <c r="D67" s="61"/>
    </row>
    <row r="68" spans="1:4">
      <c r="A68" s="54" t="s">
        <v>7546</v>
      </c>
      <c r="B68" s="55" t="s">
        <v>161</v>
      </c>
      <c r="C68" s="61" t="s">
        <v>162</v>
      </c>
      <c r="D68" s="61"/>
    </row>
    <row r="69" spans="1:4">
      <c r="A69" s="54" t="s">
        <v>7546</v>
      </c>
      <c r="B69" s="55" t="s">
        <v>163</v>
      </c>
      <c r="C69" s="61" t="s">
        <v>164</v>
      </c>
      <c r="D69" s="61"/>
    </row>
    <row r="70" spans="1:4">
      <c r="A70" s="54" t="s">
        <v>7546</v>
      </c>
      <c r="B70" s="55" t="s">
        <v>165</v>
      </c>
      <c r="C70" s="61" t="s">
        <v>166</v>
      </c>
      <c r="D70" s="61"/>
    </row>
    <row r="71" spans="1:4">
      <c r="A71" s="54" t="s">
        <v>7546</v>
      </c>
      <c r="B71" s="55" t="s">
        <v>167</v>
      </c>
      <c r="C71" s="61" t="s">
        <v>168</v>
      </c>
      <c r="D71" s="61"/>
    </row>
    <row r="72" spans="1:4">
      <c r="A72" s="54" t="s">
        <v>7546</v>
      </c>
      <c r="B72" s="55" t="s">
        <v>169</v>
      </c>
      <c r="C72" s="61" t="s">
        <v>170</v>
      </c>
      <c r="D72" s="61"/>
    </row>
    <row r="73" spans="1:4">
      <c r="A73" s="54" t="s">
        <v>7546</v>
      </c>
      <c r="B73" s="55" t="s">
        <v>171</v>
      </c>
      <c r="C73" s="61" t="s">
        <v>172</v>
      </c>
      <c r="D73" s="61"/>
    </row>
    <row r="74" spans="1:4">
      <c r="A74" s="54" t="s">
        <v>7546</v>
      </c>
      <c r="B74" s="55" t="s">
        <v>173</v>
      </c>
      <c r="C74" s="61" t="s">
        <v>174</v>
      </c>
      <c r="D74" s="61"/>
    </row>
    <row r="75" spans="1:4">
      <c r="A75" s="54" t="s">
        <v>7546</v>
      </c>
      <c r="B75" s="55" t="s">
        <v>175</v>
      </c>
      <c r="C75" s="61" t="s">
        <v>176</v>
      </c>
      <c r="D75" s="61"/>
    </row>
    <row r="76" spans="1:4">
      <c r="A76" s="54" t="s">
        <v>7546</v>
      </c>
      <c r="B76" s="55" t="s">
        <v>177</v>
      </c>
      <c r="C76" s="61" t="s">
        <v>178</v>
      </c>
      <c r="D76" s="61"/>
    </row>
    <row r="77" spans="1:4">
      <c r="A77" s="54" t="s">
        <v>7546</v>
      </c>
      <c r="B77" s="55" t="s">
        <v>179</v>
      </c>
      <c r="C77" s="56" t="s">
        <v>180</v>
      </c>
      <c r="D77" s="61"/>
    </row>
    <row r="78" spans="1:4">
      <c r="A78" s="54" t="s">
        <v>7546</v>
      </c>
      <c r="B78" s="55" t="s">
        <v>181</v>
      </c>
      <c r="C78" s="205" t="s">
        <v>182</v>
      </c>
      <c r="D78" s="61"/>
    </row>
    <row r="79" spans="1:4">
      <c r="A79" s="54" t="s">
        <v>7546</v>
      </c>
      <c r="B79" s="55" t="s">
        <v>183</v>
      </c>
      <c r="C79" s="56" t="s">
        <v>184</v>
      </c>
      <c r="D79" s="61"/>
    </row>
    <row r="80" spans="1:4">
      <c r="A80" s="54" t="s">
        <v>7546</v>
      </c>
      <c r="B80" s="55" t="s">
        <v>185</v>
      </c>
      <c r="C80" s="205" t="s">
        <v>186</v>
      </c>
      <c r="D80" s="61"/>
    </row>
    <row r="81" spans="1:4">
      <c r="A81" s="54" t="s">
        <v>7546</v>
      </c>
      <c r="B81" s="55" t="s">
        <v>187</v>
      </c>
      <c r="C81" s="56" t="s">
        <v>188</v>
      </c>
      <c r="D81" s="61"/>
    </row>
    <row r="82" spans="1:4">
      <c r="A82" s="54" t="s">
        <v>7546</v>
      </c>
      <c r="B82" s="55" t="s">
        <v>189</v>
      </c>
      <c r="C82" s="205" t="s">
        <v>190</v>
      </c>
      <c r="D82" s="61"/>
    </row>
    <row r="83" spans="1:4">
      <c r="A83" s="54" t="s">
        <v>7546</v>
      </c>
      <c r="B83" s="55" t="s">
        <v>191</v>
      </c>
      <c r="C83" s="61" t="s">
        <v>192</v>
      </c>
      <c r="D83" s="61"/>
    </row>
    <row r="84" spans="1:4">
      <c r="A84" s="54" t="s">
        <v>7546</v>
      </c>
      <c r="B84" s="55" t="s">
        <v>193</v>
      </c>
      <c r="C84" s="56" t="s">
        <v>194</v>
      </c>
      <c r="D84" s="61"/>
    </row>
    <row r="85" spans="1:4">
      <c r="A85" s="54" t="s">
        <v>7546</v>
      </c>
      <c r="B85" s="55" t="s">
        <v>195</v>
      </c>
      <c r="C85" s="61" t="s">
        <v>196</v>
      </c>
      <c r="D85" s="61"/>
    </row>
    <row r="86" spans="1:4">
      <c r="A86" s="54" t="s">
        <v>7546</v>
      </c>
      <c r="B86" s="55" t="s">
        <v>197</v>
      </c>
      <c r="C86" s="61" t="s">
        <v>198</v>
      </c>
      <c r="D86" s="61"/>
    </row>
    <row r="87" spans="1:4">
      <c r="A87" s="54" t="s">
        <v>7546</v>
      </c>
      <c r="B87" s="55" t="s">
        <v>199</v>
      </c>
      <c r="C87" s="61" t="s">
        <v>200</v>
      </c>
      <c r="D87" s="61"/>
    </row>
    <row r="88" spans="1:4">
      <c r="A88" s="54" t="s">
        <v>7546</v>
      </c>
      <c r="B88" s="55" t="s">
        <v>201</v>
      </c>
      <c r="C88" s="61" t="s">
        <v>202</v>
      </c>
      <c r="D88" s="61"/>
    </row>
    <row r="89" spans="1:4">
      <c r="A89" s="54" t="s">
        <v>7546</v>
      </c>
      <c r="B89" s="55" t="s">
        <v>203</v>
      </c>
      <c r="C89" s="199" t="s">
        <v>204</v>
      </c>
      <c r="D89" s="61"/>
    </row>
    <row r="90" spans="1:4">
      <c r="A90" s="54" t="s">
        <v>7546</v>
      </c>
      <c r="B90" s="55" t="s">
        <v>205</v>
      </c>
      <c r="C90" s="56" t="s">
        <v>206</v>
      </c>
      <c r="D90" s="61"/>
    </row>
    <row r="91" spans="1:4">
      <c r="A91" s="54" t="s">
        <v>7546</v>
      </c>
      <c r="B91" s="55" t="s">
        <v>207</v>
      </c>
      <c r="C91" s="61" t="s">
        <v>208</v>
      </c>
      <c r="D91" s="61"/>
    </row>
    <row r="92" spans="1:4">
      <c r="A92" s="54" t="s">
        <v>7546</v>
      </c>
      <c r="B92" s="55" t="s">
        <v>209</v>
      </c>
      <c r="C92" s="61" t="s">
        <v>210</v>
      </c>
      <c r="D92" s="61"/>
    </row>
    <row r="93" spans="1:4">
      <c r="A93" s="54" t="s">
        <v>7546</v>
      </c>
      <c r="B93" s="55" t="s">
        <v>211</v>
      </c>
      <c r="C93" s="61" t="s">
        <v>212</v>
      </c>
      <c r="D93" s="61"/>
    </row>
    <row r="94" spans="1:4">
      <c r="A94" s="54" t="s">
        <v>7547</v>
      </c>
      <c r="B94" s="55" t="s">
        <v>213</v>
      </c>
      <c r="C94" s="61" t="s">
        <v>214</v>
      </c>
      <c r="D94" s="61"/>
    </row>
    <row r="95" spans="1:4">
      <c r="A95" s="54" t="s">
        <v>7547</v>
      </c>
      <c r="B95" s="55" t="s">
        <v>215</v>
      </c>
      <c r="C95" s="205" t="s">
        <v>216</v>
      </c>
      <c r="D95" s="61"/>
    </row>
    <row r="96" spans="1:4">
      <c r="A96" s="54" t="s">
        <v>7547</v>
      </c>
      <c r="B96" s="55" t="s">
        <v>217</v>
      </c>
      <c r="C96" s="56" t="s">
        <v>218</v>
      </c>
      <c r="D96" s="61"/>
    </row>
    <row r="97" spans="1:4">
      <c r="A97" s="54" t="s">
        <v>7547</v>
      </c>
      <c r="B97" s="55" t="s">
        <v>219</v>
      </c>
      <c r="C97" s="56" t="s">
        <v>220</v>
      </c>
      <c r="D97" s="61"/>
    </row>
    <row r="98" spans="1:4">
      <c r="A98" s="54" t="s">
        <v>7547</v>
      </c>
      <c r="B98" s="55" t="s">
        <v>221</v>
      </c>
      <c r="C98" s="56" t="s">
        <v>222</v>
      </c>
      <c r="D98" s="61"/>
    </row>
    <row r="99" spans="1:4">
      <c r="A99" s="54" t="s">
        <v>7547</v>
      </c>
      <c r="B99" s="55" t="s">
        <v>223</v>
      </c>
      <c r="C99" s="56" t="s">
        <v>224</v>
      </c>
      <c r="D99" s="61"/>
    </row>
    <row r="100" spans="1:4">
      <c r="A100" s="54" t="s">
        <v>7547</v>
      </c>
      <c r="B100" s="55" t="s">
        <v>225</v>
      </c>
      <c r="C100" s="56" t="s">
        <v>226</v>
      </c>
      <c r="D100" s="61"/>
    </row>
    <row r="101" spans="1:4">
      <c r="A101" s="54" t="s">
        <v>7547</v>
      </c>
      <c r="B101" s="55" t="s">
        <v>227</v>
      </c>
      <c r="C101" s="199" t="s">
        <v>228</v>
      </c>
      <c r="D101" s="61"/>
    </row>
    <row r="102" spans="1:4">
      <c r="A102" s="54" t="s">
        <v>7547</v>
      </c>
      <c r="B102" s="55" t="s">
        <v>229</v>
      </c>
      <c r="C102" s="205" t="s">
        <v>230</v>
      </c>
      <c r="D102" s="61"/>
    </row>
    <row r="103" spans="1:4">
      <c r="A103" s="54" t="s">
        <v>7547</v>
      </c>
      <c r="B103" s="55" t="s">
        <v>231</v>
      </c>
      <c r="C103" s="56" t="s">
        <v>232</v>
      </c>
      <c r="D103" s="61"/>
    </row>
    <row r="104" spans="1:4">
      <c r="A104" s="54" t="s">
        <v>7547</v>
      </c>
      <c r="B104" s="55" t="s">
        <v>233</v>
      </c>
      <c r="C104" s="205" t="s">
        <v>234</v>
      </c>
      <c r="D104" s="61"/>
    </row>
    <row r="105" spans="1:4">
      <c r="A105" s="54" t="s">
        <v>7547</v>
      </c>
      <c r="B105" s="55" t="s">
        <v>235</v>
      </c>
      <c r="C105" s="61" t="s">
        <v>236</v>
      </c>
      <c r="D105" s="61"/>
    </row>
    <row r="106" spans="1:4">
      <c r="A106" s="54" t="s">
        <v>7547</v>
      </c>
      <c r="B106" s="55" t="s">
        <v>237</v>
      </c>
      <c r="C106" s="61" t="s">
        <v>238</v>
      </c>
      <c r="D106" s="61"/>
    </row>
    <row r="107" spans="1:4">
      <c r="A107" s="54" t="s">
        <v>7547</v>
      </c>
      <c r="B107" s="55" t="s">
        <v>239</v>
      </c>
      <c r="C107" s="205" t="s">
        <v>240</v>
      </c>
      <c r="D107" s="61"/>
    </row>
    <row r="108" spans="1:4">
      <c r="A108" s="54" t="s">
        <v>7547</v>
      </c>
      <c r="B108" s="55" t="s">
        <v>241</v>
      </c>
      <c r="C108" s="56" t="s">
        <v>242</v>
      </c>
      <c r="D108" s="61"/>
    </row>
    <row r="109" spans="1:4">
      <c r="A109" s="54" t="s">
        <v>7547</v>
      </c>
      <c r="B109" s="55" t="s">
        <v>243</v>
      </c>
      <c r="C109" s="205" t="s">
        <v>244</v>
      </c>
      <c r="D109" s="61"/>
    </row>
    <row r="110" spans="1:4">
      <c r="A110" s="54" t="s">
        <v>7547</v>
      </c>
      <c r="B110" s="55" t="s">
        <v>245</v>
      </c>
      <c r="C110" s="56" t="s">
        <v>246</v>
      </c>
      <c r="D110" s="61"/>
    </row>
    <row r="111" spans="1:4">
      <c r="A111" s="54" t="s">
        <v>7547</v>
      </c>
      <c r="B111" s="55" t="s">
        <v>247</v>
      </c>
      <c r="C111" s="205" t="s">
        <v>248</v>
      </c>
      <c r="D111" s="61"/>
    </row>
    <row r="112" spans="1:4">
      <c r="A112" s="54" t="s">
        <v>7547</v>
      </c>
      <c r="B112" s="55" t="s">
        <v>249</v>
      </c>
      <c r="C112" s="56" t="s">
        <v>250</v>
      </c>
      <c r="D112" s="61"/>
    </row>
    <row r="113" spans="1:4">
      <c r="A113" s="54" t="s">
        <v>7547</v>
      </c>
      <c r="B113" s="55" t="s">
        <v>251</v>
      </c>
      <c r="C113" s="56" t="s">
        <v>252</v>
      </c>
      <c r="D113" s="61"/>
    </row>
    <row r="114" spans="1:4">
      <c r="A114" s="54" t="s">
        <v>7547</v>
      </c>
      <c r="B114" s="55" t="s">
        <v>253</v>
      </c>
      <c r="C114" s="203" t="s">
        <v>254</v>
      </c>
      <c r="D114" s="61"/>
    </row>
    <row r="115" spans="1:4">
      <c r="A115" s="54" t="s">
        <v>7547</v>
      </c>
      <c r="B115" s="55" t="s">
        <v>255</v>
      </c>
      <c r="C115" s="56" t="s">
        <v>256</v>
      </c>
      <c r="D115" s="61"/>
    </row>
    <row r="116" spans="1:4">
      <c r="A116" s="54" t="s">
        <v>7547</v>
      </c>
      <c r="B116" s="55" t="s">
        <v>257</v>
      </c>
      <c r="C116" s="205" t="s">
        <v>258</v>
      </c>
      <c r="D116" s="61"/>
    </row>
    <row r="117" spans="1:4">
      <c r="A117" s="54" t="s">
        <v>7548</v>
      </c>
      <c r="B117" s="55" t="s">
        <v>259</v>
      </c>
      <c r="C117" s="56" t="s">
        <v>260</v>
      </c>
      <c r="D117" s="61"/>
    </row>
    <row r="118" spans="1:4">
      <c r="A118" s="54" t="s">
        <v>7548</v>
      </c>
      <c r="B118" s="55" t="s">
        <v>261</v>
      </c>
      <c r="C118" s="199" t="s">
        <v>262</v>
      </c>
      <c r="D118" s="61"/>
    </row>
    <row r="119" spans="1:4">
      <c r="A119" s="54" t="s">
        <v>7548</v>
      </c>
      <c r="B119" s="55" t="s">
        <v>263</v>
      </c>
      <c r="C119" s="199" t="s">
        <v>264</v>
      </c>
      <c r="D119" s="61"/>
    </row>
    <row r="120" spans="1:4">
      <c r="A120" s="54" t="s">
        <v>7548</v>
      </c>
      <c r="B120" s="55" t="s">
        <v>265</v>
      </c>
      <c r="C120" s="199" t="s">
        <v>266</v>
      </c>
      <c r="D120" s="61"/>
    </row>
    <row r="121" spans="1:4">
      <c r="A121" s="54" t="s">
        <v>7548</v>
      </c>
      <c r="B121" s="55" t="s">
        <v>267</v>
      </c>
      <c r="C121" s="199" t="s">
        <v>268</v>
      </c>
      <c r="D121" s="61"/>
    </row>
    <row r="122" spans="1:4">
      <c r="A122" s="54" t="s">
        <v>7548</v>
      </c>
      <c r="B122" s="55" t="s">
        <v>269</v>
      </c>
      <c r="C122" s="61" t="s">
        <v>270</v>
      </c>
      <c r="D122" s="61"/>
    </row>
    <row r="123" spans="1:4">
      <c r="A123" s="54" t="s">
        <v>7548</v>
      </c>
      <c r="B123" s="55" t="s">
        <v>271</v>
      </c>
      <c r="C123" s="61" t="s">
        <v>272</v>
      </c>
      <c r="D123" s="61"/>
    </row>
    <row r="124" spans="1:4">
      <c r="A124" s="54" t="s">
        <v>7548</v>
      </c>
      <c r="B124" s="55" t="s">
        <v>273</v>
      </c>
      <c r="C124" s="61" t="s">
        <v>274</v>
      </c>
      <c r="D124" s="61"/>
    </row>
    <row r="125" spans="1:4">
      <c r="A125" s="54" t="s">
        <v>7548</v>
      </c>
      <c r="B125" s="55" t="s">
        <v>275</v>
      </c>
      <c r="C125" s="61" t="s">
        <v>276</v>
      </c>
      <c r="D125" s="61"/>
    </row>
    <row r="126" spans="1:4">
      <c r="A126" s="54" t="s">
        <v>7548</v>
      </c>
      <c r="B126" s="55" t="s">
        <v>277</v>
      </c>
      <c r="C126" s="61" t="s">
        <v>278</v>
      </c>
      <c r="D126" s="61"/>
    </row>
    <row r="127" spans="1:4">
      <c r="A127" s="54" t="s">
        <v>7548</v>
      </c>
      <c r="B127" s="55" t="s">
        <v>279</v>
      </c>
      <c r="C127" s="61" t="s">
        <v>280</v>
      </c>
      <c r="D127" s="61"/>
    </row>
    <row r="128" spans="1:4">
      <c r="A128" s="54" t="s">
        <v>7548</v>
      </c>
      <c r="B128" s="55" t="s">
        <v>281</v>
      </c>
      <c r="C128" s="56" t="s">
        <v>282</v>
      </c>
      <c r="D128" s="61"/>
    </row>
    <row r="129" spans="1:4">
      <c r="A129" s="54" t="s">
        <v>7548</v>
      </c>
      <c r="B129" s="55" t="s">
        <v>283</v>
      </c>
      <c r="C129" s="56" t="s">
        <v>284</v>
      </c>
      <c r="D129" s="61"/>
    </row>
    <row r="130" spans="1:4">
      <c r="A130" s="54" t="s">
        <v>7548</v>
      </c>
      <c r="B130" s="55" t="s">
        <v>285</v>
      </c>
      <c r="C130" s="205" t="s">
        <v>286</v>
      </c>
      <c r="D130" s="61"/>
    </row>
    <row r="131" spans="1:4">
      <c r="A131" s="54" t="s">
        <v>7548</v>
      </c>
      <c r="B131" s="55" t="s">
        <v>287</v>
      </c>
      <c r="C131" s="56" t="s">
        <v>288</v>
      </c>
      <c r="D131" s="61"/>
    </row>
    <row r="132" spans="1:4">
      <c r="A132" s="54" t="s">
        <v>7548</v>
      </c>
      <c r="B132" s="55" t="s">
        <v>289</v>
      </c>
      <c r="C132" s="205" t="s">
        <v>290</v>
      </c>
      <c r="D132" s="61"/>
    </row>
    <row r="133" spans="1:4">
      <c r="A133" s="54" t="s">
        <v>7548</v>
      </c>
      <c r="B133" s="55" t="s">
        <v>291</v>
      </c>
      <c r="C133" s="56" t="s">
        <v>292</v>
      </c>
      <c r="D133" s="61"/>
    </row>
    <row r="134" spans="1:4">
      <c r="A134" s="54" t="s">
        <v>7548</v>
      </c>
      <c r="B134" s="55" t="s">
        <v>293</v>
      </c>
      <c r="C134" s="61" t="s">
        <v>294</v>
      </c>
      <c r="D134" s="61"/>
    </row>
    <row r="135" spans="1:4">
      <c r="A135" s="54" t="s">
        <v>7548</v>
      </c>
      <c r="B135" s="55" t="s">
        <v>295</v>
      </c>
      <c r="C135" s="61" t="s">
        <v>296</v>
      </c>
      <c r="D135" s="61"/>
    </row>
    <row r="136" spans="1:4">
      <c r="A136" s="54" t="s">
        <v>7548</v>
      </c>
      <c r="B136" s="55" t="s">
        <v>297</v>
      </c>
      <c r="C136" s="205" t="s">
        <v>298</v>
      </c>
      <c r="D136" s="61"/>
    </row>
    <row r="137" spans="1:4">
      <c r="A137" s="54" t="s">
        <v>7548</v>
      </c>
      <c r="B137" s="55" t="s">
        <v>299</v>
      </c>
      <c r="C137" s="203" t="s">
        <v>300</v>
      </c>
      <c r="D137" s="61"/>
    </row>
    <row r="138" spans="1:4">
      <c r="A138" s="54" t="s">
        <v>7548</v>
      </c>
      <c r="B138" s="55" t="s">
        <v>301</v>
      </c>
      <c r="C138" s="61" t="s">
        <v>302</v>
      </c>
      <c r="D138" s="61"/>
    </row>
    <row r="139" spans="1:4">
      <c r="A139" s="54" t="s">
        <v>7548</v>
      </c>
      <c r="B139" s="55" t="s">
        <v>303</v>
      </c>
      <c r="C139" s="56" t="s">
        <v>304</v>
      </c>
      <c r="D139" s="61"/>
    </row>
    <row r="140" spans="1:4">
      <c r="A140" s="54" t="s">
        <v>7548</v>
      </c>
      <c r="B140" s="55" t="s">
        <v>305</v>
      </c>
      <c r="C140" s="205" t="s">
        <v>306</v>
      </c>
      <c r="D140" s="61"/>
    </row>
    <row r="141" spans="1:4">
      <c r="A141" s="54" t="s">
        <v>7548</v>
      </c>
      <c r="B141" s="55" t="s">
        <v>307</v>
      </c>
      <c r="C141" s="203" t="s">
        <v>308</v>
      </c>
      <c r="D141" s="61"/>
    </row>
    <row r="142" spans="1:4">
      <c r="A142" s="54" t="s">
        <v>7548</v>
      </c>
      <c r="B142" s="55" t="s">
        <v>309</v>
      </c>
      <c r="C142" s="61" t="s">
        <v>310</v>
      </c>
      <c r="D142" s="61"/>
    </row>
    <row r="143" spans="1:4">
      <c r="A143" s="54" t="s">
        <v>7548</v>
      </c>
      <c r="B143" s="55" t="s">
        <v>311</v>
      </c>
      <c r="C143" s="61" t="s">
        <v>312</v>
      </c>
      <c r="D143" s="61"/>
    </row>
    <row r="144" spans="1:4">
      <c r="A144" s="54" t="s">
        <v>7548</v>
      </c>
      <c r="B144" s="55" t="s">
        <v>313</v>
      </c>
      <c r="C144" s="56" t="s">
        <v>314</v>
      </c>
      <c r="D144" s="61"/>
    </row>
    <row r="145" spans="1:4">
      <c r="A145" s="54" t="s">
        <v>7548</v>
      </c>
      <c r="B145" s="55" t="s">
        <v>315</v>
      </c>
      <c r="C145" s="56" t="s">
        <v>316</v>
      </c>
      <c r="D145" s="61"/>
    </row>
    <row r="146" spans="1:4">
      <c r="A146" s="54" t="s">
        <v>7548</v>
      </c>
      <c r="B146" s="55" t="s">
        <v>317</v>
      </c>
      <c r="C146" s="56" t="s">
        <v>318</v>
      </c>
      <c r="D146" s="61"/>
    </row>
    <row r="147" spans="1:4">
      <c r="A147" s="54" t="s">
        <v>7548</v>
      </c>
      <c r="B147" s="55" t="s">
        <v>319</v>
      </c>
      <c r="C147" s="56" t="s">
        <v>320</v>
      </c>
      <c r="D147" s="61"/>
    </row>
    <row r="148" spans="1:4">
      <c r="A148" s="54" t="s">
        <v>7548</v>
      </c>
      <c r="B148" s="55" t="s">
        <v>321</v>
      </c>
      <c r="C148" s="56" t="s">
        <v>322</v>
      </c>
      <c r="D148" s="61"/>
    </row>
    <row r="149" spans="1:4">
      <c r="A149" s="54" t="s">
        <v>7548</v>
      </c>
      <c r="B149" s="55" t="s">
        <v>323</v>
      </c>
      <c r="C149" s="56" t="s">
        <v>324</v>
      </c>
      <c r="D149" s="61"/>
    </row>
    <row r="150" spans="1:4">
      <c r="A150" s="54" t="s">
        <v>7548</v>
      </c>
      <c r="B150" s="55" t="s">
        <v>325</v>
      </c>
      <c r="C150" s="56" t="s">
        <v>326</v>
      </c>
      <c r="D150" s="61"/>
    </row>
    <row r="151" spans="1:4">
      <c r="A151" s="54" t="s">
        <v>7548</v>
      </c>
      <c r="B151" s="55" t="s">
        <v>327</v>
      </c>
      <c r="C151" s="61" t="s">
        <v>328</v>
      </c>
      <c r="D151" s="61"/>
    </row>
    <row r="152" spans="1:4">
      <c r="A152" s="54" t="s">
        <v>7548</v>
      </c>
      <c r="B152" s="55" t="s">
        <v>329</v>
      </c>
      <c r="C152" s="56" t="s">
        <v>330</v>
      </c>
      <c r="D152" s="61"/>
    </row>
    <row r="153" spans="1:4">
      <c r="A153" s="54" t="s">
        <v>7548</v>
      </c>
      <c r="B153" s="55" t="s">
        <v>331</v>
      </c>
      <c r="C153" s="61" t="s">
        <v>332</v>
      </c>
      <c r="D153" s="61"/>
    </row>
    <row r="154" spans="1:4">
      <c r="A154" s="54" t="s">
        <v>7548</v>
      </c>
      <c r="B154" s="55" t="s">
        <v>333</v>
      </c>
      <c r="C154" s="61" t="s">
        <v>334</v>
      </c>
      <c r="D154" s="61"/>
    </row>
    <row r="155" spans="1:4">
      <c r="A155" s="54" t="s">
        <v>7548</v>
      </c>
      <c r="B155" s="55" t="s">
        <v>335</v>
      </c>
      <c r="C155" s="61" t="s">
        <v>336</v>
      </c>
      <c r="D155" s="61"/>
    </row>
    <row r="156" spans="1:4">
      <c r="A156" s="54" t="s">
        <v>7548</v>
      </c>
      <c r="B156" s="55" t="s">
        <v>337</v>
      </c>
      <c r="C156" s="61" t="s">
        <v>338</v>
      </c>
      <c r="D156" s="61"/>
    </row>
    <row r="157" spans="1:4">
      <c r="A157" s="54" t="s">
        <v>7548</v>
      </c>
      <c r="B157" s="55" t="s">
        <v>339</v>
      </c>
      <c r="C157" s="61" t="s">
        <v>340</v>
      </c>
      <c r="D157" s="61"/>
    </row>
    <row r="158" spans="1:4">
      <c r="A158" s="54" t="s">
        <v>7548</v>
      </c>
      <c r="B158" s="55" t="s">
        <v>341</v>
      </c>
      <c r="C158" s="56" t="s">
        <v>342</v>
      </c>
      <c r="D158" s="61"/>
    </row>
    <row r="159" spans="1:4">
      <c r="A159" s="54" t="s">
        <v>7548</v>
      </c>
      <c r="B159" s="55" t="s">
        <v>343</v>
      </c>
      <c r="C159" s="56" t="s">
        <v>344</v>
      </c>
      <c r="D159" s="61"/>
    </row>
    <row r="160" spans="1:4">
      <c r="A160" s="54" t="s">
        <v>7548</v>
      </c>
      <c r="B160" s="55" t="s">
        <v>345</v>
      </c>
      <c r="C160" s="199" t="s">
        <v>346</v>
      </c>
      <c r="D160" s="61"/>
    </row>
    <row r="161" spans="1:4">
      <c r="A161" s="54" t="s">
        <v>7549</v>
      </c>
      <c r="B161" s="55" t="s">
        <v>347</v>
      </c>
      <c r="C161" s="61" t="s">
        <v>348</v>
      </c>
      <c r="D161" s="61"/>
    </row>
    <row r="162" spans="1:4">
      <c r="A162" s="54" t="s">
        <v>7550</v>
      </c>
      <c r="B162" s="55" t="s">
        <v>349</v>
      </c>
      <c r="C162" s="56" t="s">
        <v>350</v>
      </c>
      <c r="D162" s="61"/>
    </row>
    <row r="163" spans="1:4">
      <c r="A163" s="54" t="s">
        <v>7550</v>
      </c>
      <c r="B163" s="55" t="s">
        <v>351</v>
      </c>
      <c r="C163" s="61" t="s">
        <v>352</v>
      </c>
      <c r="D163" s="61" t="s">
        <v>4035</v>
      </c>
    </row>
    <row r="164" spans="1:4">
      <c r="A164" s="54" t="s">
        <v>7550</v>
      </c>
      <c r="B164" s="55" t="s">
        <v>353</v>
      </c>
      <c r="C164" s="61" t="s">
        <v>354</v>
      </c>
      <c r="D164" s="61"/>
    </row>
    <row r="165" spans="1:4">
      <c r="A165" s="54" t="s">
        <v>7550</v>
      </c>
      <c r="B165" s="55" t="s">
        <v>355</v>
      </c>
      <c r="C165" s="56" t="s">
        <v>356</v>
      </c>
      <c r="D165" s="61"/>
    </row>
    <row r="166" spans="1:4">
      <c r="A166" s="54" t="s">
        <v>7550</v>
      </c>
      <c r="B166" s="55" t="s">
        <v>357</v>
      </c>
      <c r="C166" s="61" t="s">
        <v>358</v>
      </c>
      <c r="D166" s="61"/>
    </row>
    <row r="167" spans="1:4">
      <c r="A167" s="54" t="s">
        <v>7550</v>
      </c>
      <c r="B167" s="55" t="s">
        <v>359</v>
      </c>
      <c r="C167" s="56" t="s">
        <v>360</v>
      </c>
      <c r="D167" s="61"/>
    </row>
    <row r="168" spans="1:4">
      <c r="A168" s="54" t="s">
        <v>7550</v>
      </c>
      <c r="B168" s="55" t="s">
        <v>361</v>
      </c>
      <c r="C168" s="203" t="s">
        <v>362</v>
      </c>
      <c r="D168" s="61"/>
    </row>
    <row r="169" spans="1:4">
      <c r="A169" s="54" t="s">
        <v>7550</v>
      </c>
      <c r="B169" s="55" t="s">
        <v>363</v>
      </c>
      <c r="C169" s="61" t="s">
        <v>364</v>
      </c>
      <c r="D169" s="61"/>
    </row>
    <row r="170" spans="1:4">
      <c r="A170" s="54" t="s">
        <v>7550</v>
      </c>
      <c r="B170" s="55" t="s">
        <v>365</v>
      </c>
      <c r="C170" s="56" t="s">
        <v>366</v>
      </c>
      <c r="D170" s="61"/>
    </row>
    <row r="171" spans="1:4">
      <c r="A171" s="54" t="s">
        <v>7550</v>
      </c>
      <c r="B171" s="55" t="s">
        <v>367</v>
      </c>
      <c r="C171" s="205" t="s">
        <v>368</v>
      </c>
      <c r="D171" s="61"/>
    </row>
    <row r="172" spans="1:4">
      <c r="A172" s="54" t="s">
        <v>7550</v>
      </c>
      <c r="B172" s="55" t="s">
        <v>369</v>
      </c>
      <c r="C172" s="203" t="s">
        <v>370</v>
      </c>
      <c r="D172" s="61"/>
    </row>
    <row r="173" spans="1:4">
      <c r="A173" s="54" t="s">
        <v>7550</v>
      </c>
      <c r="B173" s="55" t="s">
        <v>371</v>
      </c>
      <c r="C173" s="56" t="s">
        <v>372</v>
      </c>
      <c r="D173" s="61"/>
    </row>
    <row r="174" spans="1:4">
      <c r="A174" s="54" t="s">
        <v>7550</v>
      </c>
      <c r="B174" s="55" t="s">
        <v>373</v>
      </c>
      <c r="C174" s="61" t="s">
        <v>374</v>
      </c>
      <c r="D174" s="61"/>
    </row>
    <row r="175" spans="1:4">
      <c r="A175" s="54" t="s">
        <v>7550</v>
      </c>
      <c r="B175" s="55" t="s">
        <v>375</v>
      </c>
      <c r="C175" s="56" t="s">
        <v>376</v>
      </c>
      <c r="D175" s="61"/>
    </row>
    <row r="176" spans="1:4">
      <c r="A176" s="54" t="s">
        <v>7550</v>
      </c>
      <c r="B176" s="55" t="s">
        <v>377</v>
      </c>
      <c r="C176" s="205" t="s">
        <v>378</v>
      </c>
      <c r="D176" s="61"/>
    </row>
    <row r="177" spans="1:4">
      <c r="A177" s="54" t="s">
        <v>7550</v>
      </c>
      <c r="B177" s="55" t="s">
        <v>379</v>
      </c>
      <c r="C177" s="56" t="s">
        <v>380</v>
      </c>
      <c r="D177" s="61"/>
    </row>
    <row r="178" spans="1:4">
      <c r="A178" s="54" t="s">
        <v>7550</v>
      </c>
      <c r="B178" s="55" t="s">
        <v>381</v>
      </c>
      <c r="C178" s="61" t="s">
        <v>382</v>
      </c>
      <c r="D178" s="61"/>
    </row>
    <row r="179" spans="1:4">
      <c r="A179" s="54" t="s">
        <v>7550</v>
      </c>
      <c r="B179" s="55" t="s">
        <v>383</v>
      </c>
      <c r="C179" s="61" t="s">
        <v>384</v>
      </c>
      <c r="D179" s="61"/>
    </row>
    <row r="180" spans="1:4">
      <c r="A180" s="54" t="s">
        <v>7550</v>
      </c>
      <c r="B180" s="55" t="s">
        <v>385</v>
      </c>
      <c r="C180" s="61" t="s">
        <v>386</v>
      </c>
      <c r="D180" s="61"/>
    </row>
    <row r="181" spans="1:4">
      <c r="A181" s="54" t="s">
        <v>7550</v>
      </c>
      <c r="B181" s="55" t="s">
        <v>387</v>
      </c>
      <c r="C181" s="61" t="s">
        <v>388</v>
      </c>
      <c r="D181" s="61"/>
    </row>
    <row r="182" spans="1:4">
      <c r="A182" s="54" t="s">
        <v>7550</v>
      </c>
      <c r="B182" s="55" t="s">
        <v>389</v>
      </c>
      <c r="C182" s="61" t="s">
        <v>390</v>
      </c>
      <c r="D182" s="61"/>
    </row>
    <row r="183" spans="1:4">
      <c r="A183" s="54" t="s">
        <v>7550</v>
      </c>
      <c r="B183" s="55" t="s">
        <v>391</v>
      </c>
      <c r="C183" s="61" t="s">
        <v>392</v>
      </c>
      <c r="D183" s="61"/>
    </row>
    <row r="184" spans="1:4">
      <c r="A184" s="54" t="s">
        <v>7550</v>
      </c>
      <c r="B184" s="55" t="s">
        <v>393</v>
      </c>
      <c r="C184" s="61" t="s">
        <v>394</v>
      </c>
      <c r="D184" s="61"/>
    </row>
    <row r="185" spans="1:4">
      <c r="A185" s="54" t="s">
        <v>7550</v>
      </c>
      <c r="B185" s="55" t="s">
        <v>395</v>
      </c>
      <c r="C185" s="61" t="s">
        <v>396</v>
      </c>
      <c r="D185" s="61"/>
    </row>
    <row r="186" spans="1:4">
      <c r="A186" s="54" t="s">
        <v>7551</v>
      </c>
      <c r="B186" s="55" t="s">
        <v>397</v>
      </c>
      <c r="C186" s="61" t="s">
        <v>398</v>
      </c>
      <c r="D186" s="61"/>
    </row>
    <row r="187" spans="1:4">
      <c r="A187" s="54" t="s">
        <v>7551</v>
      </c>
      <c r="B187" s="55" t="s">
        <v>399</v>
      </c>
      <c r="C187" s="205" t="s">
        <v>400</v>
      </c>
      <c r="D187" s="61"/>
    </row>
    <row r="188" spans="1:4">
      <c r="A188" s="54" t="s">
        <v>7551</v>
      </c>
      <c r="B188" s="55" t="s">
        <v>401</v>
      </c>
      <c r="C188" s="203" t="s">
        <v>402</v>
      </c>
      <c r="D188" s="61"/>
    </row>
    <row r="189" spans="1:4">
      <c r="A189" s="54" t="s">
        <v>7551</v>
      </c>
      <c r="B189" s="55" t="s">
        <v>403</v>
      </c>
      <c r="C189" s="56" t="s">
        <v>404</v>
      </c>
      <c r="D189" s="61"/>
    </row>
    <row r="190" spans="1:4">
      <c r="A190" s="54" t="s">
        <v>7551</v>
      </c>
      <c r="B190" s="55" t="s">
        <v>405</v>
      </c>
      <c r="C190" s="61" t="s">
        <v>406</v>
      </c>
      <c r="D190" s="61"/>
    </row>
    <row r="191" spans="1:4">
      <c r="A191" s="54" t="s">
        <v>7551</v>
      </c>
      <c r="B191" s="55" t="s">
        <v>407</v>
      </c>
      <c r="C191" s="56" t="s">
        <v>408</v>
      </c>
      <c r="D191" s="61"/>
    </row>
    <row r="192" spans="1:4">
      <c r="A192" s="54" t="s">
        <v>7551</v>
      </c>
      <c r="B192" s="55" t="s">
        <v>409</v>
      </c>
      <c r="C192" s="56" t="s">
        <v>410</v>
      </c>
      <c r="D192" s="61"/>
    </row>
    <row r="193" spans="1:4">
      <c r="A193" s="54" t="s">
        <v>7551</v>
      </c>
      <c r="B193" s="55" t="s">
        <v>411</v>
      </c>
      <c r="C193" s="61" t="s">
        <v>412</v>
      </c>
      <c r="D193" s="61"/>
    </row>
    <row r="194" spans="1:4">
      <c r="A194" s="54" t="s">
        <v>7551</v>
      </c>
      <c r="B194" s="55" t="s">
        <v>413</v>
      </c>
      <c r="C194" s="199" t="s">
        <v>414</v>
      </c>
      <c r="D194" s="61"/>
    </row>
    <row r="195" spans="1:4">
      <c r="A195" s="54" t="s">
        <v>7551</v>
      </c>
      <c r="B195" s="55" t="s">
        <v>415</v>
      </c>
      <c r="C195" s="199" t="s">
        <v>416</v>
      </c>
      <c r="D195" s="61"/>
    </row>
    <row r="196" spans="1:4">
      <c r="A196" s="54" t="s">
        <v>7551</v>
      </c>
      <c r="B196" s="55" t="s">
        <v>417</v>
      </c>
      <c r="C196" s="56" t="s">
        <v>418</v>
      </c>
      <c r="D196" s="61"/>
    </row>
    <row r="197" spans="1:4">
      <c r="A197" s="54" t="s">
        <v>7551</v>
      </c>
      <c r="B197" s="55" t="s">
        <v>419</v>
      </c>
      <c r="C197" s="199" t="s">
        <v>420</v>
      </c>
      <c r="D197" s="61"/>
    </row>
    <row r="198" spans="1:4">
      <c r="A198" s="54" t="s">
        <v>7551</v>
      </c>
      <c r="B198" s="55" t="s">
        <v>421</v>
      </c>
      <c r="C198" s="61" t="s">
        <v>422</v>
      </c>
      <c r="D198" s="61"/>
    </row>
    <row r="199" spans="1:4">
      <c r="A199" s="54" t="s">
        <v>7551</v>
      </c>
      <c r="B199" s="55" t="s">
        <v>423</v>
      </c>
      <c r="C199" s="205" t="s">
        <v>424</v>
      </c>
      <c r="D199" s="61"/>
    </row>
    <row r="200" spans="1:4">
      <c r="A200" s="54" t="s">
        <v>7551</v>
      </c>
      <c r="B200" s="55" t="s">
        <v>425</v>
      </c>
      <c r="C200" s="61" t="s">
        <v>426</v>
      </c>
      <c r="D200" s="61"/>
    </row>
    <row r="201" spans="1:4">
      <c r="A201" s="54" t="s">
        <v>7551</v>
      </c>
      <c r="B201" s="55" t="s">
        <v>427</v>
      </c>
      <c r="C201" s="61" t="s">
        <v>428</v>
      </c>
      <c r="D201" s="61"/>
    </row>
    <row r="202" spans="1:4">
      <c r="A202" s="54" t="s">
        <v>7551</v>
      </c>
      <c r="B202" s="55" t="s">
        <v>429</v>
      </c>
      <c r="C202" s="61" t="s">
        <v>430</v>
      </c>
      <c r="D202" s="61"/>
    </row>
    <row r="203" spans="1:4">
      <c r="A203" s="54" t="s">
        <v>7551</v>
      </c>
      <c r="B203" s="55" t="s">
        <v>431</v>
      </c>
      <c r="C203" s="205" t="s">
        <v>432</v>
      </c>
      <c r="D203" s="61"/>
    </row>
    <row r="204" spans="1:4">
      <c r="A204" s="54" t="s">
        <v>7551</v>
      </c>
      <c r="B204" s="55" t="s">
        <v>433</v>
      </c>
      <c r="C204" s="61" t="s">
        <v>434</v>
      </c>
      <c r="D204" s="61"/>
    </row>
    <row r="205" spans="1:4">
      <c r="A205" s="54" t="s">
        <v>7551</v>
      </c>
      <c r="B205" s="55" t="s">
        <v>435</v>
      </c>
      <c r="C205" s="205" t="s">
        <v>436</v>
      </c>
      <c r="D205" s="61"/>
    </row>
    <row r="206" spans="1:4">
      <c r="A206" s="54" t="s">
        <v>7551</v>
      </c>
      <c r="B206" s="55" t="s">
        <v>437</v>
      </c>
      <c r="C206" s="199" t="s">
        <v>438</v>
      </c>
      <c r="D206" s="61"/>
    </row>
    <row r="207" spans="1:4">
      <c r="A207" s="54" t="s">
        <v>7551</v>
      </c>
      <c r="B207" s="55" t="s">
        <v>439</v>
      </c>
      <c r="C207" s="199" t="s">
        <v>440</v>
      </c>
      <c r="D207" s="61"/>
    </row>
    <row r="208" spans="1:4">
      <c r="A208" s="54" t="s">
        <v>7551</v>
      </c>
      <c r="B208" s="55" t="s">
        <v>441</v>
      </c>
      <c r="C208" s="56" t="s">
        <v>442</v>
      </c>
      <c r="D208" s="61"/>
    </row>
    <row r="209" spans="1:4">
      <c r="A209" s="54" t="s">
        <v>7551</v>
      </c>
      <c r="B209" s="55" t="s">
        <v>443</v>
      </c>
      <c r="C209" s="61" t="s">
        <v>444</v>
      </c>
      <c r="D209" s="61"/>
    </row>
    <row r="210" spans="1:4">
      <c r="A210" s="54" t="s">
        <v>7551</v>
      </c>
      <c r="B210" s="55" t="s">
        <v>445</v>
      </c>
      <c r="C210" s="61" t="s">
        <v>446</v>
      </c>
      <c r="D210" s="61"/>
    </row>
    <row r="211" spans="1:4">
      <c r="A211" s="54" t="s">
        <v>7551</v>
      </c>
      <c r="B211" s="55" t="s">
        <v>447</v>
      </c>
      <c r="C211" s="205" t="s">
        <v>448</v>
      </c>
      <c r="D211" s="61"/>
    </row>
    <row r="212" spans="1:4">
      <c r="A212" s="54" t="s">
        <v>7551</v>
      </c>
      <c r="B212" s="55" t="s">
        <v>449</v>
      </c>
      <c r="C212" s="61" t="s">
        <v>450</v>
      </c>
      <c r="D212" s="61"/>
    </row>
    <row r="213" spans="1:4">
      <c r="A213" s="54" t="s">
        <v>7551</v>
      </c>
      <c r="B213" s="55" t="s">
        <v>451</v>
      </c>
      <c r="C213" s="56" t="s">
        <v>452</v>
      </c>
      <c r="D213" s="61"/>
    </row>
    <row r="214" spans="1:4">
      <c r="A214" s="54" t="s">
        <v>7551</v>
      </c>
      <c r="B214" s="55" t="s">
        <v>453</v>
      </c>
      <c r="C214" s="56" t="s">
        <v>454</v>
      </c>
      <c r="D214" s="61"/>
    </row>
    <row r="215" spans="1:4">
      <c r="A215" s="54" t="s">
        <v>7552</v>
      </c>
      <c r="B215" s="55" t="s">
        <v>455</v>
      </c>
      <c r="C215" s="56" t="s">
        <v>456</v>
      </c>
      <c r="D215" s="61"/>
    </row>
    <row r="216" spans="1:4">
      <c r="A216" s="54" t="s">
        <v>7552</v>
      </c>
      <c r="B216" s="55" t="s">
        <v>457</v>
      </c>
      <c r="C216" s="56" t="s">
        <v>458</v>
      </c>
      <c r="D216" s="61"/>
    </row>
    <row r="217" spans="1:4">
      <c r="A217" s="54" t="s">
        <v>7552</v>
      </c>
      <c r="B217" s="55" t="s">
        <v>459</v>
      </c>
      <c r="C217" s="205" t="s">
        <v>460</v>
      </c>
      <c r="D217" s="61"/>
    </row>
    <row r="218" spans="1:4">
      <c r="A218" s="54" t="s">
        <v>7552</v>
      </c>
      <c r="B218" s="55" t="s">
        <v>461</v>
      </c>
      <c r="C218" s="56" t="s">
        <v>462</v>
      </c>
      <c r="D218" s="61"/>
    </row>
    <row r="219" spans="1:4">
      <c r="A219" s="54" t="s">
        <v>7552</v>
      </c>
      <c r="B219" s="55" t="s">
        <v>463</v>
      </c>
      <c r="C219" s="205" t="s">
        <v>464</v>
      </c>
      <c r="D219" s="61"/>
    </row>
    <row r="220" spans="1:4">
      <c r="A220" s="54" t="s">
        <v>7552</v>
      </c>
      <c r="B220" s="55" t="s">
        <v>465</v>
      </c>
      <c r="C220" s="199" t="s">
        <v>466</v>
      </c>
      <c r="D220" s="61"/>
    </row>
    <row r="221" spans="1:4">
      <c r="A221" s="54" t="s">
        <v>7552</v>
      </c>
      <c r="B221" s="55" t="s">
        <v>467</v>
      </c>
      <c r="C221" s="61" t="s">
        <v>468</v>
      </c>
      <c r="D221" s="61"/>
    </row>
    <row r="222" spans="1:4">
      <c r="A222" s="54" t="s">
        <v>7552</v>
      </c>
      <c r="B222" s="55" t="s">
        <v>469</v>
      </c>
      <c r="C222" s="61" t="s">
        <v>470</v>
      </c>
      <c r="D222" s="61"/>
    </row>
    <row r="223" spans="1:4">
      <c r="A223" s="54" t="s">
        <v>7552</v>
      </c>
      <c r="B223" s="55" t="s">
        <v>471</v>
      </c>
      <c r="C223" s="61" t="s">
        <v>472</v>
      </c>
      <c r="D223" s="61"/>
    </row>
    <row r="224" spans="1:4">
      <c r="A224" s="54" t="s">
        <v>7552</v>
      </c>
      <c r="B224" s="55" t="s">
        <v>473</v>
      </c>
      <c r="C224" s="61" t="s">
        <v>474</v>
      </c>
      <c r="D224" s="61"/>
    </row>
    <row r="225" spans="1:4">
      <c r="A225" s="54" t="s">
        <v>7552</v>
      </c>
      <c r="B225" s="55" t="s">
        <v>475</v>
      </c>
      <c r="C225" s="205" t="s">
        <v>476</v>
      </c>
      <c r="D225" s="61"/>
    </row>
    <row r="226" spans="1:4">
      <c r="A226" s="54" t="s">
        <v>7553</v>
      </c>
      <c r="B226" s="55" t="s">
        <v>477</v>
      </c>
      <c r="C226" s="199" t="s">
        <v>478</v>
      </c>
      <c r="D226" s="61"/>
    </row>
    <row r="227" spans="1:4">
      <c r="A227" s="54" t="s">
        <v>7553</v>
      </c>
      <c r="B227" s="55" t="s">
        <v>479</v>
      </c>
      <c r="C227" s="199" t="s">
        <v>480</v>
      </c>
      <c r="D227" s="61"/>
    </row>
    <row r="228" spans="1:4">
      <c r="A228" s="54" t="s">
        <v>7553</v>
      </c>
      <c r="B228" s="55" t="s">
        <v>481</v>
      </c>
      <c r="C228" s="199" t="s">
        <v>482</v>
      </c>
      <c r="D228" s="61"/>
    </row>
    <row r="229" spans="1:4">
      <c r="A229" s="54" t="s">
        <v>7553</v>
      </c>
      <c r="B229" s="55" t="s">
        <v>483</v>
      </c>
      <c r="C229" s="56" t="s">
        <v>484</v>
      </c>
      <c r="D229" s="61"/>
    </row>
    <row r="230" spans="1:4">
      <c r="A230" s="54" t="s">
        <v>7553</v>
      </c>
      <c r="B230" s="55" t="s">
        <v>485</v>
      </c>
      <c r="C230" s="205" t="s">
        <v>486</v>
      </c>
      <c r="D230" s="61"/>
    </row>
    <row r="231" spans="1:4">
      <c r="A231" s="54" t="s">
        <v>7553</v>
      </c>
      <c r="B231" s="55" t="s">
        <v>487</v>
      </c>
      <c r="C231" s="58" t="s">
        <v>488</v>
      </c>
      <c r="D231" s="61"/>
    </row>
    <row r="232" spans="1:4">
      <c r="A232" s="54" t="s">
        <v>7553</v>
      </c>
      <c r="B232" s="55" t="s">
        <v>489</v>
      </c>
      <c r="C232" s="58" t="s">
        <v>490</v>
      </c>
      <c r="D232" s="61"/>
    </row>
    <row r="233" spans="1:4">
      <c r="A233" s="54" t="s">
        <v>7553</v>
      </c>
      <c r="B233" s="55" t="s">
        <v>491</v>
      </c>
      <c r="C233" s="58" t="s">
        <v>492</v>
      </c>
      <c r="D233" s="61"/>
    </row>
    <row r="234" spans="1:4">
      <c r="A234" s="54" t="s">
        <v>7553</v>
      </c>
      <c r="B234" s="55" t="s">
        <v>493</v>
      </c>
      <c r="C234" s="58" t="s">
        <v>494</v>
      </c>
      <c r="D234" s="61"/>
    </row>
    <row r="235" spans="1:4">
      <c r="A235" s="54" t="s">
        <v>7553</v>
      </c>
      <c r="B235" s="55" t="s">
        <v>495</v>
      </c>
      <c r="C235" s="203" t="s">
        <v>496</v>
      </c>
      <c r="D235" s="61" t="s">
        <v>7554</v>
      </c>
    </row>
    <row r="236" spans="1:4">
      <c r="A236" s="54" t="s">
        <v>7555</v>
      </c>
      <c r="B236" s="55" t="s">
        <v>497</v>
      </c>
      <c r="C236" s="58" t="s">
        <v>498</v>
      </c>
      <c r="D236" s="61" t="s">
        <v>3440</v>
      </c>
    </row>
    <row r="237" spans="1:4">
      <c r="A237" s="54" t="s">
        <v>7556</v>
      </c>
      <c r="B237" s="55" t="s">
        <v>499</v>
      </c>
      <c r="C237" s="61" t="s">
        <v>500</v>
      </c>
      <c r="D237" s="61" t="s">
        <v>7557</v>
      </c>
    </row>
    <row r="238" spans="1:4">
      <c r="A238" s="54" t="s">
        <v>7556</v>
      </c>
      <c r="B238" s="55" t="s">
        <v>501</v>
      </c>
      <c r="C238" s="56" t="s">
        <v>502</v>
      </c>
      <c r="D238" s="61"/>
    </row>
    <row r="239" spans="1:4">
      <c r="A239" s="54" t="s">
        <v>7556</v>
      </c>
      <c r="B239" s="55" t="s">
        <v>503</v>
      </c>
      <c r="C239" s="205" t="s">
        <v>504</v>
      </c>
      <c r="D239" s="61"/>
    </row>
    <row r="240" spans="1:4">
      <c r="A240" s="54" t="s">
        <v>7556</v>
      </c>
      <c r="B240" s="55" t="s">
        <v>505</v>
      </c>
      <c r="C240" s="203" t="s">
        <v>506</v>
      </c>
      <c r="D240" s="61" t="s">
        <v>7557</v>
      </c>
    </row>
    <row r="241" spans="1:4">
      <c r="A241" s="54" t="s">
        <v>7556</v>
      </c>
      <c r="B241" s="55" t="s">
        <v>507</v>
      </c>
      <c r="C241" s="61" t="s">
        <v>508</v>
      </c>
      <c r="D241" s="61" t="s">
        <v>7557</v>
      </c>
    </row>
    <row r="242" spans="1:4">
      <c r="A242" s="54" t="s">
        <v>7556</v>
      </c>
      <c r="B242" s="55" t="s">
        <v>509</v>
      </c>
      <c r="C242" s="56" t="s">
        <v>510</v>
      </c>
      <c r="D242" s="61"/>
    </row>
    <row r="243" spans="1:4">
      <c r="A243" s="54" t="s">
        <v>7556</v>
      </c>
      <c r="B243" s="55" t="s">
        <v>511</v>
      </c>
      <c r="C243" s="205" t="s">
        <v>512</v>
      </c>
      <c r="D243" s="61"/>
    </row>
    <row r="244" spans="1:4">
      <c r="A244" s="54" t="s">
        <v>7556</v>
      </c>
      <c r="B244" s="55" t="s">
        <v>513</v>
      </c>
      <c r="C244" s="203" t="s">
        <v>514</v>
      </c>
      <c r="D244" s="61" t="s">
        <v>7557</v>
      </c>
    </row>
    <row r="245" spans="1:4">
      <c r="A245" s="54" t="s">
        <v>7556</v>
      </c>
      <c r="B245" s="55" t="s">
        <v>515</v>
      </c>
      <c r="C245" s="61" t="s">
        <v>516</v>
      </c>
      <c r="D245" s="61" t="s">
        <v>7557</v>
      </c>
    </row>
    <row r="246" spans="1:4">
      <c r="A246" s="54" t="s">
        <v>7556</v>
      </c>
      <c r="B246" s="55" t="s">
        <v>517</v>
      </c>
      <c r="C246" s="56" t="s">
        <v>518</v>
      </c>
      <c r="D246" s="61"/>
    </row>
    <row r="247" spans="1:4">
      <c r="A247" s="54" t="s">
        <v>7556</v>
      </c>
      <c r="B247" s="55" t="s">
        <v>519</v>
      </c>
      <c r="C247" s="205" t="s">
        <v>520</v>
      </c>
      <c r="D247" s="61"/>
    </row>
    <row r="248" spans="1:4">
      <c r="A248" s="54" t="s">
        <v>7556</v>
      </c>
      <c r="B248" s="55" t="s">
        <v>521</v>
      </c>
      <c r="C248" s="203" t="s">
        <v>522</v>
      </c>
      <c r="D248" s="61" t="s">
        <v>7557</v>
      </c>
    </row>
    <row r="249" spans="1:4">
      <c r="A249" s="54" t="s">
        <v>7556</v>
      </c>
      <c r="B249" s="55" t="s">
        <v>523</v>
      </c>
      <c r="C249" s="61" t="s">
        <v>524</v>
      </c>
      <c r="D249" s="61" t="s">
        <v>7557</v>
      </c>
    </row>
    <row r="250" spans="1:4">
      <c r="A250" s="54" t="s">
        <v>7556</v>
      </c>
      <c r="B250" s="55" t="s">
        <v>525</v>
      </c>
      <c r="C250" s="56" t="s">
        <v>526</v>
      </c>
      <c r="D250" s="61"/>
    </row>
    <row r="251" spans="1:4">
      <c r="A251" s="54" t="s">
        <v>7556</v>
      </c>
      <c r="B251" s="55" t="s">
        <v>527</v>
      </c>
      <c r="C251" s="203" t="s">
        <v>528</v>
      </c>
      <c r="D251" s="61" t="s">
        <v>7557</v>
      </c>
    </row>
    <row r="252" spans="1:4">
      <c r="A252" s="54" t="s">
        <v>7556</v>
      </c>
      <c r="B252" s="55" t="s">
        <v>529</v>
      </c>
      <c r="C252" s="56" t="s">
        <v>530</v>
      </c>
      <c r="D252" s="61"/>
    </row>
    <row r="253" spans="1:4">
      <c r="A253" s="54" t="s">
        <v>7556</v>
      </c>
      <c r="B253" s="55" t="s">
        <v>531</v>
      </c>
      <c r="C253" s="205" t="s">
        <v>532</v>
      </c>
      <c r="D253" s="61"/>
    </row>
    <row r="254" spans="1:4">
      <c r="A254" s="54" t="s">
        <v>7556</v>
      </c>
      <c r="B254" s="55" t="s">
        <v>533</v>
      </c>
      <c r="C254" s="56" t="s">
        <v>534</v>
      </c>
      <c r="D254" s="61"/>
    </row>
    <row r="255" spans="1:4">
      <c r="A255" s="54" t="s">
        <v>7556</v>
      </c>
      <c r="B255" s="55" t="s">
        <v>535</v>
      </c>
      <c r="C255" s="205" t="s">
        <v>536</v>
      </c>
      <c r="D255" s="61"/>
    </row>
    <row r="256" spans="1:4">
      <c r="A256" s="54" t="s">
        <v>7556</v>
      </c>
      <c r="B256" s="55" t="s">
        <v>537</v>
      </c>
      <c r="C256" s="199" t="s">
        <v>538</v>
      </c>
      <c r="D256" s="61"/>
    </row>
    <row r="257" spans="1:4">
      <c r="A257" s="54" t="s">
        <v>7556</v>
      </c>
      <c r="B257" s="55" t="s">
        <v>539</v>
      </c>
      <c r="C257" s="205" t="s">
        <v>540</v>
      </c>
      <c r="D257" s="61"/>
    </row>
    <row r="258" spans="1:4">
      <c r="A258" s="54" t="s">
        <v>7556</v>
      </c>
      <c r="B258" s="55" t="s">
        <v>541</v>
      </c>
      <c r="C258" s="199" t="s">
        <v>542</v>
      </c>
      <c r="D258" s="61"/>
    </row>
    <row r="259" spans="1:4">
      <c r="A259" s="54" t="s">
        <v>7556</v>
      </c>
      <c r="B259" s="55" t="s">
        <v>543</v>
      </c>
      <c r="C259" s="199" t="s">
        <v>544</v>
      </c>
      <c r="D259" s="61"/>
    </row>
    <row r="260" spans="1:4">
      <c r="A260" s="54" t="s">
        <v>7556</v>
      </c>
      <c r="B260" s="55" t="s">
        <v>545</v>
      </c>
      <c r="C260" s="56" t="s">
        <v>546</v>
      </c>
      <c r="D260" s="61"/>
    </row>
    <row r="261" spans="1:4">
      <c r="A261" s="54" t="s">
        <v>7556</v>
      </c>
      <c r="B261" s="55" t="s">
        <v>547</v>
      </c>
      <c r="C261" s="56" t="s">
        <v>548</v>
      </c>
      <c r="D261" s="61" t="s">
        <v>7558</v>
      </c>
    </row>
    <row r="262" spans="1:4">
      <c r="A262" s="54" t="s">
        <v>7556</v>
      </c>
      <c r="B262" s="55" t="s">
        <v>549</v>
      </c>
      <c r="C262" s="56" t="s">
        <v>550</v>
      </c>
      <c r="D262" s="61"/>
    </row>
    <row r="263" spans="1:4">
      <c r="A263" s="54" t="s">
        <v>7556</v>
      </c>
      <c r="B263" s="55" t="s">
        <v>551</v>
      </c>
      <c r="C263" s="56" t="s">
        <v>552</v>
      </c>
      <c r="D263" s="61"/>
    </row>
    <row r="264" spans="1:4">
      <c r="A264" s="54" t="s">
        <v>7556</v>
      </c>
      <c r="B264" s="55" t="s">
        <v>553</v>
      </c>
      <c r="C264" s="56" t="s">
        <v>554</v>
      </c>
      <c r="D264" s="61"/>
    </row>
    <row r="265" spans="1:4">
      <c r="A265" s="54" t="s">
        <v>7556</v>
      </c>
      <c r="B265" s="55" t="s">
        <v>555</v>
      </c>
      <c r="C265" s="56" t="s">
        <v>556</v>
      </c>
      <c r="D265" s="61"/>
    </row>
    <row r="266" spans="1:4">
      <c r="A266" s="54" t="s">
        <v>7556</v>
      </c>
      <c r="B266" s="55" t="s">
        <v>557</v>
      </c>
      <c r="C266" s="56" t="s">
        <v>558</v>
      </c>
      <c r="D266" s="61"/>
    </row>
    <row r="267" spans="1:4">
      <c r="A267" s="54" t="s">
        <v>7556</v>
      </c>
      <c r="B267" s="55" t="s">
        <v>559</v>
      </c>
      <c r="C267" s="61" t="s">
        <v>560</v>
      </c>
      <c r="D267" s="61"/>
    </row>
    <row r="268" spans="1:4">
      <c r="A268" s="54" t="s">
        <v>7556</v>
      </c>
      <c r="B268" s="55" t="s">
        <v>561</v>
      </c>
      <c r="C268" s="56" t="s">
        <v>562</v>
      </c>
      <c r="D268" s="61"/>
    </row>
    <row r="269" spans="1:4">
      <c r="A269" s="54" t="s">
        <v>7556</v>
      </c>
      <c r="B269" s="55" t="s">
        <v>563</v>
      </c>
      <c r="C269" s="203" t="s">
        <v>564</v>
      </c>
      <c r="D269" s="61"/>
    </row>
    <row r="270" spans="1:4">
      <c r="A270" s="54" t="s">
        <v>7556</v>
      </c>
      <c r="B270" s="55" t="s">
        <v>565</v>
      </c>
      <c r="C270" s="61" t="s">
        <v>566</v>
      </c>
      <c r="D270" s="61"/>
    </row>
    <row r="271" spans="1:4">
      <c r="A271" s="54" t="s">
        <v>7556</v>
      </c>
      <c r="B271" s="55" t="s">
        <v>567</v>
      </c>
      <c r="C271" s="56" t="s">
        <v>568</v>
      </c>
      <c r="D271" s="61"/>
    </row>
    <row r="272" spans="1:4">
      <c r="A272" s="54" t="s">
        <v>7556</v>
      </c>
      <c r="B272" s="55" t="s">
        <v>569</v>
      </c>
      <c r="C272" s="203" t="s">
        <v>570</v>
      </c>
      <c r="D272" s="61"/>
    </row>
    <row r="273" spans="1:4">
      <c r="A273" s="54" t="s">
        <v>7556</v>
      </c>
      <c r="B273" s="55" t="s">
        <v>571</v>
      </c>
      <c r="C273" s="56" t="s">
        <v>572</v>
      </c>
      <c r="D273" s="61"/>
    </row>
    <row r="274" spans="1:4">
      <c r="A274" s="54" t="s">
        <v>7556</v>
      </c>
      <c r="B274" s="55" t="s">
        <v>573</v>
      </c>
      <c r="C274" s="205" t="s">
        <v>574</v>
      </c>
      <c r="D274" s="61"/>
    </row>
    <row r="275" spans="1:4">
      <c r="A275" s="54" t="s">
        <v>7556</v>
      </c>
      <c r="B275" s="55" t="s">
        <v>575</v>
      </c>
      <c r="C275" s="205" t="s">
        <v>576</v>
      </c>
      <c r="D275" s="61" t="s">
        <v>3922</v>
      </c>
    </row>
    <row r="276" spans="1:4">
      <c r="A276" s="54" t="s">
        <v>7556</v>
      </c>
      <c r="B276" s="55" t="s">
        <v>577</v>
      </c>
      <c r="C276" s="205" t="s">
        <v>578</v>
      </c>
      <c r="D276" s="61" t="s">
        <v>3879</v>
      </c>
    </row>
    <row r="277" spans="1:4">
      <c r="A277" s="54"/>
      <c r="B277" s="55"/>
      <c r="C277" s="61"/>
      <c r="D277" s="61"/>
    </row>
    <row r="278" spans="1:4">
      <c r="A278" s="54"/>
      <c r="B278" s="55"/>
      <c r="C278" s="61"/>
      <c r="D278" s="61"/>
    </row>
    <row r="279" spans="1:4">
      <c r="A279" s="54"/>
      <c r="B279" s="55"/>
      <c r="C279" s="61"/>
      <c r="D279" s="61"/>
    </row>
    <row r="280" spans="1:4">
      <c r="A280" s="54"/>
      <c r="B280" s="55"/>
      <c r="C280" s="61"/>
      <c r="D280" s="61"/>
    </row>
    <row r="281" spans="1:4">
      <c r="A281" s="54"/>
      <c r="B281" s="55"/>
      <c r="C281" s="61"/>
      <c r="D281" s="61"/>
    </row>
    <row r="282" spans="1:4">
      <c r="A282" s="54"/>
      <c r="B282" s="55"/>
      <c r="C282" s="61"/>
      <c r="D282" s="61"/>
    </row>
    <row r="283" spans="1:4">
      <c r="A283" s="54"/>
      <c r="B283" s="55"/>
      <c r="C283" s="61"/>
      <c r="D283" s="61"/>
    </row>
    <row r="284" spans="1:4">
      <c r="A284" s="54"/>
      <c r="B284" s="55"/>
      <c r="C284" s="61"/>
      <c r="D284" s="61"/>
    </row>
    <row r="285" spans="1:4">
      <c r="A285" s="54"/>
      <c r="B285" s="55"/>
      <c r="C285" s="61"/>
      <c r="D285" s="61"/>
    </row>
    <row r="286" spans="1:4">
      <c r="A286" s="54"/>
      <c r="B286" s="55"/>
      <c r="C286" s="61"/>
      <c r="D286" s="61"/>
    </row>
    <row r="287" spans="1:4">
      <c r="A287" s="54"/>
      <c r="B287" s="55"/>
      <c r="C287" s="61"/>
      <c r="D287" s="61"/>
    </row>
    <row r="288" spans="1:4">
      <c r="A288" s="54"/>
      <c r="B288" s="55"/>
      <c r="C288" s="61"/>
      <c r="D288" s="61"/>
    </row>
    <row r="289" spans="1:4">
      <c r="A289" s="54"/>
      <c r="B289" s="55"/>
      <c r="C289" s="61"/>
      <c r="D289" s="61"/>
    </row>
    <row r="290" spans="1:4">
      <c r="A290" s="54"/>
      <c r="B290" s="55"/>
      <c r="C290" s="61"/>
      <c r="D290" s="61"/>
    </row>
    <row r="291" spans="1:4">
      <c r="A291" s="54"/>
      <c r="B291" s="55"/>
      <c r="C291" s="61"/>
      <c r="D291" s="61"/>
    </row>
    <row r="292" spans="1:4">
      <c r="A292" s="54"/>
      <c r="B292" s="55"/>
      <c r="C292" s="61"/>
      <c r="D292" s="61"/>
    </row>
    <row r="293" spans="1:4">
      <c r="A293" s="54"/>
      <c r="B293" s="55"/>
      <c r="C293" s="61"/>
      <c r="D293" s="61"/>
    </row>
    <row r="294" spans="1:4">
      <c r="A294" s="54"/>
      <c r="B294" s="55"/>
      <c r="C294" s="61"/>
      <c r="D294" s="61"/>
    </row>
    <row r="295" spans="1:4">
      <c r="A295" s="54"/>
      <c r="B295" s="55"/>
      <c r="C295" s="61"/>
      <c r="D295" s="61"/>
    </row>
    <row r="296" spans="1:4">
      <c r="A296" s="54"/>
      <c r="B296" s="55"/>
      <c r="C296" s="61"/>
      <c r="D296" s="61"/>
    </row>
    <row r="297" spans="1:4">
      <c r="A297" s="54"/>
      <c r="B297" s="55"/>
      <c r="C297" s="61"/>
      <c r="D297" s="61"/>
    </row>
    <row r="298" spans="1:4">
      <c r="A298" s="54"/>
      <c r="B298" s="55"/>
      <c r="C298" s="61"/>
      <c r="D298" s="61"/>
    </row>
    <row r="299" spans="1:4">
      <c r="A299" s="54"/>
      <c r="B299" s="55"/>
      <c r="C299" s="61"/>
      <c r="D299" s="61"/>
    </row>
    <row r="300" spans="1:4">
      <c r="A300" s="54"/>
      <c r="B300" s="55"/>
      <c r="C300" s="61"/>
      <c r="D300" s="61"/>
    </row>
    <row r="301" spans="1:4">
      <c r="A301" s="54"/>
      <c r="B301" s="55"/>
      <c r="C301" s="61"/>
      <c r="D301" s="61"/>
    </row>
    <row r="302" spans="1:4">
      <c r="A302" s="54"/>
      <c r="B302" s="55"/>
      <c r="C302" s="61"/>
      <c r="D302" s="61"/>
    </row>
    <row r="303" spans="1:4">
      <c r="A303" s="54"/>
      <c r="B303" s="55"/>
      <c r="C303" s="61"/>
      <c r="D303" s="61"/>
    </row>
    <row r="304" spans="1:4">
      <c r="A304" s="54"/>
      <c r="B304" s="55"/>
      <c r="C304" s="61"/>
      <c r="D304" s="61"/>
    </row>
    <row r="305" spans="1:4">
      <c r="A305" s="54"/>
      <c r="B305" s="55"/>
      <c r="C305" s="61"/>
      <c r="D305" s="61"/>
    </row>
    <row r="306" spans="1:4">
      <c r="A306" s="54"/>
      <c r="B306" s="55"/>
      <c r="C306" s="61"/>
      <c r="D306" s="61"/>
    </row>
    <row r="307" spans="1:4">
      <c r="A307" s="54"/>
      <c r="B307" s="55"/>
      <c r="C307" s="61"/>
      <c r="D307" s="61"/>
    </row>
    <row r="308" spans="1:4">
      <c r="A308" s="54"/>
      <c r="B308" s="55"/>
      <c r="C308" s="61"/>
      <c r="D308" s="61"/>
    </row>
    <row r="309" spans="1:4">
      <c r="A309" s="54"/>
      <c r="B309" s="55"/>
      <c r="C309" s="61"/>
      <c r="D309" s="61"/>
    </row>
    <row r="310" spans="1:4">
      <c r="A310" s="54"/>
      <c r="B310" s="55"/>
      <c r="C310" s="61"/>
      <c r="D310" s="61"/>
    </row>
    <row r="311" spans="1:4">
      <c r="A311" s="54"/>
      <c r="B311" s="55"/>
      <c r="C311" s="61"/>
      <c r="D311" s="61"/>
    </row>
    <row r="312" spans="1:4">
      <c r="A312" s="54"/>
      <c r="B312" s="55"/>
      <c r="C312" s="61"/>
      <c r="D312" s="61"/>
    </row>
    <row r="313" spans="1:4">
      <c r="A313" s="54"/>
      <c r="B313" s="55"/>
      <c r="C313" s="61"/>
      <c r="D313" s="61"/>
    </row>
    <row r="314" spans="1:4">
      <c r="A314" s="54"/>
      <c r="B314" s="55"/>
      <c r="C314" s="61"/>
      <c r="D314" s="61"/>
    </row>
    <row r="315" spans="1:4">
      <c r="A315" s="54"/>
      <c r="B315" s="55"/>
      <c r="C315" s="61"/>
      <c r="D315" s="61"/>
    </row>
    <row r="316" spans="1:4">
      <c r="A316" s="54"/>
      <c r="B316" s="55"/>
      <c r="C316" s="61"/>
      <c r="D316" s="61"/>
    </row>
    <row r="317" spans="1:4">
      <c r="A317" s="54"/>
      <c r="B317" s="55"/>
      <c r="C317" s="61"/>
      <c r="D317" s="61"/>
    </row>
    <row r="318" spans="1:4">
      <c r="A318" s="54"/>
      <c r="B318" s="55"/>
      <c r="C318" s="61"/>
      <c r="D318" s="61"/>
    </row>
    <row r="319" spans="1:4">
      <c r="A319" s="54"/>
      <c r="B319" s="55"/>
      <c r="C319" s="61"/>
      <c r="D319" s="61"/>
    </row>
    <row r="320" spans="1:4">
      <c r="A320" s="54"/>
      <c r="B320" s="55"/>
      <c r="C320" s="61"/>
      <c r="D320" s="61"/>
    </row>
    <row r="321" spans="1:4">
      <c r="A321" s="54"/>
      <c r="B321" s="55"/>
      <c r="C321" s="61"/>
      <c r="D321" s="61"/>
    </row>
    <row r="322" spans="1:4">
      <c r="A322" s="54"/>
      <c r="B322" s="55"/>
      <c r="C322" s="61"/>
      <c r="D322" s="61"/>
    </row>
    <row r="323" spans="1:4">
      <c r="A323" s="54"/>
      <c r="B323" s="55"/>
      <c r="C323" s="61"/>
      <c r="D323" s="61"/>
    </row>
    <row r="324" spans="1:4">
      <c r="A324" s="54"/>
      <c r="B324" s="55"/>
      <c r="C324" s="61"/>
      <c r="D324" s="61"/>
    </row>
    <row r="325" spans="1:4">
      <c r="A325" s="54"/>
      <c r="B325" s="55"/>
      <c r="C325" s="61"/>
      <c r="D325" s="61"/>
    </row>
    <row r="326" spans="1:4">
      <c r="A326" s="54"/>
      <c r="B326" s="55"/>
      <c r="C326" s="61"/>
      <c r="D326" s="61"/>
    </row>
    <row r="327" spans="1:4">
      <c r="A327" s="54"/>
      <c r="B327" s="55"/>
      <c r="C327" s="61"/>
      <c r="D327" s="61"/>
    </row>
    <row r="328" spans="1:4">
      <c r="A328" s="54"/>
      <c r="B328" s="55"/>
      <c r="C328" s="61"/>
      <c r="D328" s="61"/>
    </row>
    <row r="329" spans="1:4">
      <c r="A329" s="54"/>
      <c r="B329" s="55"/>
      <c r="C329" s="61"/>
      <c r="D329" s="61"/>
    </row>
    <row r="330" spans="1:4">
      <c r="A330" s="54"/>
      <c r="B330" s="55"/>
      <c r="C330" s="61"/>
      <c r="D330" s="61"/>
    </row>
    <row r="331" spans="1:4">
      <c r="A331" s="54"/>
      <c r="B331" s="55"/>
      <c r="C331" s="61"/>
      <c r="D331" s="61"/>
    </row>
    <row r="332" spans="1:4">
      <c r="A332" s="54"/>
      <c r="B332" s="55"/>
      <c r="C332" s="61"/>
      <c r="D332" s="61"/>
    </row>
    <row r="333" spans="1:4">
      <c r="A333" s="54"/>
      <c r="B333" s="55"/>
      <c r="C333" s="61"/>
      <c r="D333" s="61"/>
    </row>
    <row r="334" spans="1:4">
      <c r="A334" s="54"/>
      <c r="B334" s="55"/>
      <c r="C334" s="61"/>
      <c r="D334" s="61"/>
    </row>
    <row r="335" spans="1:4">
      <c r="A335" s="54"/>
      <c r="B335" s="55"/>
      <c r="C335" s="61"/>
      <c r="D335" s="61"/>
    </row>
    <row r="336" spans="1:4">
      <c r="A336" s="54"/>
      <c r="B336" s="55"/>
      <c r="C336" s="61"/>
      <c r="D336" s="61"/>
    </row>
    <row r="337" spans="1:4">
      <c r="A337" s="54"/>
      <c r="B337" s="55"/>
      <c r="C337" s="61"/>
      <c r="D337" s="61"/>
    </row>
    <row r="338" spans="1:4">
      <c r="A338" s="54"/>
      <c r="B338" s="55"/>
      <c r="C338" s="61"/>
      <c r="D338" s="61"/>
    </row>
    <row r="339" spans="1:4">
      <c r="A339" s="54"/>
      <c r="B339" s="55"/>
      <c r="C339" s="61"/>
      <c r="D339" s="61"/>
    </row>
    <row r="340" spans="1:4">
      <c r="A340" s="54"/>
      <c r="B340" s="55"/>
      <c r="C340" s="61"/>
      <c r="D340" s="61"/>
    </row>
    <row r="341" spans="1:4">
      <c r="A341" s="54"/>
      <c r="B341" s="55" t="s">
        <v>25</v>
      </c>
      <c r="C341" s="61"/>
      <c r="D341" s="6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D34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2"/>
  <sheetViews>
    <sheetView workbookViewId="0">
      <selection activeCell="C31" sqref="C31"/>
    </sheetView>
  </sheetViews>
  <sheetFormatPr defaultColWidth="9" defaultRowHeight="13.5" outlineLevelCol="3"/>
  <cols>
    <col min="1" max="1" width="14.625" customWidth="1"/>
    <col min="2" max="2" width="39.375" customWidth="1"/>
    <col min="3" max="3" width="46.625" customWidth="1"/>
    <col min="4" max="4" width="27.75" style="52" customWidth="1"/>
  </cols>
  <sheetData>
    <row r="1" ht="18.75" spans="1:4">
      <c r="A1" s="15" t="s">
        <v>7540</v>
      </c>
      <c r="B1" s="15" t="s">
        <v>8</v>
      </c>
      <c r="C1" s="15" t="s">
        <v>22</v>
      </c>
      <c r="D1" s="15" t="s">
        <v>3284</v>
      </c>
    </row>
    <row r="2" spans="1:4">
      <c r="A2" s="24" t="s">
        <v>7542</v>
      </c>
      <c r="B2" s="58" t="s">
        <v>579</v>
      </c>
      <c r="C2" s="58" t="s">
        <v>580</v>
      </c>
      <c r="D2" s="61"/>
    </row>
    <row r="3" spans="1:4">
      <c r="A3" s="54" t="s">
        <v>7547</v>
      </c>
      <c r="B3" s="55" t="s">
        <v>582</v>
      </c>
      <c r="C3" s="61" t="s">
        <v>214</v>
      </c>
      <c r="D3" s="61"/>
    </row>
    <row r="4" spans="1:4">
      <c r="A4" s="54" t="s">
        <v>7547</v>
      </c>
      <c r="B4" s="55" t="s">
        <v>583</v>
      </c>
      <c r="C4" s="56" t="s">
        <v>584</v>
      </c>
      <c r="D4" s="61"/>
    </row>
    <row r="5" spans="1:4">
      <c r="A5" s="54" t="s">
        <v>7547</v>
      </c>
      <c r="B5" s="55" t="s">
        <v>585</v>
      </c>
      <c r="C5" s="56" t="s">
        <v>586</v>
      </c>
      <c r="D5" s="61"/>
    </row>
    <row r="6" spans="1:4">
      <c r="A6" s="54" t="s">
        <v>7547</v>
      </c>
      <c r="B6" s="55" t="s">
        <v>587</v>
      </c>
      <c r="C6" s="56" t="s">
        <v>588</v>
      </c>
      <c r="D6" s="61"/>
    </row>
    <row r="7" spans="1:4">
      <c r="A7" s="54" t="s">
        <v>7547</v>
      </c>
      <c r="B7" s="55" t="s">
        <v>589</v>
      </c>
      <c r="C7" s="56" t="s">
        <v>590</v>
      </c>
      <c r="D7" s="61"/>
    </row>
    <row r="8" spans="1:4">
      <c r="A8" s="54" t="s">
        <v>7547</v>
      </c>
      <c r="B8" s="55" t="s">
        <v>591</v>
      </c>
      <c r="C8" s="56" t="s">
        <v>592</v>
      </c>
      <c r="D8" s="61"/>
    </row>
    <row r="9" spans="1:4">
      <c r="A9" s="54" t="s">
        <v>7547</v>
      </c>
      <c r="B9" s="55" t="s">
        <v>593</v>
      </c>
      <c r="C9" s="199" t="s">
        <v>228</v>
      </c>
      <c r="D9" s="61"/>
    </row>
    <row r="10" spans="1:4">
      <c r="A10" s="54" t="s">
        <v>7547</v>
      </c>
      <c r="B10" s="55" t="s">
        <v>594</v>
      </c>
      <c r="C10" s="205" t="s">
        <v>595</v>
      </c>
      <c r="D10" s="61"/>
    </row>
    <row r="11" spans="1:4">
      <c r="A11" s="54" t="s">
        <v>7547</v>
      </c>
      <c r="B11" s="55" t="s">
        <v>596</v>
      </c>
      <c r="C11" s="56" t="s">
        <v>597</v>
      </c>
      <c r="D11" s="61"/>
    </row>
    <row r="12" spans="1:4">
      <c r="A12" s="54" t="s">
        <v>7547</v>
      </c>
      <c r="B12" s="55" t="s">
        <v>598</v>
      </c>
      <c r="C12" s="61" t="s">
        <v>599</v>
      </c>
      <c r="D12" s="61"/>
    </row>
    <row r="13" spans="1:4">
      <c r="A13" s="54" t="s">
        <v>7547</v>
      </c>
      <c r="B13" s="55" t="s">
        <v>600</v>
      </c>
      <c r="C13" s="61" t="s">
        <v>601</v>
      </c>
      <c r="D13" s="61"/>
    </row>
    <row r="14" spans="1:4">
      <c r="A14" s="54" t="s">
        <v>7547</v>
      </c>
      <c r="B14" s="55" t="s">
        <v>602</v>
      </c>
      <c r="C14" s="56" t="s">
        <v>603</v>
      </c>
      <c r="D14" s="61"/>
    </row>
    <row r="15" spans="1:4">
      <c r="A15" s="54" t="s">
        <v>7547</v>
      </c>
      <c r="B15" s="55" t="s">
        <v>604</v>
      </c>
      <c r="C15" s="56" t="s">
        <v>605</v>
      </c>
      <c r="D15" s="61"/>
    </row>
    <row r="16" spans="1:4">
      <c r="A16" s="54" t="s">
        <v>7547</v>
      </c>
      <c r="B16" s="55" t="s">
        <v>606</v>
      </c>
      <c r="C16" s="56" t="s">
        <v>607</v>
      </c>
      <c r="D16" s="61"/>
    </row>
    <row r="17" spans="1:4">
      <c r="A17" s="54" t="s">
        <v>7547</v>
      </c>
      <c r="B17" s="55" t="s">
        <v>608</v>
      </c>
      <c r="C17" s="56" t="s">
        <v>609</v>
      </c>
      <c r="D17" s="61"/>
    </row>
    <row r="18" spans="1:4">
      <c r="A18" s="54" t="s">
        <v>7548</v>
      </c>
      <c r="B18" s="55" t="s">
        <v>610</v>
      </c>
      <c r="C18" s="61" t="s">
        <v>296</v>
      </c>
      <c r="D18" s="61"/>
    </row>
    <row r="19" spans="1:4">
      <c r="A19" s="54" t="s">
        <v>7548</v>
      </c>
      <c r="B19" s="55" t="s">
        <v>611</v>
      </c>
      <c r="C19" s="56" t="s">
        <v>304</v>
      </c>
      <c r="D19" s="61"/>
    </row>
    <row r="20" spans="1:4">
      <c r="A20" s="54" t="s">
        <v>7548</v>
      </c>
      <c r="B20" s="55" t="s">
        <v>612</v>
      </c>
      <c r="C20" s="61" t="s">
        <v>310</v>
      </c>
      <c r="D20" s="61"/>
    </row>
    <row r="21" spans="1:4">
      <c r="A21" s="54" t="s">
        <v>7548</v>
      </c>
      <c r="B21" s="55" t="s">
        <v>613</v>
      </c>
      <c r="C21" s="61" t="s">
        <v>312</v>
      </c>
      <c r="D21" s="61"/>
    </row>
    <row r="22" spans="1:4">
      <c r="A22" s="54" t="s">
        <v>7548</v>
      </c>
      <c r="B22" s="55" t="s">
        <v>614</v>
      </c>
      <c r="C22" s="56" t="s">
        <v>330</v>
      </c>
      <c r="D22" s="61"/>
    </row>
    <row r="23" spans="1:4">
      <c r="A23" s="54" t="s">
        <v>7548</v>
      </c>
      <c r="B23" s="55" t="s">
        <v>615</v>
      </c>
      <c r="C23" s="61" t="s">
        <v>332</v>
      </c>
      <c r="D23" s="61"/>
    </row>
    <row r="24" spans="1:4">
      <c r="A24" s="54" t="s">
        <v>7548</v>
      </c>
      <c r="B24" s="55" t="s">
        <v>616</v>
      </c>
      <c r="C24" s="61" t="s">
        <v>334</v>
      </c>
      <c r="D24" s="61"/>
    </row>
    <row r="25" spans="1:4">
      <c r="A25" s="54" t="s">
        <v>7548</v>
      </c>
      <c r="B25" s="55" t="s">
        <v>617</v>
      </c>
      <c r="C25" s="61" t="s">
        <v>336</v>
      </c>
      <c r="D25" s="61"/>
    </row>
    <row r="26" spans="1:4">
      <c r="A26" s="54" t="s">
        <v>7548</v>
      </c>
      <c r="B26" s="55" t="s">
        <v>618</v>
      </c>
      <c r="C26" s="61" t="s">
        <v>338</v>
      </c>
      <c r="D26" s="61"/>
    </row>
    <row r="27" spans="1:4">
      <c r="A27" s="54" t="s">
        <v>7548</v>
      </c>
      <c r="B27" s="55" t="s">
        <v>619</v>
      </c>
      <c r="C27" s="61" t="s">
        <v>340</v>
      </c>
      <c r="D27" s="61"/>
    </row>
    <row r="28" spans="1:4">
      <c r="A28" s="54" t="s">
        <v>7548</v>
      </c>
      <c r="B28" s="55" t="s">
        <v>620</v>
      </c>
      <c r="C28" s="56" t="s">
        <v>621</v>
      </c>
      <c r="D28" s="61" t="s">
        <v>7559</v>
      </c>
    </row>
    <row r="29" spans="1:4">
      <c r="A29" s="54" t="s">
        <v>7548</v>
      </c>
      <c r="B29" s="55" t="s">
        <v>622</v>
      </c>
      <c r="C29" s="56" t="s">
        <v>623</v>
      </c>
      <c r="D29" s="61"/>
    </row>
    <row r="30" spans="1:4">
      <c r="A30" s="54" t="s">
        <v>7550</v>
      </c>
      <c r="B30" s="55" t="s">
        <v>624</v>
      </c>
      <c r="C30" s="56" t="s">
        <v>625</v>
      </c>
      <c r="D30" s="61"/>
    </row>
    <row r="31" spans="1:4">
      <c r="A31" s="54" t="s">
        <v>7550</v>
      </c>
      <c r="B31" s="55" t="s">
        <v>626</v>
      </c>
      <c r="C31" s="56" t="s">
        <v>627</v>
      </c>
      <c r="D31" s="61"/>
    </row>
    <row r="32" spans="1:4">
      <c r="A32" s="54" t="s">
        <v>7550</v>
      </c>
      <c r="B32" s="55" t="s">
        <v>628</v>
      </c>
      <c r="C32" s="56" t="s">
        <v>629</v>
      </c>
      <c r="D32" s="61" t="s">
        <v>7559</v>
      </c>
    </row>
    <row r="33" spans="1:4">
      <c r="A33" s="54" t="s">
        <v>7550</v>
      </c>
      <c r="B33" s="55" t="s">
        <v>630</v>
      </c>
      <c r="C33" s="56" t="s">
        <v>631</v>
      </c>
      <c r="D33" s="61" t="s">
        <v>7559</v>
      </c>
    </row>
    <row r="34" spans="1:4">
      <c r="A34" s="54" t="s">
        <v>7550</v>
      </c>
      <c r="B34" s="55" t="s">
        <v>632</v>
      </c>
      <c r="C34" s="56" t="s">
        <v>633</v>
      </c>
      <c r="D34" s="61" t="s">
        <v>7559</v>
      </c>
    </row>
    <row r="35" spans="1:4">
      <c r="A35" s="54" t="s">
        <v>7551</v>
      </c>
      <c r="B35" s="55" t="s">
        <v>634</v>
      </c>
      <c r="C35" s="199" t="s">
        <v>635</v>
      </c>
      <c r="D35" s="61"/>
    </row>
    <row r="36" spans="1:4">
      <c r="A36" s="54" t="s">
        <v>7551</v>
      </c>
      <c r="B36" s="55" t="s">
        <v>636</v>
      </c>
      <c r="C36" s="61" t="s">
        <v>637</v>
      </c>
      <c r="D36" s="61"/>
    </row>
    <row r="37" spans="1:4">
      <c r="A37" s="54" t="s">
        <v>7551</v>
      </c>
      <c r="B37" s="55" t="s">
        <v>638</v>
      </c>
      <c r="C37" s="205" t="s">
        <v>639</v>
      </c>
      <c r="D37" s="61"/>
    </row>
    <row r="38" spans="1:4">
      <c r="A38" s="54" t="s">
        <v>7551</v>
      </c>
      <c r="B38" s="55" t="s">
        <v>640</v>
      </c>
      <c r="C38" s="56" t="s">
        <v>641</v>
      </c>
      <c r="D38" s="61"/>
    </row>
    <row r="39" spans="1:4">
      <c r="A39" s="54" t="s">
        <v>7552</v>
      </c>
      <c r="B39" s="55" t="s">
        <v>642</v>
      </c>
      <c r="C39" s="61" t="s">
        <v>468</v>
      </c>
      <c r="D39" s="61"/>
    </row>
    <row r="40" spans="1:4">
      <c r="A40" s="54" t="s">
        <v>7552</v>
      </c>
      <c r="B40" s="55" t="s">
        <v>643</v>
      </c>
      <c r="C40" s="61" t="s">
        <v>472</v>
      </c>
      <c r="D40" s="61"/>
    </row>
    <row r="41" spans="1:4">
      <c r="A41" s="54" t="s">
        <v>7553</v>
      </c>
      <c r="B41" s="55" t="s">
        <v>644</v>
      </c>
      <c r="C41" s="199" t="s">
        <v>645</v>
      </c>
      <c r="D41" s="61"/>
    </row>
    <row r="42" spans="1:4">
      <c r="A42" s="54" t="s">
        <v>7553</v>
      </c>
      <c r="B42" s="55" t="s">
        <v>646</v>
      </c>
      <c r="C42" s="199" t="s">
        <v>647</v>
      </c>
      <c r="D42" s="61"/>
    </row>
    <row r="43" spans="1:4">
      <c r="A43" s="54" t="s">
        <v>7553</v>
      </c>
      <c r="B43" s="55" t="s">
        <v>648</v>
      </c>
      <c r="C43" s="199" t="s">
        <v>649</v>
      </c>
      <c r="D43" s="61"/>
    </row>
    <row r="44" spans="1:4">
      <c r="A44" s="54" t="s">
        <v>7553</v>
      </c>
      <c r="B44" s="55" t="s">
        <v>650</v>
      </c>
      <c r="C44" s="56" t="s">
        <v>651</v>
      </c>
      <c r="D44" s="61"/>
    </row>
    <row r="45" spans="1:4">
      <c r="A45" s="54" t="s">
        <v>7553</v>
      </c>
      <c r="B45" s="55" t="s">
        <v>652</v>
      </c>
      <c r="C45" s="58" t="s">
        <v>653</v>
      </c>
      <c r="D45" s="61"/>
    </row>
    <row r="46" spans="1:4">
      <c r="A46" s="54" t="s">
        <v>7553</v>
      </c>
      <c r="B46" s="55" t="s">
        <v>654</v>
      </c>
      <c r="C46" s="58" t="s">
        <v>655</v>
      </c>
      <c r="D46" s="61"/>
    </row>
    <row r="47" spans="1:4">
      <c r="A47" s="54" t="s">
        <v>7553</v>
      </c>
      <c r="B47" s="55" t="s">
        <v>656</v>
      </c>
      <c r="C47" s="58" t="s">
        <v>657</v>
      </c>
      <c r="D47" s="61"/>
    </row>
    <row r="48" spans="1:4">
      <c r="A48" s="54" t="s">
        <v>7553</v>
      </c>
      <c r="B48" s="55" t="s">
        <v>658</v>
      </c>
      <c r="C48" s="58" t="s">
        <v>659</v>
      </c>
      <c r="D48" s="61"/>
    </row>
    <row r="49" spans="1:4">
      <c r="A49" s="54" t="s">
        <v>7555</v>
      </c>
      <c r="B49" s="55" t="s">
        <v>660</v>
      </c>
      <c r="C49" s="58" t="s">
        <v>661</v>
      </c>
      <c r="D49" s="61"/>
    </row>
    <row r="50" spans="1:4">
      <c r="A50" s="54" t="s">
        <v>7555</v>
      </c>
      <c r="B50" s="55" t="s">
        <v>662</v>
      </c>
      <c r="C50" s="58" t="s">
        <v>663</v>
      </c>
      <c r="D50" s="61" t="s">
        <v>4095</v>
      </c>
    </row>
    <row r="51" spans="1:4">
      <c r="A51" s="54" t="s">
        <v>7555</v>
      </c>
      <c r="B51" s="55" t="s">
        <v>664</v>
      </c>
      <c r="C51" s="58" t="s">
        <v>665</v>
      </c>
      <c r="D51" s="61"/>
    </row>
    <row r="52" spans="1:4">
      <c r="A52" s="54" t="s">
        <v>7555</v>
      </c>
      <c r="B52" s="55" t="s">
        <v>666</v>
      </c>
      <c r="C52" s="58" t="s">
        <v>667</v>
      </c>
      <c r="D52" s="61" t="s">
        <v>4110</v>
      </c>
    </row>
    <row r="53" spans="1:4">
      <c r="A53" s="54" t="s">
        <v>7555</v>
      </c>
      <c r="B53" s="55" t="s">
        <v>668</v>
      </c>
      <c r="C53" s="58" t="s">
        <v>669</v>
      </c>
      <c r="D53" s="61"/>
    </row>
    <row r="54" spans="1:4">
      <c r="A54" s="54" t="s">
        <v>7555</v>
      </c>
      <c r="B54" s="55" t="s">
        <v>670</v>
      </c>
      <c r="C54" s="58" t="s">
        <v>671</v>
      </c>
      <c r="D54" s="61"/>
    </row>
    <row r="55" spans="1:4">
      <c r="A55" s="54" t="s">
        <v>7555</v>
      </c>
      <c r="B55" s="55" t="s">
        <v>672</v>
      </c>
      <c r="C55" s="56" t="s">
        <v>673</v>
      </c>
      <c r="D55" s="61"/>
    </row>
    <row r="56" spans="1:4">
      <c r="A56" s="54" t="s">
        <v>7555</v>
      </c>
      <c r="B56" s="55" t="s">
        <v>674</v>
      </c>
      <c r="C56" s="58" t="s">
        <v>675</v>
      </c>
      <c r="D56" s="61"/>
    </row>
    <row r="57" spans="1:4">
      <c r="A57" s="54" t="s">
        <v>7555</v>
      </c>
      <c r="B57" s="55" t="s">
        <v>676</v>
      </c>
      <c r="C57" s="58" t="s">
        <v>677</v>
      </c>
      <c r="D57" s="61"/>
    </row>
    <row r="58" spans="1:4">
      <c r="A58" s="54" t="s">
        <v>7555</v>
      </c>
      <c r="B58" s="55" t="s">
        <v>678</v>
      </c>
      <c r="C58" s="58" t="s">
        <v>679</v>
      </c>
      <c r="D58" s="61"/>
    </row>
    <row r="59" spans="1:4">
      <c r="A59" s="54" t="s">
        <v>7555</v>
      </c>
      <c r="B59" s="55" t="s">
        <v>680</v>
      </c>
      <c r="C59" s="61" t="s">
        <v>681</v>
      </c>
      <c r="D59" s="61"/>
    </row>
    <row r="60" spans="1:4">
      <c r="A60" s="54" t="s">
        <v>7555</v>
      </c>
      <c r="B60" s="55" t="s">
        <v>682</v>
      </c>
      <c r="C60" s="58" t="s">
        <v>683</v>
      </c>
      <c r="D60" s="61"/>
    </row>
    <row r="61" spans="1:4">
      <c r="A61" s="54" t="s">
        <v>7555</v>
      </c>
      <c r="B61" s="55" t="s">
        <v>684</v>
      </c>
      <c r="C61" s="58" t="s">
        <v>685</v>
      </c>
      <c r="D61" s="61"/>
    </row>
    <row r="62" spans="1:4">
      <c r="A62" s="54" t="s">
        <v>7555</v>
      </c>
      <c r="B62" s="55" t="s">
        <v>686</v>
      </c>
      <c r="C62" s="58" t="s">
        <v>687</v>
      </c>
      <c r="D62" s="61"/>
    </row>
    <row r="63" spans="1:4">
      <c r="A63" s="54" t="s">
        <v>7555</v>
      </c>
      <c r="B63" s="55" t="s">
        <v>688</v>
      </c>
      <c r="C63" s="56" t="s">
        <v>689</v>
      </c>
      <c r="D63" s="61"/>
    </row>
    <row r="64" spans="1:4">
      <c r="A64" s="54" t="s">
        <v>7555</v>
      </c>
      <c r="B64" s="55" t="s">
        <v>690</v>
      </c>
      <c r="C64" s="58" t="s">
        <v>691</v>
      </c>
      <c r="D64" s="61"/>
    </row>
    <row r="65" spans="1:4">
      <c r="A65" s="54" t="s">
        <v>7555</v>
      </c>
      <c r="B65" s="55" t="s">
        <v>692</v>
      </c>
      <c r="C65" s="58" t="s">
        <v>693</v>
      </c>
      <c r="D65" s="61" t="s">
        <v>4068</v>
      </c>
    </row>
    <row r="66" spans="1:4">
      <c r="A66" s="54" t="s">
        <v>7555</v>
      </c>
      <c r="B66" s="55" t="s">
        <v>694</v>
      </c>
      <c r="C66" s="199" t="s">
        <v>695</v>
      </c>
      <c r="D66" s="61" t="s">
        <v>4097</v>
      </c>
    </row>
    <row r="67" spans="1:4">
      <c r="A67" s="54" t="s">
        <v>7555</v>
      </c>
      <c r="B67" s="55" t="s">
        <v>696</v>
      </c>
      <c r="C67" s="58" t="s">
        <v>697</v>
      </c>
      <c r="D67" s="61"/>
    </row>
    <row r="68" spans="1:4">
      <c r="A68" s="54" t="s">
        <v>7555</v>
      </c>
      <c r="B68" s="55" t="s">
        <v>698</v>
      </c>
      <c r="C68" s="58" t="s">
        <v>699</v>
      </c>
      <c r="D68" s="61"/>
    </row>
    <row r="69" spans="1:4">
      <c r="A69" s="54" t="s">
        <v>7555</v>
      </c>
      <c r="B69" s="55" t="s">
        <v>700</v>
      </c>
      <c r="C69" s="56" t="s">
        <v>701</v>
      </c>
      <c r="D69" s="61"/>
    </row>
    <row r="70" spans="1:4">
      <c r="A70" s="54" t="s">
        <v>7555</v>
      </c>
      <c r="B70" s="55" t="s">
        <v>702</v>
      </c>
      <c r="C70" s="56" t="s">
        <v>703</v>
      </c>
      <c r="D70" s="61"/>
    </row>
    <row r="71" spans="1:4">
      <c r="A71" s="54" t="s">
        <v>7555</v>
      </c>
      <c r="B71" s="55" t="s">
        <v>704</v>
      </c>
      <c r="C71" s="56" t="s">
        <v>705</v>
      </c>
      <c r="D71" s="61"/>
    </row>
    <row r="72" spans="1:4">
      <c r="A72" s="54" t="s">
        <v>7555</v>
      </c>
      <c r="B72" s="55" t="s">
        <v>706</v>
      </c>
      <c r="C72" s="58" t="s">
        <v>707</v>
      </c>
      <c r="D72" s="61" t="s">
        <v>4076</v>
      </c>
    </row>
    <row r="73" spans="1:4">
      <c r="A73" s="54" t="s">
        <v>7555</v>
      </c>
      <c r="B73" s="55" t="s">
        <v>708</v>
      </c>
      <c r="C73" s="56" t="s">
        <v>709</v>
      </c>
      <c r="D73" s="61"/>
    </row>
    <row r="74" spans="1:4">
      <c r="A74" s="54" t="s">
        <v>7555</v>
      </c>
      <c r="B74" s="55" t="s">
        <v>710</v>
      </c>
      <c r="C74" s="56" t="s">
        <v>711</v>
      </c>
      <c r="D74" s="61"/>
    </row>
    <row r="75" spans="1:4">
      <c r="A75" s="24"/>
      <c r="B75" s="55"/>
      <c r="C75" s="58"/>
      <c r="D75" s="61"/>
    </row>
    <row r="76" spans="1:4">
      <c r="A76" s="24"/>
      <c r="B76" s="55"/>
      <c r="C76" s="58"/>
      <c r="D76" s="61"/>
    </row>
    <row r="77" spans="1:4">
      <c r="A77" s="24"/>
      <c r="B77" s="55"/>
      <c r="C77" s="58"/>
      <c r="D77" s="61"/>
    </row>
    <row r="78" spans="1:4">
      <c r="A78" s="24"/>
      <c r="B78" s="55"/>
      <c r="C78" s="58"/>
      <c r="D78" s="61"/>
    </row>
    <row r="79" spans="1:4">
      <c r="A79" s="24"/>
      <c r="B79" s="55"/>
      <c r="C79" s="58"/>
      <c r="D79" s="61"/>
    </row>
    <row r="80" spans="1:4">
      <c r="A80" s="24"/>
      <c r="B80" s="55"/>
      <c r="C80" s="58"/>
      <c r="D80" s="61"/>
    </row>
    <row r="81" spans="1:4">
      <c r="A81" s="24"/>
      <c r="B81" s="55"/>
      <c r="C81" s="58"/>
      <c r="D81" s="61"/>
    </row>
    <row r="82" spans="1:4">
      <c r="A82" s="24"/>
      <c r="B82" s="55"/>
      <c r="C82" s="58"/>
      <c r="D82" s="61"/>
    </row>
    <row r="83" spans="1:4">
      <c r="A83" s="24"/>
      <c r="B83" s="55"/>
      <c r="C83" s="58"/>
      <c r="D83" s="61"/>
    </row>
    <row r="84" spans="1:4">
      <c r="A84" s="24"/>
      <c r="B84" s="55"/>
      <c r="C84" s="58"/>
      <c r="D84" s="61"/>
    </row>
    <row r="85" spans="1:4">
      <c r="A85" s="24"/>
      <c r="B85" s="55"/>
      <c r="C85" s="58"/>
      <c r="D85" s="61"/>
    </row>
    <row r="86" spans="1:4">
      <c r="A86" s="24"/>
      <c r="B86" s="55"/>
      <c r="C86" s="58"/>
      <c r="D86" s="61"/>
    </row>
    <row r="87" spans="1:4">
      <c r="A87" s="24"/>
      <c r="B87" s="55"/>
      <c r="C87" s="58"/>
      <c r="D87" s="61"/>
    </row>
    <row r="88" spans="1:4">
      <c r="A88" s="24"/>
      <c r="B88" s="55"/>
      <c r="C88" s="58"/>
      <c r="D88" s="61"/>
    </row>
    <row r="89" spans="1:4">
      <c r="A89" s="24"/>
      <c r="B89" s="55"/>
      <c r="C89" s="58"/>
      <c r="D89" s="61"/>
    </row>
    <row r="90" spans="1:4">
      <c r="A90" s="24"/>
      <c r="B90" s="55"/>
      <c r="C90" s="58"/>
      <c r="D90" s="61"/>
    </row>
    <row r="91" spans="1:4">
      <c r="A91" s="24"/>
      <c r="B91" s="55"/>
      <c r="C91" s="58"/>
      <c r="D91" s="61"/>
    </row>
    <row r="92" spans="1:4">
      <c r="A92" s="24"/>
      <c r="B92" s="55" t="s">
        <v>25</v>
      </c>
      <c r="C92" s="58"/>
      <c r="D92" s="6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3"/>
  <sheetViews>
    <sheetView workbookViewId="0">
      <pane ySplit="1" topLeftCell="A2" activePane="bottomLeft" state="frozen"/>
      <selection/>
      <selection pane="bottomLeft" activeCell="C5" sqref="C5"/>
    </sheetView>
  </sheetViews>
  <sheetFormatPr defaultColWidth="9" defaultRowHeight="13.5" outlineLevelCol="4"/>
  <cols>
    <col min="1" max="1" width="25.125" style="52" customWidth="1"/>
    <col min="2" max="2" width="15.125" style="14" customWidth="1"/>
    <col min="3" max="3" width="39.375" customWidth="1"/>
    <col min="4" max="4" width="51.5" style="52" customWidth="1"/>
    <col min="5" max="5" width="38.125" style="52" customWidth="1"/>
  </cols>
  <sheetData>
    <row r="1" ht="38" customHeight="1" spans="1:5">
      <c r="A1" s="15" t="s">
        <v>7560</v>
      </c>
      <c r="B1" s="15" t="s">
        <v>7540</v>
      </c>
      <c r="C1" s="15" t="s">
        <v>8</v>
      </c>
      <c r="D1" s="15" t="s">
        <v>22</v>
      </c>
      <c r="E1" s="15" t="s">
        <v>3284</v>
      </c>
    </row>
    <row r="2" ht="15" customHeight="1" spans="1:5">
      <c r="A2" s="61" t="s">
        <v>714</v>
      </c>
      <c r="B2" s="24" t="s">
        <v>7542</v>
      </c>
      <c r="C2" s="55" t="s">
        <v>712</v>
      </c>
      <c r="D2" s="61" t="s">
        <v>713</v>
      </c>
      <c r="E2" s="61"/>
    </row>
    <row r="3" ht="15" customHeight="1" spans="1:5">
      <c r="A3" s="61" t="s">
        <v>714</v>
      </c>
      <c r="B3" s="24" t="s">
        <v>7542</v>
      </c>
      <c r="C3" s="55" t="s">
        <v>715</v>
      </c>
      <c r="D3" s="61" t="s">
        <v>716</v>
      </c>
      <c r="E3" s="61"/>
    </row>
    <row r="4" ht="15" customHeight="1" spans="1:5">
      <c r="A4" s="61" t="s">
        <v>714</v>
      </c>
      <c r="B4" s="24" t="s">
        <v>7542</v>
      </c>
      <c r="C4" s="55" t="s">
        <v>717</v>
      </c>
      <c r="D4" s="61" t="s">
        <v>718</v>
      </c>
      <c r="E4" s="61"/>
    </row>
    <row r="5" ht="15" customHeight="1" spans="1:5">
      <c r="A5" s="61" t="s">
        <v>714</v>
      </c>
      <c r="B5" s="24" t="s">
        <v>7542</v>
      </c>
      <c r="C5" s="55" t="s">
        <v>719</v>
      </c>
      <c r="D5" s="56" t="s">
        <v>720</v>
      </c>
      <c r="E5" s="61"/>
    </row>
    <row r="6" ht="15" customHeight="1" spans="1:5">
      <c r="A6" s="61" t="s">
        <v>723</v>
      </c>
      <c r="B6" s="24" t="s">
        <v>7542</v>
      </c>
      <c r="C6" s="55" t="s">
        <v>721</v>
      </c>
      <c r="D6" s="205" t="s">
        <v>722</v>
      </c>
      <c r="E6" s="61"/>
    </row>
    <row r="7" ht="15" customHeight="1" spans="1:5">
      <c r="A7" s="61" t="s">
        <v>714</v>
      </c>
      <c r="B7" s="24" t="s">
        <v>7542</v>
      </c>
      <c r="C7" s="55" t="s">
        <v>724</v>
      </c>
      <c r="D7" s="56" t="s">
        <v>725</v>
      </c>
      <c r="E7" s="61"/>
    </row>
    <row r="8" ht="15" customHeight="1" spans="1:5">
      <c r="A8" s="61" t="s">
        <v>714</v>
      </c>
      <c r="B8" s="24" t="s">
        <v>7542</v>
      </c>
      <c r="C8" s="55" t="s">
        <v>726</v>
      </c>
      <c r="D8" s="56" t="s">
        <v>727</v>
      </c>
      <c r="E8" s="61"/>
    </row>
    <row r="9" ht="15" customHeight="1" spans="1:5">
      <c r="A9" s="61" t="s">
        <v>714</v>
      </c>
      <c r="B9" s="24" t="s">
        <v>7542</v>
      </c>
      <c r="C9" s="55" t="s">
        <v>728</v>
      </c>
      <c r="D9" s="56" t="s">
        <v>729</v>
      </c>
      <c r="E9" s="61"/>
    </row>
    <row r="10" ht="15" customHeight="1" spans="1:5">
      <c r="A10" s="61" t="s">
        <v>714</v>
      </c>
      <c r="B10" s="24" t="s">
        <v>7542</v>
      </c>
      <c r="C10" s="55" t="s">
        <v>730</v>
      </c>
      <c r="D10" s="56" t="s">
        <v>731</v>
      </c>
      <c r="E10" s="61"/>
    </row>
    <row r="11" ht="15" customHeight="1" spans="1:5">
      <c r="A11" s="61" t="s">
        <v>714</v>
      </c>
      <c r="B11" s="24" t="s">
        <v>7542</v>
      </c>
      <c r="C11" s="55" t="s">
        <v>732</v>
      </c>
      <c r="D11" s="56" t="s">
        <v>733</v>
      </c>
      <c r="E11" s="61"/>
    </row>
    <row r="12" ht="15" customHeight="1" spans="1:5">
      <c r="A12" s="61" t="s">
        <v>714</v>
      </c>
      <c r="B12" s="24" t="s">
        <v>7542</v>
      </c>
      <c r="C12" s="55" t="s">
        <v>734</v>
      </c>
      <c r="D12" s="56" t="s">
        <v>70</v>
      </c>
      <c r="E12" s="61"/>
    </row>
    <row r="13" ht="15" customHeight="1" spans="1:5">
      <c r="A13" s="61" t="s">
        <v>714</v>
      </c>
      <c r="B13" s="24" t="s">
        <v>7542</v>
      </c>
      <c r="C13" s="55" t="s">
        <v>735</v>
      </c>
      <c r="D13" s="56" t="s">
        <v>72</v>
      </c>
      <c r="E13" s="61"/>
    </row>
    <row r="14" ht="15" customHeight="1" spans="1:5">
      <c r="A14" s="61" t="s">
        <v>714</v>
      </c>
      <c r="B14" s="24" t="s">
        <v>7542</v>
      </c>
      <c r="C14" s="55" t="s">
        <v>736</v>
      </c>
      <c r="D14" s="56" t="s">
        <v>74</v>
      </c>
      <c r="E14" s="61"/>
    </row>
    <row r="15" ht="15" customHeight="1" spans="1:5">
      <c r="A15" s="61" t="s">
        <v>714</v>
      </c>
      <c r="B15" s="24" t="s">
        <v>7542</v>
      </c>
      <c r="C15" s="55" t="s">
        <v>737</v>
      </c>
      <c r="D15" s="56" t="s">
        <v>76</v>
      </c>
      <c r="E15" s="61"/>
    </row>
    <row r="16" ht="15" customHeight="1" spans="1:5">
      <c r="A16" s="61" t="s">
        <v>714</v>
      </c>
      <c r="B16" s="24" t="s">
        <v>7542</v>
      </c>
      <c r="C16" s="55" t="s">
        <v>738</v>
      </c>
      <c r="D16" s="56" t="s">
        <v>78</v>
      </c>
      <c r="E16" s="61"/>
    </row>
    <row r="17" ht="15" customHeight="1" spans="1:5">
      <c r="A17" s="61" t="s">
        <v>714</v>
      </c>
      <c r="B17" s="24" t="s">
        <v>7542</v>
      </c>
      <c r="C17" s="55" t="s">
        <v>739</v>
      </c>
      <c r="D17" s="56" t="s">
        <v>80</v>
      </c>
      <c r="E17" s="61"/>
    </row>
    <row r="18" ht="15" customHeight="1" spans="1:5">
      <c r="A18" s="61" t="s">
        <v>714</v>
      </c>
      <c r="B18" s="24" t="s">
        <v>7542</v>
      </c>
      <c r="C18" s="55" t="s">
        <v>740</v>
      </c>
      <c r="D18" s="56" t="s">
        <v>741</v>
      </c>
      <c r="E18" s="61"/>
    </row>
    <row r="19" ht="15" customHeight="1" spans="1:5">
      <c r="A19" s="61" t="s">
        <v>714</v>
      </c>
      <c r="B19" s="24" t="s">
        <v>7542</v>
      </c>
      <c r="C19" s="55" t="s">
        <v>742</v>
      </c>
      <c r="D19" s="56" t="s">
        <v>743</v>
      </c>
      <c r="E19" s="61"/>
    </row>
    <row r="20" ht="15" customHeight="1" spans="1:5">
      <c r="A20" s="61" t="s">
        <v>746</v>
      </c>
      <c r="B20" s="24" t="s">
        <v>7542</v>
      </c>
      <c r="C20" s="55" t="s">
        <v>744</v>
      </c>
      <c r="D20" s="61" t="s">
        <v>745</v>
      </c>
      <c r="E20" s="61" t="s">
        <v>7561</v>
      </c>
    </row>
    <row r="21" ht="15" customHeight="1" spans="1:5">
      <c r="A21" s="61" t="s">
        <v>749</v>
      </c>
      <c r="B21" s="24" t="s">
        <v>7542</v>
      </c>
      <c r="C21" s="55" t="s">
        <v>747</v>
      </c>
      <c r="D21" s="61" t="s">
        <v>748</v>
      </c>
      <c r="E21" s="61" t="s">
        <v>7561</v>
      </c>
    </row>
    <row r="22" ht="15" customHeight="1" spans="1:5">
      <c r="A22" s="61" t="s">
        <v>752</v>
      </c>
      <c r="B22" s="24" t="s">
        <v>7542</v>
      </c>
      <c r="C22" s="55" t="s">
        <v>750</v>
      </c>
      <c r="D22" s="61" t="s">
        <v>751</v>
      </c>
      <c r="E22" s="61" t="s">
        <v>7561</v>
      </c>
    </row>
    <row r="23" ht="15" customHeight="1" spans="1:5">
      <c r="A23" s="61" t="s">
        <v>714</v>
      </c>
      <c r="B23" s="24" t="s">
        <v>7542</v>
      </c>
      <c r="C23" s="55" t="s">
        <v>753</v>
      </c>
      <c r="D23" s="56" t="s">
        <v>754</v>
      </c>
      <c r="E23" s="61"/>
    </row>
    <row r="24" ht="15" customHeight="1" spans="1:5">
      <c r="A24" s="61" t="s">
        <v>723</v>
      </c>
      <c r="B24" s="24" t="s">
        <v>7542</v>
      </c>
      <c r="C24" s="55" t="s">
        <v>755</v>
      </c>
      <c r="D24" s="61" t="s">
        <v>756</v>
      </c>
      <c r="E24" s="61"/>
    </row>
    <row r="25" ht="15" customHeight="1" spans="1:5">
      <c r="A25" s="61" t="s">
        <v>714</v>
      </c>
      <c r="B25" s="24" t="s">
        <v>7542</v>
      </c>
      <c r="C25" s="55" t="s">
        <v>757</v>
      </c>
      <c r="D25" s="56" t="s">
        <v>758</v>
      </c>
      <c r="E25" s="61"/>
    </row>
    <row r="26" ht="15" customHeight="1" spans="1:5">
      <c r="A26" s="61" t="s">
        <v>714</v>
      </c>
      <c r="B26" s="24" t="s">
        <v>7542</v>
      </c>
      <c r="C26" s="55" t="s">
        <v>759</v>
      </c>
      <c r="D26" s="56" t="s">
        <v>760</v>
      </c>
      <c r="E26" s="61"/>
    </row>
    <row r="27" ht="15" customHeight="1" spans="1:5">
      <c r="A27" s="61" t="s">
        <v>714</v>
      </c>
      <c r="B27" s="24" t="s">
        <v>7542</v>
      </c>
      <c r="C27" s="55" t="s">
        <v>761</v>
      </c>
      <c r="D27" s="56" t="s">
        <v>762</v>
      </c>
      <c r="E27" s="61"/>
    </row>
    <row r="28" ht="15" customHeight="1" spans="1:5">
      <c r="A28" s="61" t="s">
        <v>714</v>
      </c>
      <c r="B28" s="24" t="s">
        <v>7542</v>
      </c>
      <c r="C28" s="55" t="s">
        <v>763</v>
      </c>
      <c r="D28" s="56" t="s">
        <v>764</v>
      </c>
      <c r="E28" s="61"/>
    </row>
    <row r="29" ht="15" customHeight="1" spans="1:5">
      <c r="A29" s="61" t="s">
        <v>714</v>
      </c>
      <c r="B29" s="24" t="s">
        <v>7542</v>
      </c>
      <c r="C29" s="55" t="s">
        <v>765</v>
      </c>
      <c r="D29" s="199" t="s">
        <v>766</v>
      </c>
      <c r="E29" s="61"/>
    </row>
    <row r="30" ht="15" customHeight="1" spans="1:5">
      <c r="A30" s="61" t="s">
        <v>723</v>
      </c>
      <c r="B30" s="24" t="s">
        <v>7542</v>
      </c>
      <c r="C30" s="55" t="s">
        <v>767</v>
      </c>
      <c r="D30" s="52" t="s">
        <v>768</v>
      </c>
      <c r="E30" s="61"/>
    </row>
    <row r="31" ht="15" customHeight="1" spans="1:5">
      <c r="A31" s="61" t="s">
        <v>714</v>
      </c>
      <c r="B31" s="24" t="s">
        <v>7542</v>
      </c>
      <c r="C31" s="55" t="s">
        <v>769</v>
      </c>
      <c r="D31" s="199" t="s">
        <v>770</v>
      </c>
      <c r="E31" s="61"/>
    </row>
    <row r="32" ht="15" customHeight="1" spans="1:5">
      <c r="A32" s="61" t="s">
        <v>714</v>
      </c>
      <c r="B32" s="24" t="s">
        <v>7542</v>
      </c>
      <c r="C32" s="55" t="s">
        <v>771</v>
      </c>
      <c r="D32" s="199" t="s">
        <v>772</v>
      </c>
      <c r="E32" s="61"/>
    </row>
    <row r="33" ht="15" customHeight="1" spans="1:5">
      <c r="A33" s="61" t="s">
        <v>714</v>
      </c>
      <c r="B33" s="24" t="s">
        <v>7542</v>
      </c>
      <c r="C33" s="55" t="s">
        <v>773</v>
      </c>
      <c r="D33" s="199" t="s">
        <v>774</v>
      </c>
      <c r="E33" s="61"/>
    </row>
    <row r="34" ht="15" customHeight="1" spans="1:5">
      <c r="A34" s="61" t="s">
        <v>714</v>
      </c>
      <c r="B34" s="24" t="s">
        <v>7542</v>
      </c>
      <c r="C34" s="55" t="s">
        <v>775</v>
      </c>
      <c r="D34" s="61" t="s">
        <v>776</v>
      </c>
      <c r="E34" s="61"/>
    </row>
    <row r="35" ht="15" customHeight="1" spans="1:5">
      <c r="A35" s="61" t="s">
        <v>714</v>
      </c>
      <c r="B35" s="24" t="s">
        <v>7542</v>
      </c>
      <c r="C35" s="55" t="s">
        <v>777</v>
      </c>
      <c r="D35" s="199" t="s">
        <v>778</v>
      </c>
      <c r="E35" s="61" t="s">
        <v>7544</v>
      </c>
    </row>
    <row r="36" ht="15" customHeight="1" spans="1:5">
      <c r="A36" s="61" t="s">
        <v>714</v>
      </c>
      <c r="B36" s="24" t="s">
        <v>7542</v>
      </c>
      <c r="C36" s="55" t="s">
        <v>779</v>
      </c>
      <c r="D36" s="199" t="s">
        <v>780</v>
      </c>
      <c r="E36" s="61" t="s">
        <v>7545</v>
      </c>
    </row>
    <row r="37" ht="15" customHeight="1" spans="1:5">
      <c r="A37" s="61" t="s">
        <v>714</v>
      </c>
      <c r="B37" s="24" t="s">
        <v>7542</v>
      </c>
      <c r="C37" s="55" t="s">
        <v>781</v>
      </c>
      <c r="D37" s="56" t="s">
        <v>782</v>
      </c>
      <c r="E37" s="61"/>
    </row>
    <row r="38" ht="15" customHeight="1" spans="1:5">
      <c r="A38" s="61" t="s">
        <v>714</v>
      </c>
      <c r="B38" s="24" t="s">
        <v>7542</v>
      </c>
      <c r="C38" s="55" t="s">
        <v>783</v>
      </c>
      <c r="D38" s="56" t="s">
        <v>784</v>
      </c>
      <c r="E38" s="61"/>
    </row>
    <row r="39" ht="15" customHeight="1" spans="1:5">
      <c r="A39" s="61" t="s">
        <v>746</v>
      </c>
      <c r="B39" s="24" t="s">
        <v>7542</v>
      </c>
      <c r="C39" s="55" t="s">
        <v>785</v>
      </c>
      <c r="D39" s="61" t="s">
        <v>786</v>
      </c>
      <c r="E39" s="61" t="s">
        <v>7562</v>
      </c>
    </row>
    <row r="40" ht="15" customHeight="1" spans="1:5">
      <c r="A40" s="61" t="s">
        <v>749</v>
      </c>
      <c r="B40" s="24" t="s">
        <v>7542</v>
      </c>
      <c r="C40" s="55" t="s">
        <v>787</v>
      </c>
      <c r="D40" s="61" t="s">
        <v>788</v>
      </c>
      <c r="E40" s="61" t="s">
        <v>7562</v>
      </c>
    </row>
    <row r="41" ht="15" customHeight="1" spans="1:5">
      <c r="A41" s="61" t="s">
        <v>752</v>
      </c>
      <c r="B41" s="24" t="s">
        <v>7542</v>
      </c>
      <c r="C41" s="55" t="s">
        <v>789</v>
      </c>
      <c r="D41" s="61" t="s">
        <v>790</v>
      </c>
      <c r="E41" s="61" t="s">
        <v>7562</v>
      </c>
    </row>
    <row r="42" ht="15" customHeight="1" spans="1:5">
      <c r="A42" s="61" t="s">
        <v>793</v>
      </c>
      <c r="B42" s="24" t="s">
        <v>7546</v>
      </c>
      <c r="C42" s="55" t="s">
        <v>791</v>
      </c>
      <c r="D42" s="56" t="s">
        <v>792</v>
      </c>
      <c r="E42" s="61"/>
    </row>
    <row r="43" ht="15" customHeight="1" spans="1:5">
      <c r="A43" s="61" t="s">
        <v>793</v>
      </c>
      <c r="B43" s="24" t="s">
        <v>7546</v>
      </c>
      <c r="C43" s="55" t="s">
        <v>794</v>
      </c>
      <c r="D43" s="61" t="s">
        <v>795</v>
      </c>
      <c r="E43" s="61"/>
    </row>
    <row r="44" ht="15" customHeight="1" spans="1:5">
      <c r="A44" s="61" t="s">
        <v>793</v>
      </c>
      <c r="B44" s="24" t="s">
        <v>7546</v>
      </c>
      <c r="C44" s="55" t="s">
        <v>796</v>
      </c>
      <c r="D44" s="61" t="s">
        <v>797</v>
      </c>
      <c r="E44" s="61"/>
    </row>
    <row r="45" ht="15" customHeight="1" spans="1:5">
      <c r="A45" s="61" t="s">
        <v>793</v>
      </c>
      <c r="B45" s="24" t="s">
        <v>7546</v>
      </c>
      <c r="C45" s="55" t="s">
        <v>798</v>
      </c>
      <c r="D45" s="61" t="s">
        <v>799</v>
      </c>
      <c r="E45" s="61"/>
    </row>
    <row r="46" ht="15" customHeight="1" spans="1:5">
      <c r="A46" s="61" t="s">
        <v>793</v>
      </c>
      <c r="B46" s="24" t="s">
        <v>7546</v>
      </c>
      <c r="C46" s="55" t="s">
        <v>800</v>
      </c>
      <c r="D46" s="56" t="s">
        <v>801</v>
      </c>
      <c r="E46" s="61"/>
    </row>
    <row r="47" ht="15" customHeight="1" spans="1:5">
      <c r="A47" s="61" t="s">
        <v>746</v>
      </c>
      <c r="B47" s="24" t="s">
        <v>7546</v>
      </c>
      <c r="C47" s="55" t="s">
        <v>802</v>
      </c>
      <c r="D47" s="61" t="s">
        <v>803</v>
      </c>
      <c r="E47" s="61" t="s">
        <v>7563</v>
      </c>
    </row>
    <row r="48" ht="15" customHeight="1" spans="1:5">
      <c r="A48" s="61" t="s">
        <v>749</v>
      </c>
      <c r="B48" s="24" t="s">
        <v>7546</v>
      </c>
      <c r="C48" s="55" t="s">
        <v>804</v>
      </c>
      <c r="D48" s="61" t="s">
        <v>805</v>
      </c>
      <c r="E48" s="61" t="s">
        <v>7563</v>
      </c>
    </row>
    <row r="49" ht="15" customHeight="1" spans="1:5">
      <c r="A49" s="61" t="s">
        <v>752</v>
      </c>
      <c r="B49" s="24" t="s">
        <v>7546</v>
      </c>
      <c r="C49" s="55" t="s">
        <v>806</v>
      </c>
      <c r="D49" s="61" t="s">
        <v>807</v>
      </c>
      <c r="E49" s="61" t="s">
        <v>7563</v>
      </c>
    </row>
    <row r="50" ht="15" customHeight="1" spans="1:5">
      <c r="A50" s="61" t="s">
        <v>793</v>
      </c>
      <c r="B50" s="24" t="s">
        <v>7546</v>
      </c>
      <c r="C50" s="55" t="s">
        <v>808</v>
      </c>
      <c r="D50" s="56" t="s">
        <v>809</v>
      </c>
      <c r="E50" s="61"/>
    </row>
    <row r="51" ht="15" customHeight="1" spans="1:5">
      <c r="A51" s="61" t="s">
        <v>793</v>
      </c>
      <c r="B51" s="24" t="s">
        <v>7546</v>
      </c>
      <c r="C51" s="55" t="s">
        <v>810</v>
      </c>
      <c r="D51" s="56" t="s">
        <v>811</v>
      </c>
      <c r="E51" s="61"/>
    </row>
    <row r="52" ht="15" customHeight="1" spans="1:5">
      <c r="A52" s="61" t="s">
        <v>793</v>
      </c>
      <c r="B52" s="24" t="s">
        <v>7546</v>
      </c>
      <c r="C52" s="55" t="s">
        <v>812</v>
      </c>
      <c r="D52" s="56" t="s">
        <v>813</v>
      </c>
      <c r="E52" s="61"/>
    </row>
    <row r="53" ht="15" customHeight="1" spans="1:5">
      <c r="A53" s="61" t="s">
        <v>746</v>
      </c>
      <c r="B53" s="24" t="s">
        <v>7546</v>
      </c>
      <c r="C53" s="55" t="s">
        <v>814</v>
      </c>
      <c r="D53" s="61" t="s">
        <v>815</v>
      </c>
      <c r="E53" s="61"/>
    </row>
    <row r="54" ht="15" customHeight="1" spans="1:5">
      <c r="A54" s="61" t="s">
        <v>749</v>
      </c>
      <c r="B54" s="24" t="s">
        <v>7546</v>
      </c>
      <c r="C54" s="55" t="s">
        <v>816</v>
      </c>
      <c r="D54" s="61" t="s">
        <v>817</v>
      </c>
      <c r="E54" s="61"/>
    </row>
    <row r="55" ht="15" customHeight="1" spans="1:5">
      <c r="A55" s="61" t="s">
        <v>752</v>
      </c>
      <c r="B55" s="24" t="s">
        <v>7546</v>
      </c>
      <c r="C55" s="55" t="s">
        <v>818</v>
      </c>
      <c r="D55" s="61" t="s">
        <v>819</v>
      </c>
      <c r="E55" s="61"/>
    </row>
    <row r="56" ht="15" customHeight="1" spans="1:5">
      <c r="A56" s="61" t="s">
        <v>793</v>
      </c>
      <c r="B56" s="24" t="s">
        <v>7546</v>
      </c>
      <c r="C56" s="55" t="s">
        <v>820</v>
      </c>
      <c r="D56" s="56" t="s">
        <v>821</v>
      </c>
      <c r="E56" s="61"/>
    </row>
    <row r="57" ht="15" customHeight="1" spans="1:5">
      <c r="A57" s="61" t="s">
        <v>793</v>
      </c>
      <c r="B57" s="24" t="s">
        <v>7546</v>
      </c>
      <c r="C57" s="55" t="s">
        <v>822</v>
      </c>
      <c r="D57" s="61" t="s">
        <v>823</v>
      </c>
      <c r="E57" s="61"/>
    </row>
    <row r="58" ht="15" customHeight="1" spans="1:5">
      <c r="A58" s="61" t="s">
        <v>793</v>
      </c>
      <c r="B58" s="24" t="s">
        <v>7546</v>
      </c>
      <c r="C58" s="55" t="s">
        <v>824</v>
      </c>
      <c r="D58" s="61" t="s">
        <v>825</v>
      </c>
      <c r="E58" s="61"/>
    </row>
    <row r="59" ht="15" customHeight="1" spans="1:5">
      <c r="A59" s="61" t="s">
        <v>793</v>
      </c>
      <c r="B59" s="24" t="s">
        <v>7546</v>
      </c>
      <c r="C59" s="55" t="s">
        <v>826</v>
      </c>
      <c r="D59" s="61" t="s">
        <v>827</v>
      </c>
      <c r="E59" s="61"/>
    </row>
    <row r="60" ht="15" customHeight="1" spans="1:5">
      <c r="A60" s="61" t="s">
        <v>793</v>
      </c>
      <c r="B60" s="24" t="s">
        <v>7546</v>
      </c>
      <c r="C60" s="55" t="s">
        <v>828</v>
      </c>
      <c r="D60" s="199" t="s">
        <v>829</v>
      </c>
      <c r="E60" s="61"/>
    </row>
    <row r="61" ht="15" customHeight="1" spans="1:5">
      <c r="A61" s="61" t="s">
        <v>746</v>
      </c>
      <c r="B61" s="24" t="s">
        <v>7546</v>
      </c>
      <c r="C61" s="55" t="s">
        <v>830</v>
      </c>
      <c r="D61" s="61" t="s">
        <v>831</v>
      </c>
      <c r="E61" s="61" t="s">
        <v>7564</v>
      </c>
    </row>
    <row r="62" ht="15" customHeight="1" spans="1:5">
      <c r="A62" s="61" t="s">
        <v>749</v>
      </c>
      <c r="B62" s="24" t="s">
        <v>7546</v>
      </c>
      <c r="C62" s="55" t="s">
        <v>832</v>
      </c>
      <c r="D62" s="61" t="s">
        <v>833</v>
      </c>
      <c r="E62" s="61" t="s">
        <v>7564</v>
      </c>
    </row>
    <row r="63" ht="15" customHeight="1" spans="1:5">
      <c r="A63" s="61" t="s">
        <v>752</v>
      </c>
      <c r="B63" s="24" t="s">
        <v>7546</v>
      </c>
      <c r="C63" s="55" t="s">
        <v>834</v>
      </c>
      <c r="D63" s="61" t="s">
        <v>835</v>
      </c>
      <c r="E63" s="61" t="s">
        <v>7564</v>
      </c>
    </row>
    <row r="64" ht="15" customHeight="1" spans="1:5">
      <c r="A64" s="61" t="s">
        <v>793</v>
      </c>
      <c r="B64" s="24" t="s">
        <v>7546</v>
      </c>
      <c r="C64" s="55" t="s">
        <v>836</v>
      </c>
      <c r="D64" s="61" t="s">
        <v>837</v>
      </c>
      <c r="E64" s="61"/>
    </row>
    <row r="65" ht="15" customHeight="1" spans="1:5">
      <c r="A65" s="61" t="s">
        <v>793</v>
      </c>
      <c r="B65" s="24" t="s">
        <v>7546</v>
      </c>
      <c r="C65" s="55" t="s">
        <v>838</v>
      </c>
      <c r="D65" s="61" t="s">
        <v>839</v>
      </c>
      <c r="E65" s="61"/>
    </row>
    <row r="66" ht="15" customHeight="1" spans="1:5">
      <c r="A66" s="61" t="s">
        <v>793</v>
      </c>
      <c r="B66" s="24" t="s">
        <v>7546</v>
      </c>
      <c r="C66" s="55" t="s">
        <v>840</v>
      </c>
      <c r="D66" s="61" t="s">
        <v>841</v>
      </c>
      <c r="E66" s="61"/>
    </row>
    <row r="67" ht="15" customHeight="1" spans="1:5">
      <c r="A67" s="61" t="s">
        <v>793</v>
      </c>
      <c r="B67" s="24" t="s">
        <v>7546</v>
      </c>
      <c r="C67" s="55" t="s">
        <v>842</v>
      </c>
      <c r="D67" s="61" t="s">
        <v>843</v>
      </c>
      <c r="E67" s="61" t="s">
        <v>7565</v>
      </c>
    </row>
    <row r="68" ht="15" customHeight="1" spans="1:5">
      <c r="A68" s="61" t="s">
        <v>749</v>
      </c>
      <c r="B68" s="24" t="s">
        <v>7546</v>
      </c>
      <c r="C68" s="55" t="s">
        <v>844</v>
      </c>
      <c r="D68" s="61" t="s">
        <v>843</v>
      </c>
      <c r="E68" s="61" t="s">
        <v>7565</v>
      </c>
    </row>
    <row r="69" ht="15" customHeight="1" spans="1:5">
      <c r="A69" s="61" t="s">
        <v>746</v>
      </c>
      <c r="B69" s="24" t="s">
        <v>7566</v>
      </c>
      <c r="C69" s="55" t="s">
        <v>845</v>
      </c>
      <c r="D69" s="56" t="s">
        <v>846</v>
      </c>
      <c r="E69" s="61"/>
    </row>
    <row r="70" ht="15" customHeight="1" spans="1:5">
      <c r="A70" s="61" t="s">
        <v>749</v>
      </c>
      <c r="B70" s="24" t="s">
        <v>7566</v>
      </c>
      <c r="C70" s="55" t="s">
        <v>847</v>
      </c>
      <c r="D70" s="56" t="s">
        <v>848</v>
      </c>
      <c r="E70" s="61"/>
    </row>
    <row r="71" ht="15" customHeight="1" spans="1:5">
      <c r="A71" s="61" t="s">
        <v>752</v>
      </c>
      <c r="B71" s="24" t="s">
        <v>7566</v>
      </c>
      <c r="C71" s="55" t="s">
        <v>849</v>
      </c>
      <c r="D71" s="56" t="s">
        <v>850</v>
      </c>
      <c r="E71" s="61"/>
    </row>
    <row r="72" ht="15" customHeight="1" spans="1:5">
      <c r="A72" s="61" t="s">
        <v>746</v>
      </c>
      <c r="B72" s="24" t="s">
        <v>7566</v>
      </c>
      <c r="C72" s="55" t="s">
        <v>851</v>
      </c>
      <c r="D72" s="56" t="s">
        <v>852</v>
      </c>
      <c r="E72" s="61"/>
    </row>
    <row r="73" ht="15" customHeight="1" spans="1:5">
      <c r="A73" s="61" t="s">
        <v>749</v>
      </c>
      <c r="B73" s="24" t="s">
        <v>7566</v>
      </c>
      <c r="C73" s="55" t="s">
        <v>853</v>
      </c>
      <c r="D73" s="56" t="s">
        <v>854</v>
      </c>
      <c r="E73" s="61"/>
    </row>
    <row r="74" ht="15" customHeight="1" spans="1:5">
      <c r="A74" s="61" t="s">
        <v>752</v>
      </c>
      <c r="B74" s="24" t="s">
        <v>7566</v>
      </c>
      <c r="C74" s="55" t="s">
        <v>855</v>
      </c>
      <c r="D74" s="56" t="s">
        <v>856</v>
      </c>
      <c r="E74" s="61"/>
    </row>
    <row r="75" ht="15" customHeight="1" spans="1:5">
      <c r="A75" s="61" t="s">
        <v>746</v>
      </c>
      <c r="B75" s="24" t="s">
        <v>7566</v>
      </c>
      <c r="C75" s="55" t="s">
        <v>857</v>
      </c>
      <c r="D75" s="56" t="s">
        <v>858</v>
      </c>
      <c r="E75" s="61"/>
    </row>
    <row r="76" ht="15" customHeight="1" spans="1:5">
      <c r="A76" s="61" t="s">
        <v>749</v>
      </c>
      <c r="B76" s="24" t="s">
        <v>7566</v>
      </c>
      <c r="C76" s="55" t="s">
        <v>859</v>
      </c>
      <c r="D76" s="56" t="s">
        <v>860</v>
      </c>
      <c r="E76" s="61"/>
    </row>
    <row r="77" ht="15" customHeight="1" spans="1:5">
      <c r="A77" s="61" t="s">
        <v>752</v>
      </c>
      <c r="B77" s="24" t="s">
        <v>7566</v>
      </c>
      <c r="C77" s="55" t="s">
        <v>861</v>
      </c>
      <c r="D77" s="56" t="s">
        <v>862</v>
      </c>
      <c r="E77" s="61"/>
    </row>
    <row r="78" ht="15" customHeight="1" spans="1:5">
      <c r="A78" s="61" t="s">
        <v>746</v>
      </c>
      <c r="B78" s="24" t="s">
        <v>7566</v>
      </c>
      <c r="C78" s="55" t="s">
        <v>863</v>
      </c>
      <c r="D78" s="56" t="s">
        <v>864</v>
      </c>
      <c r="E78" s="61"/>
    </row>
    <row r="79" ht="15" customHeight="1" spans="1:5">
      <c r="A79" s="61" t="s">
        <v>749</v>
      </c>
      <c r="B79" s="24" t="s">
        <v>7566</v>
      </c>
      <c r="C79" s="55" t="s">
        <v>865</v>
      </c>
      <c r="D79" s="56" t="s">
        <v>866</v>
      </c>
      <c r="E79" s="61"/>
    </row>
    <row r="80" ht="15" customHeight="1" spans="1:5">
      <c r="A80" s="61" t="s">
        <v>752</v>
      </c>
      <c r="B80" s="24" t="s">
        <v>7566</v>
      </c>
      <c r="C80" s="55" t="s">
        <v>867</v>
      </c>
      <c r="D80" s="56" t="s">
        <v>868</v>
      </c>
      <c r="E80" s="61"/>
    </row>
    <row r="81" ht="15" customHeight="1" spans="1:5">
      <c r="A81" s="61" t="s">
        <v>723</v>
      </c>
      <c r="B81" s="24" t="s">
        <v>7566</v>
      </c>
      <c r="C81" s="55" t="s">
        <v>869</v>
      </c>
      <c r="D81" s="61" t="s">
        <v>870</v>
      </c>
      <c r="E81" s="61"/>
    </row>
    <row r="82" ht="15" customHeight="1" spans="1:5">
      <c r="A82" s="61" t="s">
        <v>746</v>
      </c>
      <c r="B82" s="24" t="s">
        <v>7566</v>
      </c>
      <c r="C82" s="55" t="s">
        <v>871</v>
      </c>
      <c r="D82" s="56" t="s">
        <v>872</v>
      </c>
      <c r="E82" s="61"/>
    </row>
    <row r="83" ht="15" customHeight="1" spans="1:5">
      <c r="A83" s="61" t="s">
        <v>749</v>
      </c>
      <c r="B83" s="24" t="s">
        <v>7566</v>
      </c>
      <c r="C83" s="55" t="s">
        <v>873</v>
      </c>
      <c r="D83" s="56" t="s">
        <v>874</v>
      </c>
      <c r="E83" s="61"/>
    </row>
    <row r="84" ht="15" customHeight="1" spans="1:5">
      <c r="A84" s="61" t="s">
        <v>752</v>
      </c>
      <c r="B84" s="24" t="s">
        <v>7566</v>
      </c>
      <c r="C84" s="55" t="s">
        <v>875</v>
      </c>
      <c r="D84" s="56" t="s">
        <v>876</v>
      </c>
      <c r="E84" s="61"/>
    </row>
    <row r="85" ht="15" customHeight="1" spans="1:5">
      <c r="A85" s="61" t="s">
        <v>723</v>
      </c>
      <c r="B85" s="24" t="s">
        <v>7566</v>
      </c>
      <c r="C85" s="55" t="s">
        <v>877</v>
      </c>
      <c r="D85" s="61" t="s">
        <v>878</v>
      </c>
      <c r="E85" s="61"/>
    </row>
    <row r="86" ht="15" customHeight="1" spans="1:5">
      <c r="A86" s="61" t="s">
        <v>746</v>
      </c>
      <c r="B86" s="24" t="s">
        <v>7566</v>
      </c>
      <c r="C86" s="55" t="s">
        <v>879</v>
      </c>
      <c r="D86" s="61" t="s">
        <v>880</v>
      </c>
      <c r="E86" s="61" t="s">
        <v>7567</v>
      </c>
    </row>
    <row r="87" ht="15" customHeight="1" spans="1:5">
      <c r="A87" s="61" t="s">
        <v>749</v>
      </c>
      <c r="B87" s="24" t="s">
        <v>7566</v>
      </c>
      <c r="C87" s="55" t="s">
        <v>881</v>
      </c>
      <c r="D87" s="61" t="s">
        <v>882</v>
      </c>
      <c r="E87" s="61" t="s">
        <v>7567</v>
      </c>
    </row>
    <row r="88" ht="15" customHeight="1" spans="1:5">
      <c r="A88" s="61" t="s">
        <v>752</v>
      </c>
      <c r="B88" s="24" t="s">
        <v>7566</v>
      </c>
      <c r="C88" s="55" t="s">
        <v>883</v>
      </c>
      <c r="D88" s="61" t="s">
        <v>884</v>
      </c>
      <c r="E88" s="61" t="s">
        <v>7567</v>
      </c>
    </row>
    <row r="89" ht="15" customHeight="1" spans="1:5">
      <c r="A89" s="61" t="s">
        <v>746</v>
      </c>
      <c r="B89" s="24" t="s">
        <v>7566</v>
      </c>
      <c r="C89" s="55" t="s">
        <v>885</v>
      </c>
      <c r="D89" s="56" t="s">
        <v>886</v>
      </c>
      <c r="E89" s="61"/>
    </row>
    <row r="90" ht="15" customHeight="1" spans="1:5">
      <c r="A90" s="61" t="s">
        <v>749</v>
      </c>
      <c r="B90" s="24" t="s">
        <v>7566</v>
      </c>
      <c r="C90" s="55" t="s">
        <v>887</v>
      </c>
      <c r="D90" s="56" t="s">
        <v>888</v>
      </c>
      <c r="E90" s="61"/>
    </row>
    <row r="91" ht="15" customHeight="1" spans="1:5">
      <c r="A91" s="61" t="s">
        <v>752</v>
      </c>
      <c r="B91" s="24" t="s">
        <v>7566</v>
      </c>
      <c r="C91" s="55" t="s">
        <v>889</v>
      </c>
      <c r="D91" s="56" t="s">
        <v>890</v>
      </c>
      <c r="E91" s="61"/>
    </row>
    <row r="92" ht="15" customHeight="1" spans="1:5">
      <c r="A92" s="61" t="s">
        <v>723</v>
      </c>
      <c r="B92" s="24" t="s">
        <v>7566</v>
      </c>
      <c r="C92" s="55" t="s">
        <v>891</v>
      </c>
      <c r="D92" s="61" t="s">
        <v>892</v>
      </c>
      <c r="E92" s="61"/>
    </row>
    <row r="93" ht="15" customHeight="1" spans="1:5">
      <c r="A93" s="61" t="s">
        <v>746</v>
      </c>
      <c r="B93" s="24" t="s">
        <v>7566</v>
      </c>
      <c r="C93" s="55" t="s">
        <v>893</v>
      </c>
      <c r="D93" s="56" t="s">
        <v>894</v>
      </c>
      <c r="E93" s="61"/>
    </row>
    <row r="94" ht="15" customHeight="1" spans="1:5">
      <c r="A94" s="61" t="s">
        <v>749</v>
      </c>
      <c r="B94" s="24" t="s">
        <v>7566</v>
      </c>
      <c r="C94" s="55" t="s">
        <v>895</v>
      </c>
      <c r="D94" s="56" t="s">
        <v>896</v>
      </c>
      <c r="E94" s="61"/>
    </row>
    <row r="95" ht="15" customHeight="1" spans="1:5">
      <c r="A95" s="61" t="s">
        <v>752</v>
      </c>
      <c r="B95" s="24" t="s">
        <v>7566</v>
      </c>
      <c r="C95" s="55" t="s">
        <v>897</v>
      </c>
      <c r="D95" s="56" t="s">
        <v>898</v>
      </c>
      <c r="E95" s="61"/>
    </row>
    <row r="96" ht="15" customHeight="1" spans="1:5">
      <c r="A96" s="61" t="s">
        <v>746</v>
      </c>
      <c r="B96" s="24" t="s">
        <v>7566</v>
      </c>
      <c r="C96" s="55" t="s">
        <v>899</v>
      </c>
      <c r="D96" s="56" t="s">
        <v>900</v>
      </c>
      <c r="E96" s="61"/>
    </row>
    <row r="97" ht="15" customHeight="1" spans="1:5">
      <c r="A97" s="61" t="s">
        <v>749</v>
      </c>
      <c r="B97" s="24" t="s">
        <v>7566</v>
      </c>
      <c r="C97" s="55" t="s">
        <v>901</v>
      </c>
      <c r="D97" s="56" t="s">
        <v>902</v>
      </c>
      <c r="E97" s="61"/>
    </row>
    <row r="98" ht="15" customHeight="1" spans="1:5">
      <c r="A98" s="61" t="s">
        <v>752</v>
      </c>
      <c r="B98" s="24" t="s">
        <v>7566</v>
      </c>
      <c r="C98" s="55" t="s">
        <v>903</v>
      </c>
      <c r="D98" s="56" t="s">
        <v>904</v>
      </c>
      <c r="E98" s="61"/>
    </row>
    <row r="99" ht="15" customHeight="1" spans="1:5">
      <c r="A99" s="61" t="s">
        <v>746</v>
      </c>
      <c r="B99" s="24" t="s">
        <v>7566</v>
      </c>
      <c r="C99" s="55" t="s">
        <v>905</v>
      </c>
      <c r="D99" s="56" t="s">
        <v>906</v>
      </c>
      <c r="E99" s="61"/>
    </row>
    <row r="100" ht="15" customHeight="1" spans="1:5">
      <c r="A100" s="61" t="s">
        <v>749</v>
      </c>
      <c r="B100" s="24" t="s">
        <v>7566</v>
      </c>
      <c r="C100" s="55" t="s">
        <v>907</v>
      </c>
      <c r="D100" s="56" t="s">
        <v>908</v>
      </c>
      <c r="E100" s="61"/>
    </row>
    <row r="101" ht="15" customHeight="1" spans="1:5">
      <c r="A101" s="61" t="s">
        <v>752</v>
      </c>
      <c r="B101" s="24" t="s">
        <v>7566</v>
      </c>
      <c r="C101" s="55" t="s">
        <v>909</v>
      </c>
      <c r="D101" s="56" t="s">
        <v>910</v>
      </c>
      <c r="E101" s="61"/>
    </row>
    <row r="102" ht="15" customHeight="1" spans="1:5">
      <c r="A102" s="61" t="s">
        <v>746</v>
      </c>
      <c r="B102" s="24" t="s">
        <v>7566</v>
      </c>
      <c r="C102" s="55" t="s">
        <v>911</v>
      </c>
      <c r="D102" s="56" t="s">
        <v>912</v>
      </c>
      <c r="E102" s="61"/>
    </row>
    <row r="103" ht="15" customHeight="1" spans="1:5">
      <c r="A103" s="61" t="s">
        <v>749</v>
      </c>
      <c r="B103" s="24" t="s">
        <v>7566</v>
      </c>
      <c r="C103" s="55" t="s">
        <v>913</v>
      </c>
      <c r="D103" s="56" t="s">
        <v>914</v>
      </c>
      <c r="E103" s="61"/>
    </row>
    <row r="104" ht="15" customHeight="1" spans="1:5">
      <c r="A104" s="61" t="s">
        <v>752</v>
      </c>
      <c r="B104" s="24" t="s">
        <v>7566</v>
      </c>
      <c r="C104" s="55" t="s">
        <v>915</v>
      </c>
      <c r="D104" s="56" t="s">
        <v>916</v>
      </c>
      <c r="E104" s="61"/>
    </row>
    <row r="105" ht="15" customHeight="1" spans="1:5">
      <c r="A105" s="61" t="s">
        <v>919</v>
      </c>
      <c r="B105" s="24" t="s">
        <v>7566</v>
      </c>
      <c r="C105" s="55" t="s">
        <v>917</v>
      </c>
      <c r="D105" s="205" t="s">
        <v>918</v>
      </c>
      <c r="E105" s="61"/>
    </row>
    <row r="106" ht="15" customHeight="1" spans="1:5">
      <c r="A106" s="61" t="s">
        <v>746</v>
      </c>
      <c r="B106" s="24" t="s">
        <v>7566</v>
      </c>
      <c r="C106" s="55" t="s">
        <v>920</v>
      </c>
      <c r="D106" s="56" t="s">
        <v>921</v>
      </c>
      <c r="E106" s="61"/>
    </row>
    <row r="107" ht="15" customHeight="1" spans="1:5">
      <c r="A107" s="61" t="s">
        <v>749</v>
      </c>
      <c r="B107" s="24" t="s">
        <v>7566</v>
      </c>
      <c r="C107" s="55" t="s">
        <v>922</v>
      </c>
      <c r="D107" s="56" t="s">
        <v>923</v>
      </c>
      <c r="E107" s="61"/>
    </row>
    <row r="108" ht="15" customHeight="1" spans="1:5">
      <c r="A108" s="61" t="s">
        <v>752</v>
      </c>
      <c r="B108" s="24" t="s">
        <v>7566</v>
      </c>
      <c r="C108" s="55" t="s">
        <v>924</v>
      </c>
      <c r="D108" s="56" t="s">
        <v>925</v>
      </c>
      <c r="E108" s="61"/>
    </row>
    <row r="109" ht="15" customHeight="1" spans="1:5">
      <c r="A109" s="61" t="s">
        <v>746</v>
      </c>
      <c r="B109" s="24" t="s">
        <v>7566</v>
      </c>
      <c r="C109" s="55" t="s">
        <v>926</v>
      </c>
      <c r="D109" s="56" t="s">
        <v>927</v>
      </c>
      <c r="E109" s="61"/>
    </row>
    <row r="110" ht="15" customHeight="1" spans="1:5">
      <c r="A110" s="61" t="s">
        <v>749</v>
      </c>
      <c r="B110" s="24" t="s">
        <v>7566</v>
      </c>
      <c r="C110" s="55" t="s">
        <v>928</v>
      </c>
      <c r="D110" s="56" t="s">
        <v>929</v>
      </c>
      <c r="E110" s="61"/>
    </row>
    <row r="111" ht="15" customHeight="1" spans="1:5">
      <c r="A111" s="61" t="s">
        <v>752</v>
      </c>
      <c r="B111" s="24" t="s">
        <v>7566</v>
      </c>
      <c r="C111" s="55" t="s">
        <v>930</v>
      </c>
      <c r="D111" s="56" t="s">
        <v>931</v>
      </c>
      <c r="E111" s="61"/>
    </row>
    <row r="112" ht="15" customHeight="1" spans="1:5">
      <c r="A112" s="61" t="s">
        <v>746</v>
      </c>
      <c r="B112" s="24" t="s">
        <v>7566</v>
      </c>
      <c r="C112" s="55" t="s">
        <v>932</v>
      </c>
      <c r="D112" s="56" t="s">
        <v>933</v>
      </c>
      <c r="E112" s="61"/>
    </row>
    <row r="113" ht="15" customHeight="1" spans="1:5">
      <c r="A113" s="61" t="s">
        <v>749</v>
      </c>
      <c r="B113" s="24" t="s">
        <v>7566</v>
      </c>
      <c r="C113" s="55" t="s">
        <v>934</v>
      </c>
      <c r="D113" s="56" t="s">
        <v>935</v>
      </c>
      <c r="E113" s="61"/>
    </row>
    <row r="114" ht="15" customHeight="1" spans="1:5">
      <c r="A114" s="61" t="s">
        <v>752</v>
      </c>
      <c r="B114" s="24" t="s">
        <v>7566</v>
      </c>
      <c r="C114" s="55" t="s">
        <v>936</v>
      </c>
      <c r="D114" s="56" t="s">
        <v>937</v>
      </c>
      <c r="E114" s="61"/>
    </row>
    <row r="115" ht="15" customHeight="1" spans="1:5">
      <c r="A115" s="61" t="s">
        <v>746</v>
      </c>
      <c r="B115" s="24" t="s">
        <v>7566</v>
      </c>
      <c r="C115" s="55" t="s">
        <v>938</v>
      </c>
      <c r="D115" s="56" t="s">
        <v>939</v>
      </c>
      <c r="E115" s="61"/>
    </row>
    <row r="116" ht="15" customHeight="1" spans="1:5">
      <c r="A116" s="61" t="s">
        <v>749</v>
      </c>
      <c r="B116" s="24" t="s">
        <v>7566</v>
      </c>
      <c r="C116" s="55" t="s">
        <v>940</v>
      </c>
      <c r="D116" s="56" t="s">
        <v>941</v>
      </c>
      <c r="E116" s="61"/>
    </row>
    <row r="117" ht="15" customHeight="1" spans="1:5">
      <c r="A117" s="61" t="s">
        <v>752</v>
      </c>
      <c r="B117" s="24" t="s">
        <v>7566</v>
      </c>
      <c r="C117" s="55" t="s">
        <v>942</v>
      </c>
      <c r="D117" s="56" t="s">
        <v>943</v>
      </c>
      <c r="E117" s="61"/>
    </row>
    <row r="118" ht="15" customHeight="1" spans="1:5">
      <c r="A118" s="61" t="s">
        <v>746</v>
      </c>
      <c r="B118" s="54" t="s">
        <v>7547</v>
      </c>
      <c r="C118" s="55" t="s">
        <v>944</v>
      </c>
      <c r="D118" s="61" t="s">
        <v>945</v>
      </c>
      <c r="E118" s="61" t="s">
        <v>7568</v>
      </c>
    </row>
    <row r="119" ht="15" customHeight="1" spans="1:5">
      <c r="A119" s="61" t="s">
        <v>749</v>
      </c>
      <c r="B119" s="54" t="s">
        <v>7547</v>
      </c>
      <c r="C119" s="55" t="s">
        <v>946</v>
      </c>
      <c r="D119" s="61" t="s">
        <v>947</v>
      </c>
      <c r="E119" s="61" t="s">
        <v>7568</v>
      </c>
    </row>
    <row r="120" ht="15" customHeight="1" spans="1:5">
      <c r="A120" s="61" t="s">
        <v>752</v>
      </c>
      <c r="B120" s="54" t="s">
        <v>7547</v>
      </c>
      <c r="C120" s="55" t="s">
        <v>948</v>
      </c>
      <c r="D120" s="61" t="s">
        <v>949</v>
      </c>
      <c r="E120" s="61" t="s">
        <v>7568</v>
      </c>
    </row>
    <row r="121" ht="15" customHeight="1" spans="1:5">
      <c r="A121" s="61" t="s">
        <v>746</v>
      </c>
      <c r="B121" s="54" t="s">
        <v>7547</v>
      </c>
      <c r="C121" s="55" t="s">
        <v>950</v>
      </c>
      <c r="D121" s="61" t="s">
        <v>214</v>
      </c>
      <c r="E121" s="61"/>
    </row>
    <row r="122" ht="15" customHeight="1" spans="1:5">
      <c r="A122" s="61" t="s">
        <v>749</v>
      </c>
      <c r="B122" s="54" t="s">
        <v>7547</v>
      </c>
      <c r="C122" s="55" t="s">
        <v>951</v>
      </c>
      <c r="D122" s="61" t="s">
        <v>952</v>
      </c>
      <c r="E122" s="61"/>
    </row>
    <row r="123" ht="15" customHeight="1" spans="1:5">
      <c r="A123" s="61" t="s">
        <v>752</v>
      </c>
      <c r="B123" s="54" t="s">
        <v>7547</v>
      </c>
      <c r="C123" s="55" t="s">
        <v>953</v>
      </c>
      <c r="D123" s="61" t="s">
        <v>954</v>
      </c>
      <c r="E123" s="61"/>
    </row>
    <row r="124" ht="15" customHeight="1" spans="1:5">
      <c r="A124" s="61" t="s">
        <v>746</v>
      </c>
      <c r="B124" s="54" t="s">
        <v>7547</v>
      </c>
      <c r="C124" s="55" t="s">
        <v>955</v>
      </c>
      <c r="D124" s="205" t="s">
        <v>216</v>
      </c>
      <c r="E124" s="61"/>
    </row>
    <row r="125" ht="15" customHeight="1" spans="1:5">
      <c r="A125" s="61" t="s">
        <v>746</v>
      </c>
      <c r="B125" s="54" t="s">
        <v>7547</v>
      </c>
      <c r="C125" s="55" t="s">
        <v>956</v>
      </c>
      <c r="D125" s="56" t="s">
        <v>218</v>
      </c>
      <c r="E125" s="61"/>
    </row>
    <row r="126" ht="15" customHeight="1" spans="1:5">
      <c r="A126" s="61" t="s">
        <v>749</v>
      </c>
      <c r="B126" s="54" t="s">
        <v>7547</v>
      </c>
      <c r="C126" s="55" t="s">
        <v>957</v>
      </c>
      <c r="D126" s="61" t="s">
        <v>958</v>
      </c>
      <c r="E126" s="61"/>
    </row>
    <row r="127" ht="15" customHeight="1" spans="1:5">
      <c r="A127" s="61" t="s">
        <v>752</v>
      </c>
      <c r="B127" s="54" t="s">
        <v>7547</v>
      </c>
      <c r="C127" s="55" t="s">
        <v>959</v>
      </c>
      <c r="D127" s="56" t="s">
        <v>960</v>
      </c>
      <c r="E127" s="61"/>
    </row>
    <row r="128" ht="15" customHeight="1" spans="1:5">
      <c r="A128" s="61" t="s">
        <v>746</v>
      </c>
      <c r="B128" s="54" t="s">
        <v>7547</v>
      </c>
      <c r="C128" s="55" t="s">
        <v>961</v>
      </c>
      <c r="D128" s="56" t="s">
        <v>220</v>
      </c>
      <c r="E128" s="61"/>
    </row>
    <row r="129" ht="15" customHeight="1" spans="1:5">
      <c r="A129" s="61" t="s">
        <v>749</v>
      </c>
      <c r="B129" s="54" t="s">
        <v>7547</v>
      </c>
      <c r="C129" s="55" t="s">
        <v>962</v>
      </c>
      <c r="D129" s="56" t="s">
        <v>963</v>
      </c>
      <c r="E129" s="61"/>
    </row>
    <row r="130" ht="15" customHeight="1" spans="1:5">
      <c r="A130" s="61" t="s">
        <v>752</v>
      </c>
      <c r="B130" s="54" t="s">
        <v>7547</v>
      </c>
      <c r="C130" s="55" t="s">
        <v>964</v>
      </c>
      <c r="D130" s="56" t="s">
        <v>965</v>
      </c>
      <c r="E130" s="61"/>
    </row>
    <row r="131" ht="15" customHeight="1" spans="1:5">
      <c r="A131" s="61" t="s">
        <v>746</v>
      </c>
      <c r="B131" s="54" t="s">
        <v>7547</v>
      </c>
      <c r="C131" s="55" t="s">
        <v>966</v>
      </c>
      <c r="D131" s="56" t="s">
        <v>967</v>
      </c>
      <c r="E131" s="61"/>
    </row>
    <row r="132" ht="15" customHeight="1" spans="1:5">
      <c r="A132" s="61" t="s">
        <v>749</v>
      </c>
      <c r="B132" s="54" t="s">
        <v>7547</v>
      </c>
      <c r="C132" s="55" t="s">
        <v>968</v>
      </c>
      <c r="D132" s="56" t="s">
        <v>969</v>
      </c>
      <c r="E132" s="61"/>
    </row>
    <row r="133" ht="15" customHeight="1" spans="1:5">
      <c r="A133" s="61" t="s">
        <v>752</v>
      </c>
      <c r="B133" s="54" t="s">
        <v>7547</v>
      </c>
      <c r="C133" s="55" t="s">
        <v>970</v>
      </c>
      <c r="D133" s="56" t="s">
        <v>971</v>
      </c>
      <c r="E133" s="61"/>
    </row>
    <row r="134" ht="15" customHeight="1" spans="1:5">
      <c r="A134" s="61" t="s">
        <v>746</v>
      </c>
      <c r="B134" s="54" t="s">
        <v>7547</v>
      </c>
      <c r="C134" s="55" t="s">
        <v>972</v>
      </c>
      <c r="D134" s="56" t="s">
        <v>590</v>
      </c>
      <c r="E134" s="61"/>
    </row>
    <row r="135" ht="15" customHeight="1" spans="1:5">
      <c r="A135" s="61" t="s">
        <v>749</v>
      </c>
      <c r="B135" s="54" t="s">
        <v>7547</v>
      </c>
      <c r="C135" s="55" t="s">
        <v>973</v>
      </c>
      <c r="D135" s="61" t="s">
        <v>974</v>
      </c>
      <c r="E135" s="61"/>
    </row>
    <row r="136" ht="15" customHeight="1" spans="1:5">
      <c r="A136" s="61" t="s">
        <v>752</v>
      </c>
      <c r="B136" s="54" t="s">
        <v>7547</v>
      </c>
      <c r="C136" s="55" t="s">
        <v>975</v>
      </c>
      <c r="D136" s="56" t="s">
        <v>976</v>
      </c>
      <c r="E136" s="61"/>
    </row>
    <row r="137" ht="15" customHeight="1" spans="1:5">
      <c r="A137" s="61" t="s">
        <v>746</v>
      </c>
      <c r="B137" s="54" t="s">
        <v>7547</v>
      </c>
      <c r="C137" s="55" t="s">
        <v>977</v>
      </c>
      <c r="D137" s="56" t="s">
        <v>226</v>
      </c>
      <c r="E137" s="61"/>
    </row>
    <row r="138" spans="1:5">
      <c r="A138" s="61" t="s">
        <v>749</v>
      </c>
      <c r="B138" s="54" t="s">
        <v>7547</v>
      </c>
      <c r="C138" s="55" t="s">
        <v>978</v>
      </c>
      <c r="D138" s="56" t="s">
        <v>979</v>
      </c>
      <c r="E138" s="61"/>
    </row>
    <row r="139" spans="1:5">
      <c r="A139" s="61" t="s">
        <v>752</v>
      </c>
      <c r="B139" s="54" t="s">
        <v>7547</v>
      </c>
      <c r="C139" s="55" t="s">
        <v>980</v>
      </c>
      <c r="D139" s="56" t="s">
        <v>981</v>
      </c>
      <c r="E139" s="61"/>
    </row>
    <row r="140" spans="1:5">
      <c r="A140" s="61" t="s">
        <v>746</v>
      </c>
      <c r="B140" s="54" t="s">
        <v>7547</v>
      </c>
      <c r="C140" s="55" t="s">
        <v>982</v>
      </c>
      <c r="D140" s="199" t="s">
        <v>228</v>
      </c>
      <c r="E140" s="61"/>
    </row>
    <row r="141" spans="1:5">
      <c r="A141" s="61" t="s">
        <v>749</v>
      </c>
      <c r="B141" s="54" t="s">
        <v>7547</v>
      </c>
      <c r="C141" s="55" t="s">
        <v>983</v>
      </c>
      <c r="D141" s="199" t="s">
        <v>228</v>
      </c>
      <c r="E141" s="61"/>
    </row>
    <row r="142" spans="1:5">
      <c r="A142" s="61" t="s">
        <v>752</v>
      </c>
      <c r="B142" s="54" t="s">
        <v>7547</v>
      </c>
      <c r="C142" s="55" t="s">
        <v>984</v>
      </c>
      <c r="D142" s="199" t="s">
        <v>228</v>
      </c>
      <c r="E142" s="61"/>
    </row>
    <row r="143" spans="1:5">
      <c r="A143" s="61" t="s">
        <v>746</v>
      </c>
      <c r="B143" s="54" t="s">
        <v>7547</v>
      </c>
      <c r="C143" s="55" t="s">
        <v>985</v>
      </c>
      <c r="D143" s="205" t="s">
        <v>230</v>
      </c>
      <c r="E143" s="61"/>
    </row>
    <row r="144" spans="1:5">
      <c r="A144" s="61" t="s">
        <v>749</v>
      </c>
      <c r="B144" s="54" t="s">
        <v>7547</v>
      </c>
      <c r="C144" s="55" t="s">
        <v>986</v>
      </c>
      <c r="D144" s="205" t="s">
        <v>987</v>
      </c>
      <c r="E144" s="61"/>
    </row>
    <row r="145" spans="1:5">
      <c r="A145" s="61" t="s">
        <v>752</v>
      </c>
      <c r="B145" s="54" t="s">
        <v>7547</v>
      </c>
      <c r="C145" s="55" t="s">
        <v>988</v>
      </c>
      <c r="D145" s="205" t="s">
        <v>989</v>
      </c>
      <c r="E145" s="61"/>
    </row>
    <row r="146" spans="1:5">
      <c r="A146" s="61" t="s">
        <v>746</v>
      </c>
      <c r="B146" s="54" t="s">
        <v>7547</v>
      </c>
      <c r="C146" s="55" t="s">
        <v>990</v>
      </c>
      <c r="D146" s="61" t="s">
        <v>991</v>
      </c>
      <c r="E146" s="61" t="s">
        <v>7569</v>
      </c>
    </row>
    <row r="147" spans="1:5">
      <c r="A147" s="61" t="s">
        <v>749</v>
      </c>
      <c r="B147" s="54" t="s">
        <v>7547</v>
      </c>
      <c r="C147" s="55" t="s">
        <v>992</v>
      </c>
      <c r="D147" s="61" t="s">
        <v>993</v>
      </c>
      <c r="E147" s="61" t="s">
        <v>7569</v>
      </c>
    </row>
    <row r="148" spans="1:5">
      <c r="A148" s="61" t="s">
        <v>752</v>
      </c>
      <c r="B148" s="54" t="s">
        <v>7547</v>
      </c>
      <c r="C148" s="55" t="s">
        <v>994</v>
      </c>
      <c r="D148" s="61" t="s">
        <v>995</v>
      </c>
      <c r="E148" s="61" t="s">
        <v>7569</v>
      </c>
    </row>
    <row r="149" spans="1:5">
      <c r="A149" s="61" t="s">
        <v>746</v>
      </c>
      <c r="B149" s="54" t="s">
        <v>7547</v>
      </c>
      <c r="C149" s="55" t="s">
        <v>996</v>
      </c>
      <c r="D149" s="56" t="s">
        <v>232</v>
      </c>
      <c r="E149" s="61"/>
    </row>
    <row r="150" spans="1:5">
      <c r="A150" s="61" t="s">
        <v>749</v>
      </c>
      <c r="B150" s="54" t="s">
        <v>7547</v>
      </c>
      <c r="C150" s="55" t="s">
        <v>997</v>
      </c>
      <c r="D150" s="61" t="s">
        <v>998</v>
      </c>
      <c r="E150" s="61"/>
    </row>
    <row r="151" spans="1:5">
      <c r="A151" s="61" t="s">
        <v>752</v>
      </c>
      <c r="B151" s="54" t="s">
        <v>7547</v>
      </c>
      <c r="C151" s="55" t="s">
        <v>999</v>
      </c>
      <c r="D151" s="56" t="s">
        <v>1000</v>
      </c>
      <c r="E151" s="61"/>
    </row>
    <row r="152" spans="1:5">
      <c r="A152" s="61" t="s">
        <v>749</v>
      </c>
      <c r="B152" s="54" t="s">
        <v>7547</v>
      </c>
      <c r="C152" s="55" t="s">
        <v>1001</v>
      </c>
      <c r="D152" s="205" t="s">
        <v>1002</v>
      </c>
      <c r="E152" s="61"/>
    </row>
    <row r="153" spans="1:5">
      <c r="A153" s="61" t="s">
        <v>746</v>
      </c>
      <c r="B153" s="54" t="s">
        <v>7547</v>
      </c>
      <c r="C153" s="55" t="s">
        <v>1003</v>
      </c>
      <c r="D153" s="61" t="s">
        <v>236</v>
      </c>
      <c r="E153" s="61"/>
    </row>
    <row r="154" spans="1:5">
      <c r="A154" s="61" t="s">
        <v>749</v>
      </c>
      <c r="B154" s="54" t="s">
        <v>7547</v>
      </c>
      <c r="C154" s="55" t="s">
        <v>1004</v>
      </c>
      <c r="D154" s="61" t="s">
        <v>1005</v>
      </c>
      <c r="E154" s="61"/>
    </row>
    <row r="155" spans="1:5">
      <c r="A155" s="61" t="s">
        <v>752</v>
      </c>
      <c r="B155" s="54" t="s">
        <v>7547</v>
      </c>
      <c r="C155" s="55" t="s">
        <v>1006</v>
      </c>
      <c r="D155" s="61" t="s">
        <v>1007</v>
      </c>
      <c r="E155" s="61"/>
    </row>
    <row r="156" spans="1:5">
      <c r="A156" s="61" t="s">
        <v>746</v>
      </c>
      <c r="B156" s="54" t="s">
        <v>7547</v>
      </c>
      <c r="C156" s="55" t="s">
        <v>1008</v>
      </c>
      <c r="D156" s="61" t="s">
        <v>238</v>
      </c>
      <c r="E156" s="61"/>
    </row>
    <row r="157" spans="1:5">
      <c r="A157" s="61" t="s">
        <v>749</v>
      </c>
      <c r="B157" s="54" t="s">
        <v>7547</v>
      </c>
      <c r="C157" s="55" t="s">
        <v>1009</v>
      </c>
      <c r="D157" s="61" t="s">
        <v>1010</v>
      </c>
      <c r="E157" s="61"/>
    </row>
    <row r="158" spans="1:5">
      <c r="A158" s="61" t="s">
        <v>752</v>
      </c>
      <c r="B158" s="54" t="s">
        <v>7547</v>
      </c>
      <c r="C158" s="55" t="s">
        <v>1011</v>
      </c>
      <c r="D158" s="61" t="s">
        <v>1012</v>
      </c>
      <c r="E158" s="61"/>
    </row>
    <row r="159" spans="1:5">
      <c r="A159" s="61" t="s">
        <v>746</v>
      </c>
      <c r="B159" s="54" t="s">
        <v>7547</v>
      </c>
      <c r="C159" s="55" t="s">
        <v>1013</v>
      </c>
      <c r="D159" s="205" t="s">
        <v>240</v>
      </c>
      <c r="E159" s="61"/>
    </row>
    <row r="160" spans="1:5">
      <c r="A160" s="61" t="s">
        <v>746</v>
      </c>
      <c r="B160" s="54" t="s">
        <v>7547</v>
      </c>
      <c r="C160" s="55" t="s">
        <v>1014</v>
      </c>
      <c r="D160" s="61" t="s">
        <v>1015</v>
      </c>
      <c r="E160" s="61" t="s">
        <v>7570</v>
      </c>
    </row>
    <row r="161" spans="1:5">
      <c r="A161" s="61" t="s">
        <v>749</v>
      </c>
      <c r="B161" s="54" t="s">
        <v>7547</v>
      </c>
      <c r="C161" s="55" t="s">
        <v>1016</v>
      </c>
      <c r="D161" s="61" t="s">
        <v>1017</v>
      </c>
      <c r="E161" s="61" t="s">
        <v>7570</v>
      </c>
    </row>
    <row r="162" spans="1:5">
      <c r="A162" s="61" t="s">
        <v>752</v>
      </c>
      <c r="B162" s="54" t="s">
        <v>7547</v>
      </c>
      <c r="C162" s="55" t="s">
        <v>1018</v>
      </c>
      <c r="D162" s="61" t="s">
        <v>1019</v>
      </c>
      <c r="E162" s="61" t="s">
        <v>7570</v>
      </c>
    </row>
    <row r="163" spans="1:5">
      <c r="A163" s="61" t="s">
        <v>746</v>
      </c>
      <c r="B163" s="54" t="s">
        <v>7547</v>
      </c>
      <c r="C163" s="55" t="s">
        <v>1020</v>
      </c>
      <c r="D163" s="56" t="s">
        <v>242</v>
      </c>
      <c r="E163" s="61"/>
    </row>
    <row r="164" spans="1:5">
      <c r="A164" s="61" t="s">
        <v>749</v>
      </c>
      <c r="B164" s="54" t="s">
        <v>7547</v>
      </c>
      <c r="C164" s="55" t="s">
        <v>1021</v>
      </c>
      <c r="D164" s="61" t="s">
        <v>1022</v>
      </c>
      <c r="E164" s="61"/>
    </row>
    <row r="165" spans="1:5">
      <c r="A165" s="61" t="s">
        <v>752</v>
      </c>
      <c r="B165" s="54" t="s">
        <v>7547</v>
      </c>
      <c r="C165" s="55" t="s">
        <v>1023</v>
      </c>
      <c r="D165" s="56" t="s">
        <v>1024</v>
      </c>
      <c r="E165" s="61"/>
    </row>
    <row r="166" spans="1:5">
      <c r="A166" s="61" t="s">
        <v>746</v>
      </c>
      <c r="B166" s="54" t="s">
        <v>7547</v>
      </c>
      <c r="C166" s="55" t="s">
        <v>1025</v>
      </c>
      <c r="D166" s="205" t="s">
        <v>244</v>
      </c>
      <c r="E166" s="61"/>
    </row>
    <row r="167" spans="1:5">
      <c r="A167" s="61" t="s">
        <v>746</v>
      </c>
      <c r="B167" s="54" t="s">
        <v>7547</v>
      </c>
      <c r="C167" s="55" t="s">
        <v>1026</v>
      </c>
      <c r="D167" s="56" t="s">
        <v>246</v>
      </c>
      <c r="E167" s="61"/>
    </row>
    <row r="168" spans="1:5">
      <c r="A168" s="61" t="s">
        <v>749</v>
      </c>
      <c r="B168" s="54" t="s">
        <v>7547</v>
      </c>
      <c r="C168" s="55" t="s">
        <v>1027</v>
      </c>
      <c r="D168" s="61" t="s">
        <v>1028</v>
      </c>
      <c r="E168" s="61"/>
    </row>
    <row r="169" spans="1:5">
      <c r="A169" s="61" t="s">
        <v>752</v>
      </c>
      <c r="B169" s="54" t="s">
        <v>7547</v>
      </c>
      <c r="C169" s="55" t="s">
        <v>1029</v>
      </c>
      <c r="D169" s="56" t="s">
        <v>1030</v>
      </c>
      <c r="E169" s="61"/>
    </row>
    <row r="170" spans="1:5">
      <c r="A170" s="61" t="s">
        <v>746</v>
      </c>
      <c r="B170" s="54" t="s">
        <v>7547</v>
      </c>
      <c r="C170" s="55" t="s">
        <v>1031</v>
      </c>
      <c r="D170" s="56" t="s">
        <v>256</v>
      </c>
      <c r="E170" s="61"/>
    </row>
    <row r="171" spans="1:5">
      <c r="A171" s="61" t="s">
        <v>749</v>
      </c>
      <c r="B171" s="54" t="s">
        <v>7547</v>
      </c>
      <c r="C171" s="55" t="s">
        <v>1032</v>
      </c>
      <c r="D171" s="61" t="s">
        <v>1033</v>
      </c>
      <c r="E171" s="61"/>
    </row>
    <row r="172" spans="1:5">
      <c r="A172" s="61" t="s">
        <v>752</v>
      </c>
      <c r="B172" s="54" t="s">
        <v>7547</v>
      </c>
      <c r="C172" s="55" t="s">
        <v>1034</v>
      </c>
      <c r="D172" s="56" t="s">
        <v>1035</v>
      </c>
      <c r="E172" s="61"/>
    </row>
    <row r="173" spans="1:5">
      <c r="A173" s="61" t="s">
        <v>723</v>
      </c>
      <c r="B173" s="54" t="s">
        <v>7547</v>
      </c>
      <c r="C173" s="55" t="s">
        <v>1036</v>
      </c>
      <c r="D173" s="61" t="s">
        <v>1037</v>
      </c>
      <c r="E173" s="61"/>
    </row>
    <row r="174" spans="1:5">
      <c r="A174" s="61" t="s">
        <v>746</v>
      </c>
      <c r="B174" s="54" t="s">
        <v>7547</v>
      </c>
      <c r="C174" s="55" t="s">
        <v>1038</v>
      </c>
      <c r="D174" s="205" t="s">
        <v>258</v>
      </c>
      <c r="E174" s="61"/>
    </row>
    <row r="175" spans="1:5">
      <c r="A175" s="61" t="s">
        <v>752</v>
      </c>
      <c r="B175" s="54" t="s">
        <v>7547</v>
      </c>
      <c r="C175" s="55" t="s">
        <v>1039</v>
      </c>
      <c r="D175" s="205" t="s">
        <v>1040</v>
      </c>
      <c r="E175" s="61"/>
    </row>
    <row r="176" spans="1:5">
      <c r="A176" s="61" t="s">
        <v>723</v>
      </c>
      <c r="B176" s="54" t="s">
        <v>7547</v>
      </c>
      <c r="C176" s="55" t="s">
        <v>1041</v>
      </c>
      <c r="D176" s="61" t="s">
        <v>1042</v>
      </c>
      <c r="E176" s="61"/>
    </row>
    <row r="177" spans="1:5">
      <c r="A177" s="61" t="s">
        <v>723</v>
      </c>
      <c r="B177" s="54" t="s">
        <v>7547</v>
      </c>
      <c r="C177" s="55" t="s">
        <v>1043</v>
      </c>
      <c r="D177" s="61" t="s">
        <v>1044</v>
      </c>
      <c r="E177" s="61"/>
    </row>
    <row r="178" spans="1:5">
      <c r="A178" s="61" t="s">
        <v>723</v>
      </c>
      <c r="B178" s="54" t="s">
        <v>7547</v>
      </c>
      <c r="C178" s="55" t="s">
        <v>1045</v>
      </c>
      <c r="D178" s="61" t="s">
        <v>1046</v>
      </c>
      <c r="E178" s="61"/>
    </row>
    <row r="179" spans="1:5">
      <c r="A179" s="61" t="s">
        <v>746</v>
      </c>
      <c r="B179" s="54" t="s">
        <v>7548</v>
      </c>
      <c r="C179" s="55" t="s">
        <v>1047</v>
      </c>
      <c r="D179" s="56" t="s">
        <v>1048</v>
      </c>
      <c r="E179" s="61"/>
    </row>
    <row r="180" spans="1:5">
      <c r="A180" s="61" t="s">
        <v>746</v>
      </c>
      <c r="B180" s="54" t="s">
        <v>7548</v>
      </c>
      <c r="C180" s="55" t="s">
        <v>1049</v>
      </c>
      <c r="D180" s="199" t="s">
        <v>1050</v>
      </c>
      <c r="E180" s="61"/>
    </row>
    <row r="181" spans="1:5">
      <c r="A181" s="61" t="s">
        <v>746</v>
      </c>
      <c r="B181" s="54" t="s">
        <v>7548</v>
      </c>
      <c r="C181" s="55" t="s">
        <v>1051</v>
      </c>
      <c r="D181" s="199" t="s">
        <v>1052</v>
      </c>
      <c r="E181" s="61"/>
    </row>
    <row r="182" spans="1:5">
      <c r="A182" s="61" t="s">
        <v>746</v>
      </c>
      <c r="B182" s="54" t="s">
        <v>7548</v>
      </c>
      <c r="C182" s="55" t="s">
        <v>1053</v>
      </c>
      <c r="D182" s="199" t="s">
        <v>1054</v>
      </c>
      <c r="E182" s="61"/>
    </row>
    <row r="183" spans="1:5">
      <c r="A183" s="61" t="s">
        <v>746</v>
      </c>
      <c r="B183" s="54" t="s">
        <v>7548</v>
      </c>
      <c r="C183" s="55" t="s">
        <v>1055</v>
      </c>
      <c r="D183" s="199" t="s">
        <v>1056</v>
      </c>
      <c r="E183" s="61"/>
    </row>
    <row r="184" spans="1:5">
      <c r="A184" s="61" t="s">
        <v>746</v>
      </c>
      <c r="B184" s="54" t="s">
        <v>7548</v>
      </c>
      <c r="C184" s="55" t="s">
        <v>1057</v>
      </c>
      <c r="D184" s="61" t="s">
        <v>1058</v>
      </c>
      <c r="E184" s="61"/>
    </row>
    <row r="185" spans="1:5">
      <c r="A185" s="61" t="s">
        <v>746</v>
      </c>
      <c r="B185" s="54" t="s">
        <v>7548</v>
      </c>
      <c r="C185" s="55" t="s">
        <v>1059</v>
      </c>
      <c r="D185" s="61" t="s">
        <v>1060</v>
      </c>
      <c r="E185" s="61"/>
    </row>
    <row r="186" spans="1:5">
      <c r="A186" s="61" t="s">
        <v>746</v>
      </c>
      <c r="B186" s="54" t="s">
        <v>7548</v>
      </c>
      <c r="C186" s="55" t="s">
        <v>1061</v>
      </c>
      <c r="D186" s="61" t="s">
        <v>1062</v>
      </c>
      <c r="E186" s="61"/>
    </row>
    <row r="187" spans="1:5">
      <c r="A187" s="61" t="s">
        <v>746</v>
      </c>
      <c r="B187" s="54" t="s">
        <v>7548</v>
      </c>
      <c r="C187" s="55" t="s">
        <v>1063</v>
      </c>
      <c r="D187" s="61" t="s">
        <v>1064</v>
      </c>
      <c r="E187" s="61"/>
    </row>
    <row r="188" spans="1:5">
      <c r="A188" s="61" t="s">
        <v>746</v>
      </c>
      <c r="B188" s="54" t="s">
        <v>7548</v>
      </c>
      <c r="C188" s="55" t="s">
        <v>1065</v>
      </c>
      <c r="D188" s="61" t="s">
        <v>1066</v>
      </c>
      <c r="E188" s="61"/>
    </row>
    <row r="189" spans="1:5">
      <c r="A189" s="61" t="s">
        <v>746</v>
      </c>
      <c r="B189" s="54" t="s">
        <v>7548</v>
      </c>
      <c r="C189" s="55" t="s">
        <v>1067</v>
      </c>
      <c r="D189" s="61" t="s">
        <v>1068</v>
      </c>
      <c r="E189" s="61"/>
    </row>
    <row r="190" spans="1:5">
      <c r="A190" s="61" t="s">
        <v>746</v>
      </c>
      <c r="B190" s="54" t="s">
        <v>7548</v>
      </c>
      <c r="C190" s="55" t="s">
        <v>1069</v>
      </c>
      <c r="D190" s="56" t="s">
        <v>1070</v>
      </c>
      <c r="E190" s="61"/>
    </row>
    <row r="191" spans="1:5">
      <c r="A191" s="61" t="s">
        <v>723</v>
      </c>
      <c r="B191" s="54" t="s">
        <v>7548</v>
      </c>
      <c r="C191" s="55" t="s">
        <v>1071</v>
      </c>
      <c r="D191" s="61" t="s">
        <v>1072</v>
      </c>
      <c r="E191" s="61"/>
    </row>
    <row r="192" spans="1:5">
      <c r="A192" s="61" t="s">
        <v>746</v>
      </c>
      <c r="B192" s="54" t="s">
        <v>7548</v>
      </c>
      <c r="C192" s="55" t="s">
        <v>1073</v>
      </c>
      <c r="D192" s="61" t="s">
        <v>1074</v>
      </c>
      <c r="E192" s="61"/>
    </row>
    <row r="193" spans="1:5">
      <c r="A193" s="61" t="s">
        <v>749</v>
      </c>
      <c r="B193" s="54" t="s">
        <v>7548</v>
      </c>
      <c r="C193" s="55" t="s">
        <v>1075</v>
      </c>
      <c r="D193" s="61" t="s">
        <v>1074</v>
      </c>
      <c r="E193" s="61"/>
    </row>
    <row r="194" spans="1:5">
      <c r="A194" s="61" t="s">
        <v>752</v>
      </c>
      <c r="B194" s="54" t="s">
        <v>7548</v>
      </c>
      <c r="C194" s="55" t="s">
        <v>1076</v>
      </c>
      <c r="D194" s="61" t="s">
        <v>296</v>
      </c>
      <c r="E194" s="61"/>
    </row>
    <row r="195" spans="1:5">
      <c r="A195" s="61" t="s">
        <v>746</v>
      </c>
      <c r="B195" s="54" t="s">
        <v>7548</v>
      </c>
      <c r="C195" s="55" t="s">
        <v>1077</v>
      </c>
      <c r="D195" s="205" t="s">
        <v>1078</v>
      </c>
      <c r="E195" s="61"/>
    </row>
    <row r="196" spans="1:5">
      <c r="A196" s="61" t="s">
        <v>749</v>
      </c>
      <c r="B196" s="54" t="s">
        <v>7548</v>
      </c>
      <c r="C196" s="55" t="s">
        <v>1079</v>
      </c>
      <c r="D196" s="205" t="s">
        <v>1080</v>
      </c>
      <c r="E196" s="61"/>
    </row>
    <row r="197" spans="1:5">
      <c r="A197" s="61" t="s">
        <v>746</v>
      </c>
      <c r="B197" s="54" t="s">
        <v>7548</v>
      </c>
      <c r="C197" s="55" t="s">
        <v>1081</v>
      </c>
      <c r="D197" s="56" t="s">
        <v>304</v>
      </c>
      <c r="E197" s="61"/>
    </row>
    <row r="198" spans="1:5">
      <c r="A198" s="61" t="s">
        <v>749</v>
      </c>
      <c r="B198" s="54" t="s">
        <v>7548</v>
      </c>
      <c r="C198" s="55" t="s">
        <v>1082</v>
      </c>
      <c r="D198" s="56" t="s">
        <v>304</v>
      </c>
      <c r="E198" s="61"/>
    </row>
    <row r="199" spans="1:5">
      <c r="A199" s="61" t="s">
        <v>752</v>
      </c>
      <c r="B199" s="54" t="s">
        <v>7548</v>
      </c>
      <c r="C199" s="55" t="s">
        <v>1083</v>
      </c>
      <c r="D199" s="56" t="s">
        <v>304</v>
      </c>
      <c r="E199" s="61"/>
    </row>
    <row r="200" spans="1:5">
      <c r="A200" s="61" t="s">
        <v>749</v>
      </c>
      <c r="B200" s="54" t="s">
        <v>7548</v>
      </c>
      <c r="C200" s="55" t="s">
        <v>1084</v>
      </c>
      <c r="D200" s="205" t="s">
        <v>306</v>
      </c>
      <c r="E200" s="61"/>
    </row>
    <row r="201" spans="1:5">
      <c r="A201" s="61" t="s">
        <v>746</v>
      </c>
      <c r="B201" s="54" t="s">
        <v>7548</v>
      </c>
      <c r="C201" s="55" t="s">
        <v>1085</v>
      </c>
      <c r="D201" s="61" t="s">
        <v>310</v>
      </c>
      <c r="E201" s="61"/>
    </row>
    <row r="202" spans="1:5">
      <c r="A202" s="61" t="s">
        <v>749</v>
      </c>
      <c r="B202" s="54" t="s">
        <v>7548</v>
      </c>
      <c r="C202" s="55" t="s">
        <v>1086</v>
      </c>
      <c r="D202" s="61" t="s">
        <v>310</v>
      </c>
      <c r="E202" s="61"/>
    </row>
    <row r="203" spans="1:5">
      <c r="A203" s="61" t="s">
        <v>752</v>
      </c>
      <c r="B203" s="54" t="s">
        <v>7548</v>
      </c>
      <c r="C203" s="55" t="s">
        <v>1087</v>
      </c>
      <c r="D203" s="61" t="s">
        <v>310</v>
      </c>
      <c r="E203" s="61"/>
    </row>
    <row r="204" spans="1:5">
      <c r="A204" s="61" t="s">
        <v>746</v>
      </c>
      <c r="B204" s="54" t="s">
        <v>7548</v>
      </c>
      <c r="C204" s="55" t="s">
        <v>1088</v>
      </c>
      <c r="D204" s="61" t="s">
        <v>312</v>
      </c>
      <c r="E204" s="61"/>
    </row>
    <row r="205" spans="1:5">
      <c r="A205" s="61" t="s">
        <v>749</v>
      </c>
      <c r="B205" s="54" t="s">
        <v>7548</v>
      </c>
      <c r="C205" s="55" t="s">
        <v>1089</v>
      </c>
      <c r="D205" s="61" t="s">
        <v>312</v>
      </c>
      <c r="E205" s="61"/>
    </row>
    <row r="206" spans="1:5">
      <c r="A206" s="61" t="s">
        <v>752</v>
      </c>
      <c r="B206" s="54" t="s">
        <v>7548</v>
      </c>
      <c r="C206" s="55" t="s">
        <v>1090</v>
      </c>
      <c r="D206" s="61" t="s">
        <v>312</v>
      </c>
      <c r="E206" s="61"/>
    </row>
    <row r="207" spans="1:5">
      <c r="A207" s="61" t="s">
        <v>714</v>
      </c>
      <c r="B207" s="54" t="s">
        <v>7548</v>
      </c>
      <c r="C207" s="55" t="s">
        <v>1091</v>
      </c>
      <c r="D207" s="56" t="s">
        <v>314</v>
      </c>
      <c r="E207" s="61"/>
    </row>
    <row r="208" spans="1:5">
      <c r="A208" s="61" t="s">
        <v>714</v>
      </c>
      <c r="B208" s="54" t="s">
        <v>7548</v>
      </c>
      <c r="C208" s="55" t="s">
        <v>1092</v>
      </c>
      <c r="D208" s="56" t="s">
        <v>316</v>
      </c>
      <c r="E208" s="61"/>
    </row>
    <row r="209" spans="1:5">
      <c r="A209" s="61" t="s">
        <v>714</v>
      </c>
      <c r="B209" s="54" t="s">
        <v>7548</v>
      </c>
      <c r="C209" s="55" t="s">
        <v>1093</v>
      </c>
      <c r="D209" s="56" t="s">
        <v>318</v>
      </c>
      <c r="E209" s="61"/>
    </row>
    <row r="210" spans="1:5">
      <c r="A210" s="61" t="s">
        <v>714</v>
      </c>
      <c r="B210" s="54" t="s">
        <v>7548</v>
      </c>
      <c r="C210" s="55" t="s">
        <v>1094</v>
      </c>
      <c r="D210" s="56" t="s">
        <v>320</v>
      </c>
      <c r="E210" s="61"/>
    </row>
    <row r="211" spans="1:5">
      <c r="A211" s="61" t="s">
        <v>714</v>
      </c>
      <c r="B211" s="54" t="s">
        <v>7548</v>
      </c>
      <c r="C211" s="55" t="s">
        <v>1095</v>
      </c>
      <c r="D211" s="56" t="s">
        <v>322</v>
      </c>
      <c r="E211" s="61"/>
    </row>
    <row r="212" spans="1:5">
      <c r="A212" s="61" t="s">
        <v>714</v>
      </c>
      <c r="B212" s="54" t="s">
        <v>7548</v>
      </c>
      <c r="C212" s="55" t="s">
        <v>1096</v>
      </c>
      <c r="D212" s="56" t="s">
        <v>324</v>
      </c>
      <c r="E212" s="61"/>
    </row>
    <row r="213" spans="1:5">
      <c r="A213" s="61" t="s">
        <v>714</v>
      </c>
      <c r="B213" s="54" t="s">
        <v>7548</v>
      </c>
      <c r="C213" s="55" t="s">
        <v>1097</v>
      </c>
      <c r="D213" s="56" t="s">
        <v>326</v>
      </c>
      <c r="E213" s="61"/>
    </row>
    <row r="214" spans="1:5">
      <c r="A214" s="61" t="s">
        <v>723</v>
      </c>
      <c r="B214" s="54" t="s">
        <v>7548</v>
      </c>
      <c r="C214" s="55" t="s">
        <v>1098</v>
      </c>
      <c r="D214" s="61" t="s">
        <v>1099</v>
      </c>
      <c r="E214" s="61"/>
    </row>
    <row r="215" spans="1:5">
      <c r="A215" s="61" t="s">
        <v>746</v>
      </c>
      <c r="B215" s="54" t="s">
        <v>7548</v>
      </c>
      <c r="C215" s="55" t="s">
        <v>1100</v>
      </c>
      <c r="D215" s="56" t="s">
        <v>1101</v>
      </c>
      <c r="E215" s="61"/>
    </row>
    <row r="216" spans="1:5">
      <c r="A216" s="61" t="s">
        <v>749</v>
      </c>
      <c r="B216" s="54" t="s">
        <v>7548</v>
      </c>
      <c r="C216" s="55" t="s">
        <v>1102</v>
      </c>
      <c r="D216" s="61" t="s">
        <v>1103</v>
      </c>
      <c r="E216" s="61"/>
    </row>
    <row r="217" spans="1:5">
      <c r="A217" s="61" t="s">
        <v>752</v>
      </c>
      <c r="B217" s="54" t="s">
        <v>7548</v>
      </c>
      <c r="C217" s="55" t="s">
        <v>1104</v>
      </c>
      <c r="D217" s="56" t="s">
        <v>1103</v>
      </c>
      <c r="E217" s="61"/>
    </row>
    <row r="218" spans="1:5">
      <c r="A218" s="61" t="s">
        <v>746</v>
      </c>
      <c r="B218" s="54" t="s">
        <v>7548</v>
      </c>
      <c r="C218" s="55" t="s">
        <v>1105</v>
      </c>
      <c r="D218" s="205" t="s">
        <v>1106</v>
      </c>
      <c r="E218" s="61"/>
    </row>
    <row r="219" spans="1:5">
      <c r="A219" s="61" t="s">
        <v>746</v>
      </c>
      <c r="B219" s="54" t="s">
        <v>7548</v>
      </c>
      <c r="C219" s="55" t="s">
        <v>1107</v>
      </c>
      <c r="D219" s="61" t="s">
        <v>1108</v>
      </c>
      <c r="E219" s="61"/>
    </row>
    <row r="220" spans="1:5">
      <c r="A220" s="61" t="s">
        <v>749</v>
      </c>
      <c r="B220" s="54" t="s">
        <v>7548</v>
      </c>
      <c r="C220" s="55" t="s">
        <v>1109</v>
      </c>
      <c r="D220" s="61" t="s">
        <v>1110</v>
      </c>
      <c r="E220" s="61"/>
    </row>
    <row r="221" spans="1:5">
      <c r="A221" s="61" t="s">
        <v>752</v>
      </c>
      <c r="B221" s="54" t="s">
        <v>7548</v>
      </c>
      <c r="C221" s="55" t="s">
        <v>1111</v>
      </c>
      <c r="D221" s="61" t="s">
        <v>1110</v>
      </c>
      <c r="E221" s="61"/>
    </row>
    <row r="222" spans="1:5">
      <c r="A222" s="61" t="s">
        <v>746</v>
      </c>
      <c r="B222" s="54" t="s">
        <v>7548</v>
      </c>
      <c r="C222" s="55" t="s">
        <v>1112</v>
      </c>
      <c r="D222" s="61" t="s">
        <v>1113</v>
      </c>
      <c r="E222" s="61"/>
    </row>
    <row r="223" spans="1:5">
      <c r="A223" s="61" t="s">
        <v>749</v>
      </c>
      <c r="B223" s="54" t="s">
        <v>7548</v>
      </c>
      <c r="C223" s="55" t="s">
        <v>1114</v>
      </c>
      <c r="D223" s="61" t="s">
        <v>1115</v>
      </c>
      <c r="E223" s="61"/>
    </row>
    <row r="224" spans="1:5">
      <c r="A224" s="61" t="s">
        <v>752</v>
      </c>
      <c r="B224" s="54" t="s">
        <v>7548</v>
      </c>
      <c r="C224" s="55" t="s">
        <v>1116</v>
      </c>
      <c r="D224" s="61" t="s">
        <v>1115</v>
      </c>
      <c r="E224" s="61"/>
    </row>
    <row r="225" spans="1:5">
      <c r="A225" s="61" t="s">
        <v>746</v>
      </c>
      <c r="B225" s="54" t="s">
        <v>7548</v>
      </c>
      <c r="C225" s="55" t="s">
        <v>1117</v>
      </c>
      <c r="D225" s="61" t="s">
        <v>1118</v>
      </c>
      <c r="E225" s="61"/>
    </row>
    <row r="226" spans="1:5">
      <c r="A226" s="61" t="s">
        <v>749</v>
      </c>
      <c r="B226" s="54" t="s">
        <v>7548</v>
      </c>
      <c r="C226" s="55" t="s">
        <v>1119</v>
      </c>
      <c r="D226" s="61" t="s">
        <v>1120</v>
      </c>
      <c r="E226" s="61"/>
    </row>
    <row r="227" spans="1:5">
      <c r="A227" s="61" t="s">
        <v>752</v>
      </c>
      <c r="B227" s="54" t="s">
        <v>7548</v>
      </c>
      <c r="C227" s="55" t="s">
        <v>1121</v>
      </c>
      <c r="D227" s="61" t="s">
        <v>1120</v>
      </c>
      <c r="E227" s="61"/>
    </row>
    <row r="228" spans="1:5">
      <c r="A228" s="61" t="s">
        <v>746</v>
      </c>
      <c r="B228" s="54" t="s">
        <v>7548</v>
      </c>
      <c r="C228" s="55" t="s">
        <v>1122</v>
      </c>
      <c r="D228" s="61" t="s">
        <v>1123</v>
      </c>
      <c r="E228" s="61"/>
    </row>
    <row r="229" spans="1:5">
      <c r="A229" s="61" t="s">
        <v>749</v>
      </c>
      <c r="B229" s="54" t="s">
        <v>7548</v>
      </c>
      <c r="C229" s="55" t="s">
        <v>1124</v>
      </c>
      <c r="D229" s="61" t="s">
        <v>1125</v>
      </c>
      <c r="E229" s="61"/>
    </row>
    <row r="230" spans="1:5">
      <c r="A230" s="61" t="s">
        <v>752</v>
      </c>
      <c r="B230" s="54" t="s">
        <v>7548</v>
      </c>
      <c r="C230" s="55" t="s">
        <v>1126</v>
      </c>
      <c r="D230" s="61" t="s">
        <v>1125</v>
      </c>
      <c r="E230" s="61"/>
    </row>
    <row r="231" spans="1:5">
      <c r="A231" s="61" t="s">
        <v>746</v>
      </c>
      <c r="B231" s="54" t="s">
        <v>7548</v>
      </c>
      <c r="C231" s="55" t="s">
        <v>1127</v>
      </c>
      <c r="D231" s="61" t="s">
        <v>1128</v>
      </c>
      <c r="E231" s="61"/>
    </row>
    <row r="232" spans="1:5">
      <c r="A232" s="61" t="s">
        <v>749</v>
      </c>
      <c r="B232" s="54" t="s">
        <v>7548</v>
      </c>
      <c r="C232" s="55" t="s">
        <v>1129</v>
      </c>
      <c r="D232" s="61" t="s">
        <v>1130</v>
      </c>
      <c r="E232" s="61"/>
    </row>
    <row r="233" spans="1:5">
      <c r="A233" s="61" t="s">
        <v>752</v>
      </c>
      <c r="B233" s="54" t="s">
        <v>7548</v>
      </c>
      <c r="C233" s="55" t="s">
        <v>1131</v>
      </c>
      <c r="D233" s="61" t="s">
        <v>1130</v>
      </c>
      <c r="E233" s="61"/>
    </row>
    <row r="234" spans="1:5">
      <c r="A234" s="61" t="s">
        <v>746</v>
      </c>
      <c r="B234" s="54" t="s">
        <v>7548</v>
      </c>
      <c r="C234" s="55" t="s">
        <v>1132</v>
      </c>
      <c r="D234" s="56" t="s">
        <v>1133</v>
      </c>
      <c r="E234" s="61"/>
    </row>
    <row r="235" spans="1:5">
      <c r="A235" s="61" t="s">
        <v>749</v>
      </c>
      <c r="B235" s="54" t="s">
        <v>7548</v>
      </c>
      <c r="C235" s="55" t="s">
        <v>1134</v>
      </c>
      <c r="D235" s="61" t="s">
        <v>1133</v>
      </c>
      <c r="E235" s="61"/>
    </row>
    <row r="236" spans="1:5">
      <c r="A236" s="61" t="s">
        <v>752</v>
      </c>
      <c r="B236" s="54" t="s">
        <v>7548</v>
      </c>
      <c r="C236" s="55" t="s">
        <v>1135</v>
      </c>
      <c r="D236" s="56" t="s">
        <v>1133</v>
      </c>
      <c r="E236" s="61"/>
    </row>
    <row r="237" spans="1:5">
      <c r="A237" s="61" t="s">
        <v>723</v>
      </c>
      <c r="B237" s="54" t="s">
        <v>7548</v>
      </c>
      <c r="C237" s="55" t="s">
        <v>1136</v>
      </c>
      <c r="D237" s="61" t="s">
        <v>1137</v>
      </c>
      <c r="E237" s="61"/>
    </row>
    <row r="238" spans="1:5">
      <c r="A238" s="61" t="s">
        <v>746</v>
      </c>
      <c r="B238" s="54" t="s">
        <v>7548</v>
      </c>
      <c r="C238" s="55" t="s">
        <v>1138</v>
      </c>
      <c r="D238" s="56" t="s">
        <v>342</v>
      </c>
      <c r="E238" s="61"/>
    </row>
    <row r="239" spans="1:5">
      <c r="A239" s="61" t="s">
        <v>749</v>
      </c>
      <c r="B239" s="54" t="s">
        <v>7548</v>
      </c>
      <c r="C239" s="55" t="s">
        <v>1139</v>
      </c>
      <c r="D239" s="61" t="s">
        <v>342</v>
      </c>
      <c r="E239" s="61"/>
    </row>
    <row r="240" spans="1:5">
      <c r="A240" s="61" t="s">
        <v>752</v>
      </c>
      <c r="B240" s="54" t="s">
        <v>7548</v>
      </c>
      <c r="C240" s="55" t="s">
        <v>1140</v>
      </c>
      <c r="D240" s="56" t="s">
        <v>342</v>
      </c>
      <c r="E240" s="61"/>
    </row>
    <row r="241" spans="1:5">
      <c r="A241" s="61" t="s">
        <v>746</v>
      </c>
      <c r="B241" s="54" t="s">
        <v>7548</v>
      </c>
      <c r="C241" s="55" t="s">
        <v>1141</v>
      </c>
      <c r="D241" s="56" t="s">
        <v>1142</v>
      </c>
      <c r="E241" s="61" t="s">
        <v>7544</v>
      </c>
    </row>
    <row r="242" spans="1:5">
      <c r="A242" s="61" t="s">
        <v>749</v>
      </c>
      <c r="B242" s="54" t="s">
        <v>7548</v>
      </c>
      <c r="C242" s="55" t="s">
        <v>1143</v>
      </c>
      <c r="D242" s="61" t="s">
        <v>1142</v>
      </c>
      <c r="E242" s="61" t="s">
        <v>7544</v>
      </c>
    </row>
    <row r="243" spans="1:5">
      <c r="A243" s="61" t="s">
        <v>752</v>
      </c>
      <c r="B243" s="54" t="s">
        <v>7548</v>
      </c>
      <c r="C243" s="55" t="s">
        <v>1144</v>
      </c>
      <c r="D243" s="56" t="s">
        <v>1142</v>
      </c>
      <c r="E243" s="61" t="s">
        <v>7544</v>
      </c>
    </row>
    <row r="244" spans="1:5">
      <c r="A244" s="61" t="s">
        <v>746</v>
      </c>
      <c r="B244" s="54" t="s">
        <v>7548</v>
      </c>
      <c r="C244" s="55" t="s">
        <v>1145</v>
      </c>
      <c r="D244" s="56" t="s">
        <v>1146</v>
      </c>
      <c r="E244" s="61" t="s">
        <v>7545</v>
      </c>
    </row>
    <row r="245" spans="1:5">
      <c r="A245" s="61" t="s">
        <v>749</v>
      </c>
      <c r="B245" s="54" t="s">
        <v>7548</v>
      </c>
      <c r="C245" s="55" t="s">
        <v>1147</v>
      </c>
      <c r="D245" s="61" t="s">
        <v>1146</v>
      </c>
      <c r="E245" s="61" t="s">
        <v>7545</v>
      </c>
    </row>
    <row r="246" spans="1:5">
      <c r="A246" s="61" t="s">
        <v>752</v>
      </c>
      <c r="B246" s="54" t="s">
        <v>7548</v>
      </c>
      <c r="C246" s="55" t="s">
        <v>1148</v>
      </c>
      <c r="D246" s="56" t="s">
        <v>1146</v>
      </c>
      <c r="E246" s="61" t="s">
        <v>7545</v>
      </c>
    </row>
    <row r="247" spans="1:5">
      <c r="A247" s="61" t="s">
        <v>723</v>
      </c>
      <c r="B247" s="54" t="s">
        <v>7548</v>
      </c>
      <c r="C247" s="55" t="s">
        <v>1149</v>
      </c>
      <c r="D247" s="61" t="s">
        <v>1150</v>
      </c>
      <c r="E247" s="61"/>
    </row>
    <row r="248" spans="1:5">
      <c r="A248" s="61" t="s">
        <v>714</v>
      </c>
      <c r="B248" s="54" t="s">
        <v>7548</v>
      </c>
      <c r="C248" s="55" t="s">
        <v>1151</v>
      </c>
      <c r="D248" s="199" t="s">
        <v>346</v>
      </c>
      <c r="E248" s="61"/>
    </row>
    <row r="249" spans="1:5">
      <c r="A249" s="61" t="s">
        <v>746</v>
      </c>
      <c r="B249" s="54" t="s">
        <v>7549</v>
      </c>
      <c r="C249" s="55" t="s">
        <v>1152</v>
      </c>
      <c r="D249" s="61" t="s">
        <v>1153</v>
      </c>
      <c r="E249" s="61" t="s">
        <v>7571</v>
      </c>
    </row>
    <row r="250" spans="1:5">
      <c r="A250" s="61" t="s">
        <v>749</v>
      </c>
      <c r="B250" s="54" t="s">
        <v>7549</v>
      </c>
      <c r="C250" s="55" t="s">
        <v>1154</v>
      </c>
      <c r="D250" s="61" t="s">
        <v>1155</v>
      </c>
      <c r="E250" s="61" t="s">
        <v>7571</v>
      </c>
    </row>
    <row r="251" spans="1:5">
      <c r="A251" s="61" t="s">
        <v>752</v>
      </c>
      <c r="B251" s="54" t="s">
        <v>7549</v>
      </c>
      <c r="C251" s="55" t="s">
        <v>1156</v>
      </c>
      <c r="D251" s="61" t="s">
        <v>1157</v>
      </c>
      <c r="E251" s="61" t="s">
        <v>7571</v>
      </c>
    </row>
    <row r="252" spans="1:5">
      <c r="A252" s="61" t="s">
        <v>746</v>
      </c>
      <c r="B252" s="54" t="s">
        <v>7549</v>
      </c>
      <c r="C252" s="55" t="s">
        <v>1158</v>
      </c>
      <c r="D252" s="61" t="s">
        <v>1159</v>
      </c>
      <c r="E252" s="61" t="s">
        <v>7572</v>
      </c>
    </row>
    <row r="253" spans="1:5">
      <c r="A253" s="61" t="s">
        <v>749</v>
      </c>
      <c r="B253" s="54" t="s">
        <v>7549</v>
      </c>
      <c r="C253" s="55" t="s">
        <v>1160</v>
      </c>
      <c r="D253" s="61" t="s">
        <v>1161</v>
      </c>
      <c r="E253" s="61" t="s">
        <v>7572</v>
      </c>
    </row>
    <row r="254" spans="1:5">
      <c r="A254" s="61" t="s">
        <v>752</v>
      </c>
      <c r="B254" s="54" t="s">
        <v>7549</v>
      </c>
      <c r="C254" s="55" t="s">
        <v>1162</v>
      </c>
      <c r="D254" s="61" t="s">
        <v>1163</v>
      </c>
      <c r="E254" s="61" t="s">
        <v>7572</v>
      </c>
    </row>
    <row r="255" spans="1:5">
      <c r="A255" s="61" t="s">
        <v>746</v>
      </c>
      <c r="B255" s="54" t="s">
        <v>7573</v>
      </c>
      <c r="C255" s="55" t="s">
        <v>1164</v>
      </c>
      <c r="D255" s="199" t="s">
        <v>1165</v>
      </c>
      <c r="E255" s="61"/>
    </row>
    <row r="256" spans="1:5">
      <c r="A256" s="61" t="s">
        <v>749</v>
      </c>
      <c r="B256" s="54" t="s">
        <v>7573</v>
      </c>
      <c r="C256" s="55" t="s">
        <v>1166</v>
      </c>
      <c r="D256" s="199" t="s">
        <v>1167</v>
      </c>
      <c r="E256" s="61"/>
    </row>
    <row r="257" spans="1:5">
      <c r="A257" s="61" t="s">
        <v>752</v>
      </c>
      <c r="B257" s="54" t="s">
        <v>7573</v>
      </c>
      <c r="C257" s="55" t="s">
        <v>1168</v>
      </c>
      <c r="D257" s="199" t="s">
        <v>1169</v>
      </c>
      <c r="E257" s="61"/>
    </row>
    <row r="258" spans="1:5">
      <c r="A258" s="61" t="s">
        <v>746</v>
      </c>
      <c r="B258" s="54" t="s">
        <v>7573</v>
      </c>
      <c r="C258" s="55" t="s">
        <v>1170</v>
      </c>
      <c r="D258" s="199" t="s">
        <v>1171</v>
      </c>
      <c r="E258" s="61"/>
    </row>
    <row r="259" spans="1:5">
      <c r="A259" s="61" t="s">
        <v>749</v>
      </c>
      <c r="B259" s="54" t="s">
        <v>7573</v>
      </c>
      <c r="C259" s="55" t="s">
        <v>1172</v>
      </c>
      <c r="D259" s="199" t="s">
        <v>1173</v>
      </c>
      <c r="E259" s="61"/>
    </row>
    <row r="260" spans="1:5">
      <c r="A260" s="61" t="s">
        <v>752</v>
      </c>
      <c r="B260" s="54" t="s">
        <v>7573</v>
      </c>
      <c r="C260" s="55" t="s">
        <v>1174</v>
      </c>
      <c r="D260" s="199" t="s">
        <v>1175</v>
      </c>
      <c r="E260" s="61"/>
    </row>
    <row r="261" spans="1:5">
      <c r="A261" s="61" t="s">
        <v>723</v>
      </c>
      <c r="B261" s="54" t="s">
        <v>7573</v>
      </c>
      <c r="C261" s="55" t="s">
        <v>1176</v>
      </c>
      <c r="D261" s="61" t="s">
        <v>1177</v>
      </c>
      <c r="E261" s="61"/>
    </row>
    <row r="262" spans="1:5">
      <c r="A262" s="61" t="s">
        <v>746</v>
      </c>
      <c r="B262" s="54" t="s">
        <v>7573</v>
      </c>
      <c r="C262" s="55" t="s">
        <v>1178</v>
      </c>
      <c r="D262" s="199" t="s">
        <v>1179</v>
      </c>
      <c r="E262" s="61"/>
    </row>
    <row r="263" spans="1:5">
      <c r="A263" s="61" t="s">
        <v>749</v>
      </c>
      <c r="B263" s="54" t="s">
        <v>7573</v>
      </c>
      <c r="C263" s="55" t="s">
        <v>1180</v>
      </c>
      <c r="D263" s="199" t="s">
        <v>1181</v>
      </c>
      <c r="E263" s="61"/>
    </row>
    <row r="264" spans="1:5">
      <c r="A264" s="61" t="s">
        <v>752</v>
      </c>
      <c r="B264" s="54" t="s">
        <v>7573</v>
      </c>
      <c r="C264" s="55" t="s">
        <v>1182</v>
      </c>
      <c r="D264" s="199" t="s">
        <v>1183</v>
      </c>
      <c r="E264" s="61"/>
    </row>
    <row r="265" spans="1:5">
      <c r="A265" s="61" t="s">
        <v>746</v>
      </c>
      <c r="B265" s="54" t="s">
        <v>7573</v>
      </c>
      <c r="C265" s="55" t="s">
        <v>1184</v>
      </c>
      <c r="D265" s="56" t="s">
        <v>1185</v>
      </c>
      <c r="E265" s="61"/>
    </row>
    <row r="266" spans="1:5">
      <c r="A266" s="61" t="s">
        <v>749</v>
      </c>
      <c r="B266" s="54" t="s">
        <v>7573</v>
      </c>
      <c r="C266" s="55" t="s">
        <v>1186</v>
      </c>
      <c r="D266" s="56" t="s">
        <v>1185</v>
      </c>
      <c r="E266" s="61"/>
    </row>
    <row r="267" spans="1:5">
      <c r="A267" s="61" t="s">
        <v>752</v>
      </c>
      <c r="B267" s="54" t="s">
        <v>7573</v>
      </c>
      <c r="C267" s="55" t="s">
        <v>1187</v>
      </c>
      <c r="D267" s="56" t="s">
        <v>1185</v>
      </c>
      <c r="E267" s="61"/>
    </row>
    <row r="268" spans="1:5">
      <c r="A268" s="61" t="s">
        <v>746</v>
      </c>
      <c r="B268" s="54" t="s">
        <v>7573</v>
      </c>
      <c r="C268" s="55" t="s">
        <v>1188</v>
      </c>
      <c r="D268" s="199" t="s">
        <v>1189</v>
      </c>
      <c r="E268" s="61"/>
    </row>
    <row r="269" spans="1:5">
      <c r="A269" s="61" t="s">
        <v>749</v>
      </c>
      <c r="B269" s="54" t="s">
        <v>7573</v>
      </c>
      <c r="C269" s="55" t="s">
        <v>1190</v>
      </c>
      <c r="D269" s="199" t="s">
        <v>1191</v>
      </c>
      <c r="E269" s="61"/>
    </row>
    <row r="270" spans="1:5">
      <c r="A270" s="61" t="s">
        <v>752</v>
      </c>
      <c r="B270" s="54" t="s">
        <v>7573</v>
      </c>
      <c r="C270" s="55" t="s">
        <v>1192</v>
      </c>
      <c r="D270" s="199" t="s">
        <v>1193</v>
      </c>
      <c r="E270" s="61"/>
    </row>
    <row r="271" spans="1:5">
      <c r="A271" s="61" t="s">
        <v>746</v>
      </c>
      <c r="B271" s="54" t="s">
        <v>7573</v>
      </c>
      <c r="C271" s="55" t="s">
        <v>1194</v>
      </c>
      <c r="D271" s="199" t="s">
        <v>1195</v>
      </c>
      <c r="E271" s="61"/>
    </row>
    <row r="272" spans="1:5">
      <c r="A272" s="61" t="s">
        <v>749</v>
      </c>
      <c r="B272" s="54" t="s">
        <v>7573</v>
      </c>
      <c r="C272" s="55" t="s">
        <v>1196</v>
      </c>
      <c r="D272" s="199" t="s">
        <v>1197</v>
      </c>
      <c r="E272" s="61"/>
    </row>
    <row r="273" spans="1:5">
      <c r="A273" s="61" t="s">
        <v>752</v>
      </c>
      <c r="B273" s="54" t="s">
        <v>7573</v>
      </c>
      <c r="C273" s="55" t="s">
        <v>1198</v>
      </c>
      <c r="D273" s="199" t="s">
        <v>1199</v>
      </c>
      <c r="E273" s="61"/>
    </row>
    <row r="274" spans="1:5">
      <c r="A274" s="61" t="s">
        <v>746</v>
      </c>
      <c r="B274" s="54" t="s">
        <v>7573</v>
      </c>
      <c r="C274" s="55" t="s">
        <v>1200</v>
      </c>
      <c r="D274" s="199" t="s">
        <v>1201</v>
      </c>
      <c r="E274" s="61"/>
    </row>
    <row r="275" spans="1:5">
      <c r="A275" s="61" t="s">
        <v>749</v>
      </c>
      <c r="B275" s="54" t="s">
        <v>7573</v>
      </c>
      <c r="C275" s="55" t="s">
        <v>1202</v>
      </c>
      <c r="D275" s="199" t="s">
        <v>1203</v>
      </c>
      <c r="E275" s="61"/>
    </row>
    <row r="276" spans="1:5">
      <c r="A276" s="61" t="s">
        <v>752</v>
      </c>
      <c r="B276" s="54" t="s">
        <v>7573</v>
      </c>
      <c r="C276" s="55" t="s">
        <v>1204</v>
      </c>
      <c r="D276" s="199" t="s">
        <v>1205</v>
      </c>
      <c r="E276" s="61"/>
    </row>
    <row r="277" spans="1:5">
      <c r="A277" s="61" t="s">
        <v>746</v>
      </c>
      <c r="B277" s="54" t="s">
        <v>7573</v>
      </c>
      <c r="C277" s="55" t="s">
        <v>1206</v>
      </c>
      <c r="D277" s="61" t="s">
        <v>1207</v>
      </c>
      <c r="E277" s="61" t="s">
        <v>7574</v>
      </c>
    </row>
    <row r="278" spans="1:5">
      <c r="A278" s="61" t="s">
        <v>749</v>
      </c>
      <c r="B278" s="54" t="s">
        <v>7573</v>
      </c>
      <c r="C278" s="55" t="s">
        <v>1208</v>
      </c>
      <c r="D278" s="61" t="s">
        <v>1209</v>
      </c>
      <c r="E278" s="61" t="s">
        <v>7574</v>
      </c>
    </row>
    <row r="279" spans="1:5">
      <c r="A279" s="61" t="s">
        <v>752</v>
      </c>
      <c r="B279" s="54" t="s">
        <v>7573</v>
      </c>
      <c r="C279" s="55" t="s">
        <v>1210</v>
      </c>
      <c r="D279" s="61" t="s">
        <v>1211</v>
      </c>
      <c r="E279" s="61" t="s">
        <v>7574</v>
      </c>
    </row>
    <row r="280" spans="1:5">
      <c r="A280" s="61" t="s">
        <v>723</v>
      </c>
      <c r="B280" s="54" t="s">
        <v>7573</v>
      </c>
      <c r="C280" s="55" t="s">
        <v>1212</v>
      </c>
      <c r="D280" s="61" t="s">
        <v>1213</v>
      </c>
      <c r="E280" s="61"/>
    </row>
    <row r="281" spans="1:5">
      <c r="A281" s="61" t="s">
        <v>746</v>
      </c>
      <c r="B281" s="54" t="s">
        <v>7573</v>
      </c>
      <c r="C281" s="55" t="s">
        <v>1214</v>
      </c>
      <c r="D281" s="61" t="s">
        <v>1215</v>
      </c>
      <c r="E281" s="61"/>
    </row>
    <row r="282" spans="1:5">
      <c r="A282" s="61" t="s">
        <v>749</v>
      </c>
      <c r="B282" s="54" t="s">
        <v>7573</v>
      </c>
      <c r="C282" s="55" t="s">
        <v>1216</v>
      </c>
      <c r="D282" s="199" t="s">
        <v>1217</v>
      </c>
      <c r="E282" s="61"/>
    </row>
    <row r="283" spans="1:5">
      <c r="A283" s="61" t="s">
        <v>752</v>
      </c>
      <c r="B283" s="54" t="s">
        <v>7573</v>
      </c>
      <c r="C283" s="55" t="s">
        <v>1218</v>
      </c>
      <c r="D283" s="56" t="s">
        <v>1219</v>
      </c>
      <c r="E283" s="61"/>
    </row>
    <row r="284" spans="1:5">
      <c r="A284" s="61" t="s">
        <v>746</v>
      </c>
      <c r="B284" s="54" t="s">
        <v>7573</v>
      </c>
      <c r="C284" s="55" t="s">
        <v>1220</v>
      </c>
      <c r="D284" s="205" t="s">
        <v>1221</v>
      </c>
      <c r="E284" s="61"/>
    </row>
    <row r="285" spans="1:5">
      <c r="A285" s="61" t="s">
        <v>749</v>
      </c>
      <c r="B285" s="54" t="s">
        <v>7573</v>
      </c>
      <c r="C285" s="55" t="s">
        <v>1222</v>
      </c>
      <c r="D285" s="205" t="s">
        <v>1223</v>
      </c>
      <c r="E285" s="61"/>
    </row>
    <row r="286" spans="1:5">
      <c r="A286" s="61" t="s">
        <v>752</v>
      </c>
      <c r="B286" s="54" t="s">
        <v>7573</v>
      </c>
      <c r="C286" s="55" t="s">
        <v>1224</v>
      </c>
      <c r="D286" s="205" t="s">
        <v>1225</v>
      </c>
      <c r="E286" s="61"/>
    </row>
    <row r="287" spans="1:5">
      <c r="A287" s="61" t="s">
        <v>746</v>
      </c>
      <c r="B287" s="54" t="s">
        <v>7573</v>
      </c>
      <c r="C287" s="55" t="s">
        <v>1226</v>
      </c>
      <c r="D287" s="61" t="s">
        <v>1227</v>
      </c>
      <c r="E287" s="61"/>
    </row>
    <row r="288" spans="1:5">
      <c r="A288" s="61" t="s">
        <v>749</v>
      </c>
      <c r="B288" s="54" t="s">
        <v>7573</v>
      </c>
      <c r="C288" s="55" t="s">
        <v>1228</v>
      </c>
      <c r="D288" s="199" t="s">
        <v>1229</v>
      </c>
      <c r="E288" s="61"/>
    </row>
    <row r="289" spans="1:5">
      <c r="A289" s="61" t="s">
        <v>752</v>
      </c>
      <c r="B289" s="54" t="s">
        <v>7573</v>
      </c>
      <c r="C289" s="55" t="s">
        <v>1230</v>
      </c>
      <c r="D289" s="56" t="s">
        <v>1231</v>
      </c>
      <c r="E289" s="61"/>
    </row>
    <row r="290" spans="1:5">
      <c r="A290" s="61" t="s">
        <v>746</v>
      </c>
      <c r="B290" s="54" t="s">
        <v>7573</v>
      </c>
      <c r="C290" s="55" t="s">
        <v>1232</v>
      </c>
      <c r="D290" s="61" t="s">
        <v>1233</v>
      </c>
      <c r="E290" s="61"/>
    </row>
    <row r="291" spans="1:5">
      <c r="A291" s="61" t="s">
        <v>749</v>
      </c>
      <c r="B291" s="54" t="s">
        <v>7573</v>
      </c>
      <c r="C291" s="55" t="s">
        <v>1234</v>
      </c>
      <c r="D291" s="199" t="s">
        <v>1235</v>
      </c>
      <c r="E291" s="61"/>
    </row>
    <row r="292" spans="1:5">
      <c r="A292" s="61" t="s">
        <v>752</v>
      </c>
      <c r="B292" s="54" t="s">
        <v>7573</v>
      </c>
      <c r="C292" s="55" t="s">
        <v>1236</v>
      </c>
      <c r="D292" s="56" t="s">
        <v>1237</v>
      </c>
      <c r="E292" s="61"/>
    </row>
    <row r="293" spans="1:5">
      <c r="A293" s="61" t="s">
        <v>746</v>
      </c>
      <c r="B293" s="54" t="s">
        <v>7573</v>
      </c>
      <c r="C293" s="55" t="s">
        <v>1238</v>
      </c>
      <c r="D293" s="205" t="s">
        <v>1239</v>
      </c>
      <c r="E293" s="61"/>
    </row>
    <row r="294" spans="1:5">
      <c r="A294" s="61" t="s">
        <v>746</v>
      </c>
      <c r="B294" s="54" t="s">
        <v>7573</v>
      </c>
      <c r="C294" s="55" t="s">
        <v>1240</v>
      </c>
      <c r="D294" s="61" t="s">
        <v>1241</v>
      </c>
      <c r="E294" s="61"/>
    </row>
    <row r="295" spans="1:5">
      <c r="A295" s="61" t="s">
        <v>749</v>
      </c>
      <c r="B295" s="54" t="s">
        <v>7573</v>
      </c>
      <c r="C295" s="55" t="s">
        <v>1242</v>
      </c>
      <c r="D295" s="61" t="s">
        <v>1243</v>
      </c>
      <c r="E295" s="61"/>
    </row>
    <row r="296" spans="1:5">
      <c r="A296" s="61" t="s">
        <v>752</v>
      </c>
      <c r="B296" s="54" t="s">
        <v>7573</v>
      </c>
      <c r="C296" s="55" t="s">
        <v>1244</v>
      </c>
      <c r="D296" s="61" t="s">
        <v>1245</v>
      </c>
      <c r="E296" s="61"/>
    </row>
    <row r="297" spans="1:5">
      <c r="A297" s="61" t="s">
        <v>746</v>
      </c>
      <c r="B297" s="54" t="s">
        <v>7573</v>
      </c>
      <c r="C297" s="55" t="s">
        <v>1246</v>
      </c>
      <c r="D297" s="56" t="s">
        <v>1247</v>
      </c>
      <c r="E297" s="61"/>
    </row>
    <row r="298" spans="1:5">
      <c r="A298" s="61" t="s">
        <v>749</v>
      </c>
      <c r="B298" s="54" t="s">
        <v>7573</v>
      </c>
      <c r="C298" s="55" t="s">
        <v>1248</v>
      </c>
      <c r="D298" s="56" t="s">
        <v>1249</v>
      </c>
      <c r="E298" s="61"/>
    </row>
    <row r="299" spans="1:5">
      <c r="A299" s="61" t="s">
        <v>752</v>
      </c>
      <c r="B299" s="54" t="s">
        <v>7573</v>
      </c>
      <c r="C299" s="55" t="s">
        <v>1250</v>
      </c>
      <c r="D299" s="56" t="s">
        <v>1251</v>
      </c>
      <c r="E299" s="61"/>
    </row>
    <row r="300" spans="1:5">
      <c r="A300" s="61" t="s">
        <v>746</v>
      </c>
      <c r="B300" s="54" t="s">
        <v>7573</v>
      </c>
      <c r="C300" s="55" t="s">
        <v>1252</v>
      </c>
      <c r="D300" s="61" t="s">
        <v>1253</v>
      </c>
      <c r="E300" s="61"/>
    </row>
    <row r="301" spans="1:5">
      <c r="A301" s="61" t="s">
        <v>749</v>
      </c>
      <c r="B301" s="54" t="s">
        <v>7573</v>
      </c>
      <c r="C301" s="55" t="s">
        <v>1254</v>
      </c>
      <c r="D301" s="61" t="s">
        <v>1255</v>
      </c>
      <c r="E301" s="61"/>
    </row>
    <row r="302" spans="1:5">
      <c r="A302" s="61" t="s">
        <v>752</v>
      </c>
      <c r="B302" s="54" t="s">
        <v>7573</v>
      </c>
      <c r="C302" s="55" t="s">
        <v>1256</v>
      </c>
      <c r="D302" s="61" t="s">
        <v>1257</v>
      </c>
      <c r="E302" s="61"/>
    </row>
    <row r="303" spans="1:5">
      <c r="A303" s="61" t="s">
        <v>746</v>
      </c>
      <c r="B303" s="54" t="s">
        <v>7573</v>
      </c>
      <c r="C303" s="55" t="s">
        <v>1258</v>
      </c>
      <c r="D303" s="56" t="s">
        <v>1259</v>
      </c>
      <c r="E303" s="61"/>
    </row>
    <row r="304" spans="1:5">
      <c r="A304" s="61" t="s">
        <v>749</v>
      </c>
      <c r="B304" s="54" t="s">
        <v>7573</v>
      </c>
      <c r="C304" s="55" t="s">
        <v>1260</v>
      </c>
      <c r="D304" s="56" t="s">
        <v>1261</v>
      </c>
      <c r="E304" s="61"/>
    </row>
    <row r="305" spans="1:5">
      <c r="A305" s="61" t="s">
        <v>752</v>
      </c>
      <c r="B305" s="54" t="s">
        <v>7573</v>
      </c>
      <c r="C305" s="55" t="s">
        <v>1262</v>
      </c>
      <c r="D305" s="56" t="s">
        <v>1263</v>
      </c>
      <c r="E305" s="61"/>
    </row>
    <row r="306" spans="1:5">
      <c r="A306" s="61" t="s">
        <v>746</v>
      </c>
      <c r="B306" s="54" t="s">
        <v>7573</v>
      </c>
      <c r="C306" s="55" t="s">
        <v>1264</v>
      </c>
      <c r="D306" s="56" t="s">
        <v>1265</v>
      </c>
      <c r="E306" s="61"/>
    </row>
    <row r="307" spans="1:5">
      <c r="A307" s="61" t="s">
        <v>749</v>
      </c>
      <c r="B307" s="54" t="s">
        <v>7573</v>
      </c>
      <c r="C307" s="55" t="s">
        <v>1266</v>
      </c>
      <c r="D307" s="199" t="s">
        <v>1265</v>
      </c>
      <c r="E307" s="61"/>
    </row>
    <row r="308" spans="1:5">
      <c r="A308" s="61" t="s">
        <v>752</v>
      </c>
      <c r="B308" s="54" t="s">
        <v>7573</v>
      </c>
      <c r="C308" s="55" t="s">
        <v>1267</v>
      </c>
      <c r="D308" s="56" t="s">
        <v>1265</v>
      </c>
      <c r="E308" s="61"/>
    </row>
    <row r="309" spans="1:5">
      <c r="A309" s="61" t="s">
        <v>746</v>
      </c>
      <c r="B309" s="54" t="s">
        <v>7573</v>
      </c>
      <c r="C309" s="55" t="s">
        <v>1268</v>
      </c>
      <c r="D309" s="56" t="s">
        <v>1269</v>
      </c>
      <c r="E309" s="61"/>
    </row>
    <row r="310" spans="1:5">
      <c r="A310" s="61" t="s">
        <v>749</v>
      </c>
      <c r="B310" s="54" t="s">
        <v>7573</v>
      </c>
      <c r="C310" s="55" t="s">
        <v>1270</v>
      </c>
      <c r="D310" s="199" t="s">
        <v>1269</v>
      </c>
      <c r="E310" s="61"/>
    </row>
    <row r="311" spans="1:5">
      <c r="A311" s="61" t="s">
        <v>752</v>
      </c>
      <c r="B311" s="54" t="s">
        <v>7573</v>
      </c>
      <c r="C311" s="55" t="s">
        <v>1271</v>
      </c>
      <c r="D311" s="56" t="s">
        <v>1269</v>
      </c>
      <c r="E311" s="61"/>
    </row>
    <row r="312" spans="1:5">
      <c r="A312" s="61" t="s">
        <v>746</v>
      </c>
      <c r="B312" s="54" t="s">
        <v>7573</v>
      </c>
      <c r="C312" s="55" t="s">
        <v>1272</v>
      </c>
      <c r="D312" s="56" t="s">
        <v>1273</v>
      </c>
      <c r="E312" s="61"/>
    </row>
    <row r="313" spans="1:5">
      <c r="A313" s="61" t="s">
        <v>749</v>
      </c>
      <c r="B313" s="54" t="s">
        <v>7573</v>
      </c>
      <c r="C313" s="55"/>
      <c r="D313" s="199" t="s">
        <v>1273</v>
      </c>
      <c r="E313" s="61"/>
    </row>
    <row r="314" spans="1:5">
      <c r="A314" s="61" t="s">
        <v>752</v>
      </c>
      <c r="B314" s="54" t="s">
        <v>7573</v>
      </c>
      <c r="C314" s="55"/>
      <c r="D314" s="56" t="s">
        <v>1273</v>
      </c>
      <c r="E314" s="61"/>
    </row>
    <row r="315" spans="1:5">
      <c r="A315" s="61" t="s">
        <v>746</v>
      </c>
      <c r="B315" s="54" t="s">
        <v>7573</v>
      </c>
      <c r="C315" s="55" t="s">
        <v>1274</v>
      </c>
      <c r="D315" s="56" t="s">
        <v>1275</v>
      </c>
      <c r="E315" s="61"/>
    </row>
    <row r="316" spans="1:5">
      <c r="A316" s="61" t="s">
        <v>749</v>
      </c>
      <c r="B316" s="54" t="s">
        <v>7573</v>
      </c>
      <c r="C316" s="55" t="s">
        <v>1274</v>
      </c>
      <c r="D316" s="199" t="s">
        <v>1275</v>
      </c>
      <c r="E316" s="61"/>
    </row>
    <row r="317" spans="1:5">
      <c r="A317" s="61" t="s">
        <v>752</v>
      </c>
      <c r="B317" s="54" t="s">
        <v>7573</v>
      </c>
      <c r="C317" s="55" t="s">
        <v>1276</v>
      </c>
      <c r="D317" s="56" t="s">
        <v>1275</v>
      </c>
      <c r="E317" s="61"/>
    </row>
    <row r="318" spans="1:5">
      <c r="A318" s="61" t="s">
        <v>746</v>
      </c>
      <c r="B318" s="54" t="s">
        <v>7573</v>
      </c>
      <c r="C318" s="55" t="s">
        <v>1277</v>
      </c>
      <c r="D318" s="56" t="s">
        <v>1278</v>
      </c>
      <c r="E318" s="61"/>
    </row>
    <row r="319" spans="1:5">
      <c r="A319" s="61" t="s">
        <v>749</v>
      </c>
      <c r="B319" s="54" t="s">
        <v>7573</v>
      </c>
      <c r="C319" s="55" t="s">
        <v>1279</v>
      </c>
      <c r="D319" s="199" t="s">
        <v>1278</v>
      </c>
      <c r="E319" s="61"/>
    </row>
    <row r="320" spans="1:5">
      <c r="A320" s="61" t="s">
        <v>752</v>
      </c>
      <c r="B320" s="54" t="s">
        <v>7573</v>
      </c>
      <c r="C320" s="55" t="s">
        <v>1280</v>
      </c>
      <c r="D320" s="56" t="s">
        <v>1278</v>
      </c>
      <c r="E320" s="61"/>
    </row>
    <row r="321" spans="1:5">
      <c r="A321" s="61" t="s">
        <v>746</v>
      </c>
      <c r="B321" s="54" t="s">
        <v>7573</v>
      </c>
      <c r="C321" s="55" t="s">
        <v>1281</v>
      </c>
      <c r="D321" s="56" t="s">
        <v>1282</v>
      </c>
      <c r="E321" s="61"/>
    </row>
    <row r="322" spans="1:5">
      <c r="A322" s="61" t="s">
        <v>749</v>
      </c>
      <c r="B322" s="54" t="s">
        <v>7573</v>
      </c>
      <c r="C322" s="55" t="s">
        <v>1283</v>
      </c>
      <c r="D322" s="199" t="s">
        <v>1282</v>
      </c>
      <c r="E322" s="61"/>
    </row>
    <row r="323" spans="1:5">
      <c r="A323" s="61" t="s">
        <v>752</v>
      </c>
      <c r="B323" s="54" t="s">
        <v>7573</v>
      </c>
      <c r="C323" s="55"/>
      <c r="D323" s="56" t="s">
        <v>1282</v>
      </c>
      <c r="E323" s="61"/>
    </row>
    <row r="324" spans="1:5">
      <c r="A324" s="61" t="s">
        <v>746</v>
      </c>
      <c r="B324" s="54" t="s">
        <v>7573</v>
      </c>
      <c r="C324" s="55" t="s">
        <v>1284</v>
      </c>
      <c r="D324" s="56" t="s">
        <v>1285</v>
      </c>
      <c r="E324" s="61"/>
    </row>
    <row r="325" spans="1:5">
      <c r="A325" s="61" t="s">
        <v>749</v>
      </c>
      <c r="B325" s="54" t="s">
        <v>7573</v>
      </c>
      <c r="C325" s="55" t="s">
        <v>1286</v>
      </c>
      <c r="D325" s="199" t="s">
        <v>1285</v>
      </c>
      <c r="E325" s="61"/>
    </row>
    <row r="326" spans="1:5">
      <c r="A326" s="61" t="s">
        <v>752</v>
      </c>
      <c r="B326" s="54" t="s">
        <v>7573</v>
      </c>
      <c r="C326" s="55" t="s">
        <v>1287</v>
      </c>
      <c r="D326" s="56" t="s">
        <v>1285</v>
      </c>
      <c r="E326" s="61"/>
    </row>
    <row r="327" spans="1:5">
      <c r="A327" s="61" t="s">
        <v>746</v>
      </c>
      <c r="B327" s="54" t="s">
        <v>7573</v>
      </c>
      <c r="C327" s="55" t="s">
        <v>1288</v>
      </c>
      <c r="D327" s="56" t="s">
        <v>1289</v>
      </c>
      <c r="E327" s="61"/>
    </row>
    <row r="328" spans="1:5">
      <c r="A328" s="61" t="s">
        <v>749</v>
      </c>
      <c r="B328" s="54" t="s">
        <v>7573</v>
      </c>
      <c r="C328" s="55" t="s">
        <v>1290</v>
      </c>
      <c r="D328" s="61" t="s">
        <v>1291</v>
      </c>
      <c r="E328" s="61"/>
    </row>
    <row r="329" spans="1:5">
      <c r="A329" s="61" t="s">
        <v>752</v>
      </c>
      <c r="B329" s="54" t="s">
        <v>7573</v>
      </c>
      <c r="C329" s="55" t="s">
        <v>1292</v>
      </c>
      <c r="D329" s="56" t="s">
        <v>1293</v>
      </c>
      <c r="E329" s="61"/>
    </row>
    <row r="330" spans="1:5">
      <c r="A330" s="61" t="s">
        <v>723</v>
      </c>
      <c r="B330" s="54" t="s">
        <v>7573</v>
      </c>
      <c r="C330" s="55" t="s">
        <v>1294</v>
      </c>
      <c r="D330" s="61" t="s">
        <v>1295</v>
      </c>
      <c r="E330" s="61"/>
    </row>
    <row r="331" spans="1:5">
      <c r="A331" s="61" t="s">
        <v>746</v>
      </c>
      <c r="B331" s="54" t="s">
        <v>7573</v>
      </c>
      <c r="C331" s="55" t="s">
        <v>1296</v>
      </c>
      <c r="D331" s="56" t="s">
        <v>1297</v>
      </c>
      <c r="E331" s="61"/>
    </row>
    <row r="332" spans="1:5">
      <c r="A332" s="61" t="s">
        <v>749</v>
      </c>
      <c r="B332" s="54" t="s">
        <v>7573</v>
      </c>
      <c r="C332" s="55" t="s">
        <v>1298</v>
      </c>
      <c r="D332" s="61" t="s">
        <v>1299</v>
      </c>
      <c r="E332" s="61"/>
    </row>
    <row r="333" spans="1:5">
      <c r="A333" s="61" t="s">
        <v>752</v>
      </c>
      <c r="B333" s="54" t="s">
        <v>7573</v>
      </c>
      <c r="C333" s="55" t="s">
        <v>1300</v>
      </c>
      <c r="D333" s="56" t="s">
        <v>1301</v>
      </c>
      <c r="E333" s="61"/>
    </row>
    <row r="334" spans="1:5">
      <c r="A334" s="61" t="s">
        <v>723</v>
      </c>
      <c r="B334" s="54" t="s">
        <v>7573</v>
      </c>
      <c r="C334" s="55" t="s">
        <v>1302</v>
      </c>
      <c r="D334" s="61" t="s">
        <v>1303</v>
      </c>
      <c r="E334" s="61"/>
    </row>
    <row r="335" spans="1:5">
      <c r="A335" s="61" t="s">
        <v>752</v>
      </c>
      <c r="B335" s="54" t="s">
        <v>7550</v>
      </c>
      <c r="C335" s="55" t="s">
        <v>1304</v>
      </c>
      <c r="D335" s="56" t="s">
        <v>1305</v>
      </c>
      <c r="E335" s="61"/>
    </row>
    <row r="336" spans="1:5">
      <c r="A336" s="61" t="s">
        <v>746</v>
      </c>
      <c r="B336" s="54" t="s">
        <v>7551</v>
      </c>
      <c r="C336" s="55" t="s">
        <v>1306</v>
      </c>
      <c r="D336" s="61" t="s">
        <v>1307</v>
      </c>
      <c r="E336" s="61" t="s">
        <v>7575</v>
      </c>
    </row>
    <row r="337" spans="1:5">
      <c r="A337" s="61" t="s">
        <v>749</v>
      </c>
      <c r="B337" s="54" t="s">
        <v>7551</v>
      </c>
      <c r="C337" s="55" t="s">
        <v>1308</v>
      </c>
      <c r="D337" s="61" t="s">
        <v>1309</v>
      </c>
      <c r="E337" s="61" t="s">
        <v>7575</v>
      </c>
    </row>
    <row r="338" spans="1:5">
      <c r="A338" s="61" t="s">
        <v>752</v>
      </c>
      <c r="B338" s="54" t="s">
        <v>7551</v>
      </c>
      <c r="C338" s="55" t="s">
        <v>1310</v>
      </c>
      <c r="D338" s="61" t="s">
        <v>1311</v>
      </c>
      <c r="E338" s="61" t="s">
        <v>7575</v>
      </c>
    </row>
    <row r="339" spans="1:5">
      <c r="A339" s="61" t="s">
        <v>746</v>
      </c>
      <c r="B339" s="54" t="s">
        <v>7551</v>
      </c>
      <c r="C339" s="55" t="s">
        <v>1312</v>
      </c>
      <c r="D339" s="199" t="s">
        <v>1313</v>
      </c>
      <c r="E339" s="61"/>
    </row>
    <row r="340" spans="1:5">
      <c r="A340" s="61" t="s">
        <v>749</v>
      </c>
      <c r="B340" s="54" t="s">
        <v>7551</v>
      </c>
      <c r="C340" s="55" t="s">
        <v>1314</v>
      </c>
      <c r="D340" s="199" t="s">
        <v>438</v>
      </c>
      <c r="E340" s="61"/>
    </row>
    <row r="341" spans="1:5">
      <c r="A341" s="61" t="s">
        <v>752</v>
      </c>
      <c r="B341" s="54" t="s">
        <v>7551</v>
      </c>
      <c r="C341" s="55" t="s">
        <v>1315</v>
      </c>
      <c r="D341" s="199" t="s">
        <v>1316</v>
      </c>
      <c r="E341" s="61"/>
    </row>
    <row r="342" spans="1:5">
      <c r="A342" s="61" t="s">
        <v>746</v>
      </c>
      <c r="B342" s="54" t="s">
        <v>7551</v>
      </c>
      <c r="C342" s="55" t="s">
        <v>1317</v>
      </c>
      <c r="D342" s="199" t="s">
        <v>1318</v>
      </c>
      <c r="E342" s="61"/>
    </row>
    <row r="343" spans="1:5">
      <c r="A343" s="61" t="s">
        <v>749</v>
      </c>
      <c r="B343" s="54" t="s">
        <v>7551</v>
      </c>
      <c r="C343" s="55" t="s">
        <v>1319</v>
      </c>
      <c r="D343" s="199" t="s">
        <v>440</v>
      </c>
      <c r="E343" s="61"/>
    </row>
    <row r="344" spans="1:5">
      <c r="A344" s="61" t="s">
        <v>752</v>
      </c>
      <c r="B344" s="54" t="s">
        <v>7551</v>
      </c>
      <c r="C344" s="55" t="s">
        <v>1320</v>
      </c>
      <c r="D344" s="199" t="s">
        <v>1321</v>
      </c>
      <c r="E344" s="61"/>
    </row>
    <row r="345" spans="1:5">
      <c r="A345" s="61" t="s">
        <v>723</v>
      </c>
      <c r="B345" s="54" t="s">
        <v>7551</v>
      </c>
      <c r="C345" s="55" t="s">
        <v>1322</v>
      </c>
      <c r="D345" s="61" t="s">
        <v>1323</v>
      </c>
      <c r="E345" s="61"/>
    </row>
    <row r="346" spans="1:5">
      <c r="A346" s="61" t="s">
        <v>746</v>
      </c>
      <c r="B346" s="54" t="s">
        <v>7551</v>
      </c>
      <c r="C346" s="55" t="s">
        <v>1324</v>
      </c>
      <c r="D346" s="61" t="s">
        <v>1325</v>
      </c>
      <c r="E346" s="61"/>
    </row>
    <row r="347" spans="1:5">
      <c r="A347" s="61" t="s">
        <v>749</v>
      </c>
      <c r="B347" s="54" t="s">
        <v>7551</v>
      </c>
      <c r="C347" s="55" t="s">
        <v>1326</v>
      </c>
      <c r="D347" s="61" t="s">
        <v>1327</v>
      </c>
      <c r="E347" s="61"/>
    </row>
    <row r="348" spans="1:5">
      <c r="A348" s="61" t="s">
        <v>752</v>
      </c>
      <c r="B348" s="54" t="s">
        <v>7551</v>
      </c>
      <c r="C348" s="55" t="s">
        <v>1328</v>
      </c>
      <c r="D348" s="61" t="s">
        <v>1329</v>
      </c>
      <c r="E348" s="61"/>
    </row>
    <row r="349" spans="1:5">
      <c r="A349" s="61" t="s">
        <v>746</v>
      </c>
      <c r="B349" s="54" t="s">
        <v>7551</v>
      </c>
      <c r="C349" s="55" t="s">
        <v>1330</v>
      </c>
      <c r="D349" s="205" t="s">
        <v>1331</v>
      </c>
      <c r="E349" s="61"/>
    </row>
    <row r="350" spans="1:5">
      <c r="A350" s="61" t="s">
        <v>749</v>
      </c>
      <c r="B350" s="54" t="s">
        <v>7551</v>
      </c>
      <c r="C350" s="55" t="s">
        <v>1332</v>
      </c>
      <c r="D350" s="205" t="s">
        <v>448</v>
      </c>
      <c r="E350" s="61"/>
    </row>
    <row r="351" spans="1:5">
      <c r="A351" s="61" t="s">
        <v>752</v>
      </c>
      <c r="B351" s="54" t="s">
        <v>7551</v>
      </c>
      <c r="C351" s="55" t="s">
        <v>1333</v>
      </c>
      <c r="D351" s="205" t="s">
        <v>1331</v>
      </c>
      <c r="E351" s="61"/>
    </row>
    <row r="352" spans="1:5">
      <c r="A352" s="61" t="s">
        <v>723</v>
      </c>
      <c r="B352" s="54" t="s">
        <v>7551</v>
      </c>
      <c r="C352" s="55" t="s">
        <v>1334</v>
      </c>
      <c r="D352" s="61" t="s">
        <v>1335</v>
      </c>
      <c r="E352" s="61"/>
    </row>
    <row r="353" spans="1:5">
      <c r="A353" s="61" t="s">
        <v>1338</v>
      </c>
      <c r="B353" s="54" t="s">
        <v>7551</v>
      </c>
      <c r="C353" s="55" t="s">
        <v>1336</v>
      </c>
      <c r="D353" s="56" t="s">
        <v>1337</v>
      </c>
      <c r="E353" s="61"/>
    </row>
    <row r="354" spans="1:5">
      <c r="A354" s="61" t="s">
        <v>723</v>
      </c>
      <c r="B354" s="54" t="s">
        <v>7551</v>
      </c>
      <c r="C354" s="55" t="s">
        <v>1339</v>
      </c>
      <c r="D354" s="61" t="s">
        <v>1340</v>
      </c>
      <c r="E354" s="61"/>
    </row>
    <row r="355" spans="1:5">
      <c r="A355" s="61" t="s">
        <v>746</v>
      </c>
      <c r="B355" s="54" t="s">
        <v>7551</v>
      </c>
      <c r="C355" s="55" t="s">
        <v>1341</v>
      </c>
      <c r="D355" s="56" t="s">
        <v>1342</v>
      </c>
      <c r="E355" s="61"/>
    </row>
    <row r="356" spans="1:5">
      <c r="A356" s="61" t="s">
        <v>749</v>
      </c>
      <c r="B356" s="54" t="s">
        <v>7551</v>
      </c>
      <c r="C356" s="55" t="s">
        <v>1343</v>
      </c>
      <c r="D356" s="56" t="s">
        <v>454</v>
      </c>
      <c r="E356" s="61"/>
    </row>
    <row r="357" spans="1:5">
      <c r="A357" s="61" t="s">
        <v>752</v>
      </c>
      <c r="B357" s="54" t="s">
        <v>7551</v>
      </c>
      <c r="C357" s="55" t="s">
        <v>1344</v>
      </c>
      <c r="D357" s="56" t="s">
        <v>1345</v>
      </c>
      <c r="E357" s="61"/>
    </row>
    <row r="358" spans="1:5">
      <c r="A358" s="61" t="s">
        <v>746</v>
      </c>
      <c r="B358" s="54" t="s">
        <v>7551</v>
      </c>
      <c r="C358" s="55" t="s">
        <v>1346</v>
      </c>
      <c r="D358" s="61" t="s">
        <v>1347</v>
      </c>
      <c r="E358" s="61"/>
    </row>
    <row r="359" spans="1:5">
      <c r="A359" s="61" t="s">
        <v>749</v>
      </c>
      <c r="B359" s="54" t="s">
        <v>7551</v>
      </c>
      <c r="C359" s="55" t="s">
        <v>1348</v>
      </c>
      <c r="D359" s="61" t="s">
        <v>1349</v>
      </c>
      <c r="E359" s="61"/>
    </row>
    <row r="360" spans="1:5">
      <c r="A360" s="61" t="s">
        <v>752</v>
      </c>
      <c r="B360" s="54" t="s">
        <v>7551</v>
      </c>
      <c r="C360" s="55" t="s">
        <v>1350</v>
      </c>
      <c r="D360" s="61" t="s">
        <v>1351</v>
      </c>
      <c r="E360" s="61"/>
    </row>
    <row r="361" spans="1:5">
      <c r="A361" s="61" t="s">
        <v>746</v>
      </c>
      <c r="B361" s="54" t="s">
        <v>7551</v>
      </c>
      <c r="C361" s="55" t="s">
        <v>1352</v>
      </c>
      <c r="D361" s="205" t="s">
        <v>1353</v>
      </c>
      <c r="E361" s="61"/>
    </row>
    <row r="362" spans="1:5">
      <c r="A362" s="61" t="s">
        <v>749</v>
      </c>
      <c r="B362" s="54" t="s">
        <v>7551</v>
      </c>
      <c r="C362" s="55" t="s">
        <v>1354</v>
      </c>
      <c r="D362" s="205" t="s">
        <v>1355</v>
      </c>
      <c r="E362" s="61"/>
    </row>
    <row r="363" spans="1:5">
      <c r="A363" s="61" t="s">
        <v>746</v>
      </c>
      <c r="B363" s="54" t="s">
        <v>7552</v>
      </c>
      <c r="C363" s="55" t="s">
        <v>1356</v>
      </c>
      <c r="D363" s="56" t="s">
        <v>1357</v>
      </c>
      <c r="E363" s="61"/>
    </row>
    <row r="364" spans="1:5">
      <c r="A364" s="61" t="s">
        <v>749</v>
      </c>
      <c r="B364" s="54" t="s">
        <v>7552</v>
      </c>
      <c r="C364" s="55" t="s">
        <v>1358</v>
      </c>
      <c r="D364" s="56" t="s">
        <v>1359</v>
      </c>
      <c r="E364" s="61"/>
    </row>
    <row r="365" spans="1:5">
      <c r="A365" s="61" t="s">
        <v>752</v>
      </c>
      <c r="B365" s="54" t="s">
        <v>7552</v>
      </c>
      <c r="C365" s="55" t="s">
        <v>1360</v>
      </c>
      <c r="D365" s="56" t="s">
        <v>1357</v>
      </c>
      <c r="E365" s="61"/>
    </row>
    <row r="366" spans="1:5">
      <c r="A366" s="61" t="s">
        <v>746</v>
      </c>
      <c r="B366" s="54" t="s">
        <v>7552</v>
      </c>
      <c r="C366" s="55" t="s">
        <v>1361</v>
      </c>
      <c r="D366" s="56" t="s">
        <v>1362</v>
      </c>
      <c r="E366" s="61"/>
    </row>
    <row r="367" spans="1:5">
      <c r="A367" s="61" t="s">
        <v>749</v>
      </c>
      <c r="B367" s="54" t="s">
        <v>7552</v>
      </c>
      <c r="C367" s="55" t="s">
        <v>1363</v>
      </c>
      <c r="D367" s="56" t="s">
        <v>1364</v>
      </c>
      <c r="E367" s="61"/>
    </row>
    <row r="368" spans="1:5">
      <c r="A368" s="61" t="s">
        <v>752</v>
      </c>
      <c r="B368" s="54" t="s">
        <v>7552</v>
      </c>
      <c r="C368" s="55" t="s">
        <v>1365</v>
      </c>
      <c r="D368" s="56" t="s">
        <v>1362</v>
      </c>
      <c r="E368" s="61"/>
    </row>
    <row r="369" spans="1:5">
      <c r="A369" s="61" t="s">
        <v>746</v>
      </c>
      <c r="B369" s="54" t="s">
        <v>7552</v>
      </c>
      <c r="C369" s="55" t="s">
        <v>1366</v>
      </c>
      <c r="D369" s="205" t="s">
        <v>1367</v>
      </c>
      <c r="E369" s="61"/>
    </row>
    <row r="370" spans="1:5">
      <c r="A370" s="61" t="s">
        <v>746</v>
      </c>
      <c r="B370" s="54" t="s">
        <v>7552</v>
      </c>
      <c r="C370" s="55" t="s">
        <v>1368</v>
      </c>
      <c r="D370" s="56" t="s">
        <v>1369</v>
      </c>
      <c r="E370" s="61"/>
    </row>
    <row r="371" spans="1:5">
      <c r="A371" s="61" t="s">
        <v>749</v>
      </c>
      <c r="B371" s="54" t="s">
        <v>7552</v>
      </c>
      <c r="C371" s="55" t="s">
        <v>1370</v>
      </c>
      <c r="D371" s="56" t="s">
        <v>1371</v>
      </c>
      <c r="E371" s="61"/>
    </row>
    <row r="372" spans="1:5">
      <c r="A372" s="61" t="s">
        <v>752</v>
      </c>
      <c r="B372" s="54" t="s">
        <v>7552</v>
      </c>
      <c r="C372" s="55" t="s">
        <v>1372</v>
      </c>
      <c r="D372" s="56" t="s">
        <v>1369</v>
      </c>
      <c r="E372" s="61"/>
    </row>
    <row r="373" spans="1:5">
      <c r="A373" s="61" t="s">
        <v>746</v>
      </c>
      <c r="B373" s="54" t="s">
        <v>7552</v>
      </c>
      <c r="C373" s="55" t="s">
        <v>1373</v>
      </c>
      <c r="D373" s="205" t="s">
        <v>1374</v>
      </c>
      <c r="E373" s="61"/>
    </row>
    <row r="374" spans="1:5">
      <c r="A374" s="61" t="s">
        <v>749</v>
      </c>
      <c r="B374" s="54" t="s">
        <v>7552</v>
      </c>
      <c r="C374" s="55" t="s">
        <v>1375</v>
      </c>
      <c r="D374" s="205" t="s">
        <v>1376</v>
      </c>
      <c r="E374" s="61"/>
    </row>
    <row r="375" spans="1:5">
      <c r="A375" s="61" t="s">
        <v>746</v>
      </c>
      <c r="B375" s="54" t="s">
        <v>7552</v>
      </c>
      <c r="C375" s="55" t="s">
        <v>1377</v>
      </c>
      <c r="D375" s="199" t="s">
        <v>1378</v>
      </c>
      <c r="E375" s="61"/>
    </row>
    <row r="376" spans="1:5">
      <c r="A376" s="61" t="s">
        <v>749</v>
      </c>
      <c r="B376" s="54" t="s">
        <v>7552</v>
      </c>
      <c r="C376" s="55" t="s">
        <v>1379</v>
      </c>
      <c r="D376" s="199" t="s">
        <v>1380</v>
      </c>
      <c r="E376" s="61"/>
    </row>
    <row r="377" spans="1:5">
      <c r="A377" s="61" t="s">
        <v>752</v>
      </c>
      <c r="B377" s="54" t="s">
        <v>7552</v>
      </c>
      <c r="C377" s="55" t="s">
        <v>1381</v>
      </c>
      <c r="D377" s="199" t="s">
        <v>1378</v>
      </c>
      <c r="E377" s="61"/>
    </row>
    <row r="378" spans="1:5">
      <c r="A378" s="61" t="s">
        <v>746</v>
      </c>
      <c r="B378" s="54" t="s">
        <v>7552</v>
      </c>
      <c r="C378" s="55" t="s">
        <v>1382</v>
      </c>
      <c r="D378" s="61" t="s">
        <v>1383</v>
      </c>
      <c r="E378" s="61" t="s">
        <v>7576</v>
      </c>
    </row>
    <row r="379" spans="1:5">
      <c r="A379" s="61" t="s">
        <v>749</v>
      </c>
      <c r="B379" s="54" t="s">
        <v>7552</v>
      </c>
      <c r="C379" s="55" t="s">
        <v>1384</v>
      </c>
      <c r="D379" s="61" t="s">
        <v>1385</v>
      </c>
      <c r="E379" s="61" t="s">
        <v>7576</v>
      </c>
    </row>
    <row r="380" spans="1:5">
      <c r="A380" s="61" t="s">
        <v>752</v>
      </c>
      <c r="B380" s="54" t="s">
        <v>7552</v>
      </c>
      <c r="C380" s="55" t="s">
        <v>1386</v>
      </c>
      <c r="D380" s="61" t="s">
        <v>1383</v>
      </c>
      <c r="E380" s="61" t="s">
        <v>7576</v>
      </c>
    </row>
    <row r="381" spans="1:5">
      <c r="A381" s="61" t="s">
        <v>746</v>
      </c>
      <c r="B381" s="54" t="s">
        <v>7552</v>
      </c>
      <c r="C381" s="55" t="s">
        <v>1387</v>
      </c>
      <c r="D381" s="61" t="s">
        <v>1388</v>
      </c>
      <c r="E381" s="61"/>
    </row>
    <row r="382" spans="1:5">
      <c r="A382" s="61" t="s">
        <v>749</v>
      </c>
      <c r="B382" s="54" t="s">
        <v>7552</v>
      </c>
      <c r="C382" s="55" t="s">
        <v>1389</v>
      </c>
      <c r="D382" s="61" t="s">
        <v>1390</v>
      </c>
      <c r="E382" s="61"/>
    </row>
    <row r="383" spans="1:5">
      <c r="A383" s="61" t="s">
        <v>752</v>
      </c>
      <c r="B383" s="54" t="s">
        <v>7552</v>
      </c>
      <c r="C383" s="55" t="s">
        <v>1391</v>
      </c>
      <c r="D383" s="61" t="s">
        <v>1388</v>
      </c>
      <c r="E383" s="61"/>
    </row>
    <row r="384" spans="1:5">
      <c r="A384" s="61" t="s">
        <v>746</v>
      </c>
      <c r="B384" s="54" t="s">
        <v>7552</v>
      </c>
      <c r="C384" s="55" t="s">
        <v>1392</v>
      </c>
      <c r="D384" s="61" t="s">
        <v>1393</v>
      </c>
      <c r="E384" s="61"/>
    </row>
    <row r="385" spans="1:5">
      <c r="A385" s="61" t="s">
        <v>749</v>
      </c>
      <c r="B385" s="54" t="s">
        <v>7552</v>
      </c>
      <c r="C385" s="55" t="s">
        <v>1394</v>
      </c>
      <c r="D385" s="61" t="s">
        <v>1395</v>
      </c>
      <c r="E385" s="61"/>
    </row>
    <row r="386" spans="1:5">
      <c r="A386" s="61" t="s">
        <v>752</v>
      </c>
      <c r="B386" s="54" t="s">
        <v>7552</v>
      </c>
      <c r="C386" s="55" t="s">
        <v>1396</v>
      </c>
      <c r="D386" s="61" t="s">
        <v>1393</v>
      </c>
      <c r="E386" s="61"/>
    </row>
    <row r="387" spans="1:5">
      <c r="A387" s="61" t="s">
        <v>746</v>
      </c>
      <c r="B387" s="54" t="s">
        <v>7552</v>
      </c>
      <c r="C387" s="55" t="s">
        <v>1397</v>
      </c>
      <c r="D387" s="61" t="s">
        <v>1398</v>
      </c>
      <c r="E387" s="61"/>
    </row>
    <row r="388" spans="1:5">
      <c r="A388" s="61" t="s">
        <v>749</v>
      </c>
      <c r="B388" s="54" t="s">
        <v>7552</v>
      </c>
      <c r="C388" s="55" t="s">
        <v>1399</v>
      </c>
      <c r="D388" s="61" t="s">
        <v>1400</v>
      </c>
      <c r="E388" s="61"/>
    </row>
    <row r="389" spans="1:5">
      <c r="A389" s="61" t="s">
        <v>752</v>
      </c>
      <c r="B389" s="54" t="s">
        <v>7552</v>
      </c>
      <c r="C389" s="55" t="s">
        <v>1401</v>
      </c>
      <c r="D389" s="61" t="s">
        <v>1398</v>
      </c>
      <c r="E389" s="61"/>
    </row>
    <row r="390" spans="1:5">
      <c r="A390" s="61" t="s">
        <v>746</v>
      </c>
      <c r="B390" s="54" t="s">
        <v>7552</v>
      </c>
      <c r="C390" s="55" t="s">
        <v>1402</v>
      </c>
      <c r="D390" s="205" t="s">
        <v>1403</v>
      </c>
      <c r="E390" s="61"/>
    </row>
    <row r="391" spans="1:5">
      <c r="A391" s="61" t="s">
        <v>723</v>
      </c>
      <c r="B391" s="54" t="s">
        <v>7552</v>
      </c>
      <c r="C391" s="55" t="s">
        <v>1404</v>
      </c>
      <c r="D391" s="61" t="s">
        <v>1405</v>
      </c>
      <c r="E391" s="61"/>
    </row>
    <row r="392" spans="1:5">
      <c r="A392" s="61" t="s">
        <v>746</v>
      </c>
      <c r="B392" s="54" t="s">
        <v>7552</v>
      </c>
      <c r="C392" s="55" t="s">
        <v>1406</v>
      </c>
      <c r="D392" s="61" t="s">
        <v>1407</v>
      </c>
      <c r="E392" s="61"/>
    </row>
    <row r="393" spans="1:5">
      <c r="A393" s="61" t="s">
        <v>749</v>
      </c>
      <c r="B393" s="54" t="s">
        <v>7552</v>
      </c>
      <c r="C393" s="55" t="s">
        <v>1408</v>
      </c>
      <c r="D393" s="61" t="s">
        <v>1409</v>
      </c>
      <c r="E393" s="61"/>
    </row>
    <row r="394" spans="1:5">
      <c r="A394" s="61" t="s">
        <v>752</v>
      </c>
      <c r="B394" s="54" t="s">
        <v>7552</v>
      </c>
      <c r="C394" s="55" t="s">
        <v>1410</v>
      </c>
      <c r="D394" s="61" t="s">
        <v>1407</v>
      </c>
      <c r="E394" s="61"/>
    </row>
    <row r="395" spans="1:5">
      <c r="A395" s="61" t="s">
        <v>746</v>
      </c>
      <c r="B395" s="54" t="s">
        <v>7553</v>
      </c>
      <c r="C395" s="55" t="s">
        <v>1411</v>
      </c>
      <c r="D395" s="199" t="s">
        <v>1412</v>
      </c>
      <c r="E395" s="61"/>
    </row>
    <row r="396" spans="1:5">
      <c r="A396" s="61" t="s">
        <v>749</v>
      </c>
      <c r="B396" s="54" t="s">
        <v>7553</v>
      </c>
      <c r="C396" s="55" t="s">
        <v>1413</v>
      </c>
      <c r="D396" s="199" t="s">
        <v>1414</v>
      </c>
      <c r="E396" s="61"/>
    </row>
    <row r="397" spans="1:5">
      <c r="A397" s="61" t="s">
        <v>752</v>
      </c>
      <c r="B397" s="54" t="s">
        <v>7553</v>
      </c>
      <c r="C397" s="55" t="s">
        <v>1415</v>
      </c>
      <c r="D397" s="199" t="s">
        <v>1416</v>
      </c>
      <c r="E397" s="61"/>
    </row>
    <row r="398" spans="1:5">
      <c r="A398" s="61" t="s">
        <v>746</v>
      </c>
      <c r="B398" s="54" t="s">
        <v>7553</v>
      </c>
      <c r="C398" s="55" t="s">
        <v>1417</v>
      </c>
      <c r="D398" s="199" t="s">
        <v>1418</v>
      </c>
      <c r="E398" s="61"/>
    </row>
    <row r="399" spans="1:5">
      <c r="A399" s="61" t="s">
        <v>749</v>
      </c>
      <c r="B399" s="54" t="s">
        <v>7553</v>
      </c>
      <c r="C399" s="55" t="s">
        <v>1419</v>
      </c>
      <c r="D399" s="199" t="s">
        <v>1420</v>
      </c>
      <c r="E399" s="61"/>
    </row>
    <row r="400" spans="1:5">
      <c r="A400" s="61" t="s">
        <v>752</v>
      </c>
      <c r="B400" s="54" t="s">
        <v>7553</v>
      </c>
      <c r="C400" s="55" t="s">
        <v>1421</v>
      </c>
      <c r="D400" s="199" t="s">
        <v>1422</v>
      </c>
      <c r="E400" s="61"/>
    </row>
    <row r="401" spans="1:5">
      <c r="A401" s="61" t="s">
        <v>746</v>
      </c>
      <c r="B401" s="54" t="s">
        <v>7553</v>
      </c>
      <c r="C401" s="55" t="s">
        <v>1423</v>
      </c>
      <c r="D401" s="199" t="s">
        <v>1424</v>
      </c>
      <c r="E401" s="61"/>
    </row>
    <row r="402" spans="1:5">
      <c r="A402" s="61" t="s">
        <v>749</v>
      </c>
      <c r="B402" s="54" t="s">
        <v>7553</v>
      </c>
      <c r="C402" s="55" t="s">
        <v>1425</v>
      </c>
      <c r="D402" s="199" t="s">
        <v>1426</v>
      </c>
      <c r="E402" s="61"/>
    </row>
    <row r="403" spans="1:5">
      <c r="A403" s="61" t="s">
        <v>752</v>
      </c>
      <c r="B403" s="54" t="s">
        <v>7553</v>
      </c>
      <c r="C403" s="55" t="s">
        <v>1427</v>
      </c>
      <c r="D403" s="199" t="s">
        <v>1428</v>
      </c>
      <c r="E403" s="61"/>
    </row>
    <row r="404" spans="1:5">
      <c r="A404" s="61" t="s">
        <v>746</v>
      </c>
      <c r="B404" s="54" t="s">
        <v>7553</v>
      </c>
      <c r="C404" s="55" t="s">
        <v>1429</v>
      </c>
      <c r="D404" s="199" t="s">
        <v>1430</v>
      </c>
      <c r="E404" s="61"/>
    </row>
    <row r="405" spans="1:5">
      <c r="A405" s="61" t="s">
        <v>749</v>
      </c>
      <c r="B405" s="54" t="s">
        <v>7553</v>
      </c>
      <c r="C405" s="55" t="s">
        <v>1431</v>
      </c>
      <c r="D405" s="199" t="s">
        <v>1432</v>
      </c>
      <c r="E405" s="61"/>
    </row>
    <row r="406" spans="1:5">
      <c r="A406" s="61" t="s">
        <v>752</v>
      </c>
      <c r="B406" s="54" t="s">
        <v>7553</v>
      </c>
      <c r="C406" s="55" t="s">
        <v>1433</v>
      </c>
      <c r="D406" s="199" t="s">
        <v>1434</v>
      </c>
      <c r="E406" s="61"/>
    </row>
    <row r="407" spans="1:5">
      <c r="A407" s="61" t="s">
        <v>746</v>
      </c>
      <c r="B407" s="54" t="s">
        <v>7553</v>
      </c>
      <c r="C407" s="55" t="s">
        <v>1435</v>
      </c>
      <c r="D407" s="199" t="s">
        <v>478</v>
      </c>
      <c r="E407" s="61"/>
    </row>
    <row r="408" spans="1:5">
      <c r="A408" s="61" t="s">
        <v>749</v>
      </c>
      <c r="B408" s="54" t="s">
        <v>7553</v>
      </c>
      <c r="C408" s="55" t="s">
        <v>1436</v>
      </c>
      <c r="D408" s="199" t="s">
        <v>647</v>
      </c>
      <c r="E408" s="61"/>
    </row>
    <row r="409" spans="1:5">
      <c r="A409" s="61" t="s">
        <v>752</v>
      </c>
      <c r="B409" s="54" t="s">
        <v>7553</v>
      </c>
      <c r="C409" s="55" t="s">
        <v>1437</v>
      </c>
      <c r="D409" s="199" t="s">
        <v>1438</v>
      </c>
      <c r="E409" s="61"/>
    </row>
    <row r="410" spans="1:5">
      <c r="A410" s="61" t="s">
        <v>746</v>
      </c>
      <c r="B410" s="54" t="s">
        <v>7553</v>
      </c>
      <c r="C410" s="55" t="s">
        <v>1439</v>
      </c>
      <c r="D410" s="199" t="s">
        <v>480</v>
      </c>
      <c r="E410" s="61"/>
    </row>
    <row r="411" spans="1:5">
      <c r="A411" s="61" t="s">
        <v>749</v>
      </c>
      <c r="B411" s="54" t="s">
        <v>7553</v>
      </c>
      <c r="C411" s="55" t="s">
        <v>1440</v>
      </c>
      <c r="D411" s="199" t="s">
        <v>1441</v>
      </c>
      <c r="E411" s="61"/>
    </row>
    <row r="412" spans="1:5">
      <c r="A412" s="61" t="s">
        <v>752</v>
      </c>
      <c r="B412" s="54" t="s">
        <v>7553</v>
      </c>
      <c r="C412" s="55" t="s">
        <v>1442</v>
      </c>
      <c r="D412" s="199" t="s">
        <v>1443</v>
      </c>
      <c r="E412" s="61"/>
    </row>
    <row r="413" spans="1:5">
      <c r="A413" s="61" t="s">
        <v>746</v>
      </c>
      <c r="B413" s="54" t="s">
        <v>7553</v>
      </c>
      <c r="C413" s="55" t="s">
        <v>1444</v>
      </c>
      <c r="D413" s="56" t="s">
        <v>484</v>
      </c>
      <c r="E413" s="61"/>
    </row>
    <row r="414" spans="1:5">
      <c r="A414" s="61" t="s">
        <v>749</v>
      </c>
      <c r="B414" s="54" t="s">
        <v>7553</v>
      </c>
      <c r="C414" s="55" t="s">
        <v>1445</v>
      </c>
      <c r="D414" s="56" t="s">
        <v>1446</v>
      </c>
      <c r="E414" s="61"/>
    </row>
    <row r="415" spans="1:5">
      <c r="A415" s="61" t="s">
        <v>752</v>
      </c>
      <c r="B415" s="54" t="s">
        <v>7553</v>
      </c>
      <c r="C415" s="55" t="s">
        <v>1447</v>
      </c>
      <c r="D415" s="56" t="s">
        <v>1448</v>
      </c>
      <c r="E415" s="61"/>
    </row>
    <row r="416" spans="1:5">
      <c r="A416" s="61" t="s">
        <v>746</v>
      </c>
      <c r="B416" s="54" t="s">
        <v>7553</v>
      </c>
      <c r="C416" s="55" t="s">
        <v>1449</v>
      </c>
      <c r="D416" s="205" t="s">
        <v>486</v>
      </c>
      <c r="E416" s="61"/>
    </row>
    <row r="417" spans="1:5">
      <c r="A417" s="61" t="s">
        <v>752</v>
      </c>
      <c r="B417" s="54" t="s">
        <v>7553</v>
      </c>
      <c r="C417" s="55" t="s">
        <v>1450</v>
      </c>
      <c r="D417" s="205" t="s">
        <v>1451</v>
      </c>
      <c r="E417" s="61"/>
    </row>
    <row r="418" spans="1:5">
      <c r="A418" s="61" t="s">
        <v>723</v>
      </c>
      <c r="B418" s="54" t="s">
        <v>7553</v>
      </c>
      <c r="C418" s="55" t="s">
        <v>1452</v>
      </c>
      <c r="D418" s="205" t="s">
        <v>1453</v>
      </c>
      <c r="E418" s="61"/>
    </row>
    <row r="419" spans="1:5">
      <c r="A419" s="61" t="s">
        <v>749</v>
      </c>
      <c r="B419" s="54" t="s">
        <v>7553</v>
      </c>
      <c r="C419" s="55" t="s">
        <v>1454</v>
      </c>
      <c r="D419" s="61" t="s">
        <v>1455</v>
      </c>
      <c r="E419" s="61"/>
    </row>
    <row r="420" spans="1:5">
      <c r="A420" s="61" t="s">
        <v>746</v>
      </c>
      <c r="B420" s="54" t="s">
        <v>7577</v>
      </c>
      <c r="C420" s="55" t="s">
        <v>1456</v>
      </c>
      <c r="D420" s="61" t="s">
        <v>1457</v>
      </c>
      <c r="E420" s="61" t="s">
        <v>7578</v>
      </c>
    </row>
    <row r="421" spans="1:5">
      <c r="A421" s="61" t="s">
        <v>749</v>
      </c>
      <c r="B421" s="54" t="s">
        <v>7577</v>
      </c>
      <c r="C421" s="55" t="s">
        <v>1458</v>
      </c>
      <c r="D421" s="61" t="s">
        <v>1459</v>
      </c>
      <c r="E421" s="61" t="s">
        <v>7578</v>
      </c>
    </row>
    <row r="422" spans="1:5">
      <c r="A422" s="61" t="s">
        <v>752</v>
      </c>
      <c r="B422" s="54" t="s">
        <v>7577</v>
      </c>
      <c r="C422" s="55" t="s">
        <v>1460</v>
      </c>
      <c r="D422" s="61" t="s">
        <v>1461</v>
      </c>
      <c r="E422" s="61" t="s">
        <v>7578</v>
      </c>
    </row>
    <row r="423" spans="1:5">
      <c r="A423" s="61" t="s">
        <v>746</v>
      </c>
      <c r="B423" s="54" t="s">
        <v>7555</v>
      </c>
      <c r="C423" s="55" t="s">
        <v>1462</v>
      </c>
      <c r="D423" s="58" t="s">
        <v>498</v>
      </c>
      <c r="E423" s="61" t="s">
        <v>7579</v>
      </c>
    </row>
    <row r="424" spans="1:5">
      <c r="A424" s="61" t="s">
        <v>749</v>
      </c>
      <c r="B424" s="54" t="s">
        <v>7555</v>
      </c>
      <c r="C424" s="55" t="s">
        <v>1463</v>
      </c>
      <c r="D424" s="58" t="s">
        <v>1464</v>
      </c>
      <c r="E424" s="61" t="s">
        <v>7579</v>
      </c>
    </row>
    <row r="425" spans="1:5">
      <c r="A425" s="61" t="s">
        <v>752</v>
      </c>
      <c r="B425" s="54" t="s">
        <v>7555</v>
      </c>
      <c r="C425" s="55" t="s">
        <v>1465</v>
      </c>
      <c r="D425" s="58" t="s">
        <v>1466</v>
      </c>
      <c r="E425" s="61" t="s">
        <v>7579</v>
      </c>
    </row>
    <row r="426" spans="1:5">
      <c r="A426" s="61" t="s">
        <v>746</v>
      </c>
      <c r="B426" s="54" t="s">
        <v>7555</v>
      </c>
      <c r="C426" s="55" t="s">
        <v>1467</v>
      </c>
      <c r="D426" s="58" t="s">
        <v>1468</v>
      </c>
      <c r="E426" s="61" t="s">
        <v>7580</v>
      </c>
    </row>
    <row r="427" spans="1:5">
      <c r="A427" s="61" t="s">
        <v>749</v>
      </c>
      <c r="B427" s="54" t="s">
        <v>7555</v>
      </c>
      <c r="C427" s="55" t="s">
        <v>1469</v>
      </c>
      <c r="D427" s="58" t="s">
        <v>1468</v>
      </c>
      <c r="E427" s="61" t="s">
        <v>7580</v>
      </c>
    </row>
    <row r="428" spans="1:5">
      <c r="A428" s="61" t="s">
        <v>752</v>
      </c>
      <c r="B428" s="54" t="s">
        <v>7555</v>
      </c>
      <c r="C428" s="55" t="s">
        <v>1470</v>
      </c>
      <c r="D428" s="58" t="s">
        <v>1468</v>
      </c>
      <c r="E428" s="61" t="s">
        <v>7580</v>
      </c>
    </row>
    <row r="429" spans="1:5">
      <c r="A429" s="61" t="s">
        <v>723</v>
      </c>
      <c r="B429" s="54" t="s">
        <v>7555</v>
      </c>
      <c r="C429" s="55" t="s">
        <v>1471</v>
      </c>
      <c r="D429" s="58" t="s">
        <v>1472</v>
      </c>
      <c r="E429" s="61" t="s">
        <v>4663</v>
      </c>
    </row>
    <row r="430" spans="1:5">
      <c r="A430" s="61" t="s">
        <v>746</v>
      </c>
      <c r="B430" s="54" t="s">
        <v>7581</v>
      </c>
      <c r="C430" s="55" t="s">
        <v>1473</v>
      </c>
      <c r="D430" s="199" t="s">
        <v>1474</v>
      </c>
      <c r="E430" s="61"/>
    </row>
    <row r="431" spans="1:5">
      <c r="A431" s="61" t="s">
        <v>749</v>
      </c>
      <c r="B431" s="54" t="s">
        <v>7581</v>
      </c>
      <c r="C431" s="55" t="s">
        <v>1475</v>
      </c>
      <c r="D431" s="199" t="s">
        <v>1476</v>
      </c>
      <c r="E431" s="61"/>
    </row>
    <row r="432" spans="1:5">
      <c r="A432" s="61" t="s">
        <v>752</v>
      </c>
      <c r="B432" s="54" t="s">
        <v>7581</v>
      </c>
      <c r="C432" s="55" t="s">
        <v>1477</v>
      </c>
      <c r="D432" s="199" t="s">
        <v>1478</v>
      </c>
      <c r="E432" s="61"/>
    </row>
    <row r="433" spans="1:5">
      <c r="A433" s="61" t="s">
        <v>746</v>
      </c>
      <c r="B433" s="54" t="s">
        <v>7581</v>
      </c>
      <c r="C433" s="55" t="s">
        <v>1479</v>
      </c>
      <c r="D433" s="199" t="s">
        <v>1480</v>
      </c>
      <c r="E433" s="61"/>
    </row>
    <row r="434" spans="1:5">
      <c r="A434" s="61" t="s">
        <v>749</v>
      </c>
      <c r="B434" s="54" t="s">
        <v>7581</v>
      </c>
      <c r="C434" s="55" t="s">
        <v>1481</v>
      </c>
      <c r="D434" s="199" t="s">
        <v>1482</v>
      </c>
      <c r="E434" s="61"/>
    </row>
    <row r="435" spans="1:5">
      <c r="A435" s="61" t="s">
        <v>752</v>
      </c>
      <c r="B435" s="54" t="s">
        <v>7581</v>
      </c>
      <c r="C435" s="55" t="s">
        <v>1483</v>
      </c>
      <c r="D435" s="199" t="s">
        <v>1484</v>
      </c>
      <c r="E435" s="61"/>
    </row>
    <row r="436" spans="1:5">
      <c r="A436" s="61" t="s">
        <v>746</v>
      </c>
      <c r="B436" s="54" t="s">
        <v>7581</v>
      </c>
      <c r="C436" s="55" t="s">
        <v>1485</v>
      </c>
      <c r="D436" s="61" t="s">
        <v>1486</v>
      </c>
      <c r="E436" s="61" t="s">
        <v>7582</v>
      </c>
    </row>
    <row r="437" spans="1:5">
      <c r="A437" s="61" t="s">
        <v>749</v>
      </c>
      <c r="B437" s="54" t="s">
        <v>7581</v>
      </c>
      <c r="C437" s="55" t="s">
        <v>1487</v>
      </c>
      <c r="D437" s="61" t="s">
        <v>1488</v>
      </c>
      <c r="E437" s="61" t="s">
        <v>7582</v>
      </c>
    </row>
    <row r="438" spans="1:5">
      <c r="A438" s="61" t="s">
        <v>752</v>
      </c>
      <c r="B438" s="54" t="s">
        <v>7581</v>
      </c>
      <c r="C438" s="55" t="s">
        <v>1489</v>
      </c>
      <c r="D438" s="61" t="s">
        <v>1490</v>
      </c>
      <c r="E438" s="61" t="s">
        <v>7582</v>
      </c>
    </row>
    <row r="439" spans="1:5">
      <c r="A439" s="61" t="s">
        <v>746</v>
      </c>
      <c r="B439" s="54" t="s">
        <v>7581</v>
      </c>
      <c r="C439" s="55" t="s">
        <v>1491</v>
      </c>
      <c r="D439" s="56" t="s">
        <v>1492</v>
      </c>
      <c r="E439" s="61"/>
    </row>
    <row r="440" spans="1:5">
      <c r="A440" s="61" t="s">
        <v>749</v>
      </c>
      <c r="B440" s="54" t="s">
        <v>7581</v>
      </c>
      <c r="C440" s="55" t="s">
        <v>1493</v>
      </c>
      <c r="D440" s="56" t="s">
        <v>1494</v>
      </c>
      <c r="E440" s="61"/>
    </row>
    <row r="441" spans="1:5">
      <c r="A441" s="61" t="s">
        <v>752</v>
      </c>
      <c r="B441" s="54" t="s">
        <v>7581</v>
      </c>
      <c r="C441" s="55" t="s">
        <v>1495</v>
      </c>
      <c r="D441" s="56" t="s">
        <v>1496</v>
      </c>
      <c r="E441" s="61"/>
    </row>
    <row r="442" spans="1:5">
      <c r="A442" s="61" t="s">
        <v>749</v>
      </c>
      <c r="B442" s="54" t="s">
        <v>7581</v>
      </c>
      <c r="C442" s="55" t="s">
        <v>1497</v>
      </c>
      <c r="D442" s="205" t="s">
        <v>1498</v>
      </c>
      <c r="E442" s="61"/>
    </row>
    <row r="443" spans="1:5">
      <c r="A443" s="61" t="s">
        <v>746</v>
      </c>
      <c r="B443" s="54" t="s">
        <v>7581</v>
      </c>
      <c r="C443" s="55" t="s">
        <v>1499</v>
      </c>
      <c r="D443" s="61" t="s">
        <v>1500</v>
      </c>
      <c r="E443" s="61"/>
    </row>
    <row r="444" spans="1:5">
      <c r="A444" s="61" t="s">
        <v>749</v>
      </c>
      <c r="B444" s="54" t="s">
        <v>7581</v>
      </c>
      <c r="C444" s="55" t="s">
        <v>1501</v>
      </c>
      <c r="D444" s="61" t="s">
        <v>1502</v>
      </c>
      <c r="E444" s="61"/>
    </row>
    <row r="445" spans="1:5">
      <c r="A445" s="61" t="s">
        <v>752</v>
      </c>
      <c r="B445" s="54" t="s">
        <v>7581</v>
      </c>
      <c r="C445" s="55" t="s">
        <v>1503</v>
      </c>
      <c r="D445" s="61" t="s">
        <v>1504</v>
      </c>
      <c r="E445" s="61"/>
    </row>
    <row r="446" spans="1:5">
      <c r="A446" s="61" t="s">
        <v>746</v>
      </c>
      <c r="B446" s="54" t="s">
        <v>7581</v>
      </c>
      <c r="C446" s="55" t="s">
        <v>1505</v>
      </c>
      <c r="D446" s="61" t="s">
        <v>1506</v>
      </c>
      <c r="E446" s="61"/>
    </row>
    <row r="447" spans="1:5">
      <c r="A447" s="61" t="s">
        <v>749</v>
      </c>
      <c r="B447" s="54" t="s">
        <v>7581</v>
      </c>
      <c r="C447" s="55" t="s">
        <v>1507</v>
      </c>
      <c r="D447" s="61" t="s">
        <v>1508</v>
      </c>
      <c r="E447" s="61"/>
    </row>
    <row r="448" spans="1:5">
      <c r="A448" s="61" t="s">
        <v>752</v>
      </c>
      <c r="B448" s="54" t="s">
        <v>7581</v>
      </c>
      <c r="C448" s="55" t="s">
        <v>1509</v>
      </c>
      <c r="D448" s="61" t="s">
        <v>1510</v>
      </c>
      <c r="E448" s="61"/>
    </row>
    <row r="449" spans="1:5">
      <c r="A449" s="61" t="s">
        <v>746</v>
      </c>
      <c r="B449" s="54" t="s">
        <v>7581</v>
      </c>
      <c r="C449" s="55" t="s">
        <v>1511</v>
      </c>
      <c r="D449" s="61" t="s">
        <v>1512</v>
      </c>
      <c r="E449" s="61"/>
    </row>
    <row r="450" spans="1:5">
      <c r="A450" s="61" t="s">
        <v>749</v>
      </c>
      <c r="B450" s="54" t="s">
        <v>7581</v>
      </c>
      <c r="C450" s="55" t="s">
        <v>1513</v>
      </c>
      <c r="D450" s="61" t="s">
        <v>1514</v>
      </c>
      <c r="E450" s="61"/>
    </row>
    <row r="451" spans="1:5">
      <c r="A451" s="61" t="s">
        <v>752</v>
      </c>
      <c r="B451" s="54" t="s">
        <v>7581</v>
      </c>
      <c r="C451" s="55" t="s">
        <v>1515</v>
      </c>
      <c r="D451" s="61" t="s">
        <v>1516</v>
      </c>
      <c r="E451" s="61"/>
    </row>
    <row r="452" spans="1:5">
      <c r="A452" s="61" t="s">
        <v>746</v>
      </c>
      <c r="B452" s="54" t="s">
        <v>7581</v>
      </c>
      <c r="C452" s="55" t="s">
        <v>1517</v>
      </c>
      <c r="D452" s="61" t="s">
        <v>1518</v>
      </c>
      <c r="E452" s="61" t="s">
        <v>7272</v>
      </c>
    </row>
    <row r="453" spans="1:5">
      <c r="A453" s="61" t="s">
        <v>749</v>
      </c>
      <c r="B453" s="54" t="s">
        <v>7581</v>
      </c>
      <c r="C453" s="55" t="s">
        <v>1519</v>
      </c>
      <c r="D453" s="61" t="s">
        <v>1520</v>
      </c>
      <c r="E453" s="61" t="s">
        <v>7272</v>
      </c>
    </row>
    <row r="454" spans="1:5">
      <c r="A454" s="61" t="s">
        <v>752</v>
      </c>
      <c r="B454" s="54" t="s">
        <v>7581</v>
      </c>
      <c r="C454" s="55" t="s">
        <v>1521</v>
      </c>
      <c r="D454" s="61" t="s">
        <v>1522</v>
      </c>
      <c r="E454" s="61" t="s">
        <v>7272</v>
      </c>
    </row>
    <row r="455" spans="1:5">
      <c r="A455" s="61" t="s">
        <v>746</v>
      </c>
      <c r="B455" s="54" t="s">
        <v>7581</v>
      </c>
      <c r="C455" s="55" t="s">
        <v>1523</v>
      </c>
      <c r="D455" s="56" t="s">
        <v>1524</v>
      </c>
      <c r="E455" s="61"/>
    </row>
    <row r="456" spans="1:5">
      <c r="A456" s="61" t="s">
        <v>749</v>
      </c>
      <c r="B456" s="54" t="s">
        <v>7581</v>
      </c>
      <c r="C456" s="55" t="s">
        <v>1525</v>
      </c>
      <c r="D456" s="56" t="s">
        <v>1526</v>
      </c>
      <c r="E456" s="61"/>
    </row>
    <row r="457" spans="1:5">
      <c r="A457" s="61" t="s">
        <v>752</v>
      </c>
      <c r="B457" s="54" t="s">
        <v>7581</v>
      </c>
      <c r="C457" s="55" t="s">
        <v>1527</v>
      </c>
      <c r="D457" s="56" t="s">
        <v>1528</v>
      </c>
      <c r="E457" s="61"/>
    </row>
    <row r="458" spans="1:5">
      <c r="A458" s="61" t="s">
        <v>746</v>
      </c>
      <c r="B458" s="54" t="s">
        <v>7581</v>
      </c>
      <c r="C458" s="55" t="s">
        <v>1529</v>
      </c>
      <c r="D458" s="61" t="s">
        <v>1530</v>
      </c>
      <c r="E458" s="61"/>
    </row>
    <row r="459" spans="1:5">
      <c r="A459" s="61" t="s">
        <v>749</v>
      </c>
      <c r="B459" s="54" t="s">
        <v>7581</v>
      </c>
      <c r="C459" s="55" t="s">
        <v>1531</v>
      </c>
      <c r="D459" s="61" t="s">
        <v>1532</v>
      </c>
      <c r="E459" s="61"/>
    </row>
    <row r="460" spans="1:5">
      <c r="A460" s="61" t="s">
        <v>752</v>
      </c>
      <c r="B460" s="54" t="s">
        <v>7581</v>
      </c>
      <c r="C460" s="55" t="s">
        <v>1533</v>
      </c>
      <c r="D460" s="61" t="s">
        <v>1534</v>
      </c>
      <c r="E460" s="61"/>
    </row>
    <row r="461" spans="1:5">
      <c r="A461" s="61" t="s">
        <v>746</v>
      </c>
      <c r="B461" s="54" t="s">
        <v>7581</v>
      </c>
      <c r="C461" s="55" t="s">
        <v>1535</v>
      </c>
      <c r="D461" s="56" t="s">
        <v>1536</v>
      </c>
      <c r="E461" s="61"/>
    </row>
    <row r="462" spans="1:5">
      <c r="A462" s="61" t="s">
        <v>749</v>
      </c>
      <c r="B462" s="54" t="s">
        <v>7581</v>
      </c>
      <c r="C462" s="55" t="s">
        <v>1537</v>
      </c>
      <c r="D462" s="56" t="s">
        <v>1538</v>
      </c>
      <c r="E462" s="61"/>
    </row>
    <row r="463" spans="1:5">
      <c r="A463" s="61" t="s">
        <v>752</v>
      </c>
      <c r="B463" s="54" t="s">
        <v>7581</v>
      </c>
      <c r="C463" s="55" t="s">
        <v>1539</v>
      </c>
      <c r="D463" s="56" t="s">
        <v>1540</v>
      </c>
      <c r="E463" s="61"/>
    </row>
    <row r="464" spans="1:5">
      <c r="A464" s="61" t="s">
        <v>746</v>
      </c>
      <c r="B464" s="54" t="s">
        <v>7581</v>
      </c>
      <c r="C464" s="55" t="s">
        <v>1541</v>
      </c>
      <c r="D464" s="56" t="s">
        <v>1542</v>
      </c>
      <c r="E464" s="61"/>
    </row>
    <row r="465" spans="1:5">
      <c r="A465" s="61" t="s">
        <v>749</v>
      </c>
      <c r="B465" s="54" t="s">
        <v>7581</v>
      </c>
      <c r="C465" s="55" t="s">
        <v>1543</v>
      </c>
      <c r="D465" s="56" t="s">
        <v>1544</v>
      </c>
      <c r="E465" s="61"/>
    </row>
    <row r="466" spans="1:5">
      <c r="A466" s="61" t="s">
        <v>752</v>
      </c>
      <c r="B466" s="54" t="s">
        <v>7581</v>
      </c>
      <c r="C466" s="55" t="s">
        <v>1545</v>
      </c>
      <c r="D466" s="56" t="s">
        <v>1546</v>
      </c>
      <c r="E466" s="61"/>
    </row>
    <row r="467" spans="1:5">
      <c r="A467" s="61" t="s">
        <v>746</v>
      </c>
      <c r="B467" s="54" t="s">
        <v>7581</v>
      </c>
      <c r="C467" s="55" t="s">
        <v>1547</v>
      </c>
      <c r="D467" s="56" t="s">
        <v>1548</v>
      </c>
      <c r="E467" s="61"/>
    </row>
    <row r="468" spans="1:5">
      <c r="A468" s="61" t="s">
        <v>749</v>
      </c>
      <c r="B468" s="54" t="s">
        <v>7581</v>
      </c>
      <c r="C468" s="55" t="s">
        <v>1549</v>
      </c>
      <c r="D468" s="56" t="s">
        <v>1550</v>
      </c>
      <c r="E468" s="61"/>
    </row>
    <row r="469" spans="1:5">
      <c r="A469" s="61" t="s">
        <v>752</v>
      </c>
      <c r="B469" s="54" t="s">
        <v>7581</v>
      </c>
      <c r="C469" s="55" t="s">
        <v>1551</v>
      </c>
      <c r="D469" s="56" t="s">
        <v>1552</v>
      </c>
      <c r="E469" s="61"/>
    </row>
    <row r="470" spans="1:5">
      <c r="A470" s="61" t="s">
        <v>746</v>
      </c>
      <c r="B470" s="54" t="s">
        <v>7581</v>
      </c>
      <c r="C470" s="55" t="s">
        <v>1553</v>
      </c>
      <c r="D470" s="56" t="s">
        <v>1554</v>
      </c>
      <c r="E470" s="61"/>
    </row>
    <row r="471" spans="1:5">
      <c r="A471" s="61" t="s">
        <v>749</v>
      </c>
      <c r="B471" s="54" t="s">
        <v>7581</v>
      </c>
      <c r="C471" s="55" t="s">
        <v>1555</v>
      </c>
      <c r="D471" s="56" t="s">
        <v>1556</v>
      </c>
      <c r="E471" s="61"/>
    </row>
    <row r="472" spans="1:5">
      <c r="A472" s="61" t="s">
        <v>752</v>
      </c>
      <c r="B472" s="54" t="s">
        <v>7581</v>
      </c>
      <c r="C472" s="55" t="s">
        <v>1557</v>
      </c>
      <c r="D472" s="56" t="s">
        <v>1558</v>
      </c>
      <c r="E472" s="61"/>
    </row>
    <row r="473" spans="1:5">
      <c r="A473" s="61" t="s">
        <v>746</v>
      </c>
      <c r="B473" s="54" t="s">
        <v>7581</v>
      </c>
      <c r="C473" s="55" t="s">
        <v>1559</v>
      </c>
      <c r="D473" s="56" t="s">
        <v>1560</v>
      </c>
      <c r="E473" s="61"/>
    </row>
    <row r="474" spans="1:5">
      <c r="A474" s="61" t="s">
        <v>749</v>
      </c>
      <c r="B474" s="54" t="s">
        <v>7581</v>
      </c>
      <c r="C474" s="55" t="s">
        <v>1561</v>
      </c>
      <c r="D474" s="56" t="s">
        <v>1562</v>
      </c>
      <c r="E474" s="61"/>
    </row>
    <row r="475" spans="1:5">
      <c r="A475" s="61" t="s">
        <v>752</v>
      </c>
      <c r="B475" s="54" t="s">
        <v>7581</v>
      </c>
      <c r="C475" s="55" t="s">
        <v>1563</v>
      </c>
      <c r="D475" s="56" t="s">
        <v>1564</v>
      </c>
      <c r="E475" s="61"/>
    </row>
    <row r="476" spans="1:5">
      <c r="A476" s="61" t="s">
        <v>723</v>
      </c>
      <c r="B476" s="54" t="s">
        <v>7556</v>
      </c>
      <c r="C476" s="55" t="s">
        <v>1565</v>
      </c>
      <c r="D476" s="56" t="s">
        <v>1566</v>
      </c>
      <c r="E476" s="61" t="s">
        <v>4667</v>
      </c>
    </row>
    <row r="477" spans="1:5">
      <c r="A477" s="61" t="s">
        <v>723</v>
      </c>
      <c r="B477" s="54" t="s">
        <v>7556</v>
      </c>
      <c r="C477" s="55" t="s">
        <v>1567</v>
      </c>
      <c r="D477" s="56" t="s">
        <v>1568</v>
      </c>
      <c r="E477" s="61" t="s">
        <v>4667</v>
      </c>
    </row>
    <row r="478" spans="1:5">
      <c r="A478" s="61" t="s">
        <v>723</v>
      </c>
      <c r="B478" s="54" t="s">
        <v>7556</v>
      </c>
      <c r="C478" s="55" t="s">
        <v>1569</v>
      </c>
      <c r="D478" s="61" t="s">
        <v>1570</v>
      </c>
      <c r="E478" s="61" t="s">
        <v>7583</v>
      </c>
    </row>
    <row r="479" spans="1:5">
      <c r="A479" s="61"/>
      <c r="B479" s="54"/>
      <c r="C479" s="55"/>
      <c r="D479" s="61"/>
      <c r="E479" s="61"/>
    </row>
    <row r="480" spans="1:5">
      <c r="A480" s="61"/>
      <c r="B480" s="54"/>
      <c r="C480" s="55"/>
      <c r="D480" s="61"/>
      <c r="E480" s="61"/>
    </row>
    <row r="481" spans="1:5">
      <c r="A481" s="61"/>
      <c r="B481" s="54"/>
      <c r="C481" s="55"/>
      <c r="D481" s="61"/>
      <c r="E481" s="61"/>
    </row>
    <row r="482" spans="1:5">
      <c r="A482" s="61"/>
      <c r="B482" s="54"/>
      <c r="C482" s="55"/>
      <c r="D482" s="61"/>
      <c r="E482" s="61"/>
    </row>
    <row r="483" spans="1:5">
      <c r="A483" s="61" t="s">
        <v>7584</v>
      </c>
      <c r="B483" s="24"/>
      <c r="C483" s="55" t="s">
        <v>25</v>
      </c>
      <c r="D483" s="61"/>
      <c r="E483" s="6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E483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9"/>
  <sheetViews>
    <sheetView workbookViewId="0">
      <pane ySplit="1" topLeftCell="A2" activePane="bottomLeft" state="frozen"/>
      <selection/>
      <selection pane="bottomLeft" activeCell="B80" sqref="B80"/>
    </sheetView>
  </sheetViews>
  <sheetFormatPr defaultColWidth="9" defaultRowHeight="13.5" outlineLevelCol="3"/>
  <cols>
    <col min="1" max="1" width="16.75" style="14" customWidth="1"/>
    <col min="2" max="2" width="39.375" style="52" customWidth="1"/>
    <col min="3" max="3" width="46.75" style="52" customWidth="1"/>
    <col min="4" max="4" width="25.625" style="52" customWidth="1"/>
  </cols>
  <sheetData>
    <row r="1" ht="18.75" spans="1:4">
      <c r="A1" s="15" t="s">
        <v>7540</v>
      </c>
      <c r="B1" s="195" t="s">
        <v>8</v>
      </c>
      <c r="C1" s="195" t="s">
        <v>22</v>
      </c>
      <c r="D1" s="15" t="s">
        <v>3284</v>
      </c>
    </row>
    <row r="2" spans="1:4">
      <c r="A2" s="54" t="s">
        <v>7542</v>
      </c>
      <c r="B2" s="55" t="s">
        <v>1571</v>
      </c>
      <c r="C2" s="61" t="s">
        <v>1572</v>
      </c>
      <c r="D2" s="61" t="s">
        <v>7585</v>
      </c>
    </row>
    <row r="3" spans="1:4">
      <c r="A3" s="54" t="s">
        <v>7546</v>
      </c>
      <c r="B3" s="55" t="s">
        <v>1574</v>
      </c>
      <c r="C3" s="61" t="s">
        <v>1575</v>
      </c>
      <c r="D3" s="61"/>
    </row>
    <row r="4" spans="1:4">
      <c r="A4" s="54" t="s">
        <v>7546</v>
      </c>
      <c r="B4" s="55" t="s">
        <v>1576</v>
      </c>
      <c r="C4" s="61" t="s">
        <v>833</v>
      </c>
      <c r="D4" s="61"/>
    </row>
    <row r="5" spans="1:4">
      <c r="A5" s="24" t="s">
        <v>7566</v>
      </c>
      <c r="B5" s="55" t="s">
        <v>1577</v>
      </c>
      <c r="C5" s="56" t="s">
        <v>848</v>
      </c>
      <c r="D5" s="61"/>
    </row>
    <row r="6" spans="1:4">
      <c r="A6" s="24" t="s">
        <v>7566</v>
      </c>
      <c r="B6" s="55" t="s">
        <v>1578</v>
      </c>
      <c r="C6" s="205" t="s">
        <v>1579</v>
      </c>
      <c r="D6" s="61"/>
    </row>
    <row r="7" spans="1:4">
      <c r="A7" s="24" t="s">
        <v>7566</v>
      </c>
      <c r="B7" s="55" t="s">
        <v>1580</v>
      </c>
      <c r="C7" s="56" t="s">
        <v>854</v>
      </c>
      <c r="D7" s="61"/>
    </row>
    <row r="8" spans="1:4">
      <c r="A8" s="24" t="s">
        <v>7566</v>
      </c>
      <c r="B8" s="55" t="s">
        <v>1581</v>
      </c>
      <c r="C8" s="205" t="s">
        <v>1582</v>
      </c>
      <c r="D8" s="61"/>
    </row>
    <row r="9" spans="1:4">
      <c r="A9" s="24" t="s">
        <v>7566</v>
      </c>
      <c r="B9" s="55" t="s">
        <v>1583</v>
      </c>
      <c r="C9" s="56" t="s">
        <v>860</v>
      </c>
      <c r="D9" s="61"/>
    </row>
    <row r="10" spans="1:4">
      <c r="A10" s="24" t="s">
        <v>7566</v>
      </c>
      <c r="B10" s="55" t="s">
        <v>1584</v>
      </c>
      <c r="C10" s="205" t="s">
        <v>1585</v>
      </c>
      <c r="D10" s="61"/>
    </row>
    <row r="11" spans="1:4">
      <c r="A11" s="24" t="s">
        <v>7566</v>
      </c>
      <c r="B11" s="55" t="s">
        <v>1586</v>
      </c>
      <c r="C11" s="56" t="s">
        <v>866</v>
      </c>
      <c r="D11" s="61"/>
    </row>
    <row r="12" spans="1:4">
      <c r="A12" s="24" t="s">
        <v>7566</v>
      </c>
      <c r="B12" s="55" t="s">
        <v>1587</v>
      </c>
      <c r="C12" s="56" t="s">
        <v>1588</v>
      </c>
      <c r="D12" s="61"/>
    </row>
    <row r="13" spans="1:4">
      <c r="A13" s="24" t="s">
        <v>7566</v>
      </c>
      <c r="B13" s="55" t="s">
        <v>1589</v>
      </c>
      <c r="C13" s="61" t="s">
        <v>884</v>
      </c>
      <c r="D13" s="61" t="s">
        <v>7586</v>
      </c>
    </row>
    <row r="14" spans="1:4">
      <c r="A14" s="24" t="s">
        <v>7566</v>
      </c>
      <c r="B14" s="55" t="s">
        <v>1590</v>
      </c>
      <c r="C14" s="56" t="s">
        <v>888</v>
      </c>
      <c r="D14" s="61"/>
    </row>
    <row r="15" spans="1:4">
      <c r="A15" s="24" t="s">
        <v>7566</v>
      </c>
      <c r="B15" s="55" t="s">
        <v>1591</v>
      </c>
      <c r="C15" s="61" t="s">
        <v>1592</v>
      </c>
      <c r="D15" s="61"/>
    </row>
    <row r="16" spans="1:4">
      <c r="A16" s="24" t="s">
        <v>7566</v>
      </c>
      <c r="B16" s="55" t="s">
        <v>1593</v>
      </c>
      <c r="C16" s="56" t="s">
        <v>896</v>
      </c>
      <c r="D16" s="61"/>
    </row>
    <row r="17" spans="1:4">
      <c r="A17" s="24" t="s">
        <v>7566</v>
      </c>
      <c r="B17" s="55" t="s">
        <v>1594</v>
      </c>
      <c r="C17" s="205" t="s">
        <v>1595</v>
      </c>
      <c r="D17" s="61"/>
    </row>
    <row r="18" spans="1:4">
      <c r="A18" s="24" t="s">
        <v>7566</v>
      </c>
      <c r="B18" s="55" t="s">
        <v>1596</v>
      </c>
      <c r="C18" s="61" t="s">
        <v>1597</v>
      </c>
      <c r="D18" s="61"/>
    </row>
    <row r="19" spans="1:4">
      <c r="A19" s="24" t="s">
        <v>7566</v>
      </c>
      <c r="B19" s="55" t="s">
        <v>1598</v>
      </c>
      <c r="C19" s="56" t="s">
        <v>902</v>
      </c>
      <c r="D19" s="61"/>
    </row>
    <row r="20" spans="1:4">
      <c r="A20" s="24" t="s">
        <v>7566</v>
      </c>
      <c r="B20" s="55" t="s">
        <v>1599</v>
      </c>
      <c r="C20" s="205" t="s">
        <v>1600</v>
      </c>
      <c r="D20" s="61"/>
    </row>
    <row r="21" spans="1:4">
      <c r="A21" s="24" t="s">
        <v>7566</v>
      </c>
      <c r="B21" s="55" t="s">
        <v>1601</v>
      </c>
      <c r="C21" s="61" t="s">
        <v>1602</v>
      </c>
      <c r="D21" s="61"/>
    </row>
    <row r="22" spans="1:4">
      <c r="A22" s="24" t="s">
        <v>7566</v>
      </c>
      <c r="B22" s="55" t="s">
        <v>1603</v>
      </c>
      <c r="C22" s="56" t="s">
        <v>908</v>
      </c>
      <c r="D22" s="61"/>
    </row>
    <row r="23" spans="1:4">
      <c r="A23" s="24" t="s">
        <v>7566</v>
      </c>
      <c r="B23" s="55" t="s">
        <v>1604</v>
      </c>
      <c r="C23" s="61" t="s">
        <v>1605</v>
      </c>
      <c r="D23" s="61"/>
    </row>
    <row r="24" spans="1:4">
      <c r="A24" s="24" t="s">
        <v>7566</v>
      </c>
      <c r="B24" s="55" t="s">
        <v>1606</v>
      </c>
      <c r="C24" s="56" t="s">
        <v>914</v>
      </c>
      <c r="D24" s="61"/>
    </row>
    <row r="25" spans="1:4">
      <c r="A25" s="24" t="s">
        <v>7566</v>
      </c>
      <c r="B25" s="55" t="s">
        <v>1607</v>
      </c>
      <c r="C25" s="205" t="s">
        <v>918</v>
      </c>
      <c r="D25" s="61"/>
    </row>
    <row r="26" spans="1:4">
      <c r="A26" s="24" t="s">
        <v>7566</v>
      </c>
      <c r="B26" s="55" t="s">
        <v>1608</v>
      </c>
      <c r="C26" s="61" t="s">
        <v>1609</v>
      </c>
      <c r="D26" s="61"/>
    </row>
    <row r="27" spans="1:4">
      <c r="A27" s="24" t="s">
        <v>7566</v>
      </c>
      <c r="B27" s="55" t="s">
        <v>1610</v>
      </c>
      <c r="C27" s="56" t="s">
        <v>923</v>
      </c>
      <c r="D27" s="61"/>
    </row>
    <row r="28" spans="1:4">
      <c r="A28" s="24" t="s">
        <v>7566</v>
      </c>
      <c r="B28" s="55" t="s">
        <v>1611</v>
      </c>
      <c r="C28" s="61" t="s">
        <v>1612</v>
      </c>
      <c r="D28" s="61"/>
    </row>
    <row r="29" spans="1:4">
      <c r="A29" s="24" t="s">
        <v>7566</v>
      </c>
      <c r="B29" s="55" t="s">
        <v>1613</v>
      </c>
      <c r="C29" s="56" t="s">
        <v>929</v>
      </c>
      <c r="D29" s="61"/>
    </row>
    <row r="30" spans="1:4">
      <c r="A30" s="24" t="s">
        <v>7566</v>
      </c>
      <c r="B30" s="55" t="s">
        <v>1614</v>
      </c>
      <c r="C30" s="205" t="s">
        <v>1615</v>
      </c>
      <c r="D30" s="61"/>
    </row>
    <row r="31" spans="1:4">
      <c r="A31" s="24" t="s">
        <v>7566</v>
      </c>
      <c r="B31" s="55" t="s">
        <v>1616</v>
      </c>
      <c r="C31" s="56" t="s">
        <v>1617</v>
      </c>
      <c r="D31" s="61"/>
    </row>
    <row r="32" spans="1:4">
      <c r="A32" s="24" t="s">
        <v>7566</v>
      </c>
      <c r="B32" s="55" t="s">
        <v>1618</v>
      </c>
      <c r="C32" s="56" t="s">
        <v>1619</v>
      </c>
      <c r="D32" s="61"/>
    </row>
    <row r="33" spans="1:4">
      <c r="A33" s="24" t="s">
        <v>7566</v>
      </c>
      <c r="B33" s="55" t="s">
        <v>1620</v>
      </c>
      <c r="C33" s="61" t="s">
        <v>1621</v>
      </c>
      <c r="D33" s="61"/>
    </row>
    <row r="34" spans="1:4">
      <c r="A34" s="24" t="s">
        <v>7547</v>
      </c>
      <c r="B34" s="55" t="s">
        <v>1622</v>
      </c>
      <c r="C34" s="61" t="s">
        <v>1623</v>
      </c>
      <c r="D34" s="61"/>
    </row>
    <row r="35" spans="1:4">
      <c r="A35" s="24" t="s">
        <v>7547</v>
      </c>
      <c r="B35" s="55" t="s">
        <v>1624</v>
      </c>
      <c r="C35" s="61" t="s">
        <v>1625</v>
      </c>
      <c r="D35" s="61"/>
    </row>
    <row r="36" spans="1:4">
      <c r="A36" s="24" t="s">
        <v>7547</v>
      </c>
      <c r="B36" s="55" t="s">
        <v>1626</v>
      </c>
      <c r="C36" s="56" t="s">
        <v>1627</v>
      </c>
      <c r="D36" s="61"/>
    </row>
    <row r="37" spans="1:4">
      <c r="A37" s="24" t="s">
        <v>7547</v>
      </c>
      <c r="B37" s="55" t="s">
        <v>1628</v>
      </c>
      <c r="C37" s="56" t="s">
        <v>1629</v>
      </c>
      <c r="D37" s="61"/>
    </row>
    <row r="38" spans="1:4">
      <c r="A38" s="24" t="s">
        <v>7547</v>
      </c>
      <c r="B38" s="55" t="s">
        <v>1630</v>
      </c>
      <c r="C38" s="56" t="s">
        <v>1631</v>
      </c>
      <c r="D38" s="61"/>
    </row>
    <row r="39" spans="1:4">
      <c r="A39" s="24" t="s">
        <v>7547</v>
      </c>
      <c r="B39" s="55" t="s">
        <v>1632</v>
      </c>
      <c r="C39" s="56" t="s">
        <v>1633</v>
      </c>
      <c r="D39" s="61"/>
    </row>
    <row r="40" spans="1:4">
      <c r="A40" s="24" t="s">
        <v>7547</v>
      </c>
      <c r="B40" s="55" t="s">
        <v>1634</v>
      </c>
      <c r="C40" s="56" t="s">
        <v>1635</v>
      </c>
      <c r="D40" s="61"/>
    </row>
    <row r="41" spans="1:4">
      <c r="A41" s="24" t="s">
        <v>7547</v>
      </c>
      <c r="B41" s="55" t="s">
        <v>1636</v>
      </c>
      <c r="C41" s="199" t="s">
        <v>228</v>
      </c>
      <c r="D41" s="61"/>
    </row>
    <row r="42" spans="1:4">
      <c r="A42" s="24" t="s">
        <v>7547</v>
      </c>
      <c r="B42" s="55" t="s">
        <v>1637</v>
      </c>
      <c r="C42" s="205" t="s">
        <v>1638</v>
      </c>
      <c r="D42" s="61"/>
    </row>
    <row r="43" spans="1:4">
      <c r="A43" s="24" t="s">
        <v>7547</v>
      </c>
      <c r="B43" s="55" t="s">
        <v>1639</v>
      </c>
      <c r="C43" s="205" t="s">
        <v>1640</v>
      </c>
      <c r="D43" s="61"/>
    </row>
    <row r="44" spans="1:4">
      <c r="A44" s="24" t="s">
        <v>7547</v>
      </c>
      <c r="B44" s="55" t="s">
        <v>1641</v>
      </c>
      <c r="C44" s="56" t="s">
        <v>1642</v>
      </c>
      <c r="D44" s="61"/>
    </row>
    <row r="45" spans="1:4">
      <c r="A45" s="24" t="s">
        <v>7547</v>
      </c>
      <c r="B45" s="55" t="s">
        <v>1643</v>
      </c>
      <c r="C45" s="61" t="s">
        <v>1644</v>
      </c>
      <c r="D45" s="61"/>
    </row>
    <row r="46" spans="1:4">
      <c r="A46" s="24" t="s">
        <v>7547</v>
      </c>
      <c r="B46" s="55" t="s">
        <v>1645</v>
      </c>
      <c r="C46" s="61" t="s">
        <v>1646</v>
      </c>
      <c r="D46" s="61"/>
    </row>
    <row r="47" spans="1:4">
      <c r="A47" s="24" t="s">
        <v>7547</v>
      </c>
      <c r="B47" s="55" t="s">
        <v>1647</v>
      </c>
      <c r="C47" s="61" t="s">
        <v>1648</v>
      </c>
      <c r="D47" s="61"/>
    </row>
    <row r="48" spans="1:4">
      <c r="A48" s="24" t="s">
        <v>7547</v>
      </c>
      <c r="B48" s="55" t="s">
        <v>1649</v>
      </c>
      <c r="C48" s="61" t="s">
        <v>1650</v>
      </c>
      <c r="D48" s="61" t="s">
        <v>7587</v>
      </c>
    </row>
    <row r="49" spans="1:4">
      <c r="A49" s="24" t="s">
        <v>7547</v>
      </c>
      <c r="B49" s="55" t="s">
        <v>1651</v>
      </c>
      <c r="C49" s="56" t="s">
        <v>1652</v>
      </c>
      <c r="D49" s="61"/>
    </row>
    <row r="50" spans="1:4">
      <c r="A50" s="24" t="s">
        <v>7547</v>
      </c>
      <c r="B50" s="55" t="s">
        <v>1653</v>
      </c>
      <c r="C50" s="61" t="s">
        <v>1654</v>
      </c>
      <c r="D50" s="61" t="s">
        <v>7588</v>
      </c>
    </row>
    <row r="51" spans="1:4">
      <c r="A51" s="24" t="s">
        <v>7547</v>
      </c>
      <c r="B51" s="55" t="s">
        <v>1655</v>
      </c>
      <c r="C51" s="56" t="s">
        <v>1656</v>
      </c>
      <c r="D51" s="61"/>
    </row>
    <row r="52" spans="1:4">
      <c r="A52" s="24" t="s">
        <v>7547</v>
      </c>
      <c r="B52" s="55" t="s">
        <v>1657</v>
      </c>
      <c r="C52" s="56" t="s">
        <v>250</v>
      </c>
      <c r="D52" s="61"/>
    </row>
    <row r="53" spans="1:4">
      <c r="A53" s="24" t="s">
        <v>7547</v>
      </c>
      <c r="B53" s="55" t="s">
        <v>1658</v>
      </c>
      <c r="C53" s="56" t="s">
        <v>1659</v>
      </c>
      <c r="D53" s="61"/>
    </row>
    <row r="54" spans="1:4">
      <c r="A54" s="24" t="s">
        <v>7547</v>
      </c>
      <c r="B54" s="55" t="s">
        <v>1660</v>
      </c>
      <c r="C54" s="61" t="s">
        <v>1661</v>
      </c>
      <c r="D54" s="61"/>
    </row>
    <row r="55" spans="1:4">
      <c r="A55" s="24" t="s">
        <v>7547</v>
      </c>
      <c r="B55" s="55" t="s">
        <v>1662</v>
      </c>
      <c r="C55" s="56" t="s">
        <v>1663</v>
      </c>
      <c r="D55" s="61"/>
    </row>
    <row r="56" spans="1:4">
      <c r="A56" s="54" t="s">
        <v>7548</v>
      </c>
      <c r="B56" s="55" t="s">
        <v>1664</v>
      </c>
      <c r="C56" s="56" t="s">
        <v>1048</v>
      </c>
      <c r="D56" s="61"/>
    </row>
    <row r="57" spans="1:4">
      <c r="A57" s="54" t="s">
        <v>7548</v>
      </c>
      <c r="B57" s="55" t="s">
        <v>1665</v>
      </c>
      <c r="C57" s="61" t="s">
        <v>1666</v>
      </c>
      <c r="D57" s="61"/>
    </row>
    <row r="58" spans="1:4">
      <c r="A58" s="54" t="s">
        <v>7548</v>
      </c>
      <c r="B58" s="55"/>
      <c r="C58" s="199" t="s">
        <v>1667</v>
      </c>
      <c r="D58" s="61"/>
    </row>
    <row r="59" spans="1:4">
      <c r="A59" s="54" t="s">
        <v>7548</v>
      </c>
      <c r="B59" s="55" t="s">
        <v>1668</v>
      </c>
      <c r="C59" s="199" t="s">
        <v>1669</v>
      </c>
      <c r="D59" s="61"/>
    </row>
    <row r="60" spans="1:4">
      <c r="A60" s="54" t="s">
        <v>7548</v>
      </c>
      <c r="B60" s="55" t="s">
        <v>1670</v>
      </c>
      <c r="C60" s="199" t="s">
        <v>1671</v>
      </c>
      <c r="D60" s="61"/>
    </row>
    <row r="61" spans="1:4">
      <c r="A61" s="54" t="s">
        <v>7548</v>
      </c>
      <c r="B61" s="55" t="s">
        <v>1672</v>
      </c>
      <c r="C61" s="199" t="s">
        <v>1673</v>
      </c>
      <c r="D61" s="61"/>
    </row>
    <row r="62" spans="1:4">
      <c r="A62" s="54" t="s">
        <v>7548</v>
      </c>
      <c r="B62" s="55"/>
      <c r="C62" s="61" t="s">
        <v>1674</v>
      </c>
      <c r="D62" s="61"/>
    </row>
    <row r="63" spans="1:4">
      <c r="A63" s="54" t="s">
        <v>7548</v>
      </c>
      <c r="B63" s="55" t="s">
        <v>1675</v>
      </c>
      <c r="C63" s="61" t="s">
        <v>1676</v>
      </c>
      <c r="D63" s="61"/>
    </row>
    <row r="64" spans="1:4">
      <c r="A64" s="54" t="s">
        <v>7548</v>
      </c>
      <c r="B64" s="55"/>
      <c r="C64" s="61" t="s">
        <v>1677</v>
      </c>
      <c r="D64" s="61"/>
    </row>
    <row r="65" spans="1:4">
      <c r="A65" s="54" t="s">
        <v>7548</v>
      </c>
      <c r="B65" s="55" t="s">
        <v>1678</v>
      </c>
      <c r="C65" s="61" t="s">
        <v>1679</v>
      </c>
      <c r="D65" s="61"/>
    </row>
    <row r="66" spans="1:4">
      <c r="A66" s="54" t="s">
        <v>7548</v>
      </c>
      <c r="B66" s="55" t="s">
        <v>1680</v>
      </c>
      <c r="C66" s="61" t="s">
        <v>1681</v>
      </c>
      <c r="D66" s="61"/>
    </row>
    <row r="67" spans="1:4">
      <c r="A67" s="54" t="s">
        <v>7548</v>
      </c>
      <c r="B67" s="55" t="s">
        <v>1682</v>
      </c>
      <c r="C67" s="61" t="s">
        <v>1683</v>
      </c>
      <c r="D67" s="61"/>
    </row>
    <row r="68" spans="1:4">
      <c r="A68" s="54" t="s">
        <v>7548</v>
      </c>
      <c r="B68" s="55" t="s">
        <v>1684</v>
      </c>
      <c r="C68" s="56" t="s">
        <v>1685</v>
      </c>
      <c r="D68" s="61"/>
    </row>
    <row r="69" spans="1:4">
      <c r="A69" s="54" t="s">
        <v>7548</v>
      </c>
      <c r="B69" s="55" t="s">
        <v>1686</v>
      </c>
      <c r="C69" s="56" t="s">
        <v>1687</v>
      </c>
      <c r="D69" s="61"/>
    </row>
    <row r="70" spans="1:4">
      <c r="A70" s="54" t="s">
        <v>7548</v>
      </c>
      <c r="B70" s="55" t="s">
        <v>1688</v>
      </c>
      <c r="C70" s="56" t="s">
        <v>1689</v>
      </c>
      <c r="D70" s="61"/>
    </row>
    <row r="71" spans="1:4">
      <c r="A71" s="54" t="s">
        <v>7548</v>
      </c>
      <c r="B71" s="55" t="s">
        <v>1690</v>
      </c>
      <c r="C71" s="56" t="s">
        <v>1691</v>
      </c>
      <c r="D71" s="61"/>
    </row>
    <row r="72" spans="1:4">
      <c r="A72" s="54" t="s">
        <v>7548</v>
      </c>
      <c r="B72" s="55" t="s">
        <v>1692</v>
      </c>
      <c r="C72" s="61" t="s">
        <v>1693</v>
      </c>
      <c r="D72" s="61"/>
    </row>
    <row r="73" spans="1:4">
      <c r="A73" s="54" t="s">
        <v>7548</v>
      </c>
      <c r="B73" s="55" t="s">
        <v>1694</v>
      </c>
      <c r="C73" s="56" t="s">
        <v>1074</v>
      </c>
      <c r="D73" s="61"/>
    </row>
    <row r="74" spans="1:4">
      <c r="A74" s="54" t="s">
        <v>7548</v>
      </c>
      <c r="B74" s="55" t="s">
        <v>1695</v>
      </c>
      <c r="C74" s="61" t="s">
        <v>1696</v>
      </c>
      <c r="D74" s="61"/>
    </row>
    <row r="75" spans="1:4">
      <c r="A75" s="54" t="s">
        <v>7548</v>
      </c>
      <c r="B75" s="55" t="s">
        <v>1697</v>
      </c>
      <c r="C75" s="56" t="s">
        <v>304</v>
      </c>
      <c r="D75" s="61"/>
    </row>
    <row r="76" spans="1:4">
      <c r="A76" s="54" t="s">
        <v>7548</v>
      </c>
      <c r="B76" s="55" t="s">
        <v>1698</v>
      </c>
      <c r="C76" s="61" t="s">
        <v>310</v>
      </c>
      <c r="D76" s="61"/>
    </row>
    <row r="77" spans="1:4">
      <c r="A77" s="54" t="s">
        <v>7548</v>
      </c>
      <c r="B77" s="55" t="s">
        <v>1699</v>
      </c>
      <c r="C77" s="61" t="s">
        <v>312</v>
      </c>
      <c r="D77" s="61"/>
    </row>
    <row r="78" spans="1:4">
      <c r="A78" s="54" t="s">
        <v>7548</v>
      </c>
      <c r="B78" s="55"/>
      <c r="C78" s="56" t="s">
        <v>314</v>
      </c>
      <c r="D78" s="61"/>
    </row>
    <row r="79" spans="1:4">
      <c r="A79" s="54" t="s">
        <v>7548</v>
      </c>
      <c r="B79" s="55" t="s">
        <v>1700</v>
      </c>
      <c r="C79" s="56" t="s">
        <v>316</v>
      </c>
      <c r="D79" s="61"/>
    </row>
    <row r="80" spans="1:4">
      <c r="A80" s="54" t="s">
        <v>7548</v>
      </c>
      <c r="B80" s="55" t="s">
        <v>1701</v>
      </c>
      <c r="C80" s="56" t="s">
        <v>318</v>
      </c>
      <c r="D80" s="61"/>
    </row>
    <row r="81" spans="1:4">
      <c r="A81" s="54" t="s">
        <v>7548</v>
      </c>
      <c r="B81" s="55" t="s">
        <v>1702</v>
      </c>
      <c r="C81" s="56" t="s">
        <v>320</v>
      </c>
      <c r="D81" s="61"/>
    </row>
    <row r="82" spans="1:4">
      <c r="A82" s="54" t="s">
        <v>7548</v>
      </c>
      <c r="B82" s="55" t="s">
        <v>1703</v>
      </c>
      <c r="C82" s="56" t="s">
        <v>322</v>
      </c>
      <c r="D82" s="61"/>
    </row>
    <row r="83" spans="1:4">
      <c r="A83" s="54" t="s">
        <v>7548</v>
      </c>
      <c r="B83" s="55"/>
      <c r="C83" s="56" t="s">
        <v>324</v>
      </c>
      <c r="D83" s="61"/>
    </row>
    <row r="84" spans="1:4">
      <c r="A84" s="54" t="s">
        <v>7548</v>
      </c>
      <c r="B84" s="55" t="s">
        <v>1704</v>
      </c>
      <c r="C84" s="56" t="s">
        <v>326</v>
      </c>
      <c r="D84" s="61"/>
    </row>
    <row r="85" spans="1:4">
      <c r="A85" s="54" t="s">
        <v>7548</v>
      </c>
      <c r="B85" s="55" t="s">
        <v>1705</v>
      </c>
      <c r="C85" s="61" t="s">
        <v>1099</v>
      </c>
      <c r="D85" s="61"/>
    </row>
    <row r="86" spans="1:4">
      <c r="A86" s="54" t="s">
        <v>7548</v>
      </c>
      <c r="B86" s="55" t="s">
        <v>1706</v>
      </c>
      <c r="C86" s="56" t="s">
        <v>1101</v>
      </c>
      <c r="D86" s="61"/>
    </row>
    <row r="87" spans="1:4">
      <c r="A87" s="54" t="s">
        <v>7548</v>
      </c>
      <c r="B87" s="55" t="s">
        <v>1707</v>
      </c>
      <c r="C87" s="61" t="s">
        <v>1708</v>
      </c>
      <c r="D87" s="61"/>
    </row>
    <row r="88" spans="1:4">
      <c r="A88" s="54" t="s">
        <v>7548</v>
      </c>
      <c r="B88" s="55" t="s">
        <v>1709</v>
      </c>
      <c r="C88" s="61" t="s">
        <v>1108</v>
      </c>
      <c r="D88" s="61"/>
    </row>
    <row r="89" spans="1:4">
      <c r="A89" s="54" t="s">
        <v>7548</v>
      </c>
      <c r="B89" s="55" t="s">
        <v>1710</v>
      </c>
      <c r="C89" s="61" t="s">
        <v>1711</v>
      </c>
      <c r="D89" s="61"/>
    </row>
    <row r="90" spans="1:4">
      <c r="A90" s="54" t="s">
        <v>7548</v>
      </c>
      <c r="B90" s="55" t="s">
        <v>1712</v>
      </c>
      <c r="C90" s="61" t="s">
        <v>1113</v>
      </c>
      <c r="D90" s="61"/>
    </row>
    <row r="91" spans="1:4">
      <c r="A91" s="54" t="s">
        <v>7548</v>
      </c>
      <c r="B91" s="55" t="s">
        <v>1713</v>
      </c>
      <c r="C91" s="61" t="s">
        <v>1118</v>
      </c>
      <c r="D91" s="61"/>
    </row>
    <row r="92" spans="1:4">
      <c r="A92" s="54" t="s">
        <v>7548</v>
      </c>
      <c r="B92" s="55" t="s">
        <v>1714</v>
      </c>
      <c r="C92" s="61" t="s">
        <v>1123</v>
      </c>
      <c r="D92" s="61"/>
    </row>
    <row r="93" spans="1:4">
      <c r="A93" s="54" t="s">
        <v>7548</v>
      </c>
      <c r="B93" s="55" t="s">
        <v>1715</v>
      </c>
      <c r="C93" s="61" t="s">
        <v>1128</v>
      </c>
      <c r="D93" s="61"/>
    </row>
    <row r="94" spans="1:4">
      <c r="A94" s="54" t="s">
        <v>7548</v>
      </c>
      <c r="B94" s="55" t="s">
        <v>1716</v>
      </c>
      <c r="C94" s="56" t="s">
        <v>1717</v>
      </c>
      <c r="D94" s="61" t="s">
        <v>7589</v>
      </c>
    </row>
    <row r="95" spans="1:4">
      <c r="A95" s="54" t="s">
        <v>7548</v>
      </c>
      <c r="B95" s="55" t="s">
        <v>1718</v>
      </c>
      <c r="C95" s="56" t="s">
        <v>1719</v>
      </c>
      <c r="D95" s="61" t="s">
        <v>7590</v>
      </c>
    </row>
    <row r="96" spans="1:4">
      <c r="A96" s="54" t="s">
        <v>7548</v>
      </c>
      <c r="B96" s="55" t="s">
        <v>1720</v>
      </c>
      <c r="C96" s="56" t="s">
        <v>1133</v>
      </c>
      <c r="D96" s="61"/>
    </row>
    <row r="97" spans="1:4">
      <c r="A97" s="54" t="s">
        <v>7548</v>
      </c>
      <c r="B97" s="55" t="s">
        <v>1721</v>
      </c>
      <c r="C97" s="61" t="s">
        <v>1722</v>
      </c>
      <c r="D97" s="61" t="s">
        <v>7590</v>
      </c>
    </row>
    <row r="98" spans="1:4">
      <c r="A98" s="54" t="s">
        <v>7548</v>
      </c>
      <c r="B98" s="55" t="s">
        <v>1723</v>
      </c>
      <c r="C98" s="56" t="s">
        <v>1724</v>
      </c>
      <c r="D98" s="61" t="s">
        <v>7590</v>
      </c>
    </row>
    <row r="99" spans="1:4">
      <c r="A99" s="54" t="s">
        <v>7548</v>
      </c>
      <c r="B99" s="55" t="s">
        <v>1725</v>
      </c>
      <c r="C99" s="61" t="s">
        <v>1726</v>
      </c>
      <c r="D99" s="61" t="s">
        <v>5236</v>
      </c>
    </row>
    <row r="100" spans="1:4">
      <c r="A100" s="54" t="s">
        <v>7548</v>
      </c>
      <c r="B100" s="55" t="s">
        <v>1727</v>
      </c>
      <c r="C100" s="61" t="s">
        <v>1728</v>
      </c>
      <c r="D100" s="61" t="s">
        <v>5328</v>
      </c>
    </row>
    <row r="101" spans="1:4">
      <c r="A101" s="54" t="s">
        <v>7548</v>
      </c>
      <c r="B101" s="55" t="s">
        <v>1729</v>
      </c>
      <c r="C101" s="61" t="s">
        <v>1730</v>
      </c>
      <c r="D101" s="61" t="s">
        <v>7591</v>
      </c>
    </row>
    <row r="102" spans="1:4">
      <c r="A102" s="54" t="s">
        <v>7548</v>
      </c>
      <c r="B102" s="55" t="s">
        <v>1731</v>
      </c>
      <c r="C102" s="61" t="s">
        <v>1732</v>
      </c>
      <c r="D102" s="61" t="s">
        <v>7592</v>
      </c>
    </row>
    <row r="103" spans="1:4">
      <c r="A103" s="54" t="s">
        <v>7548</v>
      </c>
      <c r="B103" s="55" t="s">
        <v>1733</v>
      </c>
      <c r="C103" s="56" t="s">
        <v>1734</v>
      </c>
      <c r="D103" s="61"/>
    </row>
    <row r="104" spans="1:4">
      <c r="A104" s="54" t="s">
        <v>7548</v>
      </c>
      <c r="B104" s="55" t="s">
        <v>1735</v>
      </c>
      <c r="C104" s="56" t="s">
        <v>1736</v>
      </c>
      <c r="D104" s="61"/>
    </row>
    <row r="105" spans="1:4">
      <c r="A105" s="54" t="s">
        <v>7549</v>
      </c>
      <c r="B105" s="55" t="s">
        <v>1737</v>
      </c>
      <c r="C105" s="56" t="s">
        <v>1738</v>
      </c>
      <c r="D105" s="61"/>
    </row>
    <row r="106" spans="1:4">
      <c r="A106" s="54" t="s">
        <v>7549</v>
      </c>
      <c r="B106" s="55" t="s">
        <v>1739</v>
      </c>
      <c r="C106" s="56" t="s">
        <v>1740</v>
      </c>
      <c r="D106" s="61"/>
    </row>
    <row r="107" spans="1:4">
      <c r="A107" s="54" t="s">
        <v>7549</v>
      </c>
      <c r="B107" s="55" t="s">
        <v>1741</v>
      </c>
      <c r="C107" s="61" t="s">
        <v>1742</v>
      </c>
      <c r="D107" s="61"/>
    </row>
    <row r="108" spans="1:4">
      <c r="A108" s="54" t="s">
        <v>7549</v>
      </c>
      <c r="B108" s="55" t="s">
        <v>1743</v>
      </c>
      <c r="C108" s="56" t="s">
        <v>1744</v>
      </c>
      <c r="D108" s="61"/>
    </row>
    <row r="109" spans="1:4">
      <c r="A109" s="54" t="s">
        <v>7549</v>
      </c>
      <c r="B109" s="55" t="s">
        <v>1745</v>
      </c>
      <c r="C109" s="205" t="s">
        <v>1746</v>
      </c>
      <c r="D109" s="61"/>
    </row>
    <row r="110" spans="1:4">
      <c r="A110" s="54" t="s">
        <v>7549</v>
      </c>
      <c r="B110" s="55" t="s">
        <v>1747</v>
      </c>
      <c r="C110" s="56" t="s">
        <v>1748</v>
      </c>
      <c r="D110" s="61"/>
    </row>
    <row r="111" spans="1:4">
      <c r="A111" s="54" t="s">
        <v>7549</v>
      </c>
      <c r="B111" s="55" t="s">
        <v>1749</v>
      </c>
      <c r="C111" s="61" t="s">
        <v>1750</v>
      </c>
      <c r="D111" s="61"/>
    </row>
    <row r="112" spans="1:4">
      <c r="A112" s="54" t="s">
        <v>7549</v>
      </c>
      <c r="B112" s="55" t="s">
        <v>1751</v>
      </c>
      <c r="C112" s="56" t="s">
        <v>1752</v>
      </c>
      <c r="D112" s="61"/>
    </row>
    <row r="113" spans="1:4">
      <c r="A113" s="54" t="s">
        <v>7549</v>
      </c>
      <c r="B113" s="55" t="s">
        <v>1753</v>
      </c>
      <c r="C113" s="56" t="s">
        <v>1754</v>
      </c>
      <c r="D113" s="61"/>
    </row>
    <row r="114" spans="1:4">
      <c r="A114" s="54" t="s">
        <v>7549</v>
      </c>
      <c r="B114" s="55" t="s">
        <v>1755</v>
      </c>
      <c r="C114" s="61" t="s">
        <v>1155</v>
      </c>
      <c r="D114" s="61"/>
    </row>
    <row r="115" spans="1:4">
      <c r="A115" s="54" t="s">
        <v>7549</v>
      </c>
      <c r="B115" s="55" t="s">
        <v>1756</v>
      </c>
      <c r="C115" s="203" t="s">
        <v>1757</v>
      </c>
      <c r="D115" s="61"/>
    </row>
    <row r="116" spans="1:4">
      <c r="A116" s="54" t="s">
        <v>7573</v>
      </c>
      <c r="B116" s="55" t="s">
        <v>1758</v>
      </c>
      <c r="C116" s="61" t="s">
        <v>1759</v>
      </c>
      <c r="D116" s="61"/>
    </row>
    <row r="117" spans="1:4">
      <c r="A117" s="54" t="s">
        <v>7573</v>
      </c>
      <c r="B117" s="55" t="s">
        <v>1760</v>
      </c>
      <c r="C117" s="61" t="s">
        <v>1761</v>
      </c>
      <c r="D117" s="61"/>
    </row>
    <row r="118" spans="1:4">
      <c r="A118" s="54" t="s">
        <v>7551</v>
      </c>
      <c r="B118" s="55" t="s">
        <v>1762</v>
      </c>
      <c r="C118" s="56" t="s">
        <v>418</v>
      </c>
      <c r="D118" s="61"/>
    </row>
    <row r="119" spans="1:4">
      <c r="A119" s="54" t="s">
        <v>7551</v>
      </c>
      <c r="B119" s="55" t="s">
        <v>1763</v>
      </c>
      <c r="C119" s="199" t="s">
        <v>420</v>
      </c>
      <c r="D119" s="61"/>
    </row>
    <row r="120" spans="1:4">
      <c r="A120" s="54" t="s">
        <v>7551</v>
      </c>
      <c r="B120" s="55" t="s">
        <v>1764</v>
      </c>
      <c r="C120" s="61" t="s">
        <v>422</v>
      </c>
      <c r="D120" s="61"/>
    </row>
    <row r="121" spans="1:4">
      <c r="A121" s="54" t="s">
        <v>7551</v>
      </c>
      <c r="B121" s="55" t="s">
        <v>1765</v>
      </c>
      <c r="C121" s="61" t="s">
        <v>426</v>
      </c>
      <c r="D121" s="61"/>
    </row>
    <row r="122" spans="1:4">
      <c r="A122" s="54" t="s">
        <v>7551</v>
      </c>
      <c r="B122" s="55" t="s">
        <v>1766</v>
      </c>
      <c r="C122" s="61" t="s">
        <v>428</v>
      </c>
      <c r="D122" s="61"/>
    </row>
    <row r="123" spans="1:4">
      <c r="A123" s="54" t="s">
        <v>7551</v>
      </c>
      <c r="B123" s="55" t="s">
        <v>1767</v>
      </c>
      <c r="C123" s="61" t="s">
        <v>430</v>
      </c>
      <c r="D123" s="61"/>
    </row>
    <row r="124" spans="1:4">
      <c r="A124" s="54" t="s">
        <v>7551</v>
      </c>
      <c r="B124" s="55" t="s">
        <v>1768</v>
      </c>
      <c r="C124" s="199" t="s">
        <v>438</v>
      </c>
      <c r="D124" s="61"/>
    </row>
    <row r="125" spans="1:4">
      <c r="A125" s="54" t="s">
        <v>7551</v>
      </c>
      <c r="B125" s="55" t="s">
        <v>1769</v>
      </c>
      <c r="C125" s="199" t="s">
        <v>440</v>
      </c>
      <c r="D125" s="61"/>
    </row>
    <row r="126" spans="1:4">
      <c r="A126" s="54" t="s">
        <v>7551</v>
      </c>
      <c r="B126" s="55" t="s">
        <v>1770</v>
      </c>
      <c r="C126" s="56" t="s">
        <v>442</v>
      </c>
      <c r="D126" s="61"/>
    </row>
    <row r="127" spans="1:4">
      <c r="A127" s="54" t="s">
        <v>7551</v>
      </c>
      <c r="B127" s="55" t="s">
        <v>1771</v>
      </c>
      <c r="C127" s="199" t="s">
        <v>1772</v>
      </c>
      <c r="D127" s="61"/>
    </row>
    <row r="128" spans="1:4">
      <c r="A128" s="54" t="s">
        <v>7551</v>
      </c>
      <c r="B128" s="55" t="s">
        <v>1773</v>
      </c>
      <c r="C128" s="61" t="s">
        <v>1327</v>
      </c>
      <c r="D128" s="61"/>
    </row>
    <row r="129" spans="1:4">
      <c r="A129" s="54" t="s">
        <v>7551</v>
      </c>
      <c r="B129" s="55" t="s">
        <v>1774</v>
      </c>
      <c r="C129" s="61" t="s">
        <v>444</v>
      </c>
      <c r="D129" s="61"/>
    </row>
    <row r="130" spans="1:4">
      <c r="A130" s="54" t="s">
        <v>7551</v>
      </c>
      <c r="B130" s="55" t="s">
        <v>1775</v>
      </c>
      <c r="C130" s="61" t="s">
        <v>1776</v>
      </c>
      <c r="D130" s="61"/>
    </row>
    <row r="131" spans="1:4">
      <c r="A131" s="54" t="s">
        <v>7551</v>
      </c>
      <c r="B131" s="55" t="s">
        <v>1777</v>
      </c>
      <c r="C131" s="205" t="s">
        <v>448</v>
      </c>
      <c r="D131" s="61"/>
    </row>
    <row r="132" spans="1:4">
      <c r="A132" s="54" t="s">
        <v>7551</v>
      </c>
      <c r="B132" s="55" t="s">
        <v>1778</v>
      </c>
      <c r="C132" s="61" t="s">
        <v>1779</v>
      </c>
      <c r="D132" s="61"/>
    </row>
    <row r="133" spans="1:4">
      <c r="A133" s="54" t="s">
        <v>7551</v>
      </c>
      <c r="B133" s="55" t="s">
        <v>1780</v>
      </c>
      <c r="C133" s="205" t="s">
        <v>1781</v>
      </c>
      <c r="D133" s="61"/>
    </row>
    <row r="134" spans="1:4">
      <c r="A134" s="54" t="s">
        <v>7551</v>
      </c>
      <c r="B134" s="55" t="s">
        <v>1782</v>
      </c>
      <c r="C134" s="56" t="s">
        <v>454</v>
      </c>
      <c r="D134" s="61"/>
    </row>
    <row r="135" spans="1:4">
      <c r="A135" s="54" t="s">
        <v>7551</v>
      </c>
      <c r="B135" s="55"/>
      <c r="C135" s="56" t="s">
        <v>1783</v>
      </c>
      <c r="D135" s="61"/>
    </row>
    <row r="136" spans="1:4">
      <c r="A136" s="54" t="s">
        <v>7551</v>
      </c>
      <c r="B136" s="55" t="s">
        <v>1784</v>
      </c>
      <c r="C136" s="56" t="s">
        <v>1785</v>
      </c>
      <c r="D136" s="61"/>
    </row>
    <row r="137" spans="1:4">
      <c r="A137" s="54" t="s">
        <v>7551</v>
      </c>
      <c r="B137" s="55" t="s">
        <v>1786</v>
      </c>
      <c r="C137" s="61" t="s">
        <v>1787</v>
      </c>
      <c r="D137" s="61"/>
    </row>
    <row r="138" spans="1:4">
      <c r="A138" s="54" t="s">
        <v>7551</v>
      </c>
      <c r="B138" s="55" t="s">
        <v>1788</v>
      </c>
      <c r="C138" s="61" t="s">
        <v>1347</v>
      </c>
      <c r="D138" s="61"/>
    </row>
    <row r="139" spans="1:4">
      <c r="A139" s="54" t="s">
        <v>7551</v>
      </c>
      <c r="B139" s="55" t="s">
        <v>1789</v>
      </c>
      <c r="C139" s="205" t="s">
        <v>1353</v>
      </c>
      <c r="D139" s="61"/>
    </row>
    <row r="140" spans="1:4">
      <c r="A140" s="54" t="s">
        <v>7552</v>
      </c>
      <c r="B140" s="55" t="s">
        <v>1790</v>
      </c>
      <c r="C140" s="56" t="s">
        <v>1359</v>
      </c>
      <c r="D140" s="61"/>
    </row>
    <row r="141" spans="1:4">
      <c r="A141" s="54" t="s">
        <v>7552</v>
      </c>
      <c r="B141" s="55" t="s">
        <v>1791</v>
      </c>
      <c r="C141" s="61" t="s">
        <v>1792</v>
      </c>
      <c r="D141" s="61"/>
    </row>
    <row r="142" spans="1:4">
      <c r="A142" s="54" t="s">
        <v>7552</v>
      </c>
      <c r="B142" s="55" t="s">
        <v>1793</v>
      </c>
      <c r="C142" s="56" t="s">
        <v>1371</v>
      </c>
      <c r="D142" s="61"/>
    </row>
    <row r="143" spans="1:4">
      <c r="A143" s="54" t="s">
        <v>7552</v>
      </c>
      <c r="B143" s="55" t="s">
        <v>1794</v>
      </c>
      <c r="C143" s="56" t="s">
        <v>1364</v>
      </c>
      <c r="D143" s="61"/>
    </row>
    <row r="144" spans="1:4">
      <c r="A144" s="54" t="s">
        <v>7552</v>
      </c>
      <c r="B144" s="55" t="s">
        <v>1795</v>
      </c>
      <c r="C144" s="205" t="s">
        <v>1376</v>
      </c>
      <c r="D144" s="61"/>
    </row>
    <row r="145" spans="1:4">
      <c r="A145" s="54" t="s">
        <v>7552</v>
      </c>
      <c r="B145" s="55" t="s">
        <v>1796</v>
      </c>
      <c r="C145" s="199" t="s">
        <v>1380</v>
      </c>
      <c r="D145" s="61"/>
    </row>
    <row r="146" spans="1:4">
      <c r="A146" s="54" t="s">
        <v>7552</v>
      </c>
      <c r="B146" s="55" t="s">
        <v>1797</v>
      </c>
      <c r="C146" s="61" t="s">
        <v>1385</v>
      </c>
      <c r="D146" s="61"/>
    </row>
    <row r="147" spans="1:4">
      <c r="A147" s="54" t="s">
        <v>7552</v>
      </c>
      <c r="B147" s="55" t="s">
        <v>1798</v>
      </c>
      <c r="C147" s="61" t="s">
        <v>1390</v>
      </c>
      <c r="D147" s="61"/>
    </row>
    <row r="148" spans="1:4">
      <c r="A148" s="54" t="s">
        <v>7552</v>
      </c>
      <c r="B148" s="55" t="s">
        <v>1799</v>
      </c>
      <c r="C148" s="61" t="s">
        <v>1800</v>
      </c>
      <c r="D148" s="61"/>
    </row>
    <row r="149" spans="1:4">
      <c r="A149" s="54" t="s">
        <v>7552</v>
      </c>
      <c r="B149" s="55" t="s">
        <v>1801</v>
      </c>
      <c r="C149" s="61" t="s">
        <v>1395</v>
      </c>
      <c r="D149" s="61"/>
    </row>
    <row r="150" spans="1:4">
      <c r="A150" s="54" t="s">
        <v>7552</v>
      </c>
      <c r="B150" s="55" t="s">
        <v>1802</v>
      </c>
      <c r="C150" s="61" t="s">
        <v>1400</v>
      </c>
      <c r="D150" s="61"/>
    </row>
    <row r="151" spans="1:4">
      <c r="A151" s="54" t="s">
        <v>7552</v>
      </c>
      <c r="B151" s="55" t="s">
        <v>1803</v>
      </c>
      <c r="C151" s="61" t="s">
        <v>1409</v>
      </c>
      <c r="D151" s="61"/>
    </row>
    <row r="152" spans="1:4">
      <c r="A152" s="54" t="s">
        <v>7553</v>
      </c>
      <c r="B152" s="55" t="s">
        <v>1804</v>
      </c>
      <c r="C152" s="199" t="s">
        <v>1805</v>
      </c>
      <c r="D152" s="61"/>
    </row>
    <row r="153" spans="1:4">
      <c r="A153" s="54" t="s">
        <v>7553</v>
      </c>
      <c r="B153" s="55" t="s">
        <v>1806</v>
      </c>
      <c r="C153" s="199" t="s">
        <v>1414</v>
      </c>
      <c r="D153" s="61"/>
    </row>
    <row r="154" spans="1:4">
      <c r="A154" s="54" t="s">
        <v>7553</v>
      </c>
      <c r="B154" s="55" t="s">
        <v>1807</v>
      </c>
      <c r="C154" s="199" t="s">
        <v>1420</v>
      </c>
      <c r="D154" s="61"/>
    </row>
    <row r="155" spans="1:4">
      <c r="A155" s="54" t="s">
        <v>7553</v>
      </c>
      <c r="B155" s="55" t="s">
        <v>1808</v>
      </c>
      <c r="C155" s="199" t="s">
        <v>1426</v>
      </c>
      <c r="D155" s="61"/>
    </row>
    <row r="156" spans="1:4">
      <c r="A156" s="54" t="s">
        <v>7553</v>
      </c>
      <c r="B156" s="55" t="s">
        <v>1809</v>
      </c>
      <c r="C156" s="199" t="s">
        <v>1810</v>
      </c>
      <c r="D156" s="61"/>
    </row>
    <row r="157" spans="1:4">
      <c r="A157" s="54" t="s">
        <v>7553</v>
      </c>
      <c r="B157" s="55" t="s">
        <v>1811</v>
      </c>
      <c r="C157" s="199" t="s">
        <v>1812</v>
      </c>
      <c r="D157" s="61"/>
    </row>
    <row r="158" spans="1:4">
      <c r="A158" s="54" t="s">
        <v>7553</v>
      </c>
      <c r="B158" s="55" t="s">
        <v>1813</v>
      </c>
      <c r="C158" s="199" t="s">
        <v>1441</v>
      </c>
      <c r="D158" s="61"/>
    </row>
    <row r="159" spans="1:4">
      <c r="A159" s="54" t="s">
        <v>7553</v>
      </c>
      <c r="B159" s="55" t="s">
        <v>1814</v>
      </c>
      <c r="C159" s="61" t="s">
        <v>1815</v>
      </c>
      <c r="D159" s="61"/>
    </row>
    <row r="160" spans="1:4">
      <c r="A160" s="54" t="s">
        <v>7553</v>
      </c>
      <c r="B160" s="55" t="s">
        <v>1816</v>
      </c>
      <c r="C160" s="56" t="s">
        <v>1446</v>
      </c>
      <c r="D160" s="61"/>
    </row>
    <row r="161" spans="1:4">
      <c r="A161" s="54" t="s">
        <v>7553</v>
      </c>
      <c r="B161" s="55" t="s">
        <v>1817</v>
      </c>
      <c r="C161" s="199" t="s">
        <v>1818</v>
      </c>
      <c r="D161" s="61"/>
    </row>
    <row r="162" spans="1:4">
      <c r="A162" s="54" t="s">
        <v>7553</v>
      </c>
      <c r="B162" s="55" t="s">
        <v>1819</v>
      </c>
      <c r="C162" s="199" t="s">
        <v>1820</v>
      </c>
      <c r="D162" s="61"/>
    </row>
    <row r="163" spans="1:4">
      <c r="A163" s="54" t="s">
        <v>7553</v>
      </c>
      <c r="B163" s="55" t="s">
        <v>1821</v>
      </c>
      <c r="C163" s="61" t="s">
        <v>488</v>
      </c>
      <c r="D163" s="61"/>
    </row>
    <row r="164" spans="1:4">
      <c r="A164" s="54" t="s">
        <v>7553</v>
      </c>
      <c r="B164" s="55" t="s">
        <v>1822</v>
      </c>
      <c r="C164" s="61" t="s">
        <v>490</v>
      </c>
      <c r="D164" s="61"/>
    </row>
    <row r="165" spans="1:4">
      <c r="A165" s="54" t="s">
        <v>7553</v>
      </c>
      <c r="B165" s="55" t="s">
        <v>1823</v>
      </c>
      <c r="C165" s="61" t="s">
        <v>492</v>
      </c>
      <c r="D165" s="61"/>
    </row>
    <row r="166" spans="1:4">
      <c r="A166" s="54" t="s">
        <v>7553</v>
      </c>
      <c r="B166" s="55" t="s">
        <v>1824</v>
      </c>
      <c r="C166" s="61" t="s">
        <v>494</v>
      </c>
      <c r="D166" s="61"/>
    </row>
    <row r="167" spans="1:4">
      <c r="A167" s="54" t="s">
        <v>7553</v>
      </c>
      <c r="B167" s="58" t="s">
        <v>1825</v>
      </c>
      <c r="C167" s="199" t="s">
        <v>1455</v>
      </c>
      <c r="D167" s="61"/>
    </row>
    <row r="168" spans="1:4">
      <c r="A168" s="54" t="s">
        <v>7577</v>
      </c>
      <c r="B168" s="58" t="s">
        <v>1826</v>
      </c>
      <c r="C168" s="58" t="s">
        <v>1827</v>
      </c>
      <c r="D168" s="61"/>
    </row>
    <row r="169" spans="1:4">
      <c r="A169" s="54" t="s">
        <v>7577</v>
      </c>
      <c r="B169" s="55" t="s">
        <v>1828</v>
      </c>
      <c r="C169" s="56" t="s">
        <v>1829</v>
      </c>
      <c r="D169" s="61"/>
    </row>
    <row r="170" spans="1:4">
      <c r="A170" s="54" t="s">
        <v>7577</v>
      </c>
      <c r="B170" s="58" t="s">
        <v>1830</v>
      </c>
      <c r="C170" s="199" t="s">
        <v>1831</v>
      </c>
      <c r="D170" s="61"/>
    </row>
    <row r="171" spans="1:4">
      <c r="A171" s="54" t="s">
        <v>7577</v>
      </c>
      <c r="B171" s="55" t="s">
        <v>1832</v>
      </c>
      <c r="C171" s="205" t="s">
        <v>1833</v>
      </c>
      <c r="D171" s="61"/>
    </row>
    <row r="172" spans="1:4">
      <c r="A172" s="54" t="s">
        <v>7577</v>
      </c>
      <c r="B172" s="58" t="s">
        <v>1834</v>
      </c>
      <c r="C172" s="56" t="s">
        <v>1835</v>
      </c>
      <c r="D172" s="61"/>
    </row>
    <row r="173" spans="1:4">
      <c r="A173" s="54" t="s">
        <v>7577</v>
      </c>
      <c r="B173" s="55" t="s">
        <v>1836</v>
      </c>
      <c r="C173" s="56" t="s">
        <v>1837</v>
      </c>
      <c r="D173" s="61"/>
    </row>
    <row r="174" spans="1:4">
      <c r="A174" s="54" t="s">
        <v>7577</v>
      </c>
      <c r="B174" s="58" t="s">
        <v>1838</v>
      </c>
      <c r="C174" s="56" t="s">
        <v>1839</v>
      </c>
      <c r="D174" s="61"/>
    </row>
    <row r="175" spans="1:4">
      <c r="A175" s="54" t="s">
        <v>7577</v>
      </c>
      <c r="B175" s="55" t="s">
        <v>1840</v>
      </c>
      <c r="C175" s="56" t="s">
        <v>1841</v>
      </c>
      <c r="D175" s="61"/>
    </row>
    <row r="176" spans="1:4">
      <c r="A176" s="54" t="s">
        <v>7577</v>
      </c>
      <c r="B176" s="55" t="s">
        <v>1842</v>
      </c>
      <c r="C176" s="61" t="s">
        <v>1843</v>
      </c>
      <c r="D176" s="61"/>
    </row>
    <row r="177" spans="1:4">
      <c r="A177" s="54" t="s">
        <v>7577</v>
      </c>
      <c r="B177" s="55" t="s">
        <v>1844</v>
      </c>
      <c r="C177" s="56" t="s">
        <v>1845</v>
      </c>
      <c r="D177" s="61"/>
    </row>
    <row r="178" spans="1:4">
      <c r="A178" s="54" t="s">
        <v>7577</v>
      </c>
      <c r="B178" s="55" t="s">
        <v>1846</v>
      </c>
      <c r="C178" s="56" t="s">
        <v>1847</v>
      </c>
      <c r="D178" s="61"/>
    </row>
    <row r="179" spans="1:4">
      <c r="A179" s="54" t="s">
        <v>7577</v>
      </c>
      <c r="B179" s="55" t="s">
        <v>1848</v>
      </c>
      <c r="C179" s="56" t="s">
        <v>1849</v>
      </c>
      <c r="D179" s="61"/>
    </row>
    <row r="180" spans="1:4">
      <c r="A180" s="54" t="s">
        <v>7577</v>
      </c>
      <c r="B180" s="58" t="s">
        <v>1850</v>
      </c>
      <c r="C180" s="205" t="s">
        <v>1851</v>
      </c>
      <c r="D180" s="61"/>
    </row>
    <row r="181" spans="1:4">
      <c r="A181" s="54" t="s">
        <v>7577</v>
      </c>
      <c r="B181" s="58" t="s">
        <v>1852</v>
      </c>
      <c r="C181" s="205" t="s">
        <v>1853</v>
      </c>
      <c r="D181" s="61"/>
    </row>
    <row r="182" spans="1:4">
      <c r="A182" s="54" t="s">
        <v>7577</v>
      </c>
      <c r="B182" s="58" t="s">
        <v>1854</v>
      </c>
      <c r="C182" s="205" t="s">
        <v>1855</v>
      </c>
      <c r="D182" s="61"/>
    </row>
    <row r="183" spans="1:4">
      <c r="A183" s="54" t="s">
        <v>7577</v>
      </c>
      <c r="B183" s="58" t="s">
        <v>1856</v>
      </c>
      <c r="C183" s="205" t="s">
        <v>1857</v>
      </c>
      <c r="D183" s="61"/>
    </row>
    <row r="184" spans="1:4">
      <c r="A184" s="54" t="s">
        <v>7577</v>
      </c>
      <c r="B184" s="55" t="s">
        <v>1858</v>
      </c>
      <c r="C184" s="61" t="s">
        <v>1859</v>
      </c>
      <c r="D184" s="61"/>
    </row>
    <row r="185" spans="1:4">
      <c r="A185" s="54" t="s">
        <v>7577</v>
      </c>
      <c r="B185" s="55" t="s">
        <v>1860</v>
      </c>
      <c r="C185" s="199" t="s">
        <v>1861</v>
      </c>
      <c r="D185" s="61"/>
    </row>
    <row r="186" spans="1:4">
      <c r="A186" s="54" t="s">
        <v>7577</v>
      </c>
      <c r="B186" s="55" t="s">
        <v>1862</v>
      </c>
      <c r="C186" s="199" t="s">
        <v>1863</v>
      </c>
      <c r="D186" s="61"/>
    </row>
    <row r="187" spans="1:4">
      <c r="A187" s="54" t="s">
        <v>7577</v>
      </c>
      <c r="B187" s="55" t="s">
        <v>1864</v>
      </c>
      <c r="C187" s="199" t="s">
        <v>1865</v>
      </c>
      <c r="D187" s="61"/>
    </row>
    <row r="188" spans="1:4">
      <c r="A188" s="54" t="s">
        <v>7577</v>
      </c>
      <c r="B188" s="55" t="s">
        <v>1866</v>
      </c>
      <c r="C188" s="199" t="s">
        <v>1867</v>
      </c>
      <c r="D188" s="61"/>
    </row>
    <row r="189" spans="1:4">
      <c r="A189" s="54" t="s">
        <v>7577</v>
      </c>
      <c r="B189" s="55" t="s">
        <v>1868</v>
      </c>
      <c r="C189" s="61" t="s">
        <v>1869</v>
      </c>
      <c r="D189" s="61"/>
    </row>
    <row r="190" spans="1:4">
      <c r="A190" s="54" t="s">
        <v>7577</v>
      </c>
      <c r="B190" s="58" t="s">
        <v>1870</v>
      </c>
      <c r="C190" s="199" t="s">
        <v>1871</v>
      </c>
      <c r="D190" s="61"/>
    </row>
    <row r="191" spans="1:4">
      <c r="A191" s="54" t="s">
        <v>7577</v>
      </c>
      <c r="B191" s="55" t="s">
        <v>1872</v>
      </c>
      <c r="C191" s="56" t="s">
        <v>1873</v>
      </c>
      <c r="D191" s="61"/>
    </row>
    <row r="192" spans="1:4">
      <c r="A192" s="54" t="s">
        <v>7577</v>
      </c>
      <c r="B192" s="58" t="s">
        <v>1874</v>
      </c>
      <c r="C192" s="199" t="s">
        <v>1875</v>
      </c>
      <c r="D192" s="61"/>
    </row>
    <row r="193" spans="1:4">
      <c r="A193" s="54" t="s">
        <v>7577</v>
      </c>
      <c r="B193" s="58" t="s">
        <v>1876</v>
      </c>
      <c r="C193" s="199" t="s">
        <v>1877</v>
      </c>
      <c r="D193" s="61"/>
    </row>
    <row r="194" spans="1:4">
      <c r="A194" s="54" t="s">
        <v>7577</v>
      </c>
      <c r="B194" s="55" t="s">
        <v>1878</v>
      </c>
      <c r="C194" s="56" t="s">
        <v>1879</v>
      </c>
      <c r="D194" s="61"/>
    </row>
    <row r="195" spans="1:4">
      <c r="A195" s="54" t="s">
        <v>7577</v>
      </c>
      <c r="B195" s="58" t="s">
        <v>1880</v>
      </c>
      <c r="C195" s="56" t="s">
        <v>1881</v>
      </c>
      <c r="D195" s="61"/>
    </row>
    <row r="196" spans="1:4">
      <c r="A196" s="54" t="s">
        <v>7577</v>
      </c>
      <c r="B196" s="58" t="s">
        <v>1882</v>
      </c>
      <c r="C196" s="199" t="s">
        <v>1883</v>
      </c>
      <c r="D196" s="61"/>
    </row>
    <row r="197" spans="1:4">
      <c r="A197" s="54" t="s">
        <v>7577</v>
      </c>
      <c r="B197" s="58" t="s">
        <v>1884</v>
      </c>
      <c r="C197" s="199" t="s">
        <v>1885</v>
      </c>
      <c r="D197" s="61"/>
    </row>
    <row r="198" spans="1:4">
      <c r="A198" s="54" t="s">
        <v>7577</v>
      </c>
      <c r="B198" s="58" t="s">
        <v>1886</v>
      </c>
      <c r="C198" s="205" t="s">
        <v>1887</v>
      </c>
      <c r="D198" s="61"/>
    </row>
    <row r="199" spans="1:4">
      <c r="A199" s="54" t="s">
        <v>7577</v>
      </c>
      <c r="B199" s="58" t="s">
        <v>1888</v>
      </c>
      <c r="C199" s="56" t="s">
        <v>1889</v>
      </c>
      <c r="D199" s="61"/>
    </row>
    <row r="200" spans="1:4">
      <c r="A200" s="54" t="s">
        <v>7577</v>
      </c>
      <c r="B200" s="58" t="s">
        <v>1890</v>
      </c>
      <c r="C200" s="56" t="s">
        <v>1891</v>
      </c>
      <c r="D200" s="61"/>
    </row>
    <row r="201" spans="1:4">
      <c r="A201" s="54" t="s">
        <v>7577</v>
      </c>
      <c r="B201" s="55" t="s">
        <v>1892</v>
      </c>
      <c r="C201" s="199" t="s">
        <v>1893</v>
      </c>
      <c r="D201" s="61"/>
    </row>
    <row r="202" spans="1:4">
      <c r="A202" s="54" t="s">
        <v>7577</v>
      </c>
      <c r="B202" s="55" t="s">
        <v>1894</v>
      </c>
      <c r="C202" s="205" t="s">
        <v>1895</v>
      </c>
      <c r="D202" s="61"/>
    </row>
    <row r="203" spans="1:4">
      <c r="A203" s="54" t="s">
        <v>7577</v>
      </c>
      <c r="B203" s="58" t="s">
        <v>1896</v>
      </c>
      <c r="C203" s="199" t="s">
        <v>1897</v>
      </c>
      <c r="D203" s="61"/>
    </row>
    <row r="204" spans="1:4">
      <c r="A204" s="54" t="s">
        <v>7577</v>
      </c>
      <c r="B204" s="58" t="s">
        <v>1898</v>
      </c>
      <c r="C204" s="205" t="s">
        <v>1899</v>
      </c>
      <c r="D204" s="61"/>
    </row>
    <row r="205" spans="1:4">
      <c r="A205" s="54" t="s">
        <v>7577</v>
      </c>
      <c r="B205" s="58" t="s">
        <v>1900</v>
      </c>
      <c r="C205" s="58" t="s">
        <v>1901</v>
      </c>
      <c r="D205" s="61"/>
    </row>
    <row r="206" spans="1:4">
      <c r="A206" s="54" t="s">
        <v>7577</v>
      </c>
      <c r="B206" s="58" t="s">
        <v>1902</v>
      </c>
      <c r="C206" s="56" t="s">
        <v>1903</v>
      </c>
      <c r="D206" s="61"/>
    </row>
    <row r="207" spans="1:4">
      <c r="A207" s="54" t="s">
        <v>7577</v>
      </c>
      <c r="B207" s="52" t="s">
        <v>1904</v>
      </c>
      <c r="C207" s="199" t="s">
        <v>1905</v>
      </c>
      <c r="D207" s="61"/>
    </row>
    <row r="208" spans="1:4">
      <c r="A208" s="54" t="s">
        <v>7577</v>
      </c>
      <c r="B208" s="58" t="s">
        <v>1906</v>
      </c>
      <c r="C208" s="205" t="s">
        <v>1907</v>
      </c>
      <c r="D208" s="61"/>
    </row>
    <row r="209" spans="1:4">
      <c r="A209" s="54" t="s">
        <v>7577</v>
      </c>
      <c r="B209" s="55" t="s">
        <v>1908</v>
      </c>
      <c r="C209" s="56" t="s">
        <v>1909</v>
      </c>
      <c r="D209" s="61"/>
    </row>
    <row r="210" spans="1:4">
      <c r="A210" s="54" t="s">
        <v>7577</v>
      </c>
      <c r="B210" s="55" t="s">
        <v>1910</v>
      </c>
      <c r="C210" s="61" t="s">
        <v>1911</v>
      </c>
      <c r="D210" s="61"/>
    </row>
    <row r="211" spans="1:4">
      <c r="A211" s="54" t="s">
        <v>7577</v>
      </c>
      <c r="B211" s="55" t="s">
        <v>1912</v>
      </c>
      <c r="C211" s="56" t="s">
        <v>1913</v>
      </c>
      <c r="D211" s="61"/>
    </row>
    <row r="212" spans="1:4">
      <c r="A212" s="54" t="s">
        <v>7577</v>
      </c>
      <c r="B212" s="55" t="s">
        <v>1914</v>
      </c>
      <c r="C212" s="56" t="s">
        <v>1915</v>
      </c>
      <c r="D212" s="61"/>
    </row>
    <row r="213" spans="1:4">
      <c r="A213" s="54" t="s">
        <v>7577</v>
      </c>
      <c r="B213" s="58" t="s">
        <v>1916</v>
      </c>
      <c r="C213" s="56" t="s">
        <v>1917</v>
      </c>
      <c r="D213" s="61"/>
    </row>
    <row r="214" spans="1:4">
      <c r="A214" s="54" t="s">
        <v>7577</v>
      </c>
      <c r="B214" s="58" t="s">
        <v>1918</v>
      </c>
      <c r="C214" s="205" t="s">
        <v>1919</v>
      </c>
      <c r="D214" s="61"/>
    </row>
    <row r="215" spans="1:4">
      <c r="A215" s="54" t="s">
        <v>7577</v>
      </c>
      <c r="B215" s="58" t="s">
        <v>1920</v>
      </c>
      <c r="C215" s="205" t="s">
        <v>1921</v>
      </c>
      <c r="D215" s="61"/>
    </row>
    <row r="216" spans="1:4">
      <c r="A216" s="54" t="s">
        <v>7577</v>
      </c>
      <c r="B216" s="58" t="s">
        <v>1922</v>
      </c>
      <c r="C216" s="205" t="s">
        <v>1923</v>
      </c>
      <c r="D216" s="61"/>
    </row>
    <row r="217" spans="1:4">
      <c r="A217" s="54" t="s">
        <v>7577</v>
      </c>
      <c r="B217" s="58" t="s">
        <v>1924</v>
      </c>
      <c r="C217" s="205" t="s">
        <v>1925</v>
      </c>
      <c r="D217" s="61"/>
    </row>
    <row r="218" spans="1:4">
      <c r="A218" s="54" t="s">
        <v>7577</v>
      </c>
      <c r="B218" s="55" t="s">
        <v>1926</v>
      </c>
      <c r="C218" s="61" t="s">
        <v>1927</v>
      </c>
      <c r="D218" s="61"/>
    </row>
    <row r="219" spans="1:4">
      <c r="A219" s="54" t="s">
        <v>7577</v>
      </c>
      <c r="B219" s="55" t="s">
        <v>1928</v>
      </c>
      <c r="C219" s="199" t="s">
        <v>1929</v>
      </c>
      <c r="D219" s="61"/>
    </row>
    <row r="220" spans="1:4">
      <c r="A220" s="54" t="s">
        <v>7577</v>
      </c>
      <c r="B220" s="55" t="s">
        <v>1930</v>
      </c>
      <c r="C220" s="199" t="s">
        <v>1931</v>
      </c>
      <c r="D220" s="61"/>
    </row>
    <row r="221" spans="1:4">
      <c r="A221" s="54" t="s">
        <v>7577</v>
      </c>
      <c r="B221" s="55" t="s">
        <v>1932</v>
      </c>
      <c r="C221" s="199" t="s">
        <v>1933</v>
      </c>
      <c r="D221" s="61"/>
    </row>
    <row r="222" spans="1:4">
      <c r="A222" s="54" t="s">
        <v>7577</v>
      </c>
      <c r="B222" s="58" t="s">
        <v>1866</v>
      </c>
      <c r="C222" s="199" t="s">
        <v>1934</v>
      </c>
      <c r="D222" s="61"/>
    </row>
    <row r="223" spans="1:4">
      <c r="A223" s="54" t="s">
        <v>7577</v>
      </c>
      <c r="B223" s="58" t="s">
        <v>1935</v>
      </c>
      <c r="C223" s="58" t="s">
        <v>1936</v>
      </c>
      <c r="D223" s="61"/>
    </row>
    <row r="224" spans="1:4">
      <c r="A224" s="54" t="s">
        <v>7577</v>
      </c>
      <c r="B224" s="58" t="s">
        <v>1937</v>
      </c>
      <c r="C224" s="199" t="s">
        <v>1938</v>
      </c>
      <c r="D224" s="61"/>
    </row>
    <row r="225" spans="1:4">
      <c r="A225" s="54" t="s">
        <v>7577</v>
      </c>
      <c r="B225" s="58" t="s">
        <v>1939</v>
      </c>
      <c r="C225" s="56" t="s">
        <v>1940</v>
      </c>
      <c r="D225" s="61"/>
    </row>
    <row r="226" spans="1:4">
      <c r="A226" s="54" t="s">
        <v>7577</v>
      </c>
      <c r="B226" s="58" t="s">
        <v>1941</v>
      </c>
      <c r="C226" s="199" t="s">
        <v>1942</v>
      </c>
      <c r="D226" s="61"/>
    </row>
    <row r="227" spans="1:4">
      <c r="A227" s="54" t="s">
        <v>7577</v>
      </c>
      <c r="B227" s="58" t="s">
        <v>1943</v>
      </c>
      <c r="C227" s="56" t="s">
        <v>1944</v>
      </c>
      <c r="D227" s="61"/>
    </row>
    <row r="228" spans="1:4">
      <c r="A228" s="54" t="s">
        <v>7577</v>
      </c>
      <c r="B228" s="58" t="s">
        <v>1945</v>
      </c>
      <c r="C228" s="199" t="s">
        <v>1946</v>
      </c>
      <c r="D228" s="61"/>
    </row>
    <row r="229" spans="1:4">
      <c r="A229" s="54" t="s">
        <v>7577</v>
      </c>
      <c r="B229" s="55" t="s">
        <v>1947</v>
      </c>
      <c r="C229" s="56" t="s">
        <v>1948</v>
      </c>
      <c r="D229" s="61"/>
    </row>
    <row r="230" spans="1:4">
      <c r="A230" s="54" t="s">
        <v>7577</v>
      </c>
      <c r="B230" s="55" t="s">
        <v>1949</v>
      </c>
      <c r="C230" s="56" t="s">
        <v>1950</v>
      </c>
      <c r="D230" s="61"/>
    </row>
    <row r="231" spans="1:4">
      <c r="A231" s="54" t="s">
        <v>7577</v>
      </c>
      <c r="B231" s="55" t="s">
        <v>1951</v>
      </c>
      <c r="C231" s="199" t="s">
        <v>1952</v>
      </c>
      <c r="D231" s="61"/>
    </row>
    <row r="232" spans="1:4">
      <c r="A232" s="54" t="s">
        <v>7577</v>
      </c>
      <c r="B232" s="55" t="s">
        <v>1953</v>
      </c>
      <c r="C232" s="199" t="s">
        <v>1954</v>
      </c>
      <c r="D232" s="61"/>
    </row>
    <row r="233" spans="1:4">
      <c r="A233" s="54" t="s">
        <v>7577</v>
      </c>
      <c r="B233" s="58" t="s">
        <v>1955</v>
      </c>
      <c r="C233" s="205" t="s">
        <v>1956</v>
      </c>
      <c r="D233" s="61"/>
    </row>
    <row r="234" spans="1:4">
      <c r="A234" s="54" t="s">
        <v>7577</v>
      </c>
      <c r="B234" s="58" t="s">
        <v>1957</v>
      </c>
      <c r="C234" s="56" t="s">
        <v>1958</v>
      </c>
      <c r="D234" s="61"/>
    </row>
    <row r="235" spans="1:4">
      <c r="A235" s="54" t="s">
        <v>7577</v>
      </c>
      <c r="B235" s="58" t="s">
        <v>1959</v>
      </c>
      <c r="C235" s="56" t="s">
        <v>1960</v>
      </c>
      <c r="D235" s="61"/>
    </row>
    <row r="236" spans="1:4">
      <c r="A236" s="54" t="s">
        <v>7577</v>
      </c>
      <c r="B236" s="55" t="s">
        <v>1961</v>
      </c>
      <c r="C236" s="199" t="s">
        <v>1962</v>
      </c>
      <c r="D236" s="61"/>
    </row>
    <row r="237" spans="1:4">
      <c r="A237" s="54" t="s">
        <v>7577</v>
      </c>
      <c r="B237" s="55" t="s">
        <v>1963</v>
      </c>
      <c r="C237" s="205" t="s">
        <v>1964</v>
      </c>
      <c r="D237" s="61"/>
    </row>
    <row r="238" spans="1:4">
      <c r="A238" s="54" t="s">
        <v>7577</v>
      </c>
      <c r="B238" s="55" t="s">
        <v>1965</v>
      </c>
      <c r="C238" s="199" t="s">
        <v>1966</v>
      </c>
      <c r="D238" s="61"/>
    </row>
    <row r="239" spans="1:4">
      <c r="A239" s="54" t="s">
        <v>7577</v>
      </c>
      <c r="B239" s="58" t="s">
        <v>1967</v>
      </c>
      <c r="C239" s="205" t="s">
        <v>1968</v>
      </c>
      <c r="D239" s="61"/>
    </row>
    <row r="240" spans="1:4">
      <c r="A240" s="54" t="s">
        <v>7555</v>
      </c>
      <c r="B240" s="55" t="s">
        <v>1969</v>
      </c>
      <c r="C240" s="61" t="s">
        <v>1970</v>
      </c>
      <c r="D240" s="61"/>
    </row>
    <row r="241" spans="1:4">
      <c r="A241" s="54" t="s">
        <v>7555</v>
      </c>
      <c r="B241" s="55" t="s">
        <v>1971</v>
      </c>
      <c r="C241" s="61" t="s">
        <v>1972</v>
      </c>
      <c r="D241" s="61"/>
    </row>
    <row r="242" spans="1:4">
      <c r="A242" s="54" t="s">
        <v>7555</v>
      </c>
      <c r="B242" s="55" t="s">
        <v>1973</v>
      </c>
      <c r="C242" s="61" t="s">
        <v>1974</v>
      </c>
      <c r="D242" s="61"/>
    </row>
    <row r="243" spans="1:4">
      <c r="A243" s="54" t="s">
        <v>7555</v>
      </c>
      <c r="B243" s="55" t="s">
        <v>1975</v>
      </c>
      <c r="C243" s="56" t="s">
        <v>1976</v>
      </c>
      <c r="D243" s="61"/>
    </row>
    <row r="244" spans="1:4">
      <c r="A244" s="54" t="s">
        <v>7555</v>
      </c>
      <c r="B244" s="55" t="s">
        <v>1977</v>
      </c>
      <c r="C244" s="61" t="s">
        <v>1978</v>
      </c>
      <c r="D244" s="61"/>
    </row>
    <row r="245" spans="1:4">
      <c r="A245" s="54" t="s">
        <v>7555</v>
      </c>
      <c r="B245" s="55" t="s">
        <v>1979</v>
      </c>
      <c r="C245" s="61" t="s">
        <v>1980</v>
      </c>
      <c r="D245" s="61"/>
    </row>
    <row r="246" spans="1:4">
      <c r="A246" s="54" t="s">
        <v>7555</v>
      </c>
      <c r="B246" s="55" t="s">
        <v>1981</v>
      </c>
      <c r="C246" s="58" t="s">
        <v>1982</v>
      </c>
      <c r="D246" s="61"/>
    </row>
    <row r="247" spans="1:4">
      <c r="A247" s="54" t="s">
        <v>7555</v>
      </c>
      <c r="B247" s="55" t="s">
        <v>1983</v>
      </c>
      <c r="C247" s="56" t="s">
        <v>1984</v>
      </c>
      <c r="D247" s="61"/>
    </row>
    <row r="248" spans="1:4">
      <c r="A248" s="54" t="s">
        <v>7555</v>
      </c>
      <c r="B248" s="55" t="s">
        <v>1985</v>
      </c>
      <c r="C248" s="61" t="s">
        <v>1986</v>
      </c>
      <c r="D248" s="61" t="s">
        <v>7593</v>
      </c>
    </row>
    <row r="249" spans="1:4">
      <c r="A249" s="54" t="s">
        <v>7555</v>
      </c>
      <c r="B249" s="55" t="s">
        <v>1987</v>
      </c>
      <c r="C249" s="61" t="s">
        <v>1988</v>
      </c>
      <c r="D249" s="61"/>
    </row>
    <row r="250" spans="1:4">
      <c r="A250" s="54" t="s">
        <v>7555</v>
      </c>
      <c r="B250" s="55" t="s">
        <v>1989</v>
      </c>
      <c r="C250" s="56" t="s">
        <v>1990</v>
      </c>
      <c r="D250" s="61"/>
    </row>
    <row r="251" spans="1:4">
      <c r="A251" s="54" t="s">
        <v>7555</v>
      </c>
      <c r="B251" s="55" t="s">
        <v>7594</v>
      </c>
      <c r="C251" s="56" t="s">
        <v>1992</v>
      </c>
      <c r="D251" s="61"/>
    </row>
    <row r="252" spans="1:4">
      <c r="A252" s="54" t="s">
        <v>7555</v>
      </c>
      <c r="B252" s="55" t="s">
        <v>1993</v>
      </c>
      <c r="C252" s="56" t="s">
        <v>1994</v>
      </c>
      <c r="D252" s="61"/>
    </row>
    <row r="253" spans="1:4">
      <c r="A253" s="54" t="s">
        <v>7555</v>
      </c>
      <c r="B253" s="55" t="s">
        <v>1995</v>
      </c>
      <c r="C253" s="56" t="s">
        <v>1996</v>
      </c>
      <c r="D253" s="61"/>
    </row>
    <row r="254" spans="1:4">
      <c r="A254" s="54" t="s">
        <v>7555</v>
      </c>
      <c r="B254" s="55" t="s">
        <v>1997</v>
      </c>
      <c r="C254" s="205" t="s">
        <v>1998</v>
      </c>
      <c r="D254" s="61"/>
    </row>
    <row r="255" spans="1:4">
      <c r="A255" s="54" t="s">
        <v>7555</v>
      </c>
      <c r="B255" s="55" t="s">
        <v>1999</v>
      </c>
      <c r="C255" s="56" t="s">
        <v>2000</v>
      </c>
      <c r="D255" s="61"/>
    </row>
    <row r="256" spans="1:4">
      <c r="A256" s="54" t="s">
        <v>7581</v>
      </c>
      <c r="B256" s="55" t="s">
        <v>2001</v>
      </c>
      <c r="C256" s="199" t="s">
        <v>1476</v>
      </c>
      <c r="D256" s="61"/>
    </row>
    <row r="257" spans="1:4">
      <c r="A257" s="54" t="s">
        <v>7581</v>
      </c>
      <c r="B257" s="55" t="s">
        <v>2002</v>
      </c>
      <c r="C257" s="199" t="s">
        <v>1482</v>
      </c>
      <c r="D257" s="61"/>
    </row>
    <row r="258" spans="1:4">
      <c r="A258" s="54" t="s">
        <v>7581</v>
      </c>
      <c r="B258" s="55" t="s">
        <v>2003</v>
      </c>
      <c r="C258" s="56" t="s">
        <v>1494</v>
      </c>
      <c r="D258" s="61"/>
    </row>
    <row r="259" spans="1:4">
      <c r="A259" s="54" t="s">
        <v>7581</v>
      </c>
      <c r="B259" s="55" t="s">
        <v>2004</v>
      </c>
      <c r="C259" s="205" t="s">
        <v>1498</v>
      </c>
      <c r="D259" s="61"/>
    </row>
    <row r="260" spans="1:4">
      <c r="A260" s="54" t="s">
        <v>7581</v>
      </c>
      <c r="B260" s="55" t="s">
        <v>2005</v>
      </c>
      <c r="C260" s="61" t="s">
        <v>1502</v>
      </c>
      <c r="D260" s="61"/>
    </row>
    <row r="261" spans="1:4">
      <c r="A261" s="54" t="s">
        <v>7581</v>
      </c>
      <c r="B261" s="55" t="s">
        <v>2006</v>
      </c>
      <c r="C261" s="61" t="s">
        <v>1508</v>
      </c>
      <c r="D261" s="61"/>
    </row>
    <row r="262" spans="1:4">
      <c r="A262" s="54" t="s">
        <v>7581</v>
      </c>
      <c r="B262" s="55" t="s">
        <v>2007</v>
      </c>
      <c r="C262" s="61" t="s">
        <v>1514</v>
      </c>
      <c r="D262" s="61"/>
    </row>
    <row r="263" spans="1:4">
      <c r="A263" s="54" t="s">
        <v>7581</v>
      </c>
      <c r="B263" s="55" t="s">
        <v>2008</v>
      </c>
      <c r="C263" s="56" t="s">
        <v>1526</v>
      </c>
      <c r="D263" s="61"/>
    </row>
    <row r="264" spans="1:4">
      <c r="A264" s="54" t="s">
        <v>7581</v>
      </c>
      <c r="B264" s="55" t="s">
        <v>2009</v>
      </c>
      <c r="C264" s="61" t="s">
        <v>1532</v>
      </c>
      <c r="D264" s="61"/>
    </row>
    <row r="265" spans="1:4">
      <c r="A265" s="54" t="s">
        <v>7581</v>
      </c>
      <c r="B265" s="55" t="s">
        <v>2010</v>
      </c>
      <c r="C265" s="61" t="s">
        <v>2011</v>
      </c>
      <c r="D265" s="61"/>
    </row>
    <row r="266" spans="1:4">
      <c r="A266" s="54" t="s">
        <v>7581</v>
      </c>
      <c r="B266" s="55" t="s">
        <v>2012</v>
      </c>
      <c r="C266" s="56" t="s">
        <v>1538</v>
      </c>
      <c r="D266" s="61"/>
    </row>
    <row r="267" spans="1:4">
      <c r="A267" s="54" t="s">
        <v>7581</v>
      </c>
      <c r="B267" s="55" t="s">
        <v>2013</v>
      </c>
      <c r="C267" s="56" t="s">
        <v>1544</v>
      </c>
      <c r="D267" s="61"/>
    </row>
    <row r="268" spans="1:4">
      <c r="A268" s="54" t="s">
        <v>7581</v>
      </c>
      <c r="B268" s="55" t="s">
        <v>2014</v>
      </c>
      <c r="C268" s="56" t="s">
        <v>1550</v>
      </c>
      <c r="D268" s="61"/>
    </row>
    <row r="269" spans="1:4">
      <c r="A269" s="54" t="s">
        <v>7581</v>
      </c>
      <c r="B269" s="55" t="s">
        <v>2015</v>
      </c>
      <c r="C269" s="56" t="s">
        <v>1556</v>
      </c>
      <c r="D269" s="61"/>
    </row>
    <row r="270" spans="1:4">
      <c r="A270" s="54" t="s">
        <v>7581</v>
      </c>
      <c r="B270" s="55" t="s">
        <v>2016</v>
      </c>
      <c r="C270" s="56" t="s">
        <v>1562</v>
      </c>
      <c r="D270" s="61"/>
    </row>
    <row r="271" spans="1:4">
      <c r="A271" s="54" t="s">
        <v>7556</v>
      </c>
      <c r="B271" s="55" t="s">
        <v>2017</v>
      </c>
      <c r="C271" s="199" t="s">
        <v>2018</v>
      </c>
      <c r="D271" s="61"/>
    </row>
    <row r="272" spans="1:4">
      <c r="A272" s="54" t="s">
        <v>7556</v>
      </c>
      <c r="B272" s="55" t="s">
        <v>2019</v>
      </c>
      <c r="C272" s="61" t="s">
        <v>2020</v>
      </c>
      <c r="D272" s="61"/>
    </row>
    <row r="273" spans="1:4">
      <c r="A273" s="54" t="s">
        <v>7556</v>
      </c>
      <c r="B273" s="55" t="s">
        <v>2021</v>
      </c>
      <c r="C273" s="199" t="s">
        <v>2022</v>
      </c>
      <c r="D273" s="61"/>
    </row>
    <row r="274" spans="1:4">
      <c r="A274" s="54" t="s">
        <v>7556</v>
      </c>
      <c r="B274" s="55" t="s">
        <v>2023</v>
      </c>
      <c r="C274" s="199" t="s">
        <v>2024</v>
      </c>
      <c r="D274" s="61"/>
    </row>
    <row r="275" spans="1:4">
      <c r="A275" s="54" t="s">
        <v>7556</v>
      </c>
      <c r="B275" s="55" t="s">
        <v>2025</v>
      </c>
      <c r="C275" s="56" t="s">
        <v>2026</v>
      </c>
      <c r="D275" s="61"/>
    </row>
    <row r="276" spans="1:4">
      <c r="A276" s="54" t="s">
        <v>7556</v>
      </c>
      <c r="B276" s="55" t="s">
        <v>2027</v>
      </c>
      <c r="C276" s="56" t="s">
        <v>548</v>
      </c>
      <c r="D276" s="61" t="s">
        <v>7558</v>
      </c>
    </row>
    <row r="277" spans="1:4">
      <c r="A277" s="54" t="s">
        <v>7556</v>
      </c>
      <c r="B277" s="55" t="s">
        <v>2028</v>
      </c>
      <c r="C277" s="56" t="s">
        <v>552</v>
      </c>
      <c r="D277" s="61"/>
    </row>
    <row r="278" spans="1:4">
      <c r="A278" s="54" t="s">
        <v>7556</v>
      </c>
      <c r="B278" s="55" t="s">
        <v>2029</v>
      </c>
      <c r="C278" s="56" t="s">
        <v>554</v>
      </c>
      <c r="D278" s="61"/>
    </row>
    <row r="279" spans="1:4">
      <c r="A279" s="54" t="s">
        <v>7556</v>
      </c>
      <c r="B279" s="55" t="s">
        <v>2030</v>
      </c>
      <c r="C279" s="56" t="s">
        <v>556</v>
      </c>
      <c r="D279" s="61"/>
    </row>
    <row r="280" spans="1:4">
      <c r="A280" s="54" t="s">
        <v>7556</v>
      </c>
      <c r="B280" s="55" t="s">
        <v>2031</v>
      </c>
      <c r="C280" s="56" t="s">
        <v>558</v>
      </c>
      <c r="D280" s="61"/>
    </row>
    <row r="281" spans="1:4">
      <c r="A281" s="54" t="s">
        <v>7556</v>
      </c>
      <c r="B281" s="55" t="s">
        <v>2032</v>
      </c>
      <c r="C281" s="56" t="s">
        <v>562</v>
      </c>
      <c r="D281" s="61"/>
    </row>
    <row r="282" spans="1:4">
      <c r="A282" s="54" t="s">
        <v>7556</v>
      </c>
      <c r="B282" s="55" t="s">
        <v>2033</v>
      </c>
      <c r="C282" s="56" t="s">
        <v>568</v>
      </c>
      <c r="D282" s="61"/>
    </row>
    <row r="283" spans="1:4">
      <c r="A283" s="54" t="s">
        <v>7556</v>
      </c>
      <c r="B283" s="55" t="s">
        <v>2034</v>
      </c>
      <c r="C283" s="56" t="s">
        <v>572</v>
      </c>
      <c r="D283" s="61"/>
    </row>
    <row r="284" spans="1:4">
      <c r="A284" s="54" t="s">
        <v>7556</v>
      </c>
      <c r="B284" s="55" t="s">
        <v>2035</v>
      </c>
      <c r="C284" s="61" t="s">
        <v>2036</v>
      </c>
      <c r="D284" s="61" t="s">
        <v>7595</v>
      </c>
    </row>
    <row r="285" spans="1:4">
      <c r="A285" s="54"/>
      <c r="B285" s="55"/>
      <c r="C285" s="61"/>
      <c r="D285" s="61"/>
    </row>
    <row r="286" spans="1:4">
      <c r="A286" s="54"/>
      <c r="B286" s="55"/>
      <c r="C286" s="61"/>
      <c r="D286" s="61"/>
    </row>
    <row r="287" spans="1:4">
      <c r="A287" s="54"/>
      <c r="B287" s="55"/>
      <c r="C287" s="61"/>
      <c r="D287" s="61"/>
    </row>
    <row r="288" spans="1:4">
      <c r="A288" s="54"/>
      <c r="B288" s="55"/>
      <c r="C288" s="61"/>
      <c r="D288" s="61"/>
    </row>
    <row r="289" spans="1:4">
      <c r="A289" s="54"/>
      <c r="B289" s="55"/>
      <c r="C289" s="61"/>
      <c r="D289" s="61"/>
    </row>
    <row r="290" spans="1:4">
      <c r="A290" s="54"/>
      <c r="B290" s="55"/>
      <c r="C290" s="61"/>
      <c r="D290" s="61"/>
    </row>
    <row r="291" spans="1:4">
      <c r="A291" s="54"/>
      <c r="B291" s="55"/>
      <c r="C291" s="61"/>
      <c r="D291" s="61"/>
    </row>
    <row r="292" spans="1:4">
      <c r="A292" s="54"/>
      <c r="B292" s="55"/>
      <c r="C292" s="61"/>
      <c r="D292" s="61"/>
    </row>
    <row r="293" spans="1:4">
      <c r="A293" s="54"/>
      <c r="B293" s="55"/>
      <c r="C293" s="61"/>
      <c r="D293" s="61"/>
    </row>
    <row r="294" spans="1:4">
      <c r="A294" s="54"/>
      <c r="B294" s="55"/>
      <c r="C294" s="61"/>
      <c r="D294" s="61"/>
    </row>
    <row r="295" spans="1:4">
      <c r="A295" s="54"/>
      <c r="B295" s="55"/>
      <c r="C295" s="61"/>
      <c r="D295" s="61"/>
    </row>
    <row r="296" spans="1:4">
      <c r="A296" s="54"/>
      <c r="B296" s="55"/>
      <c r="C296" s="61"/>
      <c r="D296" s="61"/>
    </row>
    <row r="297" spans="1:4">
      <c r="A297" s="54"/>
      <c r="B297" s="55"/>
      <c r="C297" s="61"/>
      <c r="D297" s="61"/>
    </row>
    <row r="298" spans="1:4">
      <c r="A298" s="54"/>
      <c r="B298" s="55"/>
      <c r="C298" s="61"/>
      <c r="D298" s="61"/>
    </row>
    <row r="299" spans="1:4">
      <c r="A299" s="54"/>
      <c r="B299" s="55"/>
      <c r="C299" s="61"/>
      <c r="D299" s="61"/>
    </row>
    <row r="300" spans="1:4">
      <c r="A300" s="54"/>
      <c r="B300" s="55"/>
      <c r="C300" s="61"/>
      <c r="D300" s="61"/>
    </row>
    <row r="301" spans="1:4">
      <c r="A301" s="54"/>
      <c r="B301" s="55"/>
      <c r="C301" s="61"/>
      <c r="D301" s="61"/>
    </row>
    <row r="302" spans="1:4">
      <c r="A302" s="54"/>
      <c r="B302" s="55"/>
      <c r="C302" s="61"/>
      <c r="D302" s="61"/>
    </row>
    <row r="303" spans="1:4">
      <c r="A303" s="54"/>
      <c r="B303" s="55"/>
      <c r="C303" s="61"/>
      <c r="D303" s="61"/>
    </row>
    <row r="304" spans="1:4">
      <c r="A304" s="54"/>
      <c r="B304" s="55"/>
      <c r="C304" s="61"/>
      <c r="D304" s="61"/>
    </row>
    <row r="305" spans="1:4">
      <c r="A305" s="54"/>
      <c r="B305" s="55"/>
      <c r="C305" s="61"/>
      <c r="D305" s="61"/>
    </row>
    <row r="306" spans="1:4">
      <c r="A306" s="54"/>
      <c r="B306" s="55"/>
      <c r="C306" s="61"/>
      <c r="D306" s="61"/>
    </row>
    <row r="307" spans="1:4">
      <c r="A307" s="54"/>
      <c r="B307" s="55"/>
      <c r="C307" s="61"/>
      <c r="D307" s="61"/>
    </row>
    <row r="308" spans="1:4">
      <c r="A308" s="54"/>
      <c r="B308" s="55"/>
      <c r="C308" s="61"/>
      <c r="D308" s="61"/>
    </row>
    <row r="309" spans="1:4">
      <c r="A309" s="54"/>
      <c r="B309" s="55" t="s">
        <v>25</v>
      </c>
      <c r="C309" s="61"/>
      <c r="D309" s="6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D284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8"/>
  <sheetViews>
    <sheetView workbookViewId="0">
      <selection activeCell="G176" sqref="G176"/>
    </sheetView>
  </sheetViews>
  <sheetFormatPr defaultColWidth="9" defaultRowHeight="13.5" outlineLevelCol="7"/>
  <cols>
    <col min="1" max="1" width="26.75" style="14" customWidth="1"/>
    <col min="2" max="2" width="24.875" customWidth="1"/>
    <col min="3" max="3" width="39.125" style="52" customWidth="1"/>
    <col min="4" max="4" width="48.875" customWidth="1"/>
    <col min="5" max="6" width="8.625" customWidth="1"/>
    <col min="7" max="7" width="90.625" style="194" customWidth="1"/>
    <col min="8" max="8" width="30.375" style="52" customWidth="1"/>
  </cols>
  <sheetData>
    <row r="1" ht="18.75" spans="1:8">
      <c r="A1" s="15" t="s">
        <v>7596</v>
      </c>
      <c r="B1" s="15" t="s">
        <v>7540</v>
      </c>
      <c r="C1" s="15" t="s">
        <v>7541</v>
      </c>
      <c r="D1" s="15" t="s">
        <v>22</v>
      </c>
      <c r="E1" s="196" t="s">
        <v>7597</v>
      </c>
      <c r="F1" s="197"/>
      <c r="G1" s="33" t="s">
        <v>7598</v>
      </c>
      <c r="H1" s="15" t="s">
        <v>3284</v>
      </c>
    </row>
    <row r="2" spans="1:8">
      <c r="A2" s="24" t="s">
        <v>2039</v>
      </c>
      <c r="B2" s="24" t="s">
        <v>7542</v>
      </c>
      <c r="C2" s="55" t="s">
        <v>2037</v>
      </c>
      <c r="D2" s="203" t="s">
        <v>2038</v>
      </c>
      <c r="E2" s="200" cm="1">
        <f t="array" ref="E2">MIN(IFERROR(--_xlfn.TEXTSPLIT(SUBSTITUTE(SUBSTITUTE(G2,"|",",")," ",""),","),0))</f>
        <v>135</v>
      </c>
      <c r="F2" s="200" cm="1">
        <f t="array" ref="F2">MAX(IFERROR(--_xlfn.TEXTSPLIT(SUBSTITUTE(SUBSTITUTE(G2,"|",",")," ",""),","),0))</f>
        <v>148</v>
      </c>
      <c r="G2" s="201" t="s">
        <v>7599</v>
      </c>
      <c r="H2" s="61"/>
    </row>
    <row r="3" spans="1:8">
      <c r="A3" s="24" t="s">
        <v>2039</v>
      </c>
      <c r="B3" s="24" t="s">
        <v>7542</v>
      </c>
      <c r="C3" s="55" t="s">
        <v>2040</v>
      </c>
      <c r="D3" s="203" t="s">
        <v>2041</v>
      </c>
      <c r="E3" s="200" cm="1">
        <f t="array" ref="E3">MIN(IFERROR(--_xlfn.TEXTSPLIT(SUBSTITUTE(SUBSTITUTE(G3,"|",",")," ",""),","),0))</f>
        <v>149</v>
      </c>
      <c r="F3" s="200" cm="1">
        <f t="array" ref="F3">MAX(IFERROR(--_xlfn.TEXTSPLIT(SUBSTITUTE(SUBSTITUTE(G3,"|",",")," ",""),","),0))</f>
        <v>162</v>
      </c>
      <c r="G3" s="201" t="s">
        <v>7600</v>
      </c>
      <c r="H3" s="61"/>
    </row>
    <row r="4" spans="1:8">
      <c r="A4" s="24" t="s">
        <v>2039</v>
      </c>
      <c r="B4" s="24" t="s">
        <v>7542</v>
      </c>
      <c r="C4" s="55" t="s">
        <v>2042</v>
      </c>
      <c r="D4" s="203" t="s">
        <v>2043</v>
      </c>
      <c r="E4" s="200" cm="1">
        <f t="array" ref="E4">MIN(IFERROR(--_xlfn.TEXTSPLIT(SUBSTITUTE(SUBSTITUTE(G4,"|",",")," ",""),","),0))</f>
        <v>162</v>
      </c>
      <c r="F4" s="200" cm="1">
        <f t="array" ref="F4">MAX(IFERROR(--_xlfn.TEXTSPLIT(SUBSTITUTE(SUBSTITUTE(G4,"|",",")," ",""),","),0))</f>
        <v>175</v>
      </c>
      <c r="G4" s="201" t="s">
        <v>7601</v>
      </c>
      <c r="H4" s="61"/>
    </row>
    <row r="5" spans="1:8">
      <c r="A5" s="24" t="s">
        <v>2039</v>
      </c>
      <c r="B5" s="24" t="s">
        <v>7542</v>
      </c>
      <c r="C5" s="55" t="s">
        <v>2044</v>
      </c>
      <c r="D5" s="203" t="s">
        <v>2045</v>
      </c>
      <c r="E5" s="200" cm="1">
        <f t="array" ref="E5">MIN(IFERROR(--_xlfn.TEXTSPLIT(SUBSTITUTE(SUBSTITUTE(G5,"|",",")," ",""),","),0))</f>
        <v>80</v>
      </c>
      <c r="F5" s="200" cm="1">
        <f t="array" ref="F5">MAX(IFERROR(--_xlfn.TEXTSPLIT(SUBSTITUTE(SUBSTITUTE(G5,"|",",")," ",""),","),0))</f>
        <v>91</v>
      </c>
      <c r="G5" s="201" t="s">
        <v>7602</v>
      </c>
      <c r="H5" s="61"/>
    </row>
    <row r="6" spans="1:8">
      <c r="A6" s="24" t="s">
        <v>2039</v>
      </c>
      <c r="B6" s="24" t="s">
        <v>7542</v>
      </c>
      <c r="C6" s="55" t="s">
        <v>2046</v>
      </c>
      <c r="D6" s="203" t="s">
        <v>2047</v>
      </c>
      <c r="E6" s="200" cm="1">
        <f t="array" ref="E6">MIN(IFERROR(--_xlfn.TEXTSPLIT(SUBSTITUTE(SUBSTITUTE(G6,"|",",")," ",""),","),0))</f>
        <v>91</v>
      </c>
      <c r="F6" s="200" cm="1">
        <f t="array" ref="F6">MAX(IFERROR(--_xlfn.TEXTSPLIT(SUBSTITUTE(SUBSTITUTE(G6,"|",",")," ",""),","),0))</f>
        <v>102</v>
      </c>
      <c r="G6" s="201" t="s">
        <v>7603</v>
      </c>
      <c r="H6" s="61"/>
    </row>
    <row r="7" spans="1:8">
      <c r="A7" s="24" t="s">
        <v>2039</v>
      </c>
      <c r="B7" s="24" t="s">
        <v>7542</v>
      </c>
      <c r="C7" s="55" t="s">
        <v>2048</v>
      </c>
      <c r="D7" s="203" t="s">
        <v>2049</v>
      </c>
      <c r="E7" s="200" cm="1">
        <f t="array" ref="E7">MIN(IFERROR(--_xlfn.TEXTSPLIT(SUBSTITUTE(SUBSTITUTE(G7,"|",",")," ",""),","),0))</f>
        <v>101</v>
      </c>
      <c r="F7" s="200" cm="1">
        <f t="array" ref="F7">MAX(IFERROR(--_xlfn.TEXTSPLIT(SUBSTITUTE(SUBSTITUTE(G7,"|",",")," ",""),","),0))</f>
        <v>112</v>
      </c>
      <c r="G7" s="201" t="s">
        <v>7604</v>
      </c>
      <c r="H7" s="61"/>
    </row>
    <row r="8" spans="1:8">
      <c r="A8" s="24" t="s">
        <v>2039</v>
      </c>
      <c r="B8" s="24" t="s">
        <v>7542</v>
      </c>
      <c r="C8" s="55" t="s">
        <v>2050</v>
      </c>
      <c r="D8" s="203" t="s">
        <v>2051</v>
      </c>
      <c r="E8" s="200" cm="1">
        <f t="array" ref="E8">MIN(IFERROR(--_xlfn.TEXTSPLIT(SUBSTITUTE(SUBSTITUTE(G8,"|",",")," ",""),","),0))</f>
        <v>145</v>
      </c>
      <c r="F8" s="200" cm="1">
        <f t="array" ref="F8">MAX(IFERROR(--_xlfn.TEXTSPLIT(SUBSTITUTE(SUBSTITUTE(G8,"|",",")," ",""),","),0))</f>
        <v>157</v>
      </c>
      <c r="G8" s="201" t="s">
        <v>7605</v>
      </c>
      <c r="H8" s="61"/>
    </row>
    <row r="9" spans="1:8">
      <c r="A9" s="24" t="s">
        <v>2039</v>
      </c>
      <c r="B9" s="24" t="s">
        <v>7542</v>
      </c>
      <c r="C9" s="55" t="s">
        <v>2052</v>
      </c>
      <c r="D9" s="203" t="s">
        <v>2053</v>
      </c>
      <c r="E9" s="200" cm="1">
        <f t="array" ref="E9">MIN(IFERROR(--_xlfn.TEXTSPLIT(SUBSTITUTE(SUBSTITUTE(G9,"|",",")," ",""),","),0))</f>
        <v>157</v>
      </c>
      <c r="F9" s="200" cm="1">
        <f t="array" ref="F9">MAX(IFERROR(--_xlfn.TEXTSPLIT(SUBSTITUTE(SUBSTITUTE(G9,"|",",")," ",""),","),0))</f>
        <v>169</v>
      </c>
      <c r="G9" s="201" t="s">
        <v>7606</v>
      </c>
      <c r="H9" s="61"/>
    </row>
    <row r="10" spans="1:8">
      <c r="A10" s="24" t="s">
        <v>2039</v>
      </c>
      <c r="B10" s="24" t="s">
        <v>7542</v>
      </c>
      <c r="C10" s="55" t="s">
        <v>2054</v>
      </c>
      <c r="D10" s="203" t="s">
        <v>2055</v>
      </c>
      <c r="E10" s="200" cm="1">
        <f t="array" ref="E10">MIN(IFERROR(--_xlfn.TEXTSPLIT(SUBSTITUTE(SUBSTITUTE(G10,"|",",")," ",""),","),0))</f>
        <v>168</v>
      </c>
      <c r="F10" s="200" cm="1">
        <f t="array" ref="F10">MAX(IFERROR(--_xlfn.TEXTSPLIT(SUBSTITUTE(SUBSTITUTE(G10,"|",",")," ",""),","),0))</f>
        <v>180</v>
      </c>
      <c r="G10" s="201" t="s">
        <v>7607</v>
      </c>
      <c r="H10" s="61"/>
    </row>
    <row r="11" spans="1:8">
      <c r="A11" s="24" t="s">
        <v>2039</v>
      </c>
      <c r="B11" s="24" t="s">
        <v>7542</v>
      </c>
      <c r="C11" s="55" t="s">
        <v>2056</v>
      </c>
      <c r="D11" s="203" t="s">
        <v>2057</v>
      </c>
      <c r="E11" s="200" cm="1">
        <f t="array" ref="E11">MIN(IFERROR(--_xlfn.TEXTSPLIT(SUBSTITUTE(SUBSTITUTE(G11,"|",",")," ",""),","),0))</f>
        <v>102</v>
      </c>
      <c r="F11" s="200" cm="1">
        <f t="array" ref="F11">MAX(IFERROR(--_xlfn.TEXTSPLIT(SUBSTITUTE(SUBSTITUTE(G11,"|",",")," ",""),","),0))</f>
        <v>113</v>
      </c>
      <c r="G11" s="201" t="s">
        <v>7608</v>
      </c>
      <c r="H11" s="61" t="s">
        <v>7609</v>
      </c>
    </row>
    <row r="12" spans="1:8">
      <c r="A12" s="24" t="s">
        <v>2039</v>
      </c>
      <c r="B12" s="24" t="s">
        <v>7542</v>
      </c>
      <c r="C12" s="55" t="s">
        <v>2058</v>
      </c>
      <c r="D12" s="203" t="s">
        <v>2059</v>
      </c>
      <c r="E12" s="200" cm="1">
        <f t="array" ref="E12">MIN(IFERROR(--_xlfn.TEXTSPLIT(SUBSTITUTE(SUBSTITUTE(G12,"|",",")," ",""),","),0))</f>
        <v>113</v>
      </c>
      <c r="F12" s="200" cm="1">
        <f t="array" ref="F12">MAX(IFERROR(--_xlfn.TEXTSPLIT(SUBSTITUTE(SUBSTITUTE(G12,"|",",")," ",""),","),0))</f>
        <v>124</v>
      </c>
      <c r="G12" s="201" t="s">
        <v>7610</v>
      </c>
      <c r="H12" s="61" t="s">
        <v>7609</v>
      </c>
    </row>
    <row r="13" spans="1:8">
      <c r="A13" s="24" t="s">
        <v>2039</v>
      </c>
      <c r="B13" s="24" t="s">
        <v>7542</v>
      </c>
      <c r="C13" s="55" t="s">
        <v>2060</v>
      </c>
      <c r="D13" s="203" t="s">
        <v>2061</v>
      </c>
      <c r="E13" s="200" cm="1">
        <f t="array" ref="E13">MIN(IFERROR(--_xlfn.TEXTSPLIT(SUBSTITUTE(SUBSTITUTE(G13,"|",",")," ",""),","),0))</f>
        <v>123</v>
      </c>
      <c r="F13" s="200" cm="1">
        <f t="array" ref="F13">MAX(IFERROR(--_xlfn.TEXTSPLIT(SUBSTITUTE(SUBSTITUTE(G13,"|",",")," ",""),","),0))</f>
        <v>134</v>
      </c>
      <c r="G13" s="201" t="s">
        <v>7611</v>
      </c>
      <c r="H13" s="61" t="s">
        <v>7609</v>
      </c>
    </row>
    <row r="14" spans="1:8">
      <c r="A14" s="24" t="s">
        <v>2039</v>
      </c>
      <c r="B14" s="24" t="s">
        <v>7542</v>
      </c>
      <c r="C14" s="55" t="s">
        <v>2062</v>
      </c>
      <c r="D14" s="203" t="s">
        <v>2063</v>
      </c>
      <c r="E14" s="200" cm="1">
        <f t="array" ref="E14">MIN(IFERROR(--_xlfn.TEXTSPLIT(SUBSTITUTE(SUBSTITUTE(G14,"|",",")," ",""),","),0))</f>
        <v>175</v>
      </c>
      <c r="F14" s="200" cm="1">
        <f t="array" ref="F14">MAX(IFERROR(--_xlfn.TEXTSPLIT(SUBSTITUTE(SUBSTITUTE(G14,"|",",")," ",""),","),0))</f>
        <v>192</v>
      </c>
      <c r="G14" s="201" t="s">
        <v>7612</v>
      </c>
      <c r="H14" s="61"/>
    </row>
    <row r="15" spans="1:8">
      <c r="A15" s="24" t="s">
        <v>2039</v>
      </c>
      <c r="B15" s="24" t="s">
        <v>7542</v>
      </c>
      <c r="C15" s="55" t="s">
        <v>2064</v>
      </c>
      <c r="D15" s="203" t="s">
        <v>2065</v>
      </c>
      <c r="E15" s="200" cm="1">
        <f t="array" ref="E15">MIN(IFERROR(--_xlfn.TEXTSPLIT(SUBSTITUTE(SUBSTITUTE(G15,"|",",")," ",""),","),0))</f>
        <v>191</v>
      </c>
      <c r="F15" s="200" cm="1">
        <f t="array" ref="F15">MAX(IFERROR(--_xlfn.TEXTSPLIT(SUBSTITUTE(SUBSTITUTE(G15,"|",",")," ",""),","),0))</f>
        <v>208</v>
      </c>
      <c r="G15" s="201" t="s">
        <v>7613</v>
      </c>
      <c r="H15" s="61"/>
    </row>
    <row r="16" spans="1:8">
      <c r="A16" s="24" t="s">
        <v>2039</v>
      </c>
      <c r="B16" s="24" t="s">
        <v>7542</v>
      </c>
      <c r="C16" s="55" t="s">
        <v>2066</v>
      </c>
      <c r="D16" s="203" t="s">
        <v>2067</v>
      </c>
      <c r="E16" s="200" cm="1">
        <f t="array" ref="E16">MIN(IFERROR(--_xlfn.TEXTSPLIT(SUBSTITUTE(SUBSTITUTE(G16,"|",",")," ",""),","),0))</f>
        <v>208</v>
      </c>
      <c r="F16" s="200" cm="1">
        <f t="array" ref="F16">MAX(IFERROR(--_xlfn.TEXTSPLIT(SUBSTITUTE(SUBSTITUTE(G16,"|",",")," ",""),","),0))</f>
        <v>225</v>
      </c>
      <c r="G16" s="201" t="s">
        <v>7614</v>
      </c>
      <c r="H16" s="61"/>
    </row>
    <row r="17" spans="1:8">
      <c r="A17" s="24" t="s">
        <v>2456</v>
      </c>
      <c r="B17" s="24" t="s">
        <v>7542</v>
      </c>
      <c r="C17" s="55" t="s">
        <v>7615</v>
      </c>
      <c r="D17" s="203" t="s">
        <v>7616</v>
      </c>
      <c r="E17" s="200" cm="1">
        <f t="array" ref="E17">MIN(IFERROR(--_xlfn.TEXTSPLIT(SUBSTITUTE(SUBSTITUTE(G17,"|",",")," ",""),","),0))</f>
        <v>4</v>
      </c>
      <c r="F17" s="200" cm="1">
        <f t="array" ref="F17">MAX(IFERROR(--_xlfn.TEXTSPLIT(SUBSTITUTE(SUBSTITUTE(G17,"|",",")," ",""),","),0))</f>
        <v>4</v>
      </c>
      <c r="G17" s="201" t="s">
        <v>7617</v>
      </c>
      <c r="H17" s="61"/>
    </row>
    <row r="18" spans="1:8">
      <c r="A18" s="24" t="s">
        <v>2456</v>
      </c>
      <c r="B18" s="24" t="s">
        <v>7542</v>
      </c>
      <c r="C18" s="55" t="s">
        <v>7618</v>
      </c>
      <c r="D18" s="203" t="s">
        <v>7619</v>
      </c>
      <c r="E18" s="200" cm="1">
        <f t="array" ref="E18">MIN(IFERROR(--_xlfn.TEXTSPLIT(SUBSTITUTE(SUBSTITUTE(G18,"|",",")," ",""),","),0))</f>
        <v>5</v>
      </c>
      <c r="F18" s="200" cm="1">
        <f t="array" ref="F18">MAX(IFERROR(--_xlfn.TEXTSPLIT(SUBSTITUTE(SUBSTITUTE(G18,"|",",")," ",""),","),0))</f>
        <v>5</v>
      </c>
      <c r="G18" s="201" t="s">
        <v>7620</v>
      </c>
      <c r="H18" s="61"/>
    </row>
    <row r="19" spans="1:8">
      <c r="A19" s="24" t="s">
        <v>2456</v>
      </c>
      <c r="B19" s="24" t="s">
        <v>7542</v>
      </c>
      <c r="C19" s="55" t="s">
        <v>7621</v>
      </c>
      <c r="D19" s="203" t="s">
        <v>7622</v>
      </c>
      <c r="E19" s="200" cm="1">
        <f t="array" ref="E19">MIN(IFERROR(--_xlfn.TEXTSPLIT(SUBSTITUTE(SUBSTITUTE(G19,"|",",")," ",""),","),0))</f>
        <v>6</v>
      </c>
      <c r="F19" s="200" cm="1">
        <f t="array" ref="F19">MAX(IFERROR(--_xlfn.TEXTSPLIT(SUBSTITUTE(SUBSTITUTE(G19,"|",",")," ",""),","),0))</f>
        <v>6</v>
      </c>
      <c r="G19" s="201" t="s">
        <v>7623</v>
      </c>
      <c r="H19" s="61"/>
    </row>
    <row r="20" spans="1:8">
      <c r="A20" s="24" t="s">
        <v>2456</v>
      </c>
      <c r="B20" s="24" t="s">
        <v>7542</v>
      </c>
      <c r="C20" s="55" t="s">
        <v>7624</v>
      </c>
      <c r="D20" s="203" t="s">
        <v>7625</v>
      </c>
      <c r="E20" s="200" cm="1">
        <f t="array" ref="E20">MIN(IFERROR(--_xlfn.TEXTSPLIT(SUBSTITUTE(SUBSTITUTE(G20,"|",",")," ",""),","),0))</f>
        <v>4</v>
      </c>
      <c r="F20" s="200" cm="1">
        <f t="array" ref="F20">MAX(IFERROR(--_xlfn.TEXTSPLIT(SUBSTITUTE(SUBSTITUTE(G20,"|",",")," ",""),","),0))</f>
        <v>4</v>
      </c>
      <c r="G20" s="201" t="s">
        <v>7617</v>
      </c>
      <c r="H20" s="61"/>
    </row>
    <row r="21" spans="1:8">
      <c r="A21" s="24" t="s">
        <v>2456</v>
      </c>
      <c r="B21" s="24" t="s">
        <v>7542</v>
      </c>
      <c r="C21" s="55" t="s">
        <v>7626</v>
      </c>
      <c r="D21" s="203" t="s">
        <v>7627</v>
      </c>
      <c r="E21" s="200" cm="1">
        <f t="array" ref="E21">MIN(IFERROR(--_xlfn.TEXTSPLIT(SUBSTITUTE(SUBSTITUTE(G21,"|",",")," ",""),","),0))</f>
        <v>5</v>
      </c>
      <c r="F21" s="200" cm="1">
        <f t="array" ref="F21">MAX(IFERROR(--_xlfn.TEXTSPLIT(SUBSTITUTE(SUBSTITUTE(G21,"|",",")," ",""),","),0))</f>
        <v>5</v>
      </c>
      <c r="G21" s="201" t="s">
        <v>7620</v>
      </c>
      <c r="H21" s="61"/>
    </row>
    <row r="22" spans="1:8">
      <c r="A22" s="24" t="s">
        <v>2456</v>
      </c>
      <c r="B22" s="24" t="s">
        <v>7542</v>
      </c>
      <c r="C22" s="55" t="s">
        <v>7628</v>
      </c>
      <c r="D22" s="203" t="s">
        <v>7629</v>
      </c>
      <c r="E22" s="200" cm="1">
        <f t="array" ref="E22">MIN(IFERROR(--_xlfn.TEXTSPLIT(SUBSTITUTE(SUBSTITUTE(G22,"|",",")," ",""),","),0))</f>
        <v>6</v>
      </c>
      <c r="F22" s="200" cm="1">
        <f t="array" ref="F22">MAX(IFERROR(--_xlfn.TEXTSPLIT(SUBSTITUTE(SUBSTITUTE(G22,"|",",")," ",""),","),0))</f>
        <v>6</v>
      </c>
      <c r="G22" s="201" t="s">
        <v>7623</v>
      </c>
      <c r="H22" s="61"/>
    </row>
    <row r="23" spans="1:8">
      <c r="A23" s="24" t="s">
        <v>2456</v>
      </c>
      <c r="B23" s="24" t="s">
        <v>7542</v>
      </c>
      <c r="C23" s="55" t="s">
        <v>7630</v>
      </c>
      <c r="D23" s="203" t="s">
        <v>7631</v>
      </c>
      <c r="E23" s="200" cm="1">
        <f t="array" ref="E23">MIN(IFERROR(--_xlfn.TEXTSPLIT(SUBSTITUTE(SUBSTITUTE(G23,"|",",")," ",""),","),0))</f>
        <v>4</v>
      </c>
      <c r="F23" s="200" cm="1">
        <f t="array" ref="F23">MAX(IFERROR(--_xlfn.TEXTSPLIT(SUBSTITUTE(SUBSTITUTE(G23,"|",",")," ",""),","),0))</f>
        <v>4</v>
      </c>
      <c r="G23" s="201" t="s">
        <v>7617</v>
      </c>
      <c r="H23" s="61"/>
    </row>
    <row r="24" spans="1:8">
      <c r="A24" s="24" t="s">
        <v>2456</v>
      </c>
      <c r="B24" s="24" t="s">
        <v>7542</v>
      </c>
      <c r="C24" s="55" t="s">
        <v>7632</v>
      </c>
      <c r="D24" s="203" t="s">
        <v>7633</v>
      </c>
      <c r="E24" s="200" cm="1">
        <f t="array" ref="E24">MIN(IFERROR(--_xlfn.TEXTSPLIT(SUBSTITUTE(SUBSTITUTE(G24,"|",",")," ",""),","),0))</f>
        <v>5</v>
      </c>
      <c r="F24" s="200" cm="1">
        <f t="array" ref="F24">MAX(IFERROR(--_xlfn.TEXTSPLIT(SUBSTITUTE(SUBSTITUTE(G24,"|",",")," ",""),","),0))</f>
        <v>5</v>
      </c>
      <c r="G24" s="201" t="s">
        <v>7620</v>
      </c>
      <c r="H24" s="61"/>
    </row>
    <row r="25" spans="1:8">
      <c r="A25" s="24" t="s">
        <v>2456</v>
      </c>
      <c r="B25" s="24" t="s">
        <v>7542</v>
      </c>
      <c r="C25" s="55" t="s">
        <v>7634</v>
      </c>
      <c r="D25" s="203" t="s">
        <v>7635</v>
      </c>
      <c r="E25" s="200" cm="1">
        <f t="array" ref="E25">MIN(IFERROR(--_xlfn.TEXTSPLIT(SUBSTITUTE(SUBSTITUTE(G25,"|",",")," ",""),","),0))</f>
        <v>6</v>
      </c>
      <c r="F25" s="200" cm="1">
        <f t="array" ref="F25">MAX(IFERROR(--_xlfn.TEXTSPLIT(SUBSTITUTE(SUBSTITUTE(G25,"|",",")," ",""),","),0))</f>
        <v>6</v>
      </c>
      <c r="G25" s="201" t="s">
        <v>7623</v>
      </c>
      <c r="H25" s="61"/>
    </row>
    <row r="26" spans="1:8">
      <c r="A26" s="24" t="s">
        <v>2456</v>
      </c>
      <c r="B26" s="24" t="s">
        <v>7542</v>
      </c>
      <c r="C26" s="55" t="s">
        <v>7636</v>
      </c>
      <c r="D26" s="203" t="s">
        <v>7637</v>
      </c>
      <c r="E26" s="200" cm="1">
        <f t="array" ref="E26">MIN(IFERROR(--_xlfn.TEXTSPLIT(SUBSTITUTE(SUBSTITUTE(G26,"|",",")," ",""),","),0))</f>
        <v>4</v>
      </c>
      <c r="F26" s="200" cm="1">
        <f t="array" ref="F26">MAX(IFERROR(--_xlfn.TEXTSPLIT(SUBSTITUTE(SUBSTITUTE(G26,"|",",")," ",""),","),0))</f>
        <v>4</v>
      </c>
      <c r="G26" s="201" t="s">
        <v>7617</v>
      </c>
      <c r="H26" s="61"/>
    </row>
    <row r="27" spans="1:8">
      <c r="A27" s="24" t="s">
        <v>2456</v>
      </c>
      <c r="B27" s="24" t="s">
        <v>7542</v>
      </c>
      <c r="C27" s="55" t="s">
        <v>7638</v>
      </c>
      <c r="D27" s="203" t="s">
        <v>7639</v>
      </c>
      <c r="E27" s="200" cm="1">
        <f t="array" ref="E27">MIN(IFERROR(--_xlfn.TEXTSPLIT(SUBSTITUTE(SUBSTITUTE(G27,"|",",")," ",""),","),0))</f>
        <v>5</v>
      </c>
      <c r="F27" s="200" cm="1">
        <f t="array" ref="F27">MAX(IFERROR(--_xlfn.TEXTSPLIT(SUBSTITUTE(SUBSTITUTE(G27,"|",",")," ",""),","),0))</f>
        <v>5</v>
      </c>
      <c r="G27" s="201" t="s">
        <v>7620</v>
      </c>
      <c r="H27" s="61"/>
    </row>
    <row r="28" spans="1:8">
      <c r="A28" s="24" t="s">
        <v>2456</v>
      </c>
      <c r="B28" s="24" t="s">
        <v>7542</v>
      </c>
      <c r="C28" s="55" t="s">
        <v>7640</v>
      </c>
      <c r="D28" s="203" t="s">
        <v>7641</v>
      </c>
      <c r="E28" s="200" cm="1">
        <f t="array" ref="E28">MIN(IFERROR(--_xlfn.TEXTSPLIT(SUBSTITUTE(SUBSTITUTE(G28,"|",",")," ",""),","),0))</f>
        <v>6</v>
      </c>
      <c r="F28" s="200" cm="1">
        <f t="array" ref="F28">MAX(IFERROR(--_xlfn.TEXTSPLIT(SUBSTITUTE(SUBSTITUTE(G28,"|",",")," ",""),","),0))</f>
        <v>6</v>
      </c>
      <c r="G28" s="201" t="s">
        <v>7623</v>
      </c>
      <c r="H28" s="61"/>
    </row>
    <row r="29" spans="1:8">
      <c r="A29" s="24" t="s">
        <v>2456</v>
      </c>
      <c r="B29" s="24" t="s">
        <v>7542</v>
      </c>
      <c r="C29" s="55" t="s">
        <v>7642</v>
      </c>
      <c r="D29" s="203" t="s">
        <v>7643</v>
      </c>
      <c r="E29" s="200" cm="1">
        <f t="array" ref="E29">MIN(IFERROR(--_xlfn.TEXTSPLIT(SUBSTITUTE(SUBSTITUTE(G29,"|",",")," ",""),","),0))</f>
        <v>4</v>
      </c>
      <c r="F29" s="200" cm="1">
        <f t="array" ref="F29">MAX(IFERROR(--_xlfn.TEXTSPLIT(SUBSTITUTE(SUBSTITUTE(G29,"|",",")," ",""),","),0))</f>
        <v>4</v>
      </c>
      <c r="G29" s="201" t="s">
        <v>7617</v>
      </c>
      <c r="H29" s="61"/>
    </row>
    <row r="30" spans="1:8">
      <c r="A30" s="24" t="s">
        <v>2456</v>
      </c>
      <c r="B30" s="24" t="s">
        <v>7542</v>
      </c>
      <c r="C30" s="55" t="s">
        <v>7644</v>
      </c>
      <c r="D30" s="203" t="s">
        <v>7645</v>
      </c>
      <c r="E30" s="200" cm="1">
        <f t="array" ref="E30">MIN(IFERROR(--_xlfn.TEXTSPLIT(SUBSTITUTE(SUBSTITUTE(G30,"|",",")," ",""),","),0))</f>
        <v>5</v>
      </c>
      <c r="F30" s="200" cm="1">
        <f t="array" ref="F30">MAX(IFERROR(--_xlfn.TEXTSPLIT(SUBSTITUTE(SUBSTITUTE(G30,"|",",")," ",""),","),0))</f>
        <v>5</v>
      </c>
      <c r="G30" s="201" t="s">
        <v>7620</v>
      </c>
      <c r="H30" s="61"/>
    </row>
    <row r="31" spans="1:8">
      <c r="A31" s="24" t="s">
        <v>2456</v>
      </c>
      <c r="B31" s="24" t="s">
        <v>7542</v>
      </c>
      <c r="C31" s="55" t="s">
        <v>7646</v>
      </c>
      <c r="D31" s="203" t="s">
        <v>7647</v>
      </c>
      <c r="E31" s="200" cm="1">
        <f t="array" ref="E31">MIN(IFERROR(--_xlfn.TEXTSPLIT(SUBSTITUTE(SUBSTITUTE(G31,"|",",")," ",""),","),0))</f>
        <v>6</v>
      </c>
      <c r="F31" s="200" cm="1">
        <f t="array" ref="F31">MAX(IFERROR(--_xlfn.TEXTSPLIT(SUBSTITUTE(SUBSTITUTE(G31,"|",",")," ",""),","),0))</f>
        <v>6</v>
      </c>
      <c r="G31" s="201" t="s">
        <v>7623</v>
      </c>
      <c r="H31" s="61"/>
    </row>
    <row r="32" spans="1:8">
      <c r="A32" s="24" t="s">
        <v>2456</v>
      </c>
      <c r="B32" s="24" t="s">
        <v>7542</v>
      </c>
      <c r="C32" s="55" t="s">
        <v>7648</v>
      </c>
      <c r="D32" s="203" t="s">
        <v>7649</v>
      </c>
      <c r="E32" s="200" cm="1">
        <f t="array" ref="E32">MIN(IFERROR(--_xlfn.TEXTSPLIT(SUBSTITUTE(SUBSTITUTE(G32,"|",",")," ",""),","),0))</f>
        <v>4</v>
      </c>
      <c r="F32" s="200" cm="1">
        <f t="array" ref="F32">MAX(IFERROR(--_xlfn.TEXTSPLIT(SUBSTITUTE(SUBSTITUTE(G32,"|",",")," ",""),","),0))</f>
        <v>4</v>
      </c>
      <c r="G32" s="201" t="s">
        <v>7617</v>
      </c>
      <c r="H32" s="61"/>
    </row>
    <row r="33" spans="1:8">
      <c r="A33" s="24" t="s">
        <v>2456</v>
      </c>
      <c r="B33" s="24" t="s">
        <v>7542</v>
      </c>
      <c r="C33" s="55" t="s">
        <v>7650</v>
      </c>
      <c r="D33" s="203" t="s">
        <v>7651</v>
      </c>
      <c r="E33" s="200" cm="1">
        <f t="array" ref="E33">MIN(IFERROR(--_xlfn.TEXTSPLIT(SUBSTITUTE(SUBSTITUTE(G33,"|",",")," ",""),","),0))</f>
        <v>5</v>
      </c>
      <c r="F33" s="200" cm="1">
        <f t="array" ref="F33">MAX(IFERROR(--_xlfn.TEXTSPLIT(SUBSTITUTE(SUBSTITUTE(G33,"|",",")," ",""),","),0))</f>
        <v>5</v>
      </c>
      <c r="G33" s="201" t="s">
        <v>7620</v>
      </c>
      <c r="H33" s="61"/>
    </row>
    <row r="34" spans="1:8">
      <c r="A34" s="24" t="s">
        <v>2456</v>
      </c>
      <c r="B34" s="24" t="s">
        <v>7542</v>
      </c>
      <c r="C34" s="55" t="s">
        <v>7652</v>
      </c>
      <c r="D34" s="203" t="s">
        <v>7653</v>
      </c>
      <c r="E34" s="200" cm="1">
        <f t="array" ref="E34">MIN(IFERROR(--_xlfn.TEXTSPLIT(SUBSTITUTE(SUBSTITUTE(G34,"|",",")," ",""),","),0))</f>
        <v>6</v>
      </c>
      <c r="F34" s="200" cm="1">
        <f t="array" ref="F34">MAX(IFERROR(--_xlfn.TEXTSPLIT(SUBSTITUTE(SUBSTITUTE(G34,"|",",")," ",""),","),0))</f>
        <v>6</v>
      </c>
      <c r="G34" s="201" t="s">
        <v>7623</v>
      </c>
      <c r="H34" s="61"/>
    </row>
    <row r="35" spans="1:8">
      <c r="A35" s="24" t="s">
        <v>2456</v>
      </c>
      <c r="B35" s="24" t="s">
        <v>7542</v>
      </c>
      <c r="C35" s="55" t="s">
        <v>7654</v>
      </c>
      <c r="D35" s="203" t="s">
        <v>7655</v>
      </c>
      <c r="E35" s="200" cm="1">
        <f t="array" ref="E35">MIN(IFERROR(--_xlfn.TEXTSPLIT(SUBSTITUTE(SUBSTITUTE(G35,"|",",")," ",""),","),0))</f>
        <v>4</v>
      </c>
      <c r="F35" s="200" cm="1">
        <f t="array" ref="F35">MAX(IFERROR(--_xlfn.TEXTSPLIT(SUBSTITUTE(SUBSTITUTE(G35,"|",",")," ",""),","),0))</f>
        <v>4</v>
      </c>
      <c r="G35" s="201" t="s">
        <v>7617</v>
      </c>
      <c r="H35" s="61"/>
    </row>
    <row r="36" spans="1:8">
      <c r="A36" s="24" t="s">
        <v>2456</v>
      </c>
      <c r="B36" s="24" t="s">
        <v>7542</v>
      </c>
      <c r="C36" s="55" t="s">
        <v>7656</v>
      </c>
      <c r="D36" s="203" t="s">
        <v>7657</v>
      </c>
      <c r="E36" s="200" cm="1">
        <f t="array" ref="E36">MIN(IFERROR(--_xlfn.TEXTSPLIT(SUBSTITUTE(SUBSTITUTE(G36,"|",",")," ",""),","),0))</f>
        <v>5</v>
      </c>
      <c r="F36" s="200" cm="1">
        <f t="array" ref="F36">MAX(IFERROR(--_xlfn.TEXTSPLIT(SUBSTITUTE(SUBSTITUTE(G36,"|",",")," ",""),","),0))</f>
        <v>5</v>
      </c>
      <c r="G36" s="201" t="s">
        <v>7620</v>
      </c>
      <c r="H36" s="61"/>
    </row>
    <row r="37" spans="1:8">
      <c r="A37" s="24" t="s">
        <v>2456</v>
      </c>
      <c r="B37" s="24" t="s">
        <v>7542</v>
      </c>
      <c r="C37" s="55" t="s">
        <v>7658</v>
      </c>
      <c r="D37" s="203" t="s">
        <v>7659</v>
      </c>
      <c r="E37" s="200" cm="1">
        <f t="array" ref="E37">MIN(IFERROR(--_xlfn.TEXTSPLIT(SUBSTITUTE(SUBSTITUTE(G37,"|",",")," ",""),","),0))</f>
        <v>6</v>
      </c>
      <c r="F37" s="200" cm="1">
        <f t="array" ref="F37">MAX(IFERROR(--_xlfn.TEXTSPLIT(SUBSTITUTE(SUBSTITUTE(G37,"|",",")," ",""),","),0))</f>
        <v>6</v>
      </c>
      <c r="G37" s="201" t="s">
        <v>7623</v>
      </c>
      <c r="H37" s="61"/>
    </row>
    <row r="38" spans="1:8">
      <c r="A38" s="24" t="s">
        <v>7660</v>
      </c>
      <c r="B38" s="24" t="s">
        <v>7542</v>
      </c>
      <c r="C38" s="55" t="s">
        <v>2068</v>
      </c>
      <c r="D38" s="203" t="s">
        <v>2069</v>
      </c>
      <c r="E38" s="200" cm="1">
        <f t="array" ref="E38">MIN(IFERROR(--_xlfn.TEXTSPLIT(SUBSTITUTE(SUBSTITUTE(G38,"|",",")," ",""),","),0))</f>
        <v>92</v>
      </c>
      <c r="F38" s="200" cm="1">
        <f t="array" ref="F38">MAX(IFERROR(--_xlfn.TEXTSPLIT(SUBSTITUTE(SUBSTITUTE(G38,"|",",")," ",""),","),0))</f>
        <v>103</v>
      </c>
      <c r="G38" s="201" t="s">
        <v>7661</v>
      </c>
      <c r="H38" s="61" t="s">
        <v>7662</v>
      </c>
    </row>
    <row r="39" spans="1:8">
      <c r="A39" s="24" t="s">
        <v>7660</v>
      </c>
      <c r="B39" s="24" t="s">
        <v>7542</v>
      </c>
      <c r="C39" s="55" t="s">
        <v>2070</v>
      </c>
      <c r="D39" s="203" t="s">
        <v>2071</v>
      </c>
      <c r="E39" s="200" cm="1">
        <f t="array" ref="E39">MIN(IFERROR(--_xlfn.TEXTSPLIT(SUBSTITUTE(SUBSTITUTE(G39,"|",",")," ",""),","),0))</f>
        <v>102</v>
      </c>
      <c r="F39" s="200" cm="1">
        <f t="array" ref="F39">MAX(IFERROR(--_xlfn.TEXTSPLIT(SUBSTITUTE(SUBSTITUTE(G39,"|",",")," ",""),","),0))</f>
        <v>113</v>
      </c>
      <c r="G39" s="201" t="s">
        <v>7608</v>
      </c>
      <c r="H39" s="61" t="s">
        <v>7662</v>
      </c>
    </row>
    <row r="40" spans="1:8">
      <c r="A40" s="24" t="s">
        <v>7660</v>
      </c>
      <c r="B40" s="24" t="s">
        <v>7542</v>
      </c>
      <c r="C40" s="55" t="s">
        <v>2072</v>
      </c>
      <c r="D40" s="203" t="s">
        <v>2073</v>
      </c>
      <c r="E40" s="200" cm="1">
        <f t="array" ref="E40">MIN(IFERROR(--_xlfn.TEXTSPLIT(SUBSTITUTE(SUBSTITUTE(G40,"|",",")," ",""),","),0))</f>
        <v>113</v>
      </c>
      <c r="F40" s="200" cm="1">
        <f t="array" ref="F40">MAX(IFERROR(--_xlfn.TEXTSPLIT(SUBSTITUTE(SUBSTITUTE(G40,"|",",")," ",""),","),0))</f>
        <v>124</v>
      </c>
      <c r="G40" s="201" t="s">
        <v>7610</v>
      </c>
      <c r="H40" s="61" t="s">
        <v>7662</v>
      </c>
    </row>
    <row r="41" spans="1:8">
      <c r="A41" s="24" t="s">
        <v>2039</v>
      </c>
      <c r="B41" s="24" t="s">
        <v>7542</v>
      </c>
      <c r="C41" s="55" t="s">
        <v>2074</v>
      </c>
      <c r="D41" s="203" t="s">
        <v>2075</v>
      </c>
      <c r="E41" s="200" cm="1">
        <f t="array" ref="E41">MIN(IFERROR(--_xlfn.TEXTSPLIT(SUBSTITUTE(SUBSTITUTE(G41,"|",",")," ",""),","),0))</f>
        <v>88</v>
      </c>
      <c r="F41" s="200" cm="1">
        <f t="array" ref="F41">MAX(IFERROR(--_xlfn.TEXTSPLIT(SUBSTITUTE(SUBSTITUTE(G41,"|",",")," ",""),","),0))</f>
        <v>99</v>
      </c>
      <c r="G41" s="201" t="s">
        <v>7663</v>
      </c>
      <c r="H41" s="61"/>
    </row>
    <row r="42" spans="1:8">
      <c r="A42" s="24" t="s">
        <v>2039</v>
      </c>
      <c r="B42" s="24" t="s">
        <v>7542</v>
      </c>
      <c r="C42" s="55" t="s">
        <v>2076</v>
      </c>
      <c r="D42" s="203" t="s">
        <v>2077</v>
      </c>
      <c r="E42" s="200" cm="1">
        <f t="array" ref="E42">MIN(IFERROR(--_xlfn.TEXTSPLIT(SUBSTITUTE(SUBSTITUTE(G42,"|",",")," ",""),","),0))</f>
        <v>99</v>
      </c>
      <c r="F42" s="200" cm="1">
        <f t="array" ref="F42">MAX(IFERROR(--_xlfn.TEXTSPLIT(SUBSTITUTE(SUBSTITUTE(G42,"|",",")," ",""),","),0))</f>
        <v>110</v>
      </c>
      <c r="G42" s="201" t="s">
        <v>7664</v>
      </c>
      <c r="H42" s="61"/>
    </row>
    <row r="43" spans="1:8">
      <c r="A43" s="24" t="s">
        <v>2039</v>
      </c>
      <c r="B43" s="24" t="s">
        <v>7542</v>
      </c>
      <c r="C43" s="55" t="s">
        <v>2078</v>
      </c>
      <c r="D43" s="203" t="s">
        <v>2079</v>
      </c>
      <c r="E43" s="200" cm="1">
        <f t="array" ref="E43">MIN(IFERROR(--_xlfn.TEXTSPLIT(SUBSTITUTE(SUBSTITUTE(G43,"|",",")," ",""),","),0))</f>
        <v>109</v>
      </c>
      <c r="F43" s="200" cm="1">
        <f t="array" ref="F43">MAX(IFERROR(--_xlfn.TEXTSPLIT(SUBSTITUTE(SUBSTITUTE(G43,"|",",")," ",""),","),0))</f>
        <v>120</v>
      </c>
      <c r="G43" s="201" t="s">
        <v>7665</v>
      </c>
      <c r="H43" s="61"/>
    </row>
    <row r="44" spans="1:8">
      <c r="A44" s="24" t="s">
        <v>7660</v>
      </c>
      <c r="B44" s="24" t="s">
        <v>7542</v>
      </c>
      <c r="C44" s="55" t="s">
        <v>2080</v>
      </c>
      <c r="D44" s="203" t="s">
        <v>2081</v>
      </c>
      <c r="E44" s="200" cm="1">
        <f t="array" ref="E44">MIN(IFERROR(--_xlfn.TEXTSPLIT(SUBSTITUTE(SUBSTITUTE(G44,"|",",")," ",""),","),0))</f>
        <v>60</v>
      </c>
      <c r="F44" s="200" cm="1">
        <f t="array" ref="F44">MAX(IFERROR(--_xlfn.TEXTSPLIT(SUBSTITUTE(SUBSTITUTE(G44,"|",",")," ",""),","),0))</f>
        <v>70</v>
      </c>
      <c r="G44" s="201" t="s">
        <v>7666</v>
      </c>
      <c r="H44" s="61" t="s">
        <v>7667</v>
      </c>
    </row>
    <row r="45" spans="1:8">
      <c r="A45" s="24" t="s">
        <v>7660</v>
      </c>
      <c r="B45" s="24" t="s">
        <v>7542</v>
      </c>
      <c r="C45" s="55" t="s">
        <v>2082</v>
      </c>
      <c r="D45" s="203" t="s">
        <v>2083</v>
      </c>
      <c r="E45" s="200" cm="1">
        <f t="array" ref="E45">MIN(IFERROR(--_xlfn.TEXTSPLIT(SUBSTITUTE(SUBSTITUTE(G45,"|",",")," ",""),","),0))</f>
        <v>70</v>
      </c>
      <c r="F45" s="200" cm="1">
        <f t="array" ref="F45">MAX(IFERROR(--_xlfn.TEXTSPLIT(SUBSTITUTE(SUBSTITUTE(G45,"|",",")," ",""),","),0))</f>
        <v>80</v>
      </c>
      <c r="G45" s="201" t="s">
        <v>7668</v>
      </c>
      <c r="H45" s="61" t="s">
        <v>7667</v>
      </c>
    </row>
    <row r="46" spans="1:8">
      <c r="A46" s="24" t="s">
        <v>7660</v>
      </c>
      <c r="B46" s="24" t="s">
        <v>7542</v>
      </c>
      <c r="C46" s="55" t="s">
        <v>2084</v>
      </c>
      <c r="D46" s="203" t="s">
        <v>2085</v>
      </c>
      <c r="E46" s="200" cm="1">
        <f t="array" ref="E46">MIN(IFERROR(--_xlfn.TEXTSPLIT(SUBSTITUTE(SUBSTITUTE(G46,"|",",")," ",""),","),0))</f>
        <v>80</v>
      </c>
      <c r="F46" s="200" cm="1">
        <f t="array" ref="F46">MAX(IFERROR(--_xlfn.TEXTSPLIT(SUBSTITUTE(SUBSTITUTE(G46,"|",",")," ",""),","),0))</f>
        <v>90</v>
      </c>
      <c r="G46" s="201" t="s">
        <v>7669</v>
      </c>
      <c r="H46" s="61" t="s">
        <v>7667</v>
      </c>
    </row>
    <row r="47" spans="1:8">
      <c r="A47" s="24" t="s">
        <v>2039</v>
      </c>
      <c r="B47" s="24" t="s">
        <v>7542</v>
      </c>
      <c r="C47" s="55" t="s">
        <v>2086</v>
      </c>
      <c r="D47" s="203" t="s">
        <v>2087</v>
      </c>
      <c r="E47" s="200" cm="1">
        <f t="array" ref="E47">MIN(IFERROR(--_xlfn.TEXTSPLIT(SUBSTITUTE(SUBSTITUTE(G47,"|",",")," ",""),","),0))</f>
        <v>92</v>
      </c>
      <c r="F47" s="200" cm="1">
        <f t="array" ref="F47">MAX(IFERROR(--_xlfn.TEXTSPLIT(SUBSTITUTE(SUBSTITUTE(G47,"|",",")," ",""),","),0))</f>
        <v>103</v>
      </c>
      <c r="G47" s="201" t="s">
        <v>7661</v>
      </c>
      <c r="H47" s="61"/>
    </row>
    <row r="48" spans="1:8">
      <c r="A48" s="24" t="s">
        <v>2039</v>
      </c>
      <c r="B48" s="24" t="s">
        <v>7542</v>
      </c>
      <c r="C48" s="55" t="s">
        <v>2088</v>
      </c>
      <c r="D48" s="203" t="s">
        <v>2089</v>
      </c>
      <c r="E48" s="200" cm="1">
        <f t="array" ref="E48">MIN(IFERROR(--_xlfn.TEXTSPLIT(SUBSTITUTE(SUBSTITUTE(G48,"|",",")," ",""),","),0))</f>
        <v>103</v>
      </c>
      <c r="F48" s="200" cm="1">
        <f t="array" ref="F48">MAX(IFERROR(--_xlfn.TEXTSPLIT(SUBSTITUTE(SUBSTITUTE(G48,"|",",")," ",""),","),0))</f>
        <v>114</v>
      </c>
      <c r="G48" s="201" t="s">
        <v>7670</v>
      </c>
      <c r="H48" s="61"/>
    </row>
    <row r="49" spans="1:8">
      <c r="A49" s="24" t="s">
        <v>2039</v>
      </c>
      <c r="B49" s="24" t="s">
        <v>7542</v>
      </c>
      <c r="C49" s="55" t="s">
        <v>2090</v>
      </c>
      <c r="D49" s="203" t="s">
        <v>2091</v>
      </c>
      <c r="E49" s="200" cm="1">
        <f t="array" ref="E49">MIN(IFERROR(--_xlfn.TEXTSPLIT(SUBSTITUTE(SUBSTITUTE(G49,"|",",")," ",""),","),0))</f>
        <v>113</v>
      </c>
      <c r="F49" s="200" cm="1">
        <f t="array" ref="F49">MAX(IFERROR(--_xlfn.TEXTSPLIT(SUBSTITUTE(SUBSTITUTE(G49,"|",",")," ",""),","),0))</f>
        <v>124</v>
      </c>
      <c r="G49" s="201" t="s">
        <v>7610</v>
      </c>
      <c r="H49" s="61"/>
    </row>
    <row r="50" spans="1:8">
      <c r="A50" s="24" t="s">
        <v>2039</v>
      </c>
      <c r="B50" s="24" t="s">
        <v>7542</v>
      </c>
      <c r="C50" s="55" t="s">
        <v>2092</v>
      </c>
      <c r="D50" s="203" t="s">
        <v>2093</v>
      </c>
      <c r="E50" s="200" cm="1">
        <f t="array" ref="E50">MIN(IFERROR(--_xlfn.TEXTSPLIT(SUBSTITUTE(SUBSTITUTE(G50,"|",",")," ",""),","),0))</f>
        <v>112</v>
      </c>
      <c r="F50" s="200" cm="1">
        <f t="array" ref="F50">MAX(IFERROR(--_xlfn.TEXTSPLIT(SUBSTITUTE(SUBSTITUTE(G50,"|",",")," ",""),","),0))</f>
        <v>123</v>
      </c>
      <c r="G50" s="201" t="s">
        <v>7671</v>
      </c>
      <c r="H50" s="61"/>
    </row>
    <row r="51" spans="1:8">
      <c r="A51" s="24" t="s">
        <v>2039</v>
      </c>
      <c r="B51" s="24" t="s">
        <v>7542</v>
      </c>
      <c r="C51" s="55" t="s">
        <v>2094</v>
      </c>
      <c r="D51" s="203" t="s">
        <v>2095</v>
      </c>
      <c r="E51" s="200" cm="1">
        <f t="array" ref="E51">MIN(IFERROR(--_xlfn.TEXTSPLIT(SUBSTITUTE(SUBSTITUTE(G51,"|",",")," ",""),","),0))</f>
        <v>123</v>
      </c>
      <c r="F51" s="200" cm="1">
        <f t="array" ref="F51">MAX(IFERROR(--_xlfn.TEXTSPLIT(SUBSTITUTE(SUBSTITUTE(G51,"|",",")," ",""),","),0))</f>
        <v>134</v>
      </c>
      <c r="G51" s="201" t="s">
        <v>7611</v>
      </c>
      <c r="H51" s="61"/>
    </row>
    <row r="52" spans="1:8">
      <c r="A52" s="24" t="s">
        <v>2039</v>
      </c>
      <c r="B52" s="24" t="s">
        <v>7542</v>
      </c>
      <c r="C52" s="55" t="s">
        <v>2096</v>
      </c>
      <c r="D52" s="203" t="s">
        <v>2097</v>
      </c>
      <c r="E52" s="200" cm="1">
        <f t="array" ref="E52">MIN(IFERROR(--_xlfn.TEXTSPLIT(SUBSTITUTE(SUBSTITUTE(G52,"|",",")," ",""),","),0))</f>
        <v>133</v>
      </c>
      <c r="F52" s="200" cm="1">
        <f t="array" ref="F52">MAX(IFERROR(--_xlfn.TEXTSPLIT(SUBSTITUTE(SUBSTITUTE(G52,"|",",")," ",""),","),0))</f>
        <v>144</v>
      </c>
      <c r="G52" s="201" t="s">
        <v>7672</v>
      </c>
      <c r="H52" s="61"/>
    </row>
    <row r="53" spans="1:8">
      <c r="A53" s="24" t="s">
        <v>2039</v>
      </c>
      <c r="B53" s="24" t="s">
        <v>7542</v>
      </c>
      <c r="C53" s="55" t="s">
        <v>2098</v>
      </c>
      <c r="D53" s="203" t="s">
        <v>2099</v>
      </c>
      <c r="E53" s="200" cm="1">
        <f t="array" ref="E53">MIN(IFERROR(--_xlfn.TEXTSPLIT(SUBSTITUTE(SUBSTITUTE(G53,"|",",")," ",""),","),0))</f>
        <v>158</v>
      </c>
      <c r="F53" s="200" cm="1">
        <f t="array" ref="F53">MAX(IFERROR(--_xlfn.TEXTSPLIT(SUBSTITUTE(SUBSTITUTE(G53,"|",",")," ",""),","),0))</f>
        <v>185</v>
      </c>
      <c r="G53" s="201" t="s">
        <v>7673</v>
      </c>
      <c r="H53" s="61"/>
    </row>
    <row r="54" spans="1:8">
      <c r="A54" s="24" t="s">
        <v>2039</v>
      </c>
      <c r="B54" s="24" t="s">
        <v>7542</v>
      </c>
      <c r="C54" s="55" t="s">
        <v>2100</v>
      </c>
      <c r="D54" s="203" t="s">
        <v>2101</v>
      </c>
      <c r="E54" s="200" cm="1">
        <f t="array" ref="E54">MIN(IFERROR(--_xlfn.TEXTSPLIT(SUBSTITUTE(SUBSTITUTE(G54,"|",",")," ",""),","),0))</f>
        <v>184</v>
      </c>
      <c r="F54" s="200" cm="1">
        <f t="array" ref="F54">MAX(IFERROR(--_xlfn.TEXTSPLIT(SUBSTITUTE(SUBSTITUTE(G54,"|",",")," ",""),","),0))</f>
        <v>211</v>
      </c>
      <c r="G54" s="201" t="s">
        <v>7674</v>
      </c>
      <c r="H54" s="61"/>
    </row>
    <row r="55" spans="1:8">
      <c r="A55" s="24" t="s">
        <v>2039</v>
      </c>
      <c r="B55" s="24" t="s">
        <v>7542</v>
      </c>
      <c r="C55" s="55" t="s">
        <v>2102</v>
      </c>
      <c r="D55" s="203" t="s">
        <v>2103</v>
      </c>
      <c r="E55" s="200" cm="1">
        <f t="array" ref="E55">MIN(IFERROR(--_xlfn.TEXTSPLIT(SUBSTITUTE(SUBSTITUTE(G55,"|",",")," ",""),","),0))</f>
        <v>211</v>
      </c>
      <c r="F55" s="200" cm="1">
        <f t="array" ref="F55">MAX(IFERROR(--_xlfn.TEXTSPLIT(SUBSTITUTE(SUBSTITUTE(G55,"|",",")," ",""),","),0))</f>
        <v>238</v>
      </c>
      <c r="G55" s="201" t="s">
        <v>7675</v>
      </c>
      <c r="H55" s="61"/>
    </row>
    <row r="56" spans="1:8">
      <c r="A56" s="24" t="s">
        <v>2039</v>
      </c>
      <c r="B56" s="24" t="s">
        <v>7542</v>
      </c>
      <c r="C56" s="55" t="s">
        <v>2104</v>
      </c>
      <c r="D56" s="203" t="s">
        <v>2105</v>
      </c>
      <c r="E56" s="200" cm="1">
        <f t="array" ref="E56">MIN(IFERROR(--_xlfn.TEXTSPLIT(SUBSTITUTE(SUBSTITUTE(G56,"|",",")," ",""),","),0))</f>
        <v>112</v>
      </c>
      <c r="F56" s="200" cm="1">
        <f t="array" ref="F56">MAX(IFERROR(--_xlfn.TEXTSPLIT(SUBSTITUTE(SUBSTITUTE(G56,"|",",")," ",""),","),0))</f>
        <v>123</v>
      </c>
      <c r="G56" s="201" t="s">
        <v>7671</v>
      </c>
      <c r="H56" s="61"/>
    </row>
    <row r="57" spans="1:8">
      <c r="A57" s="24" t="s">
        <v>2039</v>
      </c>
      <c r="B57" s="24" t="s">
        <v>7542</v>
      </c>
      <c r="C57" s="55" t="s">
        <v>2106</v>
      </c>
      <c r="D57" s="203" t="s">
        <v>2107</v>
      </c>
      <c r="E57" s="200" cm="1">
        <f t="array" ref="E57">MIN(IFERROR(--_xlfn.TEXTSPLIT(SUBSTITUTE(SUBSTITUTE(G57,"|",",")," ",""),","),0))</f>
        <v>123</v>
      </c>
      <c r="F57" s="200" cm="1">
        <f t="array" ref="F57">MAX(IFERROR(--_xlfn.TEXTSPLIT(SUBSTITUTE(SUBSTITUTE(G57,"|",",")," ",""),","),0))</f>
        <v>134</v>
      </c>
      <c r="G57" s="201" t="s">
        <v>7611</v>
      </c>
      <c r="H57" s="61"/>
    </row>
    <row r="58" spans="1:8">
      <c r="A58" s="24" t="s">
        <v>2039</v>
      </c>
      <c r="B58" s="24" t="s">
        <v>7542</v>
      </c>
      <c r="C58" s="55" t="s">
        <v>2108</v>
      </c>
      <c r="D58" s="203" t="s">
        <v>2109</v>
      </c>
      <c r="E58" s="200" cm="1">
        <f t="array" ref="E58">MIN(IFERROR(--_xlfn.TEXTSPLIT(SUBSTITUTE(SUBSTITUTE(G58,"|",",")," ",""),","),0))</f>
        <v>133</v>
      </c>
      <c r="F58" s="200" cm="1">
        <f t="array" ref="F58">MAX(IFERROR(--_xlfn.TEXTSPLIT(SUBSTITUTE(SUBSTITUTE(G58,"|",",")," ",""),","),0))</f>
        <v>144</v>
      </c>
      <c r="G58" s="201" t="s">
        <v>7672</v>
      </c>
      <c r="H58" s="61"/>
    </row>
    <row r="59" spans="1:8">
      <c r="A59" s="24" t="s">
        <v>2112</v>
      </c>
      <c r="B59" s="24" t="s">
        <v>7546</v>
      </c>
      <c r="C59" s="55" t="s">
        <v>2110</v>
      </c>
      <c r="D59" s="203" t="s">
        <v>2111</v>
      </c>
      <c r="E59" s="200" cm="1">
        <f t="array" ref="E59">MIN(IFERROR(--_xlfn.TEXTSPLIT(SUBSTITUTE(SUBSTITUTE(G59,"|",",")," ",""),","),0))</f>
        <v>130</v>
      </c>
      <c r="F59" s="200" cm="1">
        <f t="array" ref="F59">MAX(IFERROR(--_xlfn.TEXTSPLIT(SUBSTITUTE(SUBSTITUTE(G59,"|",",")," ",""),","),0))</f>
        <v>138</v>
      </c>
      <c r="G59" s="201" t="s">
        <v>7676</v>
      </c>
      <c r="H59" s="61"/>
    </row>
    <row r="60" spans="1:8">
      <c r="A60" s="24" t="s">
        <v>2112</v>
      </c>
      <c r="B60" s="24" t="s">
        <v>7546</v>
      </c>
      <c r="C60" s="55" t="s">
        <v>2113</v>
      </c>
      <c r="D60" s="203" t="s">
        <v>2114</v>
      </c>
      <c r="E60" s="200" cm="1">
        <f t="array" ref="E60">MIN(IFERROR(--_xlfn.TEXTSPLIT(SUBSTITUTE(SUBSTITUTE(G60,"|",",")," ",""),","),0))</f>
        <v>138</v>
      </c>
      <c r="F60" s="200" cm="1">
        <f t="array" ref="F60">MAX(IFERROR(--_xlfn.TEXTSPLIT(SUBSTITUTE(SUBSTITUTE(G60,"|",",")," ",""),","),0))</f>
        <v>146</v>
      </c>
      <c r="G60" s="201" t="s">
        <v>7677</v>
      </c>
      <c r="H60" s="61"/>
    </row>
    <row r="61" spans="1:8">
      <c r="A61" s="24" t="s">
        <v>2112</v>
      </c>
      <c r="B61" s="24" t="s">
        <v>7546</v>
      </c>
      <c r="C61" s="55" t="s">
        <v>2115</v>
      </c>
      <c r="D61" s="203" t="s">
        <v>2116</v>
      </c>
      <c r="E61" s="200" cm="1">
        <f t="array" ref="E61">MIN(IFERROR(--_xlfn.TEXTSPLIT(SUBSTITUTE(SUBSTITUTE(G61,"|",",")," ",""),","),0))</f>
        <v>146</v>
      </c>
      <c r="F61" s="200" cm="1">
        <f t="array" ref="F61">MAX(IFERROR(--_xlfn.TEXTSPLIT(SUBSTITUTE(SUBSTITUTE(G61,"|",",")," ",""),","),0))</f>
        <v>154</v>
      </c>
      <c r="G61" s="201" t="s">
        <v>7678</v>
      </c>
      <c r="H61" s="61"/>
    </row>
    <row r="62" spans="1:8">
      <c r="A62" s="24" t="s">
        <v>2112</v>
      </c>
      <c r="B62" s="24" t="s">
        <v>7546</v>
      </c>
      <c r="C62" s="55" t="s">
        <v>2117</v>
      </c>
      <c r="D62" s="203" t="s">
        <v>2118</v>
      </c>
      <c r="E62" s="200" cm="1">
        <f t="array" ref="E62">MIN(IFERROR(--_xlfn.TEXTSPLIT(SUBSTITUTE(SUBSTITUTE(G62,"|",",")," ",""),","),0))</f>
        <v>132</v>
      </c>
      <c r="F62" s="200" cm="1">
        <f t="array" ref="F62">MAX(IFERROR(--_xlfn.TEXTSPLIT(SUBSTITUTE(SUBSTITUTE(G62,"|",",")," ",""),","),0))</f>
        <v>154</v>
      </c>
      <c r="G62" s="201" t="s">
        <v>7679</v>
      </c>
      <c r="H62" s="61"/>
    </row>
    <row r="63" spans="1:8">
      <c r="A63" s="24" t="s">
        <v>2112</v>
      </c>
      <c r="B63" s="24" t="s">
        <v>7546</v>
      </c>
      <c r="C63" s="55" t="s">
        <v>2119</v>
      </c>
      <c r="D63" s="203" t="s">
        <v>2120</v>
      </c>
      <c r="E63" s="200" cm="1">
        <f t="array" ref="E63">MIN(IFERROR(--_xlfn.TEXTSPLIT(SUBSTITUTE(SUBSTITUTE(G63,"|",",")," ",""),","),0))</f>
        <v>154</v>
      </c>
      <c r="F63" s="200" cm="1">
        <f t="array" ref="F63">MAX(IFERROR(--_xlfn.TEXTSPLIT(SUBSTITUTE(SUBSTITUTE(G63,"|",",")," ",""),","),0))</f>
        <v>176</v>
      </c>
      <c r="G63" s="201" t="s">
        <v>7680</v>
      </c>
      <c r="H63" s="61"/>
    </row>
    <row r="64" spans="1:8">
      <c r="A64" s="24" t="s">
        <v>2112</v>
      </c>
      <c r="B64" s="24" t="s">
        <v>7546</v>
      </c>
      <c r="C64" s="55" t="s">
        <v>2121</v>
      </c>
      <c r="D64" s="203" t="s">
        <v>2122</v>
      </c>
      <c r="E64" s="200" cm="1">
        <f t="array" ref="E64">MIN(IFERROR(--_xlfn.TEXTSPLIT(SUBSTITUTE(SUBSTITUTE(G64,"|",",")," ",""),","),0))</f>
        <v>176</v>
      </c>
      <c r="F64" s="200" cm="1">
        <f t="array" ref="F64">MAX(IFERROR(--_xlfn.TEXTSPLIT(SUBSTITUTE(SUBSTITUTE(G64,"|",",")," ",""),","),0))</f>
        <v>198</v>
      </c>
      <c r="G64" s="201" t="s">
        <v>7681</v>
      </c>
      <c r="H64" s="61"/>
    </row>
    <row r="65" spans="1:8">
      <c r="A65" s="24" t="s">
        <v>2112</v>
      </c>
      <c r="B65" s="24" t="s">
        <v>7546</v>
      </c>
      <c r="C65" s="55" t="s">
        <v>2123</v>
      </c>
      <c r="D65" s="203" t="s">
        <v>2124</v>
      </c>
      <c r="E65" s="200" cm="1">
        <f t="array" ref="E65">MIN(IFERROR(--_xlfn.TEXTSPLIT(SUBSTITUTE(SUBSTITUTE(G65,"|",",")," ",""),","),0))</f>
        <v>132</v>
      </c>
      <c r="F65" s="200" cm="1">
        <f t="array" ref="F65">MAX(IFERROR(--_xlfn.TEXTSPLIT(SUBSTITUTE(SUBSTITUTE(G65,"|",",")," ",""),","),0))</f>
        <v>154</v>
      </c>
      <c r="G65" s="201" t="s">
        <v>7679</v>
      </c>
      <c r="H65" s="61"/>
    </row>
    <row r="66" spans="1:8">
      <c r="A66" s="24" t="s">
        <v>2112</v>
      </c>
      <c r="B66" s="24" t="s">
        <v>7546</v>
      </c>
      <c r="C66" s="55" t="s">
        <v>2125</v>
      </c>
      <c r="D66" s="203" t="s">
        <v>2126</v>
      </c>
      <c r="E66" s="200" cm="1">
        <f t="array" ref="E66">MIN(IFERROR(--_xlfn.TEXTSPLIT(SUBSTITUTE(SUBSTITUTE(G66,"|",",")," ",""),","),0))</f>
        <v>154</v>
      </c>
      <c r="F66" s="200" cm="1">
        <f t="array" ref="F66">MAX(IFERROR(--_xlfn.TEXTSPLIT(SUBSTITUTE(SUBSTITUTE(G66,"|",",")," ",""),","),0))</f>
        <v>176</v>
      </c>
      <c r="G66" s="201" t="s">
        <v>7680</v>
      </c>
      <c r="H66" s="61"/>
    </row>
    <row r="67" spans="1:8">
      <c r="A67" s="24" t="s">
        <v>2112</v>
      </c>
      <c r="B67" s="24" t="s">
        <v>7546</v>
      </c>
      <c r="C67" s="55" t="s">
        <v>2127</v>
      </c>
      <c r="D67" s="203" t="s">
        <v>2128</v>
      </c>
      <c r="E67" s="200" cm="1">
        <f t="array" ref="E67">MIN(IFERROR(--_xlfn.TEXTSPLIT(SUBSTITUTE(SUBSTITUTE(G67,"|",",")," ",""),","),0))</f>
        <v>176</v>
      </c>
      <c r="F67" s="200" cm="1">
        <f t="array" ref="F67">MAX(IFERROR(--_xlfn.TEXTSPLIT(SUBSTITUTE(SUBSTITUTE(G67,"|",",")," ",""),","),0))</f>
        <v>198</v>
      </c>
      <c r="G67" s="201" t="s">
        <v>7681</v>
      </c>
      <c r="H67" s="61"/>
    </row>
    <row r="68" spans="1:8">
      <c r="A68" s="24" t="s">
        <v>2112</v>
      </c>
      <c r="B68" s="24" t="s">
        <v>7546</v>
      </c>
      <c r="C68" s="55" t="s">
        <v>2129</v>
      </c>
      <c r="D68" s="203" t="s">
        <v>2130</v>
      </c>
      <c r="E68" s="200" cm="1">
        <f t="array" ref="E68">MIN(IFERROR(--_xlfn.TEXTSPLIT(SUBSTITUTE(SUBSTITUTE(G68,"|",",")," ",""),","),0))</f>
        <v>132</v>
      </c>
      <c r="F68" s="200" cm="1">
        <f t="array" ref="F68">MAX(IFERROR(--_xlfn.TEXTSPLIT(SUBSTITUTE(SUBSTITUTE(G68,"|",",")," ",""),","),0))</f>
        <v>143</v>
      </c>
      <c r="G68" s="201" t="s">
        <v>7682</v>
      </c>
      <c r="H68" s="61"/>
    </row>
    <row r="69" spans="1:8">
      <c r="A69" s="24" t="s">
        <v>2112</v>
      </c>
      <c r="B69" s="24" t="s">
        <v>7546</v>
      </c>
      <c r="C69" s="55" t="s">
        <v>2131</v>
      </c>
      <c r="D69" s="203" t="s">
        <v>2132</v>
      </c>
      <c r="E69" s="200" cm="1">
        <f t="array" ref="E69">MIN(IFERROR(--_xlfn.TEXTSPLIT(SUBSTITUTE(SUBSTITUTE(G69,"|",",")," ",""),","),0))</f>
        <v>143</v>
      </c>
      <c r="F69" s="200" cm="1">
        <f t="array" ref="F69">MAX(IFERROR(--_xlfn.TEXTSPLIT(SUBSTITUTE(SUBSTITUTE(G69,"|",",")," ",""),","),0))</f>
        <v>154</v>
      </c>
      <c r="G69" s="201" t="s">
        <v>7683</v>
      </c>
      <c r="H69" s="61"/>
    </row>
    <row r="70" spans="1:8">
      <c r="A70" s="24" t="s">
        <v>2112</v>
      </c>
      <c r="B70" s="24" t="s">
        <v>7546</v>
      </c>
      <c r="C70" s="55" t="s">
        <v>2133</v>
      </c>
      <c r="D70" s="203" t="s">
        <v>2134</v>
      </c>
      <c r="E70" s="200" cm="1">
        <f t="array" ref="E70">MIN(IFERROR(--_xlfn.TEXTSPLIT(SUBSTITUTE(SUBSTITUTE(G70,"|",",")," ",""),","),0))</f>
        <v>153</v>
      </c>
      <c r="F70" s="200" cm="1">
        <f t="array" ref="F70">MAX(IFERROR(--_xlfn.TEXTSPLIT(SUBSTITUTE(SUBSTITUTE(G70,"|",",")," ",""),","),0))</f>
        <v>164</v>
      </c>
      <c r="G70" s="201" t="s">
        <v>7684</v>
      </c>
      <c r="H70" s="61"/>
    </row>
    <row r="71" spans="1:8">
      <c r="A71" s="24" t="s">
        <v>7685</v>
      </c>
      <c r="B71" s="24" t="s">
        <v>7546</v>
      </c>
      <c r="C71" s="55" t="s">
        <v>2135</v>
      </c>
      <c r="D71" s="203" t="s">
        <v>2136</v>
      </c>
      <c r="E71" s="200" cm="1">
        <f t="array" ref="E71">MIN(IFERROR(--_xlfn.TEXTSPLIT(SUBSTITUTE(SUBSTITUTE(G71,"|",",")," ",""),","),0))</f>
        <v>72</v>
      </c>
      <c r="F71" s="200" cm="1">
        <f t="array" ref="F71">MAX(IFERROR(--_xlfn.TEXTSPLIT(SUBSTITUTE(SUBSTITUTE(G71,"|",",")," ",""),","),0))</f>
        <v>80</v>
      </c>
      <c r="G71" s="201" t="s">
        <v>7686</v>
      </c>
      <c r="H71" s="61"/>
    </row>
    <row r="72" spans="1:8">
      <c r="A72" s="24" t="s">
        <v>7685</v>
      </c>
      <c r="B72" s="24" t="s">
        <v>7546</v>
      </c>
      <c r="C72" s="55" t="s">
        <v>2137</v>
      </c>
      <c r="D72" s="203" t="s">
        <v>2138</v>
      </c>
      <c r="E72" s="200" cm="1">
        <f t="array" ref="E72">MIN(IFERROR(--_xlfn.TEXTSPLIT(SUBSTITUTE(SUBSTITUTE(G72,"|",",")," ",""),","),0))</f>
        <v>80</v>
      </c>
      <c r="F72" s="200" cm="1">
        <f t="array" ref="F72">MAX(IFERROR(--_xlfn.TEXTSPLIT(SUBSTITUTE(SUBSTITUTE(G72,"|",",")," ",""),","),0))</f>
        <v>88</v>
      </c>
      <c r="G72" s="201" t="s">
        <v>7687</v>
      </c>
      <c r="H72" s="61"/>
    </row>
    <row r="73" spans="1:8">
      <c r="A73" s="24" t="s">
        <v>7685</v>
      </c>
      <c r="B73" s="24" t="s">
        <v>7546</v>
      </c>
      <c r="C73" s="55" t="s">
        <v>2139</v>
      </c>
      <c r="D73" s="203" t="s">
        <v>2140</v>
      </c>
      <c r="E73" s="200" cm="1">
        <f t="array" ref="E73">MIN(IFERROR(--_xlfn.TEXTSPLIT(SUBSTITUTE(SUBSTITUTE(G73,"|",",")," ",""),","),0))</f>
        <v>88</v>
      </c>
      <c r="F73" s="200" cm="1">
        <f t="array" ref="F73">MAX(IFERROR(--_xlfn.TEXTSPLIT(SUBSTITUTE(SUBSTITUTE(G73,"|",",")," ",""),","),0))</f>
        <v>96</v>
      </c>
      <c r="G73" s="201" t="s">
        <v>7688</v>
      </c>
      <c r="H73" s="61"/>
    </row>
    <row r="74" spans="1:8">
      <c r="A74" s="24" t="s">
        <v>2112</v>
      </c>
      <c r="B74" s="24" t="s">
        <v>7546</v>
      </c>
      <c r="C74" s="55" t="s">
        <v>2141</v>
      </c>
      <c r="D74" s="203" t="s">
        <v>2142</v>
      </c>
      <c r="E74" s="200" cm="1">
        <f t="array" ref="E74">MIN(IFERROR(--_xlfn.TEXTSPLIT(SUBSTITUTE(SUBSTITUTE(G74,"|",",")," ",""),","),0))</f>
        <v>164</v>
      </c>
      <c r="F74" s="200" cm="1">
        <f t="array" ref="F74">MAX(IFERROR(--_xlfn.TEXTSPLIT(SUBSTITUTE(SUBSTITUTE(G74,"|",",")," ",""),","),0))</f>
        <v>188</v>
      </c>
      <c r="G74" s="201" t="s">
        <v>7689</v>
      </c>
      <c r="H74" s="61"/>
    </row>
    <row r="75" spans="1:8">
      <c r="A75" s="24" t="s">
        <v>2112</v>
      </c>
      <c r="B75" s="24" t="s">
        <v>7546</v>
      </c>
      <c r="C75" s="55" t="s">
        <v>2143</v>
      </c>
      <c r="D75" s="203" t="s">
        <v>2144</v>
      </c>
      <c r="E75" s="200" cm="1">
        <f t="array" ref="E75">MIN(IFERROR(--_xlfn.TEXTSPLIT(SUBSTITUTE(SUBSTITUTE(G75,"|",",")," ",""),","),0))</f>
        <v>188</v>
      </c>
      <c r="F75" s="200" cm="1">
        <f t="array" ref="F75">MAX(IFERROR(--_xlfn.TEXTSPLIT(SUBSTITUTE(SUBSTITUTE(G75,"|",",")," ",""),","),0))</f>
        <v>212</v>
      </c>
      <c r="G75" s="201" t="s">
        <v>7690</v>
      </c>
      <c r="H75" s="61"/>
    </row>
    <row r="76" spans="1:8">
      <c r="A76" s="24" t="s">
        <v>2112</v>
      </c>
      <c r="B76" s="24" t="s">
        <v>7546</v>
      </c>
      <c r="C76" s="55" t="s">
        <v>2145</v>
      </c>
      <c r="D76" s="203" t="s">
        <v>2146</v>
      </c>
      <c r="E76" s="200" cm="1">
        <f t="array" ref="E76">MIN(IFERROR(--_xlfn.TEXTSPLIT(SUBSTITUTE(SUBSTITUTE(G76,"|",",")," ",""),","),0))</f>
        <v>212</v>
      </c>
      <c r="F76" s="200" cm="1">
        <f t="array" ref="F76">MAX(IFERROR(--_xlfn.TEXTSPLIT(SUBSTITUTE(SUBSTITUTE(G76,"|",",")," ",""),","),0))</f>
        <v>236</v>
      </c>
      <c r="G76" s="201" t="s">
        <v>7691</v>
      </c>
      <c r="H76" s="61"/>
    </row>
    <row r="77" spans="1:8">
      <c r="A77" s="24" t="s">
        <v>2149</v>
      </c>
      <c r="B77" s="24" t="s">
        <v>7546</v>
      </c>
      <c r="C77" s="55" t="s">
        <v>2147</v>
      </c>
      <c r="D77" s="203" t="s">
        <v>2148</v>
      </c>
      <c r="E77" s="200" cm="1">
        <f t="array" ref="E77">MIN(IFERROR(--_xlfn.TEXTSPLIT(SUBSTITUTE(SUBSTITUTE(G77,"|",",")," ",""),","),0))</f>
        <v>122</v>
      </c>
      <c r="F77" s="200" cm="1">
        <f t="array" ref="F77">MAX(IFERROR(--_xlfn.TEXTSPLIT(SUBSTITUTE(SUBSTITUTE(G77,"|",",")," ",""),","),0))</f>
        <v>137</v>
      </c>
      <c r="G77" s="201" t="s">
        <v>7692</v>
      </c>
      <c r="H77" s="61"/>
    </row>
    <row r="78" spans="1:8">
      <c r="A78" s="24" t="s">
        <v>2149</v>
      </c>
      <c r="B78" s="24" t="s">
        <v>7546</v>
      </c>
      <c r="C78" s="55" t="s">
        <v>2150</v>
      </c>
      <c r="D78" s="203" t="s">
        <v>2151</v>
      </c>
      <c r="E78" s="200" cm="1">
        <f t="array" ref="E78">MIN(IFERROR(--_xlfn.TEXTSPLIT(SUBSTITUTE(SUBSTITUTE(G78,"|",",")," ",""),","),0))</f>
        <v>137</v>
      </c>
      <c r="F78" s="200" cm="1">
        <f t="array" ref="F78">MAX(IFERROR(--_xlfn.TEXTSPLIT(SUBSTITUTE(SUBSTITUTE(G78,"|",",")," ",""),","),0))</f>
        <v>152</v>
      </c>
      <c r="G78" s="201" t="s">
        <v>7693</v>
      </c>
      <c r="H78" s="61"/>
    </row>
    <row r="79" spans="1:8">
      <c r="A79" s="24" t="s">
        <v>2149</v>
      </c>
      <c r="B79" s="24" t="s">
        <v>7546</v>
      </c>
      <c r="C79" s="55" t="s">
        <v>2152</v>
      </c>
      <c r="D79" s="203" t="s">
        <v>2153</v>
      </c>
      <c r="E79" s="200" cm="1">
        <f t="array" ref="E79">MIN(IFERROR(--_xlfn.TEXTSPLIT(SUBSTITUTE(SUBSTITUTE(G79,"|",",")," ",""),","),0))</f>
        <v>141</v>
      </c>
      <c r="F79" s="200" cm="1">
        <f t="array" ref="F79">MAX(IFERROR(--_xlfn.TEXTSPLIT(SUBSTITUTE(SUBSTITUTE(G79,"|",",")," ",""),","),0))</f>
        <v>156</v>
      </c>
      <c r="G79" s="201" t="s">
        <v>7694</v>
      </c>
      <c r="H79" s="61"/>
    </row>
    <row r="80" spans="1:8">
      <c r="A80" s="24" t="s">
        <v>2156</v>
      </c>
      <c r="B80" s="24" t="s">
        <v>7566</v>
      </c>
      <c r="C80" s="55" t="s">
        <v>2154</v>
      </c>
      <c r="D80" s="203" t="s">
        <v>2155</v>
      </c>
      <c r="E80" s="200" cm="1">
        <f t="array" ref="E80">MIN(IFERROR(--_xlfn.TEXTSPLIT(SUBSTITUTE(SUBSTITUTE(G80,"|",",")," ",""),","),0))</f>
        <v>18</v>
      </c>
      <c r="F80" s="200" cm="1">
        <f t="array" ref="F80">MAX(IFERROR(--_xlfn.TEXTSPLIT(SUBSTITUTE(SUBSTITUTE(G80,"|",",")," ",""),","),0))</f>
        <v>21</v>
      </c>
      <c r="G80" s="201" t="s">
        <v>7695</v>
      </c>
      <c r="H80" s="61"/>
    </row>
    <row r="81" spans="1:8">
      <c r="A81" s="24" t="s">
        <v>2156</v>
      </c>
      <c r="B81" s="24" t="s">
        <v>7566</v>
      </c>
      <c r="C81" s="55" t="s">
        <v>2157</v>
      </c>
      <c r="D81" s="203" t="s">
        <v>2158</v>
      </c>
      <c r="E81" s="200" cm="1">
        <f t="array" ref="E81">MIN(IFERROR(--_xlfn.TEXTSPLIT(SUBSTITUTE(SUBSTITUTE(G81,"|",",")," ",""),","),0))</f>
        <v>21</v>
      </c>
      <c r="F81" s="200" cm="1">
        <f t="array" ref="F81">MAX(IFERROR(--_xlfn.TEXTSPLIT(SUBSTITUTE(SUBSTITUTE(G81,"|",",")," ",""),","),0))</f>
        <v>24</v>
      </c>
      <c r="G81" s="201" t="s">
        <v>7696</v>
      </c>
      <c r="H81" s="61"/>
    </row>
    <row r="82" spans="1:8">
      <c r="A82" s="24" t="s">
        <v>2156</v>
      </c>
      <c r="B82" s="24" t="s">
        <v>7566</v>
      </c>
      <c r="C82" s="55" t="s">
        <v>2159</v>
      </c>
      <c r="D82" s="203" t="s">
        <v>2160</v>
      </c>
      <c r="E82" s="200" cm="1">
        <f t="array" ref="E82">MIN(IFERROR(--_xlfn.TEXTSPLIT(SUBSTITUTE(SUBSTITUTE(G82,"|",",")," ",""),","),0))</f>
        <v>24</v>
      </c>
      <c r="F82" s="200" cm="1">
        <f t="array" ref="F82">MAX(IFERROR(--_xlfn.TEXTSPLIT(SUBSTITUTE(SUBSTITUTE(G82,"|",",")," ",""),","),0))</f>
        <v>27</v>
      </c>
      <c r="G82" s="201" t="s">
        <v>7697</v>
      </c>
      <c r="H82" s="61"/>
    </row>
    <row r="83" spans="1:8">
      <c r="A83" s="24" t="s">
        <v>2156</v>
      </c>
      <c r="B83" s="24" t="s">
        <v>7566</v>
      </c>
      <c r="C83" s="55" t="s">
        <v>2161</v>
      </c>
      <c r="D83" s="203" t="s">
        <v>2162</v>
      </c>
      <c r="E83" s="200" cm="1">
        <f t="array" ref="E83">MIN(IFERROR(--_xlfn.TEXTSPLIT(SUBSTITUTE(SUBSTITUTE(G83,"|",",")," ",""),","),0))</f>
        <v>60</v>
      </c>
      <c r="F83" s="200" cm="1">
        <f t="array" ref="F83">MAX(IFERROR(--_xlfn.TEXTSPLIT(SUBSTITUTE(SUBSTITUTE(G83,"|",",")," ",""),","),0))</f>
        <v>66</v>
      </c>
      <c r="G83" s="201" t="s">
        <v>7698</v>
      </c>
      <c r="H83" s="61"/>
    </row>
    <row r="84" spans="1:8">
      <c r="A84" s="24" t="s">
        <v>2156</v>
      </c>
      <c r="B84" s="24" t="s">
        <v>7566</v>
      </c>
      <c r="C84" s="55" t="s">
        <v>2163</v>
      </c>
      <c r="D84" s="203" t="s">
        <v>2164</v>
      </c>
      <c r="E84" s="200" cm="1">
        <f t="array" ref="E84">MIN(IFERROR(--_xlfn.TEXTSPLIT(SUBSTITUTE(SUBSTITUTE(G84,"|",",")," ",""),","),0))</f>
        <v>67</v>
      </c>
      <c r="F84" s="200" cm="1">
        <f t="array" ref="F84">MAX(IFERROR(--_xlfn.TEXTSPLIT(SUBSTITUTE(SUBSTITUTE(G84,"|",",")," ",""),","),0))</f>
        <v>73</v>
      </c>
      <c r="G84" s="201" t="s">
        <v>7699</v>
      </c>
      <c r="H84" s="61"/>
    </row>
    <row r="85" spans="1:8">
      <c r="A85" s="24" t="s">
        <v>2156</v>
      </c>
      <c r="B85" s="24" t="s">
        <v>7566</v>
      </c>
      <c r="C85" s="55" t="s">
        <v>2165</v>
      </c>
      <c r="D85" s="203" t="s">
        <v>2166</v>
      </c>
      <c r="E85" s="200" cm="1">
        <f t="array" ref="E85">MIN(IFERROR(--_xlfn.TEXTSPLIT(SUBSTITUTE(SUBSTITUTE(G85,"|",",")," ",""),","),0))</f>
        <v>74</v>
      </c>
      <c r="F85" s="200" cm="1">
        <f t="array" ref="F85">MAX(IFERROR(--_xlfn.TEXTSPLIT(SUBSTITUTE(SUBSTITUTE(G85,"|",",")," ",""),","),0))</f>
        <v>80</v>
      </c>
      <c r="G85" s="201" t="s">
        <v>7700</v>
      </c>
      <c r="H85" s="61"/>
    </row>
    <row r="86" spans="1:8">
      <c r="A86" s="24" t="s">
        <v>2169</v>
      </c>
      <c r="B86" s="24" t="s">
        <v>7547</v>
      </c>
      <c r="C86" s="55" t="s">
        <v>2167</v>
      </c>
      <c r="D86" s="203" t="s">
        <v>2168</v>
      </c>
      <c r="E86" s="200" cm="1">
        <f t="array" ref="E86">MIN(IFERROR(--_xlfn.TEXTSPLIT(SUBSTITUTE(SUBSTITUTE(G86,"|",",")," ",""),","),0))</f>
        <v>200</v>
      </c>
      <c r="F86" s="200" cm="1">
        <f t="array" ref="F86">MAX(IFERROR(--_xlfn.TEXTSPLIT(SUBSTITUTE(SUBSTITUTE(G86,"|",",")," ",""),","),0))</f>
        <v>240</v>
      </c>
      <c r="G86" s="201" t="s">
        <v>7701</v>
      </c>
      <c r="H86" s="61"/>
    </row>
    <row r="87" spans="1:8">
      <c r="A87" s="24" t="s">
        <v>2169</v>
      </c>
      <c r="B87" s="24" t="s">
        <v>7547</v>
      </c>
      <c r="C87" s="55" t="s">
        <v>2170</v>
      </c>
      <c r="D87" s="203" t="s">
        <v>2171</v>
      </c>
      <c r="E87" s="200" cm="1">
        <f t="array" ref="E87">MIN(IFERROR(--_xlfn.TEXTSPLIT(SUBSTITUTE(SUBSTITUTE(G87,"|",",")," ",""),","),0))</f>
        <v>240</v>
      </c>
      <c r="F87" s="200" cm="1">
        <f t="array" ref="F87">MAX(IFERROR(--_xlfn.TEXTSPLIT(SUBSTITUTE(SUBSTITUTE(G87,"|",",")," ",""),","),0))</f>
        <v>270</v>
      </c>
      <c r="G87" s="201" t="s">
        <v>7702</v>
      </c>
      <c r="H87" s="61"/>
    </row>
    <row r="88" spans="1:8">
      <c r="A88" s="24" t="s">
        <v>2169</v>
      </c>
      <c r="B88" s="24" t="s">
        <v>7547</v>
      </c>
      <c r="C88" s="55" t="s">
        <v>2172</v>
      </c>
      <c r="D88" s="203" t="s">
        <v>2173</v>
      </c>
      <c r="E88" s="200" cm="1">
        <f t="array" ref="E88">MIN(IFERROR(--_xlfn.TEXTSPLIT(SUBSTITUTE(SUBSTITUTE(G88,"|",",")," ",""),","),0))</f>
        <v>270</v>
      </c>
      <c r="F88" s="200" cm="1">
        <f t="array" ref="F88">MAX(IFERROR(--_xlfn.TEXTSPLIT(SUBSTITUTE(SUBSTITUTE(G88,"|",",")," ",""),","),0))</f>
        <v>300</v>
      </c>
      <c r="G88" s="201" t="s">
        <v>7703</v>
      </c>
      <c r="H88" s="61"/>
    </row>
    <row r="89" spans="1:8">
      <c r="A89" s="24" t="s">
        <v>2176</v>
      </c>
      <c r="B89" s="24" t="s">
        <v>7547</v>
      </c>
      <c r="C89" s="55" t="s">
        <v>2174</v>
      </c>
      <c r="D89" s="203" t="s">
        <v>2175</v>
      </c>
      <c r="E89" s="200" cm="1">
        <f t="array" ref="E89">MIN(IFERROR(--_xlfn.TEXTSPLIT(SUBSTITUTE(SUBSTITUTE(G89,"|",",")," ",""),","),0))</f>
        <v>154</v>
      </c>
      <c r="F89" s="200" cm="1">
        <f t="array" ref="F89">MAX(IFERROR(--_xlfn.TEXTSPLIT(SUBSTITUTE(SUBSTITUTE(G89,"|",",")," ",""),","),0))</f>
        <v>162</v>
      </c>
      <c r="G89" s="201" t="s">
        <v>7704</v>
      </c>
      <c r="H89" s="61"/>
    </row>
    <row r="90" spans="1:8">
      <c r="A90" s="24" t="s">
        <v>2176</v>
      </c>
      <c r="B90" s="24" t="s">
        <v>7547</v>
      </c>
      <c r="C90" s="55" t="s">
        <v>2177</v>
      </c>
      <c r="D90" s="203" t="s">
        <v>2178</v>
      </c>
      <c r="E90" s="200" cm="1">
        <f t="array" ref="E90">MIN(IFERROR(--_xlfn.TEXTSPLIT(SUBSTITUTE(SUBSTITUTE(G90,"|",",")," ",""),","),0))</f>
        <v>162</v>
      </c>
      <c r="F90" s="200" cm="1">
        <f t="array" ref="F90">MAX(IFERROR(--_xlfn.TEXTSPLIT(SUBSTITUTE(SUBSTITUTE(G90,"|",",")," ",""),","),0))</f>
        <v>172</v>
      </c>
      <c r="G90" s="201" t="s">
        <v>7705</v>
      </c>
      <c r="H90" s="61"/>
    </row>
    <row r="91" spans="1:8">
      <c r="A91" s="24" t="s">
        <v>2176</v>
      </c>
      <c r="B91" s="24" t="s">
        <v>7547</v>
      </c>
      <c r="C91" s="55" t="s">
        <v>2179</v>
      </c>
      <c r="D91" s="203" t="s">
        <v>2180</v>
      </c>
      <c r="E91" s="200" cm="1">
        <f t="array" ref="E91">MIN(IFERROR(--_xlfn.TEXTSPLIT(SUBSTITUTE(SUBSTITUTE(G91,"|",",")," ",""),","),0))</f>
        <v>172</v>
      </c>
      <c r="F91" s="200" cm="1">
        <f t="array" ref="F91">MAX(IFERROR(--_xlfn.TEXTSPLIT(SUBSTITUTE(SUBSTITUTE(G91,"|",",")," ",""),","),0))</f>
        <v>180</v>
      </c>
      <c r="G91" s="201" t="s">
        <v>7706</v>
      </c>
      <c r="H91" s="61"/>
    </row>
    <row r="92" spans="1:8">
      <c r="A92" s="24" t="s">
        <v>1338</v>
      </c>
      <c r="B92" s="24" t="s">
        <v>7547</v>
      </c>
      <c r="C92" s="55" t="s">
        <v>2181</v>
      </c>
      <c r="D92" s="203" t="s">
        <v>2182</v>
      </c>
      <c r="E92" s="200" cm="1">
        <f t="array" ref="E92">MIN(IFERROR(--_xlfn.TEXTSPLIT(SUBSTITUTE(SUBSTITUTE(G92,"|",",")," ",""),","),0))</f>
        <v>154</v>
      </c>
      <c r="F92" s="200" cm="1">
        <f t="array" ref="F92">MAX(IFERROR(--_xlfn.TEXTSPLIT(SUBSTITUTE(SUBSTITUTE(G92,"|",",")," ",""),","),0))</f>
        <v>162</v>
      </c>
      <c r="G92" s="201" t="s">
        <v>7704</v>
      </c>
      <c r="H92" s="61"/>
    </row>
    <row r="93" spans="1:8">
      <c r="A93" s="24" t="s">
        <v>1338</v>
      </c>
      <c r="B93" s="24" t="s">
        <v>7547</v>
      </c>
      <c r="C93" s="55" t="s">
        <v>2183</v>
      </c>
      <c r="D93" s="203" t="s">
        <v>2184</v>
      </c>
      <c r="E93" s="200" cm="1">
        <f t="array" ref="E93">MIN(IFERROR(--_xlfn.TEXTSPLIT(SUBSTITUTE(SUBSTITUTE(G93,"|",",")," ",""),","),0))</f>
        <v>162</v>
      </c>
      <c r="F93" s="200" cm="1">
        <f t="array" ref="F93">MAX(IFERROR(--_xlfn.TEXTSPLIT(SUBSTITUTE(SUBSTITUTE(G93,"|",",")," ",""),","),0))</f>
        <v>172</v>
      </c>
      <c r="G93" s="201" t="s">
        <v>7705</v>
      </c>
      <c r="H93" s="61"/>
    </row>
    <row r="94" spans="1:8">
      <c r="A94" s="24" t="s">
        <v>1338</v>
      </c>
      <c r="B94" s="24" t="s">
        <v>7547</v>
      </c>
      <c r="C94" s="55" t="s">
        <v>2185</v>
      </c>
      <c r="D94" s="203" t="s">
        <v>2186</v>
      </c>
      <c r="E94" s="200" cm="1">
        <f t="array" ref="E94">MIN(IFERROR(--_xlfn.TEXTSPLIT(SUBSTITUTE(SUBSTITUTE(G94,"|",",")," ",""),","),0))</f>
        <v>172</v>
      </c>
      <c r="F94" s="200" cm="1">
        <f t="array" ref="F94">MAX(IFERROR(--_xlfn.TEXTSPLIT(SUBSTITUTE(SUBSTITUTE(G94,"|",",")," ",""),","),0))</f>
        <v>180</v>
      </c>
      <c r="G94" s="201" t="s">
        <v>7706</v>
      </c>
      <c r="H94" s="61"/>
    </row>
    <row r="95" spans="1:8">
      <c r="A95" s="24" t="s">
        <v>723</v>
      </c>
      <c r="B95" s="24" t="s">
        <v>7547</v>
      </c>
      <c r="C95" s="55" t="s">
        <v>2187</v>
      </c>
      <c r="D95" s="203" t="s">
        <v>2188</v>
      </c>
      <c r="E95" s="200" cm="1">
        <f t="array" ref="E95">MIN(IFERROR(--_xlfn.TEXTSPLIT(SUBSTITUTE(SUBSTITUTE(G95,"|",",")," ",""),","),0))</f>
        <v>35</v>
      </c>
      <c r="F95" s="200" cm="1">
        <f t="array" ref="F95">MAX(IFERROR(--_xlfn.TEXTSPLIT(SUBSTITUTE(SUBSTITUTE(G95,"|",",")," ",""),","),0))</f>
        <v>40</v>
      </c>
      <c r="G95" s="201" t="s">
        <v>7707</v>
      </c>
      <c r="H95" s="61"/>
    </row>
    <row r="96" spans="1:8">
      <c r="A96" s="24" t="s">
        <v>723</v>
      </c>
      <c r="B96" s="24" t="s">
        <v>7547</v>
      </c>
      <c r="C96" s="55" t="s">
        <v>2189</v>
      </c>
      <c r="D96" s="203" t="s">
        <v>2190</v>
      </c>
      <c r="E96" s="200" cm="1">
        <f t="array" ref="E96">MIN(IFERROR(--_xlfn.TEXTSPLIT(SUBSTITUTE(SUBSTITUTE(G96,"|",",")," ",""),","),0))</f>
        <v>40</v>
      </c>
      <c r="F96" s="200" cm="1">
        <f t="array" ref="F96">MAX(IFERROR(--_xlfn.TEXTSPLIT(SUBSTITUTE(SUBSTITUTE(G96,"|",",")," ",""),","),0))</f>
        <v>45</v>
      </c>
      <c r="G96" s="201" t="s">
        <v>7708</v>
      </c>
      <c r="H96" s="61"/>
    </row>
    <row r="97" spans="1:8">
      <c r="A97" s="24" t="s">
        <v>723</v>
      </c>
      <c r="B97" s="24" t="s">
        <v>7547</v>
      </c>
      <c r="C97" s="55" t="s">
        <v>2191</v>
      </c>
      <c r="D97" s="203" t="s">
        <v>2192</v>
      </c>
      <c r="E97" s="200" cm="1">
        <f t="array" ref="E97">MIN(IFERROR(--_xlfn.TEXTSPLIT(SUBSTITUTE(SUBSTITUTE(G97,"|",",")," ",""),","),0))</f>
        <v>45</v>
      </c>
      <c r="F97" s="200" cm="1">
        <f t="array" ref="F97">MAX(IFERROR(--_xlfn.TEXTSPLIT(SUBSTITUTE(SUBSTITUTE(G97,"|",",")," ",""),","),0))</f>
        <v>50</v>
      </c>
      <c r="G97" s="201" t="s">
        <v>7709</v>
      </c>
      <c r="H97" s="61"/>
    </row>
    <row r="98" spans="1:8">
      <c r="A98" s="24" t="s">
        <v>793</v>
      </c>
      <c r="B98" s="54" t="s">
        <v>7548</v>
      </c>
      <c r="C98" s="55" t="s">
        <v>2193</v>
      </c>
      <c r="D98" s="203" t="s">
        <v>2194</v>
      </c>
      <c r="E98" s="200" cm="1">
        <f t="array" ref="E98">MIN(IFERROR(--_xlfn.TEXTSPLIT(SUBSTITUTE(SUBSTITUTE(G98,"|",",")," ",""),","),0))</f>
        <v>77</v>
      </c>
      <c r="F98" s="200" cm="1">
        <f t="array" ref="F98">MAX(IFERROR(--_xlfn.TEXTSPLIT(SUBSTITUTE(SUBSTITUTE(G98,"|",",")," ",""),","),0))</f>
        <v>85</v>
      </c>
      <c r="G98" s="201" t="s">
        <v>7710</v>
      </c>
      <c r="H98" s="61"/>
    </row>
    <row r="99" spans="1:8">
      <c r="A99" s="24" t="s">
        <v>793</v>
      </c>
      <c r="B99" s="54" t="s">
        <v>7548</v>
      </c>
      <c r="C99" s="55" t="s">
        <v>2195</v>
      </c>
      <c r="D99" s="203" t="s">
        <v>2196</v>
      </c>
      <c r="E99" s="200" cm="1">
        <f t="array" ref="E99">MIN(IFERROR(--_xlfn.TEXTSPLIT(SUBSTITUTE(SUBSTITUTE(G99,"|",",")," ",""),","),0))</f>
        <v>85</v>
      </c>
      <c r="F99" s="200" cm="1">
        <f t="array" ref="F99">MAX(IFERROR(--_xlfn.TEXTSPLIT(SUBSTITUTE(SUBSTITUTE(G99,"|",",")," ",""),","),0))</f>
        <v>93</v>
      </c>
      <c r="G99" s="201" t="s">
        <v>7711</v>
      </c>
      <c r="H99" s="61"/>
    </row>
    <row r="100" spans="1:8">
      <c r="A100" s="24" t="s">
        <v>793</v>
      </c>
      <c r="B100" s="54" t="s">
        <v>7548</v>
      </c>
      <c r="C100" s="55" t="s">
        <v>2197</v>
      </c>
      <c r="D100" s="203" t="s">
        <v>2198</v>
      </c>
      <c r="E100" s="200" cm="1">
        <f t="array" ref="E100">MIN(IFERROR(--_xlfn.TEXTSPLIT(SUBSTITUTE(SUBSTITUTE(G100,"|",",")," ",""),","),0))</f>
        <v>123</v>
      </c>
      <c r="F100" s="200" cm="1">
        <f t="array" ref="F100">MAX(IFERROR(--_xlfn.TEXTSPLIT(SUBSTITUTE(SUBSTITUTE(G100,"|",",")," ",""),","),0))</f>
        <v>134</v>
      </c>
      <c r="G100" s="201" t="s">
        <v>7611</v>
      </c>
      <c r="H100" s="61"/>
    </row>
    <row r="101" spans="1:8">
      <c r="A101" s="24" t="s">
        <v>793</v>
      </c>
      <c r="B101" s="54" t="s">
        <v>7548</v>
      </c>
      <c r="C101" s="55" t="s">
        <v>2199</v>
      </c>
      <c r="D101" s="203" t="s">
        <v>2200</v>
      </c>
      <c r="E101" s="200" cm="1">
        <f t="array" ref="E101">MIN(IFERROR(--_xlfn.TEXTSPLIT(SUBSTITUTE(SUBSTITUTE(G101,"|",",")," ",""),","),0))</f>
        <v>102</v>
      </c>
      <c r="F101" s="200" cm="1">
        <f t="array" ref="F101">MAX(IFERROR(--_xlfn.TEXTSPLIT(SUBSTITUTE(SUBSTITUTE(G101,"|",",")," ",""),","),0))</f>
        <v>114</v>
      </c>
      <c r="G101" s="201" t="s">
        <v>7712</v>
      </c>
      <c r="H101" s="61"/>
    </row>
    <row r="102" spans="1:8">
      <c r="A102" s="24" t="s">
        <v>793</v>
      </c>
      <c r="B102" s="54" t="s">
        <v>7548</v>
      </c>
      <c r="C102" s="55" t="s">
        <v>2201</v>
      </c>
      <c r="D102" s="203" t="s">
        <v>2202</v>
      </c>
      <c r="E102" s="200" cm="1">
        <f t="array" ref="E102">MIN(IFERROR(--_xlfn.TEXTSPLIT(SUBSTITUTE(SUBSTITUTE(G102,"|",",")," ",""),","),0))</f>
        <v>114</v>
      </c>
      <c r="F102" s="200" cm="1">
        <f t="array" ref="F102">MAX(IFERROR(--_xlfn.TEXTSPLIT(SUBSTITUTE(SUBSTITUTE(G102,"|",",")," ",""),","),0))</f>
        <v>126</v>
      </c>
      <c r="G102" s="201" t="s">
        <v>7713</v>
      </c>
      <c r="H102" s="61"/>
    </row>
    <row r="103" spans="1:8">
      <c r="A103" s="24" t="s">
        <v>793</v>
      </c>
      <c r="B103" s="54" t="s">
        <v>7548</v>
      </c>
      <c r="C103" s="55" t="s">
        <v>2203</v>
      </c>
      <c r="D103" s="203" t="s">
        <v>2204</v>
      </c>
      <c r="E103" s="200" cm="1">
        <f t="array" ref="E103">MIN(IFERROR(--_xlfn.TEXTSPLIT(SUBSTITUTE(SUBSTITUTE(G103,"|",",")," ",""),","),0))</f>
        <v>126</v>
      </c>
      <c r="F103" s="200" cm="1">
        <f t="array" ref="F103">MAX(IFERROR(--_xlfn.TEXTSPLIT(SUBSTITUTE(SUBSTITUTE(G103,"|",",")," ",""),","),0))</f>
        <v>138</v>
      </c>
      <c r="G103" s="201" t="s">
        <v>7714</v>
      </c>
      <c r="H103" s="61"/>
    </row>
    <row r="104" spans="1:8">
      <c r="A104" s="24" t="s">
        <v>793</v>
      </c>
      <c r="B104" s="54" t="s">
        <v>7548</v>
      </c>
      <c r="C104" s="55" t="s">
        <v>2205</v>
      </c>
      <c r="D104" s="203" t="s">
        <v>2206</v>
      </c>
      <c r="E104" s="200" cm="1">
        <f t="array" ref="E104">MIN(IFERROR(--_xlfn.TEXTSPLIT(SUBSTITUTE(SUBSTITUTE(G104,"|",",")," ",""),","),0))</f>
        <v>15</v>
      </c>
      <c r="F104" s="200" cm="1">
        <f t="array" ref="F104">MAX(IFERROR(--_xlfn.TEXTSPLIT(SUBSTITUTE(SUBSTITUTE(G104,"|",",")," ",""),","),0))</f>
        <v>16</v>
      </c>
      <c r="G104" s="201" t="s">
        <v>7715</v>
      </c>
      <c r="H104" s="61"/>
    </row>
    <row r="105" spans="1:8">
      <c r="A105" s="24" t="s">
        <v>793</v>
      </c>
      <c r="B105" s="54" t="s">
        <v>7548</v>
      </c>
      <c r="C105" s="55" t="s">
        <v>2207</v>
      </c>
      <c r="D105" s="203" t="s">
        <v>2208</v>
      </c>
      <c r="E105" s="200" cm="1">
        <f t="array" ref="E105">MIN(IFERROR(--_xlfn.TEXTSPLIT(SUBSTITUTE(SUBSTITUTE(G105,"|",",")," ",""),","),0))</f>
        <v>17</v>
      </c>
      <c r="F105" s="200" cm="1">
        <f t="array" ref="F105">MAX(IFERROR(--_xlfn.TEXTSPLIT(SUBSTITUTE(SUBSTITUTE(G105,"|",",")," ",""),","),0))</f>
        <v>18</v>
      </c>
      <c r="G105" s="201" t="s">
        <v>7716</v>
      </c>
      <c r="H105" s="61"/>
    </row>
    <row r="106" spans="1:8">
      <c r="A106" s="24" t="s">
        <v>793</v>
      </c>
      <c r="B106" s="54" t="s">
        <v>7548</v>
      </c>
      <c r="C106" s="55" t="s">
        <v>2209</v>
      </c>
      <c r="D106" s="203" t="s">
        <v>2210</v>
      </c>
      <c r="E106" s="200" cm="1">
        <f t="array" ref="E106">MIN(IFERROR(--_xlfn.TEXTSPLIT(SUBSTITUTE(SUBSTITUTE(G106,"|",",")," ",""),","),0))</f>
        <v>18</v>
      </c>
      <c r="F106" s="200" cm="1">
        <f t="array" ref="F106">MAX(IFERROR(--_xlfn.TEXTSPLIT(SUBSTITUTE(SUBSTITUTE(G106,"|",",")," ",""),","),0))</f>
        <v>19</v>
      </c>
      <c r="G106" s="201" t="s">
        <v>7717</v>
      </c>
      <c r="H106" s="61"/>
    </row>
    <row r="107" spans="1:8">
      <c r="A107" s="24" t="s">
        <v>793</v>
      </c>
      <c r="B107" s="54" t="s">
        <v>7548</v>
      </c>
      <c r="C107" s="55" t="s">
        <v>2211</v>
      </c>
      <c r="D107" s="203" t="s">
        <v>2212</v>
      </c>
      <c r="E107" s="200" cm="1">
        <f t="array" ref="E107">MIN(IFERROR(--_xlfn.TEXTSPLIT(SUBSTITUTE(SUBSTITUTE(G107,"|",",")," ",""),","),0))</f>
        <v>15</v>
      </c>
      <c r="F107" s="200" cm="1">
        <f t="array" ref="F107">MAX(IFERROR(--_xlfn.TEXTSPLIT(SUBSTITUTE(SUBSTITUTE(G107,"|",",")," ",""),","),0))</f>
        <v>16</v>
      </c>
      <c r="G107" s="201" t="s">
        <v>7715</v>
      </c>
      <c r="H107" s="61"/>
    </row>
    <row r="108" spans="1:8">
      <c r="A108" s="24" t="s">
        <v>793</v>
      </c>
      <c r="B108" s="54" t="s">
        <v>7548</v>
      </c>
      <c r="C108" s="55" t="s">
        <v>2213</v>
      </c>
      <c r="D108" s="203" t="s">
        <v>2214</v>
      </c>
      <c r="E108" s="200" cm="1">
        <f t="array" ref="E108">MIN(IFERROR(--_xlfn.TEXTSPLIT(SUBSTITUTE(SUBSTITUTE(G108,"|",",")," ",""),","),0))</f>
        <v>17</v>
      </c>
      <c r="F108" s="200" cm="1">
        <f t="array" ref="F108">MAX(IFERROR(--_xlfn.TEXTSPLIT(SUBSTITUTE(SUBSTITUTE(G108,"|",",")," ",""),","),0))</f>
        <v>18</v>
      </c>
      <c r="G108" s="201" t="s">
        <v>7716</v>
      </c>
      <c r="H108" s="61"/>
    </row>
    <row r="109" spans="1:8">
      <c r="A109" s="24" t="s">
        <v>793</v>
      </c>
      <c r="B109" s="54" t="s">
        <v>7548</v>
      </c>
      <c r="C109" s="55" t="s">
        <v>2215</v>
      </c>
      <c r="D109" s="203" t="s">
        <v>2216</v>
      </c>
      <c r="E109" s="200" cm="1">
        <f t="array" ref="E109">MIN(IFERROR(--_xlfn.TEXTSPLIT(SUBSTITUTE(SUBSTITUTE(G109,"|",",")," ",""),","),0))</f>
        <v>18</v>
      </c>
      <c r="F109" s="200" cm="1">
        <f t="array" ref="F109">MAX(IFERROR(--_xlfn.TEXTSPLIT(SUBSTITUTE(SUBSTITUTE(G109,"|",",")," ",""),","),0))</f>
        <v>19</v>
      </c>
      <c r="G109" s="201" t="s">
        <v>7717</v>
      </c>
      <c r="H109" s="61"/>
    </row>
    <row r="110" spans="1:8">
      <c r="A110" s="24" t="s">
        <v>793</v>
      </c>
      <c r="B110" s="54" t="s">
        <v>7548</v>
      </c>
      <c r="C110" s="55" t="s">
        <v>2217</v>
      </c>
      <c r="D110" s="203" t="s">
        <v>2218</v>
      </c>
      <c r="E110" s="200" cm="1">
        <f t="array" ref="E110">MIN(IFERROR(--_xlfn.TEXTSPLIT(SUBSTITUTE(SUBSTITUTE(G110,"|",",")," ",""),","),0))</f>
        <v>8</v>
      </c>
      <c r="F110" s="200" cm="1">
        <f t="array" ref="F110">MAX(IFERROR(--_xlfn.TEXTSPLIT(SUBSTITUTE(SUBSTITUTE(G110,"|",",")," ",""),","),0))</f>
        <v>10</v>
      </c>
      <c r="G110" s="201" t="s">
        <v>7718</v>
      </c>
      <c r="H110" s="61"/>
    </row>
    <row r="111" spans="1:8">
      <c r="A111" s="24" t="s">
        <v>793</v>
      </c>
      <c r="B111" s="54" t="s">
        <v>7548</v>
      </c>
      <c r="C111" s="55" t="s">
        <v>2219</v>
      </c>
      <c r="D111" s="203" t="s">
        <v>2220</v>
      </c>
      <c r="E111" s="200" cm="1">
        <f t="array" ref="E111">MIN(IFERROR(--_xlfn.TEXTSPLIT(SUBSTITUTE(SUBSTITUTE(G111,"|",",")," ",""),","),0))</f>
        <v>10</v>
      </c>
      <c r="F111" s="200" cm="1">
        <f t="array" ref="F111">MAX(IFERROR(--_xlfn.TEXTSPLIT(SUBSTITUTE(SUBSTITUTE(G111,"|",",")," ",""),","),0))</f>
        <v>11</v>
      </c>
      <c r="G111" s="201" t="s">
        <v>7719</v>
      </c>
      <c r="H111" s="61"/>
    </row>
    <row r="112" spans="1:8">
      <c r="A112" s="24" t="s">
        <v>793</v>
      </c>
      <c r="B112" s="54" t="s">
        <v>7548</v>
      </c>
      <c r="C112" s="55" t="s">
        <v>2221</v>
      </c>
      <c r="D112" s="203" t="s">
        <v>2222</v>
      </c>
      <c r="E112" s="200" cm="1">
        <f t="array" ref="E112">MIN(IFERROR(--_xlfn.TEXTSPLIT(SUBSTITUTE(SUBSTITUTE(G112,"|",",")," ",""),","),0))</f>
        <v>10</v>
      </c>
      <c r="F112" s="200" cm="1">
        <f t="array" ref="F112">MAX(IFERROR(--_xlfn.TEXTSPLIT(SUBSTITUTE(SUBSTITUTE(G112,"|",",")," ",""),","),0))</f>
        <v>12</v>
      </c>
      <c r="G112" s="201" t="s">
        <v>7720</v>
      </c>
      <c r="H112" s="61"/>
    </row>
    <row r="113" spans="1:8">
      <c r="A113" s="24" t="s">
        <v>1573</v>
      </c>
      <c r="B113" s="54" t="s">
        <v>7549</v>
      </c>
      <c r="C113" s="55" t="s">
        <v>2223</v>
      </c>
      <c r="D113" s="203" t="s">
        <v>2224</v>
      </c>
      <c r="E113" s="200" cm="1">
        <f t="array" ref="E113">MIN(IFERROR(--_xlfn.TEXTSPLIT(SUBSTITUTE(SUBSTITUTE(G113,"|",",")," ",""),","),0))</f>
        <v>80</v>
      </c>
      <c r="F113" s="200" cm="1">
        <f t="array" ref="F113">MAX(IFERROR(--_xlfn.TEXTSPLIT(SUBSTITUTE(SUBSTITUTE(G113,"|",",")," ",""),","),0))</f>
        <v>100</v>
      </c>
      <c r="G113" s="201" t="s">
        <v>7721</v>
      </c>
      <c r="H113" s="61"/>
    </row>
    <row r="114" spans="1:8">
      <c r="A114" s="24" t="s">
        <v>1573</v>
      </c>
      <c r="B114" s="54" t="s">
        <v>7549</v>
      </c>
      <c r="C114" s="55" t="s">
        <v>2225</v>
      </c>
      <c r="D114" s="203" t="s">
        <v>2226</v>
      </c>
      <c r="E114" s="200" cm="1">
        <f t="array" ref="E114">MIN(IFERROR(--_xlfn.TEXTSPLIT(SUBSTITUTE(SUBSTITUTE(G114,"|",",")," ",""),","),0))</f>
        <v>100</v>
      </c>
      <c r="F114" s="200" cm="1">
        <f t="array" ref="F114">MAX(IFERROR(--_xlfn.TEXTSPLIT(SUBSTITUTE(SUBSTITUTE(G114,"|",",")," ",""),","),0))</f>
        <v>110</v>
      </c>
      <c r="G114" s="201" t="s">
        <v>7722</v>
      </c>
      <c r="H114" s="61"/>
    </row>
    <row r="115" spans="1:8">
      <c r="A115" s="24" t="s">
        <v>1573</v>
      </c>
      <c r="B115" s="54" t="s">
        <v>7549</v>
      </c>
      <c r="C115" s="55" t="s">
        <v>2227</v>
      </c>
      <c r="D115" s="203" t="s">
        <v>2228</v>
      </c>
      <c r="E115" s="200" cm="1">
        <f t="array" ref="E115">MIN(IFERROR(--_xlfn.TEXTSPLIT(SUBSTITUTE(SUBSTITUTE(G115,"|",",")," ",""),","),0))</f>
        <v>110</v>
      </c>
      <c r="F115" s="200" cm="1">
        <f t="array" ref="F115">MAX(IFERROR(--_xlfn.TEXTSPLIT(SUBSTITUTE(SUBSTITUTE(G115,"|",",")," ",""),","),0))</f>
        <v>120</v>
      </c>
      <c r="G115" s="201" t="s">
        <v>7723</v>
      </c>
      <c r="H115" s="61"/>
    </row>
    <row r="116" spans="1:8">
      <c r="A116" s="24" t="s">
        <v>1573</v>
      </c>
      <c r="B116" s="54" t="s">
        <v>7549</v>
      </c>
      <c r="C116" s="55" t="s">
        <v>2229</v>
      </c>
      <c r="D116" s="203" t="s">
        <v>2230</v>
      </c>
      <c r="E116" s="200" cm="1">
        <f t="array" ref="E116">MIN(IFERROR(--_xlfn.TEXTSPLIT(SUBSTITUTE(SUBSTITUTE(G116,"|",",")," ",""),","),0))</f>
        <v>45</v>
      </c>
      <c r="F116" s="200" cm="1">
        <f t="array" ref="F116">MAX(IFERROR(--_xlfn.TEXTSPLIT(SUBSTITUTE(SUBSTITUTE(G116,"|",",")," ",""),","),0))</f>
        <v>52</v>
      </c>
      <c r="G116" s="201" t="s">
        <v>7724</v>
      </c>
      <c r="H116" s="61" t="s">
        <v>7609</v>
      </c>
    </row>
    <row r="117" spans="1:8">
      <c r="A117" s="24" t="s">
        <v>1573</v>
      </c>
      <c r="B117" s="54" t="s">
        <v>7549</v>
      </c>
      <c r="C117" s="55" t="s">
        <v>2231</v>
      </c>
      <c r="D117" s="203" t="s">
        <v>2232</v>
      </c>
      <c r="E117" s="200" cm="1">
        <f t="array" ref="E117">MIN(IFERROR(--_xlfn.TEXTSPLIT(SUBSTITUTE(SUBSTITUTE(G117,"|",",")," ",""),","),0))</f>
        <v>52</v>
      </c>
      <c r="F117" s="200" cm="1">
        <f t="array" ref="F117">MAX(IFERROR(--_xlfn.TEXTSPLIT(SUBSTITUTE(SUBSTITUTE(G117,"|",",")," ",""),","),0))</f>
        <v>59</v>
      </c>
      <c r="G117" s="201" t="s">
        <v>7725</v>
      </c>
      <c r="H117" s="61" t="s">
        <v>7609</v>
      </c>
    </row>
    <row r="118" spans="1:8">
      <c r="A118" s="24" t="s">
        <v>1573</v>
      </c>
      <c r="B118" s="54" t="s">
        <v>7549</v>
      </c>
      <c r="C118" s="55" t="s">
        <v>2233</v>
      </c>
      <c r="D118" s="203" t="s">
        <v>2234</v>
      </c>
      <c r="E118" s="200" cm="1">
        <f t="array" ref="E118">MIN(IFERROR(--_xlfn.TEXTSPLIT(SUBSTITUTE(SUBSTITUTE(G118,"|",",")," ",""),","),0))</f>
        <v>59</v>
      </c>
      <c r="F118" s="200" cm="1">
        <f t="array" ref="F118">MAX(IFERROR(--_xlfn.TEXTSPLIT(SUBSTITUTE(SUBSTITUTE(G118,"|",",")," ",""),","),0))</f>
        <v>66</v>
      </c>
      <c r="G118" s="201" t="s">
        <v>7726</v>
      </c>
      <c r="H118" s="61" t="s">
        <v>7609</v>
      </c>
    </row>
    <row r="119" spans="1:8">
      <c r="A119" s="24" t="s">
        <v>1573</v>
      </c>
      <c r="B119" s="54" t="s">
        <v>7549</v>
      </c>
      <c r="C119" s="55" t="s">
        <v>2235</v>
      </c>
      <c r="D119" s="203" t="s">
        <v>2236</v>
      </c>
      <c r="E119" s="200" cm="1">
        <f t="array" ref="E119">MIN(IFERROR(--_xlfn.TEXTSPLIT(SUBSTITUTE(SUBSTITUTE(G119,"|",",")," ",""),","),0))</f>
        <v>150</v>
      </c>
      <c r="F119" s="200" cm="1">
        <f t="array" ref="F119">MAX(IFERROR(--_xlfn.TEXTSPLIT(SUBSTITUTE(SUBSTITUTE(G119,"|",",")," ",""),","),0))</f>
        <v>167</v>
      </c>
      <c r="G119" s="201" t="s">
        <v>7727</v>
      </c>
      <c r="H119" s="61" t="s">
        <v>7609</v>
      </c>
    </row>
    <row r="120" spans="1:8">
      <c r="A120" s="24" t="s">
        <v>1573</v>
      </c>
      <c r="B120" s="54" t="s">
        <v>7549</v>
      </c>
      <c r="C120" s="55" t="s">
        <v>2237</v>
      </c>
      <c r="D120" s="203" t="s">
        <v>2238</v>
      </c>
      <c r="E120" s="200" cm="1">
        <f t="array" ref="E120">MIN(IFERROR(--_xlfn.TEXTSPLIT(SUBSTITUTE(SUBSTITUTE(G120,"|",",")," ",""),","),0))</f>
        <v>167</v>
      </c>
      <c r="F120" s="200" cm="1">
        <f t="array" ref="F120">MAX(IFERROR(--_xlfn.TEXTSPLIT(SUBSTITUTE(SUBSTITUTE(G120,"|",",")," ",""),","),0))</f>
        <v>184</v>
      </c>
      <c r="G120" s="201" t="s">
        <v>7728</v>
      </c>
      <c r="H120" s="61" t="s">
        <v>7609</v>
      </c>
    </row>
    <row r="121" spans="1:8">
      <c r="A121" s="24" t="s">
        <v>1573</v>
      </c>
      <c r="B121" s="54" t="s">
        <v>7549</v>
      </c>
      <c r="C121" s="55" t="s">
        <v>2239</v>
      </c>
      <c r="D121" s="203" t="s">
        <v>2240</v>
      </c>
      <c r="E121" s="200" cm="1">
        <f t="array" ref="E121">MIN(IFERROR(--_xlfn.TEXTSPLIT(SUBSTITUTE(SUBSTITUTE(G121,"|",",")," ",""),","),0))</f>
        <v>183</v>
      </c>
      <c r="F121" s="200" cm="1">
        <f t="array" ref="F121">MAX(IFERROR(--_xlfn.TEXTSPLIT(SUBSTITUTE(SUBSTITUTE(G121,"|",",")," ",""),","),0))</f>
        <v>200</v>
      </c>
      <c r="G121" s="201" t="s">
        <v>7729</v>
      </c>
      <c r="H121" s="61" t="s">
        <v>7609</v>
      </c>
    </row>
    <row r="122" spans="1:8">
      <c r="A122" s="24" t="s">
        <v>919</v>
      </c>
      <c r="B122" s="54" t="s">
        <v>7573</v>
      </c>
      <c r="C122" s="55" t="s">
        <v>2241</v>
      </c>
      <c r="D122" s="203" t="s">
        <v>2242</v>
      </c>
      <c r="E122" s="200" cm="1">
        <f t="array" ref="E122">MIN(IFERROR(--_xlfn.TEXTSPLIT(SUBSTITUTE(SUBSTITUTE(G122,"|",",")," ",""),","),0))</f>
        <v>20</v>
      </c>
      <c r="F122" s="200" cm="1">
        <f t="array" ref="F122">MAX(IFERROR(--_xlfn.TEXTSPLIT(SUBSTITUTE(SUBSTITUTE(G122,"|",",")," ",""),","),0))</f>
        <v>24</v>
      </c>
      <c r="G122" s="201" t="s">
        <v>7730</v>
      </c>
      <c r="H122" s="61"/>
    </row>
    <row r="123" spans="1:8">
      <c r="A123" s="24" t="s">
        <v>919</v>
      </c>
      <c r="B123" s="54" t="s">
        <v>7573</v>
      </c>
      <c r="C123" s="55" t="s">
        <v>2243</v>
      </c>
      <c r="D123" s="203" t="s">
        <v>2244</v>
      </c>
      <c r="E123" s="200" cm="1">
        <f t="array" ref="E123">MIN(IFERROR(--_xlfn.TEXTSPLIT(SUBSTITUTE(SUBSTITUTE(G123,"|",",")," ",""),","),0))</f>
        <v>25</v>
      </c>
      <c r="F123" s="200" cm="1">
        <f t="array" ref="F123">MAX(IFERROR(--_xlfn.TEXTSPLIT(SUBSTITUTE(SUBSTITUTE(G123,"|",",")," ",""),","),0))</f>
        <v>29</v>
      </c>
      <c r="G123" s="201" t="s">
        <v>7731</v>
      </c>
      <c r="H123" s="61"/>
    </row>
    <row r="124" spans="1:8">
      <c r="A124" s="24" t="s">
        <v>919</v>
      </c>
      <c r="B124" s="54" t="s">
        <v>7573</v>
      </c>
      <c r="C124" s="55" t="s">
        <v>2245</v>
      </c>
      <c r="D124" s="203" t="s">
        <v>2246</v>
      </c>
      <c r="E124" s="200" cm="1">
        <f t="array" ref="E124">MIN(IFERROR(--_xlfn.TEXTSPLIT(SUBSTITUTE(SUBSTITUTE(G124,"|",",")," ",""),","),0))</f>
        <v>26</v>
      </c>
      <c r="F124" s="200" cm="1">
        <f t="array" ref="F124">MAX(IFERROR(--_xlfn.TEXTSPLIT(SUBSTITUTE(SUBSTITUTE(G124,"|",",")," ",""),","),0))</f>
        <v>30</v>
      </c>
      <c r="G124" s="201" t="s">
        <v>7732</v>
      </c>
      <c r="H124" s="61"/>
    </row>
    <row r="125" spans="1:8">
      <c r="A125" s="24" t="s">
        <v>2149</v>
      </c>
      <c r="B125" s="54" t="s">
        <v>7573</v>
      </c>
      <c r="C125" s="55" t="s">
        <v>2247</v>
      </c>
      <c r="D125" s="203" t="s">
        <v>2248</v>
      </c>
      <c r="E125" s="200" cm="1">
        <f t="array" ref="E125">MIN(IFERROR(--_xlfn.TEXTSPLIT(SUBSTITUTE(SUBSTITUTE(G125,"|",",")," ",""),","),0))</f>
        <v>80</v>
      </c>
      <c r="F125" s="200" cm="1">
        <f t="array" ref="F125">MAX(IFERROR(--_xlfn.TEXTSPLIT(SUBSTITUTE(SUBSTITUTE(G125,"|",",")," ",""),","),0))</f>
        <v>97</v>
      </c>
      <c r="G125" s="201" t="s">
        <v>7733</v>
      </c>
      <c r="H125" s="61"/>
    </row>
    <row r="126" spans="1:8">
      <c r="A126" s="24" t="s">
        <v>2149</v>
      </c>
      <c r="B126" s="54" t="s">
        <v>7573</v>
      </c>
      <c r="C126" s="55" t="s">
        <v>2249</v>
      </c>
      <c r="D126" s="203" t="s">
        <v>2250</v>
      </c>
      <c r="E126" s="200" cm="1">
        <f t="array" ref="E126">MIN(IFERROR(--_xlfn.TEXTSPLIT(SUBSTITUTE(SUBSTITUTE(G126,"|",",")," ",""),","),0))</f>
        <v>97</v>
      </c>
      <c r="F126" s="200" cm="1">
        <f t="array" ref="F126">MAX(IFERROR(--_xlfn.TEXTSPLIT(SUBSTITUTE(SUBSTITUTE(G126,"|",",")," ",""),","),0))</f>
        <v>114</v>
      </c>
      <c r="G126" s="201" t="s">
        <v>7734</v>
      </c>
      <c r="H126" s="61"/>
    </row>
    <row r="127" spans="1:8">
      <c r="A127" s="24" t="s">
        <v>2149</v>
      </c>
      <c r="B127" s="54" t="s">
        <v>7573</v>
      </c>
      <c r="C127" s="55" t="s">
        <v>2251</v>
      </c>
      <c r="D127" s="203" t="s">
        <v>2252</v>
      </c>
      <c r="E127" s="200" cm="1">
        <f t="array" ref="E127">MIN(IFERROR(--_xlfn.TEXTSPLIT(SUBSTITUTE(SUBSTITUTE(G127,"|",",")," ",""),","),0))</f>
        <v>113</v>
      </c>
      <c r="F127" s="200" cm="1">
        <f t="array" ref="F127">MAX(IFERROR(--_xlfn.TEXTSPLIT(SUBSTITUTE(SUBSTITUTE(G127,"|",",")," ",""),","),0))</f>
        <v>130</v>
      </c>
      <c r="G127" s="201" t="s">
        <v>7735</v>
      </c>
      <c r="H127" s="61"/>
    </row>
    <row r="128" spans="1:8">
      <c r="A128" s="24" t="s">
        <v>7736</v>
      </c>
      <c r="B128" s="54" t="s">
        <v>7550</v>
      </c>
      <c r="C128" s="55" t="s">
        <v>2253</v>
      </c>
      <c r="D128" s="203" t="s">
        <v>2254</v>
      </c>
      <c r="E128" s="200" cm="1">
        <f t="array" ref="E128">MIN(IFERROR(--_xlfn.TEXTSPLIT(SUBSTITUTE(SUBSTITUTE(G128,"|",",")," ",""),","),0))</f>
        <v>50</v>
      </c>
      <c r="F128" s="200" cm="1">
        <f t="array" ref="F128">MAX(IFERROR(--_xlfn.TEXTSPLIT(SUBSTITUTE(SUBSTITUTE(G128,"|",",")," ",""),","),0))</f>
        <v>59</v>
      </c>
      <c r="G128" s="201" t="s">
        <v>7737</v>
      </c>
      <c r="H128" s="61"/>
    </row>
    <row r="129" spans="1:8">
      <c r="A129" s="24" t="s">
        <v>7736</v>
      </c>
      <c r="B129" s="54" t="s">
        <v>7550</v>
      </c>
      <c r="C129" s="55" t="s">
        <v>2255</v>
      </c>
      <c r="D129" s="203" t="s">
        <v>2256</v>
      </c>
      <c r="E129" s="200" cm="1">
        <f t="array" ref="E129">MIN(IFERROR(--_xlfn.TEXTSPLIT(SUBSTITUTE(SUBSTITUTE(G129,"|",",")," ",""),","),0))</f>
        <v>59</v>
      </c>
      <c r="F129" s="200" cm="1">
        <f t="array" ref="F129">MAX(IFERROR(--_xlfn.TEXTSPLIT(SUBSTITUTE(SUBSTITUTE(G129,"|",",")," ",""),","),0))</f>
        <v>68</v>
      </c>
      <c r="G129" s="201" t="s">
        <v>7738</v>
      </c>
      <c r="H129" s="61"/>
    </row>
    <row r="130" spans="1:8">
      <c r="A130" s="24" t="s">
        <v>7736</v>
      </c>
      <c r="B130" s="54" t="s">
        <v>7550</v>
      </c>
      <c r="C130" s="55" t="s">
        <v>2257</v>
      </c>
      <c r="D130" s="203" t="s">
        <v>2258</v>
      </c>
      <c r="E130" s="200" cm="1">
        <f t="array" ref="E130">MIN(IFERROR(--_xlfn.TEXTSPLIT(SUBSTITUTE(SUBSTITUTE(G130,"|",",")," ",""),","),0))</f>
        <v>66</v>
      </c>
      <c r="F130" s="200" cm="1">
        <f t="array" ref="F130">MAX(IFERROR(--_xlfn.TEXTSPLIT(SUBSTITUTE(SUBSTITUTE(G130,"|",",")," ",""),","),0))</f>
        <v>75</v>
      </c>
      <c r="G130" s="201" t="s">
        <v>7739</v>
      </c>
      <c r="H130" s="61"/>
    </row>
    <row r="131" spans="1:8">
      <c r="A131" s="24" t="s">
        <v>7736</v>
      </c>
      <c r="B131" s="54" t="s">
        <v>7550</v>
      </c>
      <c r="C131" s="55" t="s">
        <v>2259</v>
      </c>
      <c r="D131" s="203" t="s">
        <v>2260</v>
      </c>
      <c r="E131" s="200" cm="1">
        <f t="array" ref="E131">MIN(IFERROR(--_xlfn.TEXTSPLIT(SUBSTITUTE(SUBSTITUTE(G131,"|",",")," ",""),","),0))</f>
        <v>40</v>
      </c>
      <c r="F131" s="200" cm="1">
        <f t="array" ref="F131">MAX(IFERROR(--_xlfn.TEXTSPLIT(SUBSTITUTE(SUBSTITUTE(G131,"|",",")," ",""),","),0))</f>
        <v>47</v>
      </c>
      <c r="G131" s="201" t="s">
        <v>7740</v>
      </c>
      <c r="H131" s="61"/>
    </row>
    <row r="132" spans="1:8">
      <c r="A132" s="24" t="s">
        <v>7736</v>
      </c>
      <c r="B132" s="54" t="s">
        <v>7550</v>
      </c>
      <c r="C132" s="55" t="s">
        <v>2261</v>
      </c>
      <c r="D132" s="203" t="s">
        <v>2262</v>
      </c>
      <c r="E132" s="200" cm="1">
        <f t="array" ref="E132">MIN(IFERROR(--_xlfn.TEXTSPLIT(SUBSTITUTE(SUBSTITUTE(G132,"|",",")," ",""),","),0))</f>
        <v>47</v>
      </c>
      <c r="F132" s="200" cm="1">
        <f t="array" ref="F132">MAX(IFERROR(--_xlfn.TEXTSPLIT(SUBSTITUTE(SUBSTITUTE(G132,"|",",")," ",""),","),0))</f>
        <v>54</v>
      </c>
      <c r="G132" s="201" t="s">
        <v>7741</v>
      </c>
      <c r="H132" s="61"/>
    </row>
    <row r="133" spans="1:8">
      <c r="A133" s="24" t="s">
        <v>7736</v>
      </c>
      <c r="B133" s="54" t="s">
        <v>7550</v>
      </c>
      <c r="C133" s="55" t="s">
        <v>2263</v>
      </c>
      <c r="D133" s="203" t="s">
        <v>2264</v>
      </c>
      <c r="E133" s="200" cm="1">
        <f t="array" ref="E133">MIN(IFERROR(--_xlfn.TEXTSPLIT(SUBSTITUTE(SUBSTITUTE(G133,"|",",")," ",""),","),0))</f>
        <v>53</v>
      </c>
      <c r="F133" s="200" cm="1">
        <f t="array" ref="F133">MAX(IFERROR(--_xlfn.TEXTSPLIT(SUBSTITUTE(SUBSTITUTE(G133,"|",",")," ",""),","),0))</f>
        <v>60</v>
      </c>
      <c r="G133" s="201" t="s">
        <v>7742</v>
      </c>
      <c r="H133" s="61"/>
    </row>
    <row r="134" spans="1:8">
      <c r="A134" s="24" t="s">
        <v>7736</v>
      </c>
      <c r="B134" s="54" t="s">
        <v>7550</v>
      </c>
      <c r="C134" s="55" t="s">
        <v>2265</v>
      </c>
      <c r="D134" s="203" t="s">
        <v>2266</v>
      </c>
      <c r="E134" s="200" cm="1">
        <f t="array" ref="E134">MIN(IFERROR(--_xlfn.TEXTSPLIT(SUBSTITUTE(SUBSTITUTE(G134,"|",",")," ",""),","),0))</f>
        <v>78</v>
      </c>
      <c r="F134" s="200" cm="1">
        <f t="array" ref="F134">MAX(IFERROR(--_xlfn.TEXTSPLIT(SUBSTITUTE(SUBSTITUTE(G134,"|",",")," ",""),","),0))</f>
        <v>87</v>
      </c>
      <c r="G134" s="201" t="s">
        <v>7743</v>
      </c>
      <c r="H134" s="61"/>
    </row>
    <row r="135" spans="1:8">
      <c r="A135" s="24" t="s">
        <v>7736</v>
      </c>
      <c r="B135" s="54" t="s">
        <v>7550</v>
      </c>
      <c r="C135" s="55" t="s">
        <v>2267</v>
      </c>
      <c r="D135" s="203" t="s">
        <v>2268</v>
      </c>
      <c r="E135" s="200" cm="1">
        <f t="array" ref="E135">MIN(IFERROR(--_xlfn.TEXTSPLIT(SUBSTITUTE(SUBSTITUTE(G135,"|",",")," ",""),","),0))</f>
        <v>87</v>
      </c>
      <c r="F135" s="200" cm="1">
        <f t="array" ref="F135">MAX(IFERROR(--_xlfn.TEXTSPLIT(SUBSTITUTE(SUBSTITUTE(G135,"|",",")," ",""),","),0))</f>
        <v>96</v>
      </c>
      <c r="G135" s="201" t="s">
        <v>7744</v>
      </c>
      <c r="H135" s="61"/>
    </row>
    <row r="136" spans="1:8">
      <c r="A136" s="24" t="s">
        <v>7736</v>
      </c>
      <c r="B136" s="54" t="s">
        <v>7550</v>
      </c>
      <c r="C136" s="55" t="s">
        <v>2269</v>
      </c>
      <c r="D136" s="203" t="s">
        <v>2270</v>
      </c>
      <c r="E136" s="200" cm="1">
        <f t="array" ref="E136">MIN(IFERROR(--_xlfn.TEXTSPLIT(SUBSTITUTE(SUBSTITUTE(G136,"|",",")," ",""),","),0))</f>
        <v>95</v>
      </c>
      <c r="F136" s="200" cm="1">
        <f t="array" ref="F136">MAX(IFERROR(--_xlfn.TEXTSPLIT(SUBSTITUTE(SUBSTITUTE(G136,"|",",")," ",""),","),0))</f>
        <v>104</v>
      </c>
      <c r="G136" s="201" t="s">
        <v>7745</v>
      </c>
      <c r="H136" s="61"/>
    </row>
    <row r="137" spans="1:8">
      <c r="A137" s="24" t="s">
        <v>30</v>
      </c>
      <c r="B137" s="54" t="s">
        <v>7550</v>
      </c>
      <c r="C137" s="55" t="s">
        <v>2271</v>
      </c>
      <c r="D137" s="203" t="s">
        <v>2272</v>
      </c>
      <c r="E137" s="200" cm="1">
        <f t="array" ref="E137">MIN(IFERROR(--_xlfn.TEXTSPLIT(SUBSTITUTE(SUBSTITUTE(G137,"|",",")," ",""),","),0))</f>
        <v>78</v>
      </c>
      <c r="F137" s="200" cm="1">
        <f t="array" ref="F137">MAX(IFERROR(--_xlfn.TEXTSPLIT(SUBSTITUTE(SUBSTITUTE(G137,"|",",")," ",""),","),0))</f>
        <v>86</v>
      </c>
      <c r="G137" s="201" t="s">
        <v>7746</v>
      </c>
      <c r="H137" s="61"/>
    </row>
    <row r="138" spans="1:8">
      <c r="A138" s="24" t="s">
        <v>30</v>
      </c>
      <c r="B138" s="54" t="s">
        <v>7550</v>
      </c>
      <c r="C138" s="55" t="s">
        <v>2273</v>
      </c>
      <c r="D138" s="203" t="s">
        <v>2274</v>
      </c>
      <c r="E138" s="200" cm="1">
        <f t="array" ref="E138">MIN(IFERROR(--_xlfn.TEXTSPLIT(SUBSTITUTE(SUBSTITUTE(G138,"|",",")," ",""),","),0))</f>
        <v>87</v>
      </c>
      <c r="F138" s="200" cm="1">
        <f t="array" ref="F138">MAX(IFERROR(--_xlfn.TEXTSPLIT(SUBSTITUTE(SUBSTITUTE(G138,"|",",")," ",""),","),0))</f>
        <v>95</v>
      </c>
      <c r="G138" s="201" t="s">
        <v>7747</v>
      </c>
      <c r="H138" s="61"/>
    </row>
    <row r="139" spans="1:8">
      <c r="A139" s="24" t="s">
        <v>30</v>
      </c>
      <c r="B139" s="54" t="s">
        <v>7550</v>
      </c>
      <c r="C139" s="55" t="s">
        <v>2275</v>
      </c>
      <c r="D139" s="203" t="s">
        <v>2276</v>
      </c>
      <c r="E139" s="200" cm="1">
        <f t="array" ref="E139">MIN(IFERROR(--_xlfn.TEXTSPLIT(SUBSTITUTE(SUBSTITUTE(G139,"|",",")," ",""),","),0))</f>
        <v>95</v>
      </c>
      <c r="F139" s="200" cm="1">
        <f t="array" ref="F139">MAX(IFERROR(--_xlfn.TEXTSPLIT(SUBSTITUTE(SUBSTITUTE(G139,"|",",")," ",""),","),0))</f>
        <v>103</v>
      </c>
      <c r="G139" s="201" t="s">
        <v>7748</v>
      </c>
      <c r="H139" s="61"/>
    </row>
    <row r="140" spans="1:8">
      <c r="A140" s="24" t="s">
        <v>2279</v>
      </c>
      <c r="B140" s="54" t="s">
        <v>7550</v>
      </c>
      <c r="C140" s="55" t="s">
        <v>2277</v>
      </c>
      <c r="D140" s="203" t="s">
        <v>2278</v>
      </c>
      <c r="E140" s="200" cm="1">
        <f t="array" ref="E140">MIN(IFERROR(--_xlfn.TEXTSPLIT(SUBSTITUTE(SUBSTITUTE(G140,"|",",")," ",""),","),0))</f>
        <v>104</v>
      </c>
      <c r="F140" s="200" cm="1">
        <f t="array" ref="F140">MAX(IFERROR(--_xlfn.TEXTSPLIT(SUBSTITUTE(SUBSTITUTE(G140,"|",",")," ",""),","),0))</f>
        <v>113</v>
      </c>
      <c r="G140" s="201" t="s">
        <v>7749</v>
      </c>
      <c r="H140" s="61"/>
    </row>
    <row r="141" spans="1:8">
      <c r="A141" s="24" t="s">
        <v>2279</v>
      </c>
      <c r="B141" s="54" t="s">
        <v>7550</v>
      </c>
      <c r="C141" s="55" t="s">
        <v>2280</v>
      </c>
      <c r="D141" s="203" t="s">
        <v>2281</v>
      </c>
      <c r="E141" s="200" cm="1">
        <f t="array" ref="E141">MIN(IFERROR(--_xlfn.TEXTSPLIT(SUBSTITUTE(SUBSTITUTE(G141,"|",",")," ",""),","),0))</f>
        <v>113</v>
      </c>
      <c r="F141" s="200" cm="1">
        <f t="array" ref="F141">MAX(IFERROR(--_xlfn.TEXTSPLIT(SUBSTITUTE(SUBSTITUTE(G141,"|",",")," ",""),","),0))</f>
        <v>122</v>
      </c>
      <c r="G141" s="201" t="s">
        <v>7750</v>
      </c>
      <c r="H141" s="61"/>
    </row>
    <row r="142" spans="1:8">
      <c r="A142" s="24" t="s">
        <v>2279</v>
      </c>
      <c r="B142" s="54" t="s">
        <v>7550</v>
      </c>
      <c r="C142" s="55" t="s">
        <v>2282</v>
      </c>
      <c r="D142" s="203" t="s">
        <v>2283</v>
      </c>
      <c r="E142" s="200" cm="1">
        <f t="array" ref="E142">MIN(IFERROR(--_xlfn.TEXTSPLIT(SUBSTITUTE(SUBSTITUTE(G142,"|",",")," ",""),","),0))</f>
        <v>122</v>
      </c>
      <c r="F142" s="200" cm="1">
        <f t="array" ref="F142">MAX(IFERROR(--_xlfn.TEXTSPLIT(SUBSTITUTE(SUBSTITUTE(G142,"|",",")," ",""),","),0))</f>
        <v>131</v>
      </c>
      <c r="G142" s="201" t="s">
        <v>7751</v>
      </c>
      <c r="H142" s="61"/>
    </row>
    <row r="143" spans="1:8">
      <c r="A143" s="24" t="s">
        <v>2279</v>
      </c>
      <c r="B143" s="54" t="s">
        <v>7550</v>
      </c>
      <c r="C143" s="55" t="s">
        <v>2284</v>
      </c>
      <c r="D143" s="203" t="s">
        <v>2285</v>
      </c>
      <c r="E143" s="200" cm="1">
        <f t="array" ref="E143">MIN(IFERROR(--_xlfn.TEXTSPLIT(SUBSTITUTE(SUBSTITUTE(G143,"|",",")," ",""),","),0))</f>
        <v>104</v>
      </c>
      <c r="F143" s="200" cm="1">
        <f t="array" ref="F143">MAX(IFERROR(--_xlfn.TEXTSPLIT(SUBSTITUTE(SUBSTITUTE(G143,"|",",")," ",""),","),0))</f>
        <v>113</v>
      </c>
      <c r="G143" s="201" t="s">
        <v>7749</v>
      </c>
      <c r="H143" s="61"/>
    </row>
    <row r="144" spans="1:8">
      <c r="A144" s="24" t="s">
        <v>2279</v>
      </c>
      <c r="B144" s="54" t="s">
        <v>7550</v>
      </c>
      <c r="C144" s="55" t="s">
        <v>2286</v>
      </c>
      <c r="D144" s="203" t="s">
        <v>2287</v>
      </c>
      <c r="E144" s="200" cm="1">
        <f t="array" ref="E144">MIN(IFERROR(--_xlfn.TEXTSPLIT(SUBSTITUTE(SUBSTITUTE(G144,"|",",")," ",""),","),0))</f>
        <v>113</v>
      </c>
      <c r="F144" s="200" cm="1">
        <f t="array" ref="F144">MAX(IFERROR(--_xlfn.TEXTSPLIT(SUBSTITUTE(SUBSTITUTE(G144,"|",",")," ",""),","),0))</f>
        <v>122</v>
      </c>
      <c r="G144" s="201" t="s">
        <v>7750</v>
      </c>
      <c r="H144" s="61"/>
    </row>
    <row r="145" spans="1:8">
      <c r="A145" s="24" t="s">
        <v>2279</v>
      </c>
      <c r="B145" s="54" t="s">
        <v>7550</v>
      </c>
      <c r="C145" s="55" t="s">
        <v>2288</v>
      </c>
      <c r="D145" s="203" t="s">
        <v>2289</v>
      </c>
      <c r="E145" s="200" cm="1">
        <f t="array" ref="E145">MIN(IFERROR(--_xlfn.TEXTSPLIT(SUBSTITUTE(SUBSTITUTE(G145,"|",",")," ",""),","),0))</f>
        <v>122</v>
      </c>
      <c r="F145" s="200" cm="1">
        <f t="array" ref="F145">MAX(IFERROR(--_xlfn.TEXTSPLIT(SUBSTITUTE(SUBSTITUTE(G145,"|",",")," ",""),","),0))</f>
        <v>131</v>
      </c>
      <c r="G145" s="201" t="s">
        <v>7751</v>
      </c>
      <c r="H145" s="61"/>
    </row>
    <row r="146" spans="1:8">
      <c r="A146" s="24" t="s">
        <v>2279</v>
      </c>
      <c r="B146" s="54" t="s">
        <v>7550</v>
      </c>
      <c r="C146" s="55" t="s">
        <v>2290</v>
      </c>
      <c r="D146" s="203" t="s">
        <v>2291</v>
      </c>
      <c r="E146" s="200" cm="1">
        <f t="array" ref="E146">MIN(IFERROR(--_xlfn.TEXTSPLIT(SUBSTITUTE(SUBSTITUTE(G146,"|",",")," ",""),","),0))</f>
        <v>104</v>
      </c>
      <c r="F146" s="200" cm="1">
        <f t="array" ref="F146">MAX(IFERROR(--_xlfn.TEXTSPLIT(SUBSTITUTE(SUBSTITUTE(G146,"|",",")," ",""),","),0))</f>
        <v>113</v>
      </c>
      <c r="G146" s="201" t="s">
        <v>7749</v>
      </c>
      <c r="H146" s="61"/>
    </row>
    <row r="147" spans="1:8">
      <c r="A147" s="24" t="s">
        <v>2279</v>
      </c>
      <c r="B147" s="54" t="s">
        <v>7550</v>
      </c>
      <c r="C147" s="55" t="s">
        <v>2292</v>
      </c>
      <c r="D147" s="203" t="s">
        <v>2293</v>
      </c>
      <c r="E147" s="200" cm="1">
        <f t="array" ref="E147">MIN(IFERROR(--_xlfn.TEXTSPLIT(SUBSTITUTE(SUBSTITUTE(G147,"|",",")," ",""),","),0))</f>
        <v>113</v>
      </c>
      <c r="F147" s="200" cm="1">
        <f t="array" ref="F147">MAX(IFERROR(--_xlfn.TEXTSPLIT(SUBSTITUTE(SUBSTITUTE(G147,"|",",")," ",""),","),0))</f>
        <v>122</v>
      </c>
      <c r="G147" s="201" t="s">
        <v>7750</v>
      </c>
      <c r="H147" s="61"/>
    </row>
    <row r="148" spans="1:8">
      <c r="A148" s="24" t="s">
        <v>2279</v>
      </c>
      <c r="B148" s="54" t="s">
        <v>7550</v>
      </c>
      <c r="C148" s="55" t="s">
        <v>2294</v>
      </c>
      <c r="D148" s="203" t="s">
        <v>2295</v>
      </c>
      <c r="E148" s="200" cm="1">
        <f t="array" ref="E148">MIN(IFERROR(--_xlfn.TEXTSPLIT(SUBSTITUTE(SUBSTITUTE(G148,"|",",")," ",""),","),0))</f>
        <v>122</v>
      </c>
      <c r="F148" s="200" cm="1">
        <f t="array" ref="F148">MAX(IFERROR(--_xlfn.TEXTSPLIT(SUBSTITUTE(SUBSTITUTE(G148,"|",",")," ",""),","),0))</f>
        <v>131</v>
      </c>
      <c r="G148" s="201" t="s">
        <v>7751</v>
      </c>
      <c r="H148" s="61"/>
    </row>
    <row r="149" spans="1:8">
      <c r="A149" s="24" t="s">
        <v>2279</v>
      </c>
      <c r="B149" s="54" t="s">
        <v>7550</v>
      </c>
      <c r="C149" s="55" t="s">
        <v>2296</v>
      </c>
      <c r="D149" s="203" t="s">
        <v>2285</v>
      </c>
      <c r="E149" s="200" cm="1">
        <f t="array" ref="E149">MIN(IFERROR(--_xlfn.TEXTSPLIT(SUBSTITUTE(SUBSTITUTE(G149,"|",",")," ",""),","),0))</f>
        <v>104</v>
      </c>
      <c r="F149" s="200" cm="1">
        <f t="array" ref="F149">MAX(IFERROR(--_xlfn.TEXTSPLIT(SUBSTITUTE(SUBSTITUTE(G149,"|",",")," ",""),","),0))</f>
        <v>113</v>
      </c>
      <c r="G149" s="201" t="s">
        <v>7749</v>
      </c>
      <c r="H149" s="61"/>
    </row>
    <row r="150" spans="1:8">
      <c r="A150" s="24" t="s">
        <v>2279</v>
      </c>
      <c r="B150" s="54" t="s">
        <v>7550</v>
      </c>
      <c r="C150" s="55" t="s">
        <v>2297</v>
      </c>
      <c r="D150" s="203" t="s">
        <v>2287</v>
      </c>
      <c r="E150" s="200" cm="1">
        <f t="array" ref="E150">MIN(IFERROR(--_xlfn.TEXTSPLIT(SUBSTITUTE(SUBSTITUTE(G150,"|",",")," ",""),","),0))</f>
        <v>113</v>
      </c>
      <c r="F150" s="200" cm="1">
        <f t="array" ref="F150">MAX(IFERROR(--_xlfn.TEXTSPLIT(SUBSTITUTE(SUBSTITUTE(G150,"|",",")," ",""),","),0))</f>
        <v>122</v>
      </c>
      <c r="G150" s="201" t="s">
        <v>7750</v>
      </c>
      <c r="H150" s="61"/>
    </row>
    <row r="151" spans="1:8">
      <c r="A151" s="24" t="s">
        <v>2279</v>
      </c>
      <c r="B151" s="54" t="s">
        <v>7550</v>
      </c>
      <c r="C151" s="55" t="s">
        <v>2298</v>
      </c>
      <c r="D151" s="203" t="s">
        <v>2289</v>
      </c>
      <c r="E151" s="200" cm="1">
        <f t="array" ref="E151">MIN(IFERROR(--_xlfn.TEXTSPLIT(SUBSTITUTE(SUBSTITUTE(G151,"|",",")," ",""),","),0))</f>
        <v>122</v>
      </c>
      <c r="F151" s="200" cm="1">
        <f t="array" ref="F151">MAX(IFERROR(--_xlfn.TEXTSPLIT(SUBSTITUTE(SUBSTITUTE(G151,"|",",")," ",""),","),0))</f>
        <v>131</v>
      </c>
      <c r="G151" s="201" t="s">
        <v>7751</v>
      </c>
      <c r="H151" s="61"/>
    </row>
    <row r="152" spans="1:8">
      <c r="A152" s="204" t="s">
        <v>581</v>
      </c>
      <c r="B152" s="54" t="s">
        <v>7550</v>
      </c>
      <c r="C152" s="55" t="s">
        <v>2299</v>
      </c>
      <c r="D152" s="203" t="s">
        <v>2300</v>
      </c>
      <c r="E152" s="200" cm="1">
        <f t="array" ref="E152">MIN(IFERROR(--_xlfn.TEXTSPLIT(SUBSTITUTE(SUBSTITUTE(G152,"|",",")," ",""),","),0))</f>
        <v>48</v>
      </c>
      <c r="F152" s="200" cm="1">
        <f t="array" ref="F152">MAX(IFERROR(--_xlfn.TEXTSPLIT(SUBSTITUTE(SUBSTITUTE(G152,"|",",")," ",""),","),0))</f>
        <v>56</v>
      </c>
      <c r="G152" s="201" t="s">
        <v>7752</v>
      </c>
      <c r="H152" s="61"/>
    </row>
    <row r="153" spans="1:8">
      <c r="A153" s="204" t="s">
        <v>581</v>
      </c>
      <c r="B153" s="54" t="s">
        <v>7550</v>
      </c>
      <c r="C153" s="55" t="s">
        <v>2301</v>
      </c>
      <c r="D153" s="203" t="s">
        <v>2302</v>
      </c>
      <c r="E153" s="200" cm="1">
        <f t="array" ref="E153">MIN(IFERROR(--_xlfn.TEXTSPLIT(SUBSTITUTE(SUBSTITUTE(G153,"|",",")," ",""),","),0))</f>
        <v>56</v>
      </c>
      <c r="F153" s="200" cm="1">
        <f t="array" ref="F153">MAX(IFERROR(--_xlfn.TEXTSPLIT(SUBSTITUTE(SUBSTITUTE(G153,"|",",")," ",""),","),0))</f>
        <v>64</v>
      </c>
      <c r="G153" s="201" t="s">
        <v>7753</v>
      </c>
      <c r="H153" s="61"/>
    </row>
    <row r="154" spans="1:8">
      <c r="A154" s="204" t="s">
        <v>581</v>
      </c>
      <c r="B154" s="54" t="s">
        <v>7550</v>
      </c>
      <c r="C154" s="55" t="s">
        <v>2303</v>
      </c>
      <c r="D154" s="203" t="s">
        <v>2304</v>
      </c>
      <c r="E154" s="200" cm="1">
        <f t="array" ref="E154">MIN(IFERROR(--_xlfn.TEXTSPLIT(SUBSTITUTE(SUBSTITUTE(G154,"|",",")," ",""),","),0))</f>
        <v>64</v>
      </c>
      <c r="F154" s="200" cm="1">
        <f t="array" ref="F154">MAX(IFERROR(--_xlfn.TEXTSPLIT(SUBSTITUTE(SUBSTITUTE(G154,"|",",")," ",""),","),0))</f>
        <v>72</v>
      </c>
      <c r="G154" s="201" t="s">
        <v>7754</v>
      </c>
      <c r="H154" s="61"/>
    </row>
    <row r="155" spans="1:8">
      <c r="A155" s="24" t="s">
        <v>2307</v>
      </c>
      <c r="B155" s="54" t="s">
        <v>7550</v>
      </c>
      <c r="C155" s="55" t="s">
        <v>2305</v>
      </c>
      <c r="D155" s="203" t="s">
        <v>2306</v>
      </c>
      <c r="E155" s="200" cm="1">
        <f t="array" ref="E155">MIN(IFERROR(--_xlfn.TEXTSPLIT(SUBSTITUTE(SUBSTITUTE(G155,"|",",")," ",""),","),0))</f>
        <v>144</v>
      </c>
      <c r="F155" s="200" cm="1">
        <f t="array" ref="F155">MAX(IFERROR(--_xlfn.TEXTSPLIT(SUBSTITUTE(SUBSTITUTE(G155,"|",",")," ",""),","),0))</f>
        <v>169</v>
      </c>
      <c r="G155" s="201" t="s">
        <v>7755</v>
      </c>
      <c r="H155" s="61"/>
    </row>
    <row r="156" spans="1:8">
      <c r="A156" s="24" t="s">
        <v>2307</v>
      </c>
      <c r="B156" s="54" t="s">
        <v>7550</v>
      </c>
      <c r="C156" s="55" t="s">
        <v>2308</v>
      </c>
      <c r="D156" s="203" t="s">
        <v>2309</v>
      </c>
      <c r="E156" s="200" cm="1">
        <f t="array" ref="E156">MIN(IFERROR(--_xlfn.TEXTSPLIT(SUBSTITUTE(SUBSTITUTE(G156,"|",",")," ",""),","),0))</f>
        <v>169</v>
      </c>
      <c r="F156" s="200" cm="1">
        <f t="array" ref="F156">MAX(IFERROR(--_xlfn.TEXTSPLIT(SUBSTITUTE(SUBSTITUTE(G156,"|",",")," ",""),","),0))</f>
        <v>194</v>
      </c>
      <c r="G156" s="201" t="s">
        <v>7756</v>
      </c>
      <c r="H156" s="61"/>
    </row>
    <row r="157" spans="1:8">
      <c r="A157" s="24" t="s">
        <v>2307</v>
      </c>
      <c r="B157" s="54" t="s">
        <v>7550</v>
      </c>
      <c r="C157" s="55" t="s">
        <v>2310</v>
      </c>
      <c r="D157" s="203" t="s">
        <v>2311</v>
      </c>
      <c r="E157" s="200" cm="1">
        <f t="array" ref="E157">MIN(IFERROR(--_xlfn.TEXTSPLIT(SUBSTITUTE(SUBSTITUTE(G157,"|",",")," ",""),","),0))</f>
        <v>194</v>
      </c>
      <c r="F157" s="200" cm="1">
        <f t="array" ref="F157">MAX(IFERROR(--_xlfn.TEXTSPLIT(SUBSTITUTE(SUBSTITUTE(G157,"|",",")," ",""),","),0))</f>
        <v>219</v>
      </c>
      <c r="G157" s="201" t="s">
        <v>7757</v>
      </c>
      <c r="H157" s="61"/>
    </row>
    <row r="158" spans="1:8">
      <c r="A158" s="24" t="s">
        <v>2314</v>
      </c>
      <c r="B158" s="54" t="s">
        <v>7550</v>
      </c>
      <c r="C158" s="55" t="s">
        <v>2312</v>
      </c>
      <c r="D158" s="203" t="s">
        <v>2313</v>
      </c>
      <c r="E158" s="200" cm="1">
        <f t="array" ref="E158">MIN(IFERROR(--_xlfn.TEXTSPLIT(SUBSTITUTE(SUBSTITUTE(G158,"|",",")," ",""),","),0))</f>
        <v>144</v>
      </c>
      <c r="F158" s="200" cm="1">
        <f t="array" ref="F158">MAX(IFERROR(--_xlfn.TEXTSPLIT(SUBSTITUTE(SUBSTITUTE(G158,"|",",")," ",""),","),0))</f>
        <v>169</v>
      </c>
      <c r="G158" s="201" t="s">
        <v>7755</v>
      </c>
      <c r="H158" s="61"/>
    </row>
    <row r="159" spans="1:8">
      <c r="A159" s="24" t="s">
        <v>2314</v>
      </c>
      <c r="B159" s="54" t="s">
        <v>7550</v>
      </c>
      <c r="C159" s="55" t="s">
        <v>2315</v>
      </c>
      <c r="D159" s="203" t="s">
        <v>2316</v>
      </c>
      <c r="E159" s="200" cm="1">
        <f t="array" ref="E159">MIN(IFERROR(--_xlfn.TEXTSPLIT(SUBSTITUTE(SUBSTITUTE(G159,"|",",")," ",""),","),0))</f>
        <v>169</v>
      </c>
      <c r="F159" s="200" cm="1">
        <f t="array" ref="F159">MAX(IFERROR(--_xlfn.TEXTSPLIT(SUBSTITUTE(SUBSTITUTE(G159,"|",",")," ",""),","),0))</f>
        <v>194</v>
      </c>
      <c r="G159" s="201" t="s">
        <v>7756</v>
      </c>
      <c r="H159" s="61"/>
    </row>
    <row r="160" spans="1:8">
      <c r="A160" s="24" t="s">
        <v>2314</v>
      </c>
      <c r="B160" s="54" t="s">
        <v>7550</v>
      </c>
      <c r="C160" s="55" t="s">
        <v>2317</v>
      </c>
      <c r="D160" s="203" t="s">
        <v>2318</v>
      </c>
      <c r="E160" s="200" cm="1">
        <f t="array" ref="E160">MIN(IFERROR(--_xlfn.TEXTSPLIT(SUBSTITUTE(SUBSTITUTE(G160,"|",",")," ",""),","),0))</f>
        <v>194</v>
      </c>
      <c r="F160" s="200" cm="1">
        <f t="array" ref="F160">MAX(IFERROR(--_xlfn.TEXTSPLIT(SUBSTITUTE(SUBSTITUTE(G160,"|",",")," ",""),","),0))</f>
        <v>219</v>
      </c>
      <c r="G160" s="201" t="s">
        <v>7757</v>
      </c>
      <c r="H160" s="61"/>
    </row>
    <row r="161" spans="1:8">
      <c r="A161" s="24" t="s">
        <v>2321</v>
      </c>
      <c r="B161" s="54" t="s">
        <v>7550</v>
      </c>
      <c r="C161" s="55" t="s">
        <v>2319</v>
      </c>
      <c r="D161" s="203" t="s">
        <v>2320</v>
      </c>
      <c r="E161" s="200" cm="1">
        <f t="array" ref="E161">MIN(IFERROR(--_xlfn.TEXTSPLIT(SUBSTITUTE(SUBSTITUTE(G161,"|",",")," ",""),","),0))</f>
        <v>144</v>
      </c>
      <c r="F161" s="200" cm="1">
        <f t="array" ref="F161">MAX(IFERROR(--_xlfn.TEXTSPLIT(SUBSTITUTE(SUBSTITUTE(G161,"|",",")," ",""),","),0))</f>
        <v>169</v>
      </c>
      <c r="G161" s="201" t="s">
        <v>7755</v>
      </c>
      <c r="H161" s="61"/>
    </row>
    <row r="162" spans="1:8">
      <c r="A162" s="24" t="s">
        <v>2321</v>
      </c>
      <c r="B162" s="54" t="s">
        <v>7550</v>
      </c>
      <c r="C162" s="55" t="s">
        <v>2322</v>
      </c>
      <c r="D162" s="203" t="s">
        <v>2323</v>
      </c>
      <c r="E162" s="200" cm="1">
        <f t="array" ref="E162">MIN(IFERROR(--_xlfn.TEXTSPLIT(SUBSTITUTE(SUBSTITUTE(G162,"|",",")," ",""),","),0))</f>
        <v>169</v>
      </c>
      <c r="F162" s="200" cm="1">
        <f t="array" ref="F162">MAX(IFERROR(--_xlfn.TEXTSPLIT(SUBSTITUTE(SUBSTITUTE(G162,"|",",")," ",""),","),0))</f>
        <v>194</v>
      </c>
      <c r="G162" s="201" t="s">
        <v>7756</v>
      </c>
      <c r="H162" s="61"/>
    </row>
    <row r="163" spans="1:8">
      <c r="A163" s="24" t="s">
        <v>2321</v>
      </c>
      <c r="B163" s="54" t="s">
        <v>7550</v>
      </c>
      <c r="C163" s="55" t="s">
        <v>2324</v>
      </c>
      <c r="D163" s="203" t="s">
        <v>2325</v>
      </c>
      <c r="E163" s="200" cm="1">
        <f t="array" ref="E163">MIN(IFERROR(--_xlfn.TEXTSPLIT(SUBSTITUTE(SUBSTITUTE(G163,"|",",")," ",""),","),0))</f>
        <v>194</v>
      </c>
      <c r="F163" s="200" cm="1">
        <f t="array" ref="F163">MAX(IFERROR(--_xlfn.TEXTSPLIT(SUBSTITUTE(SUBSTITUTE(G163,"|",",")," ",""),","),0))</f>
        <v>219</v>
      </c>
      <c r="G163" s="201" t="s">
        <v>7757</v>
      </c>
      <c r="H163" s="61"/>
    </row>
    <row r="164" spans="1:8">
      <c r="A164" s="24" t="s">
        <v>919</v>
      </c>
      <c r="B164" s="54" t="s">
        <v>7551</v>
      </c>
      <c r="C164" s="55" t="s">
        <v>2326</v>
      </c>
      <c r="D164" s="203" t="s">
        <v>2327</v>
      </c>
      <c r="E164" s="200" cm="1">
        <f t="array" ref="E164">MIN(IFERROR(--_xlfn.TEXTSPLIT(SUBSTITUTE(SUBSTITUTE(G164,"|",",")," ",""),","),0))</f>
        <v>200</v>
      </c>
      <c r="F164" s="200" cm="1">
        <f t="array" ref="F164">MAX(IFERROR(--_xlfn.TEXTSPLIT(SUBSTITUTE(SUBSTITUTE(G164,"|",",")," ",""),","),0))</f>
        <v>230</v>
      </c>
      <c r="G164" s="201" t="s">
        <v>7758</v>
      </c>
      <c r="H164" s="61"/>
    </row>
    <row r="165" spans="1:8">
      <c r="A165" s="24" t="s">
        <v>919</v>
      </c>
      <c r="B165" s="54" t="s">
        <v>7551</v>
      </c>
      <c r="C165" s="55" t="s">
        <v>2328</v>
      </c>
      <c r="D165" s="203" t="s">
        <v>2329</v>
      </c>
      <c r="E165" s="200" cm="1">
        <f t="array" ref="E165">MIN(IFERROR(--_xlfn.TEXTSPLIT(SUBSTITUTE(SUBSTITUTE(G165,"|",",")," ",""),","),0))</f>
        <v>230</v>
      </c>
      <c r="F165" s="200" cm="1">
        <f t="array" ref="F165">MAX(IFERROR(--_xlfn.TEXTSPLIT(SUBSTITUTE(SUBSTITUTE(G165,"|",",")," ",""),","),0))</f>
        <v>260</v>
      </c>
      <c r="G165" s="201" t="s">
        <v>7759</v>
      </c>
      <c r="H165" s="61"/>
    </row>
    <row r="166" spans="1:8">
      <c r="A166" s="24" t="s">
        <v>919</v>
      </c>
      <c r="B166" s="54" t="s">
        <v>7551</v>
      </c>
      <c r="C166" s="55" t="s">
        <v>2330</v>
      </c>
      <c r="D166" s="203" t="s">
        <v>2331</v>
      </c>
      <c r="E166" s="200" cm="1">
        <f t="array" ref="E166">MIN(IFERROR(--_xlfn.TEXTSPLIT(SUBSTITUTE(SUBSTITUTE(G166,"|",",")," ",""),","),0))</f>
        <v>260</v>
      </c>
      <c r="F166" s="200" cm="1">
        <f t="array" ref="F166">MAX(IFERROR(--_xlfn.TEXTSPLIT(SUBSTITUTE(SUBSTITUTE(G166,"|",",")," ",""),","),0))</f>
        <v>290</v>
      </c>
      <c r="G166" s="201" t="s">
        <v>7760</v>
      </c>
      <c r="H166" s="61"/>
    </row>
    <row r="167" spans="1:8">
      <c r="A167" s="24" t="s">
        <v>2334</v>
      </c>
      <c r="B167" s="54" t="s">
        <v>7551</v>
      </c>
      <c r="C167" s="55" t="s">
        <v>2332</v>
      </c>
      <c r="D167" s="203" t="s">
        <v>2333</v>
      </c>
      <c r="E167" s="200" cm="1">
        <f t="array" ref="E167">MIN(IFERROR(--_xlfn.TEXTSPLIT(SUBSTITUTE(SUBSTITUTE(G167,"|",",")," ",""),","),0))</f>
        <v>40</v>
      </c>
      <c r="F167" s="200" cm="1">
        <f t="array" ref="F167">MAX(IFERROR(--_xlfn.TEXTSPLIT(SUBSTITUTE(SUBSTITUTE(G167,"|",",")," ",""),","),0))</f>
        <v>45</v>
      </c>
      <c r="G167" s="201" t="s">
        <v>7708</v>
      </c>
      <c r="H167" s="61"/>
    </row>
    <row r="168" spans="1:8">
      <c r="A168" s="24" t="s">
        <v>2334</v>
      </c>
      <c r="B168" s="54" t="s">
        <v>7551</v>
      </c>
      <c r="C168" s="55" t="s">
        <v>2335</v>
      </c>
      <c r="D168" s="203" t="s">
        <v>2336</v>
      </c>
      <c r="E168" s="200" cm="1">
        <f t="array" ref="E168">MIN(IFERROR(--_xlfn.TEXTSPLIT(SUBSTITUTE(SUBSTITUTE(G168,"|",",")," ",""),","),0))</f>
        <v>45</v>
      </c>
      <c r="F168" s="200" cm="1">
        <f t="array" ref="F168">MAX(IFERROR(--_xlfn.TEXTSPLIT(SUBSTITUTE(SUBSTITUTE(G168,"|",",")," ",""),","),0))</f>
        <v>50</v>
      </c>
      <c r="G168" s="201" t="s">
        <v>7709</v>
      </c>
      <c r="H168" s="61"/>
    </row>
    <row r="169" spans="1:8">
      <c r="A169" s="24" t="s">
        <v>2334</v>
      </c>
      <c r="B169" s="54" t="s">
        <v>7551</v>
      </c>
      <c r="C169" s="55" t="s">
        <v>2337</v>
      </c>
      <c r="D169" s="203" t="s">
        <v>2338</v>
      </c>
      <c r="E169" s="200" cm="1">
        <f t="array" ref="E169">MIN(IFERROR(--_xlfn.TEXTSPLIT(SUBSTITUTE(SUBSTITUTE(G169,"|",",")," ",""),","),0))</f>
        <v>50</v>
      </c>
      <c r="F169" s="200" cm="1">
        <f t="array" ref="F169">MAX(IFERROR(--_xlfn.TEXTSPLIT(SUBSTITUTE(SUBSTITUTE(G169,"|",",")," ",""),","),0))</f>
        <v>55</v>
      </c>
      <c r="G169" s="201" t="s">
        <v>7761</v>
      </c>
      <c r="H169" s="61"/>
    </row>
    <row r="170" spans="1:8">
      <c r="A170" s="24" t="s">
        <v>7762</v>
      </c>
      <c r="B170" s="54" t="s">
        <v>7551</v>
      </c>
      <c r="C170" s="55" t="s">
        <v>2339</v>
      </c>
      <c r="D170" s="203" t="s">
        <v>7763</v>
      </c>
      <c r="E170" s="200" cm="1">
        <f t="array" ref="E170">MIN(IFERROR(--_xlfn.TEXTSPLIT(SUBSTITUTE(SUBSTITUTE(G170,"|",",")," ",""),","),0))</f>
        <v>8</v>
      </c>
      <c r="F170" s="200" cm="1">
        <f t="array" ref="F170">MAX(IFERROR(--_xlfn.TEXTSPLIT(SUBSTITUTE(SUBSTITUTE(G170,"|",",")," ",""),","),0))</f>
        <v>8</v>
      </c>
      <c r="G170" s="201" t="s">
        <v>7764</v>
      </c>
      <c r="H170" s="61"/>
    </row>
    <row r="171" spans="1:8">
      <c r="A171" s="24" t="s">
        <v>7762</v>
      </c>
      <c r="B171" s="54" t="s">
        <v>7551</v>
      </c>
      <c r="C171" s="55" t="s">
        <v>2342</v>
      </c>
      <c r="D171" s="203" t="s">
        <v>7765</v>
      </c>
      <c r="E171" s="200" cm="1">
        <f t="array" ref="E171">MIN(IFERROR(--_xlfn.TEXTSPLIT(SUBSTITUTE(SUBSTITUTE(G171,"|",",")," ",""),","),0))</f>
        <v>9</v>
      </c>
      <c r="F171" s="200" cm="1">
        <f t="array" ref="F171">MAX(IFERROR(--_xlfn.TEXTSPLIT(SUBSTITUTE(SUBSTITUTE(G171,"|",",")," ",""),","),0))</f>
        <v>9</v>
      </c>
      <c r="G171" s="201" t="s">
        <v>7766</v>
      </c>
      <c r="H171" s="61"/>
    </row>
    <row r="172" spans="1:8">
      <c r="A172" s="24" t="s">
        <v>7762</v>
      </c>
      <c r="B172" s="54" t="s">
        <v>7551</v>
      </c>
      <c r="C172" s="55" t="s">
        <v>2344</v>
      </c>
      <c r="D172" s="203" t="s">
        <v>7767</v>
      </c>
      <c r="E172" s="200" cm="1">
        <f t="array" ref="E172">MIN(IFERROR(--_xlfn.TEXTSPLIT(SUBSTITUTE(SUBSTITUTE(G172,"|",",")," ",""),","),0))</f>
        <v>10</v>
      </c>
      <c r="F172" s="200" cm="1">
        <f t="array" ref="F172">MAX(IFERROR(--_xlfn.TEXTSPLIT(SUBSTITUTE(SUBSTITUTE(G172,"|",",")," ",""),","),0))</f>
        <v>10</v>
      </c>
      <c r="G172" s="201" t="s">
        <v>7768</v>
      </c>
      <c r="H172" s="61"/>
    </row>
    <row r="173" spans="1:8">
      <c r="A173" s="24" t="s">
        <v>2348</v>
      </c>
      <c r="B173" s="54" t="s">
        <v>7551</v>
      </c>
      <c r="C173" s="55" t="s">
        <v>2346</v>
      </c>
      <c r="D173" s="203" t="s">
        <v>2347</v>
      </c>
      <c r="E173" s="200" cm="1">
        <f t="array" ref="E173">MIN(IFERROR(--_xlfn.TEXTSPLIT(SUBSTITUTE(SUBSTITUTE(G173,"|",",")," ",""),","),0))</f>
        <v>14</v>
      </c>
      <c r="F173" s="200" cm="1">
        <f t="array" ref="F173">MAX(IFERROR(--_xlfn.TEXTSPLIT(SUBSTITUTE(SUBSTITUTE(G173,"|",",")," ",""),","),0))</f>
        <v>16</v>
      </c>
      <c r="G173" s="201" t="s">
        <v>7769</v>
      </c>
      <c r="H173" s="61"/>
    </row>
    <row r="174" spans="1:8">
      <c r="A174" s="24" t="s">
        <v>2348</v>
      </c>
      <c r="B174" s="54" t="s">
        <v>7551</v>
      </c>
      <c r="C174" s="55" t="s">
        <v>2349</v>
      </c>
      <c r="D174" s="203" t="s">
        <v>2350</v>
      </c>
      <c r="E174" s="200" cm="1">
        <f t="array" ref="E174">MIN(IFERROR(--_xlfn.TEXTSPLIT(SUBSTITUTE(SUBSTITUTE(G174,"|",",")," ",""),","),0))</f>
        <v>16</v>
      </c>
      <c r="F174" s="200" cm="1">
        <f t="array" ref="F174">MAX(IFERROR(--_xlfn.TEXTSPLIT(SUBSTITUTE(SUBSTITUTE(G174,"|",",")," ",""),","),0))</f>
        <v>18</v>
      </c>
      <c r="G174" s="201" t="s">
        <v>7770</v>
      </c>
      <c r="H174" s="61"/>
    </row>
    <row r="175" spans="1:8">
      <c r="A175" s="24" t="s">
        <v>2348</v>
      </c>
      <c r="B175" s="54" t="s">
        <v>7551</v>
      </c>
      <c r="C175" s="55" t="s">
        <v>2351</v>
      </c>
      <c r="D175" s="203" t="s">
        <v>2352</v>
      </c>
      <c r="E175" s="200" cm="1">
        <f t="array" ref="E175">MIN(IFERROR(--_xlfn.TEXTSPLIT(SUBSTITUTE(SUBSTITUTE(G175,"|",",")," ",""),","),0))</f>
        <v>18</v>
      </c>
      <c r="F175" s="200" cm="1">
        <f t="array" ref="F175">MAX(IFERROR(--_xlfn.TEXTSPLIT(SUBSTITUTE(SUBSTITUTE(G175,"|",",")," ",""),","),0))</f>
        <v>20</v>
      </c>
      <c r="G175" s="201" t="s">
        <v>7771</v>
      </c>
      <c r="H175" s="61"/>
    </row>
    <row r="176" spans="1:8">
      <c r="A176" s="24" t="s">
        <v>2149</v>
      </c>
      <c r="B176" s="54" t="s">
        <v>7551</v>
      </c>
      <c r="C176" s="55" t="s">
        <v>2353</v>
      </c>
      <c r="D176" s="203" t="s">
        <v>2354</v>
      </c>
      <c r="E176" s="200" cm="1">
        <f t="array" ref="E176">MIN(IFERROR(--_xlfn.TEXTSPLIT(SUBSTITUTE(SUBSTITUTE(G176,"|",",")," ",""),","),0))</f>
        <v>9</v>
      </c>
      <c r="F176" s="200" cm="1">
        <f t="array" ref="F176">MAX(IFERROR(--_xlfn.TEXTSPLIT(SUBSTITUTE(SUBSTITUTE(G176,"|",",")," ",""),","),0))</f>
        <v>11</v>
      </c>
      <c r="G176" s="201" t="s">
        <v>7772</v>
      </c>
      <c r="H176" s="61"/>
    </row>
    <row r="177" spans="1:8">
      <c r="A177" s="24" t="s">
        <v>2149</v>
      </c>
      <c r="B177" s="54" t="s">
        <v>7551</v>
      </c>
      <c r="C177" s="55" t="s">
        <v>2355</v>
      </c>
      <c r="D177" s="203" t="s">
        <v>2356</v>
      </c>
      <c r="E177" s="200" cm="1">
        <f t="array" ref="E177">MIN(IFERROR(--_xlfn.TEXTSPLIT(SUBSTITUTE(SUBSTITUTE(G177,"|",",")," ",""),","),0))</f>
        <v>11</v>
      </c>
      <c r="F177" s="200" cm="1">
        <f t="array" ref="F177">MAX(IFERROR(--_xlfn.TEXTSPLIT(SUBSTITUTE(SUBSTITUTE(G177,"|",",")," ",""),","),0))</f>
        <v>13</v>
      </c>
      <c r="G177" s="201" t="s">
        <v>7773</v>
      </c>
      <c r="H177" s="61"/>
    </row>
    <row r="178" spans="1:8">
      <c r="A178" s="24" t="s">
        <v>2149</v>
      </c>
      <c r="B178" s="54" t="s">
        <v>7551</v>
      </c>
      <c r="C178" s="55" t="s">
        <v>2357</v>
      </c>
      <c r="D178" s="203" t="s">
        <v>2358</v>
      </c>
      <c r="E178" s="200" cm="1">
        <f t="array" ref="E178">MIN(IFERROR(--_xlfn.TEXTSPLIT(SUBSTITUTE(SUBSTITUTE(G178,"|",",")," ",""),","),0))</f>
        <v>12</v>
      </c>
      <c r="F178" s="200" cm="1">
        <f t="array" ref="F178">MAX(IFERROR(--_xlfn.TEXTSPLIT(SUBSTITUTE(SUBSTITUTE(G178,"|",",")," ",""),","),0))</f>
        <v>14</v>
      </c>
      <c r="G178" s="201" t="s">
        <v>7774</v>
      </c>
      <c r="H178" s="61"/>
    </row>
    <row r="179" spans="1:8">
      <c r="A179" s="24" t="s">
        <v>2361</v>
      </c>
      <c r="B179" s="54" t="s">
        <v>7552</v>
      </c>
      <c r="C179" s="55" t="s">
        <v>2359</v>
      </c>
      <c r="D179" s="203" t="s">
        <v>2360</v>
      </c>
      <c r="E179" s="200" cm="1">
        <f t="array" ref="E179">MIN(IFERROR(--_xlfn.TEXTSPLIT(SUBSTITUTE(SUBSTITUTE(G179,"|",",")," ",""),","),0))</f>
        <v>75</v>
      </c>
      <c r="F179" s="200" cm="1">
        <f t="array" ref="F179">MAX(IFERROR(--_xlfn.TEXTSPLIT(SUBSTITUTE(SUBSTITUTE(G179,"|",",")," ",""),","),0))</f>
        <v>82</v>
      </c>
      <c r="G179" s="201" t="s">
        <v>7775</v>
      </c>
      <c r="H179" s="61"/>
    </row>
    <row r="180" spans="1:8">
      <c r="A180" s="24" t="s">
        <v>2361</v>
      </c>
      <c r="B180" s="54" t="s">
        <v>7552</v>
      </c>
      <c r="C180" s="55" t="s">
        <v>2362</v>
      </c>
      <c r="D180" s="203" t="s">
        <v>2363</v>
      </c>
      <c r="E180" s="200" cm="1">
        <f t="array" ref="E180">MIN(IFERROR(--_xlfn.TEXTSPLIT(SUBSTITUTE(SUBSTITUTE(G180,"|",",")," ",""),","),0))</f>
        <v>82</v>
      </c>
      <c r="F180" s="200" cm="1">
        <f t="array" ref="F180">MAX(IFERROR(--_xlfn.TEXTSPLIT(SUBSTITUTE(SUBSTITUTE(G180,"|",",")," ",""),","),0))</f>
        <v>89</v>
      </c>
      <c r="G180" s="201" t="s">
        <v>7776</v>
      </c>
      <c r="H180" s="61"/>
    </row>
    <row r="181" spans="1:8">
      <c r="A181" s="24" t="s">
        <v>2361</v>
      </c>
      <c r="B181" s="54" t="s">
        <v>7552</v>
      </c>
      <c r="C181" s="55" t="s">
        <v>2364</v>
      </c>
      <c r="D181" s="203" t="s">
        <v>2365</v>
      </c>
      <c r="E181" s="200" cm="1">
        <f t="array" ref="E181">MIN(IFERROR(--_xlfn.TEXTSPLIT(SUBSTITUTE(SUBSTITUTE(G181,"|",",")," ",""),","),0))</f>
        <v>88</v>
      </c>
      <c r="F181" s="200" cm="1">
        <f t="array" ref="F181">MAX(IFERROR(--_xlfn.TEXTSPLIT(SUBSTITUTE(SUBSTITUTE(G181,"|",",")," ",""),","),0))</f>
        <v>95</v>
      </c>
      <c r="G181" s="201" t="s">
        <v>7777</v>
      </c>
      <c r="H181" s="61"/>
    </row>
    <row r="182" spans="1:8">
      <c r="A182" s="24" t="s">
        <v>2361</v>
      </c>
      <c r="B182" s="54" t="s">
        <v>7552</v>
      </c>
      <c r="C182" s="55" t="s">
        <v>2366</v>
      </c>
      <c r="D182" s="203" t="s">
        <v>2367</v>
      </c>
      <c r="E182" s="200" cm="1">
        <f t="array" ref="E182">MIN(IFERROR(--_xlfn.TEXTSPLIT(SUBSTITUTE(SUBSTITUTE(G182,"|",",")," ",""),","),0))</f>
        <v>74</v>
      </c>
      <c r="F182" s="200" cm="1">
        <f t="array" ref="F182">MAX(IFERROR(--_xlfn.TEXTSPLIT(SUBSTITUTE(SUBSTITUTE(G182,"|",",")," ",""),","),0))</f>
        <v>85</v>
      </c>
      <c r="G182" s="201" t="s">
        <v>7778</v>
      </c>
      <c r="H182" s="61"/>
    </row>
    <row r="183" spans="1:8">
      <c r="A183" s="24" t="s">
        <v>2361</v>
      </c>
      <c r="B183" s="54" t="s">
        <v>7552</v>
      </c>
      <c r="C183" s="55" t="s">
        <v>2368</v>
      </c>
      <c r="D183" s="203" t="s">
        <v>2369</v>
      </c>
      <c r="E183" s="200" cm="1">
        <f t="array" ref="E183">MIN(IFERROR(--_xlfn.TEXTSPLIT(SUBSTITUTE(SUBSTITUTE(G183,"|",",")," ",""),","),0))</f>
        <v>85</v>
      </c>
      <c r="F183" s="200" cm="1">
        <f t="array" ref="F183">MAX(IFERROR(--_xlfn.TEXTSPLIT(SUBSTITUTE(SUBSTITUTE(G183,"|",",")," ",""),","),0))</f>
        <v>96</v>
      </c>
      <c r="G183" s="201" t="s">
        <v>7779</v>
      </c>
      <c r="H183" s="61"/>
    </row>
    <row r="184" spans="1:8">
      <c r="A184" s="24" t="s">
        <v>2361</v>
      </c>
      <c r="B184" s="54" t="s">
        <v>7552</v>
      </c>
      <c r="C184" s="55" t="s">
        <v>2370</v>
      </c>
      <c r="D184" s="203" t="s">
        <v>2371</v>
      </c>
      <c r="E184" s="200" cm="1">
        <f t="array" ref="E184">MIN(IFERROR(--_xlfn.TEXTSPLIT(SUBSTITUTE(SUBSTITUTE(G184,"|",",")," ",""),","),0))</f>
        <v>97</v>
      </c>
      <c r="F184" s="200" cm="1">
        <f t="array" ref="F184">MAX(IFERROR(--_xlfn.TEXTSPLIT(SUBSTITUTE(SUBSTITUTE(G184,"|",",")," ",""),","),0))</f>
        <v>108</v>
      </c>
      <c r="G184" s="201" t="s">
        <v>7780</v>
      </c>
      <c r="H184" s="61"/>
    </row>
    <row r="185" spans="1:8">
      <c r="A185" s="24" t="s">
        <v>2156</v>
      </c>
      <c r="B185" s="54" t="s">
        <v>7552</v>
      </c>
      <c r="C185" s="55" t="s">
        <v>2372</v>
      </c>
      <c r="D185" s="203" t="s">
        <v>2373</v>
      </c>
      <c r="E185" s="200" cm="1">
        <f t="array" ref="E185">MIN(IFERROR(--_xlfn.TEXTSPLIT(SUBSTITUTE(SUBSTITUTE(G185,"|",",")," ",""),","),0))</f>
        <v>124</v>
      </c>
      <c r="F185" s="200" cm="1">
        <f t="array" ref="F185">MAX(IFERROR(--_xlfn.TEXTSPLIT(SUBSTITUTE(SUBSTITUTE(G185,"|",",")," ",""),","),0))</f>
        <v>132</v>
      </c>
      <c r="G185" s="201" t="s">
        <v>7781</v>
      </c>
      <c r="H185" s="61"/>
    </row>
    <row r="186" spans="1:8">
      <c r="A186" s="24" t="s">
        <v>2156</v>
      </c>
      <c r="B186" s="54" t="s">
        <v>7552</v>
      </c>
      <c r="C186" s="55" t="s">
        <v>2374</v>
      </c>
      <c r="D186" s="203" t="s">
        <v>2375</v>
      </c>
      <c r="E186" s="200" cm="1">
        <f t="array" ref="E186">MIN(IFERROR(--_xlfn.TEXTSPLIT(SUBSTITUTE(SUBSTITUTE(G186,"|",",")," ",""),","),0))</f>
        <v>132</v>
      </c>
      <c r="F186" s="200" cm="1">
        <f t="array" ref="F186">MAX(IFERROR(--_xlfn.TEXTSPLIT(SUBSTITUTE(SUBSTITUTE(G186,"|",",")," ",""),","),0))</f>
        <v>140</v>
      </c>
      <c r="G186" s="201" t="s">
        <v>7782</v>
      </c>
      <c r="H186" s="61"/>
    </row>
    <row r="187" spans="1:8">
      <c r="A187" s="24" t="s">
        <v>2156</v>
      </c>
      <c r="B187" s="54" t="s">
        <v>7552</v>
      </c>
      <c r="C187" s="55" t="s">
        <v>2376</v>
      </c>
      <c r="D187" s="203" t="s">
        <v>2377</v>
      </c>
      <c r="E187" s="200" cm="1">
        <f t="array" ref="E187">MIN(IFERROR(--_xlfn.TEXTSPLIT(SUBSTITUTE(SUBSTITUTE(G187,"|",",")," ",""),","),0))</f>
        <v>140</v>
      </c>
      <c r="F187" s="200" cm="1">
        <f t="array" ref="F187">MAX(IFERROR(--_xlfn.TEXTSPLIT(SUBSTITUTE(SUBSTITUTE(G187,"|",",")," ",""),","),0))</f>
        <v>148</v>
      </c>
      <c r="G187" s="201" t="s">
        <v>7783</v>
      </c>
      <c r="H187" s="61"/>
    </row>
    <row r="188" spans="1:8">
      <c r="A188" s="24" t="s">
        <v>2380</v>
      </c>
      <c r="B188" s="54" t="s">
        <v>7552</v>
      </c>
      <c r="C188" s="55" t="s">
        <v>2378</v>
      </c>
      <c r="D188" s="203" t="s">
        <v>2379</v>
      </c>
      <c r="E188" s="200" cm="1">
        <f t="array" ref="E188">MIN(IFERROR(--_xlfn.TEXTSPLIT(SUBSTITUTE(SUBSTITUTE(G188,"|",",")," ",""),","),0))</f>
        <v>124</v>
      </c>
      <c r="F188" s="200" cm="1">
        <f t="array" ref="F188">MAX(IFERROR(--_xlfn.TEXTSPLIT(SUBSTITUTE(SUBSTITUTE(G188,"|",",")," ",""),","),0))</f>
        <v>146</v>
      </c>
      <c r="G188" s="201" t="s">
        <v>7784</v>
      </c>
      <c r="H188" s="61"/>
    </row>
    <row r="189" spans="1:8">
      <c r="A189" s="24" t="s">
        <v>2380</v>
      </c>
      <c r="B189" s="54" t="s">
        <v>7552</v>
      </c>
      <c r="C189" s="55" t="s">
        <v>2381</v>
      </c>
      <c r="D189" s="203" t="s">
        <v>2382</v>
      </c>
      <c r="E189" s="200" cm="1">
        <f t="array" ref="E189">MIN(IFERROR(--_xlfn.TEXTSPLIT(SUBSTITUTE(SUBSTITUTE(G189,"|",",")," ",""),","),0))</f>
        <v>146</v>
      </c>
      <c r="F189" s="200" cm="1">
        <f t="array" ref="F189">MAX(IFERROR(--_xlfn.TEXTSPLIT(SUBSTITUTE(SUBSTITUTE(G189,"|",",")," ",""),","),0))</f>
        <v>168</v>
      </c>
      <c r="G189" s="201" t="s">
        <v>7785</v>
      </c>
      <c r="H189" s="61"/>
    </row>
    <row r="190" spans="1:8">
      <c r="A190" s="24" t="s">
        <v>2380</v>
      </c>
      <c r="B190" s="54" t="s">
        <v>7552</v>
      </c>
      <c r="C190" s="55" t="s">
        <v>2383</v>
      </c>
      <c r="D190" s="203" t="s">
        <v>2384</v>
      </c>
      <c r="E190" s="200" cm="1">
        <f t="array" ref="E190">MIN(IFERROR(--_xlfn.TEXTSPLIT(SUBSTITUTE(SUBSTITUTE(G190,"|",",")," ",""),","),0))</f>
        <v>168</v>
      </c>
      <c r="F190" s="200" cm="1">
        <f t="array" ref="F190">MAX(IFERROR(--_xlfn.TEXTSPLIT(SUBSTITUTE(SUBSTITUTE(G190,"|",",")," ",""),","),0))</f>
        <v>190</v>
      </c>
      <c r="G190" s="201" t="s">
        <v>7786</v>
      </c>
      <c r="H190" s="61"/>
    </row>
    <row r="191" spans="1:8">
      <c r="A191" s="24" t="s">
        <v>581</v>
      </c>
      <c r="B191" s="54" t="s">
        <v>7553</v>
      </c>
      <c r="C191" s="55" t="s">
        <v>2385</v>
      </c>
      <c r="D191" s="203" t="s">
        <v>2386</v>
      </c>
      <c r="E191" s="200" cm="1">
        <f t="array" ref="E191">MIN(IFERROR(--_xlfn.TEXTSPLIT(SUBSTITUTE(SUBSTITUTE(G191,"|",",")," ",""),","),0))</f>
        <v>101</v>
      </c>
      <c r="F191" s="200" cm="1">
        <f t="array" ref="F191">MAX(IFERROR(--_xlfn.TEXTSPLIT(SUBSTITUTE(SUBSTITUTE(G191,"|",",")," ",""),","),0))</f>
        <v>112</v>
      </c>
      <c r="G191" s="201" t="s">
        <v>7604</v>
      </c>
      <c r="H191" s="61"/>
    </row>
    <row r="192" spans="1:8">
      <c r="A192" s="24" t="s">
        <v>581</v>
      </c>
      <c r="B192" s="54" t="s">
        <v>7553</v>
      </c>
      <c r="C192" s="55" t="s">
        <v>2387</v>
      </c>
      <c r="D192" s="203" t="s">
        <v>2388</v>
      </c>
      <c r="E192" s="200" cm="1">
        <f t="array" ref="E192">MIN(IFERROR(--_xlfn.TEXTSPLIT(SUBSTITUTE(SUBSTITUTE(G192,"|",",")," ",""),","),0))</f>
        <v>112</v>
      </c>
      <c r="F192" s="200" cm="1">
        <f t="array" ref="F192">MAX(IFERROR(--_xlfn.TEXTSPLIT(SUBSTITUTE(SUBSTITUTE(G192,"|",",")," ",""),","),0))</f>
        <v>123</v>
      </c>
      <c r="G192" s="201" t="s">
        <v>7671</v>
      </c>
      <c r="H192" s="61"/>
    </row>
    <row r="193" spans="1:8">
      <c r="A193" s="24" t="s">
        <v>581</v>
      </c>
      <c r="B193" s="54" t="s">
        <v>7553</v>
      </c>
      <c r="C193" s="55" t="s">
        <v>2389</v>
      </c>
      <c r="D193" s="203" t="s">
        <v>2390</v>
      </c>
      <c r="E193" s="200" cm="1">
        <f t="array" ref="E193">MIN(IFERROR(--_xlfn.TEXTSPLIT(SUBSTITUTE(SUBSTITUTE(G193,"|",",")," ",""),","),0))</f>
        <v>123</v>
      </c>
      <c r="F193" s="200" cm="1">
        <f t="array" ref="F193">MAX(IFERROR(--_xlfn.TEXTSPLIT(SUBSTITUTE(SUBSTITUTE(G193,"|",",")," ",""),","),0))</f>
        <v>134</v>
      </c>
      <c r="G193" s="201" t="s">
        <v>7611</v>
      </c>
      <c r="H193" s="61"/>
    </row>
    <row r="194" spans="1:8">
      <c r="A194" s="24" t="s">
        <v>749</v>
      </c>
      <c r="B194" s="54" t="s">
        <v>7553</v>
      </c>
      <c r="C194" s="55" t="s">
        <v>2391</v>
      </c>
      <c r="D194" s="203" t="s">
        <v>2392</v>
      </c>
      <c r="E194" s="200" cm="1">
        <f t="array" ref="E194">MIN(IFERROR(--_xlfn.TEXTSPLIT(SUBSTITUTE(SUBSTITUTE(G194,"|",",")," ",""),","),0))</f>
        <v>105</v>
      </c>
      <c r="F194" s="200" cm="1">
        <f t="array" ref="F194">MAX(IFERROR(--_xlfn.TEXTSPLIT(SUBSTITUTE(SUBSTITUTE(G194,"|",",")," ",""),","),0))</f>
        <v>115</v>
      </c>
      <c r="G194" s="201" t="s">
        <v>7787</v>
      </c>
      <c r="H194" s="61"/>
    </row>
    <row r="195" spans="1:8">
      <c r="A195" s="24" t="s">
        <v>749</v>
      </c>
      <c r="B195" s="54" t="s">
        <v>7553</v>
      </c>
      <c r="C195" s="55" t="s">
        <v>2393</v>
      </c>
      <c r="D195" s="203" t="s">
        <v>2394</v>
      </c>
      <c r="E195" s="200" cm="1">
        <f t="array" ref="E195">MIN(IFERROR(--_xlfn.TEXTSPLIT(SUBSTITUTE(SUBSTITUTE(G195,"|",",")," ",""),","),0))</f>
        <v>115</v>
      </c>
      <c r="F195" s="200" cm="1">
        <f t="array" ref="F195">MAX(IFERROR(--_xlfn.TEXTSPLIT(SUBSTITUTE(SUBSTITUTE(G195,"|",",")," ",""),","),0))</f>
        <v>125</v>
      </c>
      <c r="G195" s="201" t="s">
        <v>7788</v>
      </c>
      <c r="H195" s="61"/>
    </row>
    <row r="196" spans="1:8">
      <c r="A196" s="24" t="s">
        <v>749</v>
      </c>
      <c r="B196" s="54" t="s">
        <v>7553</v>
      </c>
      <c r="C196" s="55" t="s">
        <v>2395</v>
      </c>
      <c r="D196" s="203" t="s">
        <v>2396</v>
      </c>
      <c r="E196" s="200" cm="1">
        <f t="array" ref="E196">MIN(IFERROR(--_xlfn.TEXTSPLIT(SUBSTITUTE(SUBSTITUTE(G196,"|",",")," ",""),","),0))</f>
        <v>125</v>
      </c>
      <c r="F196" s="200" cm="1">
        <f t="array" ref="F196">MAX(IFERROR(--_xlfn.TEXTSPLIT(SUBSTITUTE(SUBSTITUTE(G196,"|",",")," ",""),","),0))</f>
        <v>135</v>
      </c>
      <c r="G196" s="201" t="s">
        <v>7789</v>
      </c>
      <c r="H196" s="61"/>
    </row>
    <row r="197" spans="1:8">
      <c r="A197" s="24" t="s">
        <v>2307</v>
      </c>
      <c r="B197" s="24" t="s">
        <v>7555</v>
      </c>
      <c r="C197" s="55" t="s">
        <v>2397</v>
      </c>
      <c r="D197" s="203" t="s">
        <v>2398</v>
      </c>
      <c r="E197" s="200" cm="1">
        <f t="array" ref="E197">MIN(IFERROR(--_xlfn.TEXTSPLIT(SUBSTITUTE(SUBSTITUTE(G197,"|",",")," ",""),","),0))</f>
        <v>120</v>
      </c>
      <c r="F197" s="200" cm="1">
        <f t="array" ref="F197">MAX(IFERROR(--_xlfn.TEXTSPLIT(SUBSTITUTE(SUBSTITUTE(G197,"|",",")," ",""),","),0))</f>
        <v>140</v>
      </c>
      <c r="G197" s="201" t="s">
        <v>7790</v>
      </c>
      <c r="H197" s="61"/>
    </row>
    <row r="198" spans="1:8">
      <c r="A198" s="24" t="s">
        <v>2307</v>
      </c>
      <c r="B198" s="24" t="s">
        <v>7555</v>
      </c>
      <c r="C198" s="55" t="s">
        <v>2399</v>
      </c>
      <c r="D198" s="203" t="s">
        <v>2400</v>
      </c>
      <c r="E198" s="200" cm="1">
        <f t="array" ref="E198">MIN(IFERROR(--_xlfn.TEXTSPLIT(SUBSTITUTE(SUBSTITUTE(G198,"|",",")," ",""),","),0))</f>
        <v>140</v>
      </c>
      <c r="F198" s="200" cm="1">
        <f t="array" ref="F198">MAX(IFERROR(--_xlfn.TEXTSPLIT(SUBSTITUTE(SUBSTITUTE(G198,"|",",")," ",""),","),0))</f>
        <v>160</v>
      </c>
      <c r="G198" s="201" t="s">
        <v>7791</v>
      </c>
      <c r="H198" s="61"/>
    </row>
    <row r="199" spans="1:8">
      <c r="A199" s="24" t="s">
        <v>2307</v>
      </c>
      <c r="B199" s="24" t="s">
        <v>7555</v>
      </c>
      <c r="C199" s="55" t="s">
        <v>2401</v>
      </c>
      <c r="D199" s="203" t="s">
        <v>2402</v>
      </c>
      <c r="E199" s="200" cm="1">
        <f t="array" ref="E199">MIN(IFERROR(--_xlfn.TEXTSPLIT(SUBSTITUTE(SUBSTITUTE(G199,"|",",")," ",""),","),0))</f>
        <v>160</v>
      </c>
      <c r="F199" s="200" cm="1">
        <f t="array" ref="F199">MAX(IFERROR(--_xlfn.TEXTSPLIT(SUBSTITUTE(SUBSTITUTE(G199,"|",",")," ",""),","),0))</f>
        <v>180</v>
      </c>
      <c r="G199" s="201" t="s">
        <v>7792</v>
      </c>
      <c r="H199" s="61"/>
    </row>
    <row r="200" spans="1:8">
      <c r="A200" s="24" t="s">
        <v>2314</v>
      </c>
      <c r="B200" s="24" t="s">
        <v>7555</v>
      </c>
      <c r="C200" s="55" t="s">
        <v>2403</v>
      </c>
      <c r="D200" s="203" t="s">
        <v>2404</v>
      </c>
      <c r="E200" s="200" cm="1">
        <f t="array" ref="E200">MIN(IFERROR(--_xlfn.TEXTSPLIT(SUBSTITUTE(SUBSTITUTE(G200,"|",",")," ",""),","),0))</f>
        <v>120</v>
      </c>
      <c r="F200" s="200" cm="1">
        <f t="array" ref="F200">MAX(IFERROR(--_xlfn.TEXTSPLIT(SUBSTITUTE(SUBSTITUTE(G200,"|",",")," ",""),","),0))</f>
        <v>140</v>
      </c>
      <c r="G200" s="201" t="s">
        <v>7790</v>
      </c>
      <c r="H200" s="61"/>
    </row>
    <row r="201" spans="1:8">
      <c r="A201" s="24" t="s">
        <v>2314</v>
      </c>
      <c r="B201" s="24" t="s">
        <v>7555</v>
      </c>
      <c r="C201" s="55" t="s">
        <v>2405</v>
      </c>
      <c r="D201" s="203" t="s">
        <v>2406</v>
      </c>
      <c r="E201" s="200" cm="1">
        <f t="array" ref="E201">MIN(IFERROR(--_xlfn.TEXTSPLIT(SUBSTITUTE(SUBSTITUTE(G201,"|",",")," ",""),","),0))</f>
        <v>140</v>
      </c>
      <c r="F201" s="200" cm="1">
        <f t="array" ref="F201">MAX(IFERROR(--_xlfn.TEXTSPLIT(SUBSTITUTE(SUBSTITUTE(G201,"|",",")," ",""),","),0))</f>
        <v>160</v>
      </c>
      <c r="G201" s="201" t="s">
        <v>7791</v>
      </c>
      <c r="H201" s="61"/>
    </row>
    <row r="202" spans="1:8">
      <c r="A202" s="24" t="s">
        <v>2314</v>
      </c>
      <c r="B202" s="24" t="s">
        <v>7555</v>
      </c>
      <c r="C202" s="55" t="s">
        <v>2407</v>
      </c>
      <c r="D202" s="203" t="s">
        <v>2408</v>
      </c>
      <c r="E202" s="200" cm="1">
        <f t="array" ref="E202">MIN(IFERROR(--_xlfn.TEXTSPLIT(SUBSTITUTE(SUBSTITUTE(G202,"|",",")," ",""),","),0))</f>
        <v>160</v>
      </c>
      <c r="F202" s="200" cm="1">
        <f t="array" ref="F202">MAX(IFERROR(--_xlfn.TEXTSPLIT(SUBSTITUTE(SUBSTITUTE(G202,"|",",")," ",""),","),0))</f>
        <v>180</v>
      </c>
      <c r="G202" s="201" t="s">
        <v>7792</v>
      </c>
      <c r="H202" s="61"/>
    </row>
    <row r="203" spans="1:8">
      <c r="A203" s="24" t="s">
        <v>2321</v>
      </c>
      <c r="B203" s="24" t="s">
        <v>7555</v>
      </c>
      <c r="C203" s="55" t="s">
        <v>2409</v>
      </c>
      <c r="D203" s="203" t="s">
        <v>2410</v>
      </c>
      <c r="E203" s="200" cm="1">
        <f t="array" ref="E203">MIN(IFERROR(--_xlfn.TEXTSPLIT(SUBSTITUTE(SUBSTITUTE(G203,"|",",")," ",""),","),0))</f>
        <v>120</v>
      </c>
      <c r="F203" s="200" cm="1">
        <f t="array" ref="F203">MAX(IFERROR(--_xlfn.TEXTSPLIT(SUBSTITUTE(SUBSTITUTE(G203,"|",",")," ",""),","),0))</f>
        <v>140</v>
      </c>
      <c r="G203" s="201" t="s">
        <v>7790</v>
      </c>
      <c r="H203" s="61"/>
    </row>
    <row r="204" spans="1:8">
      <c r="A204" s="24" t="s">
        <v>2321</v>
      </c>
      <c r="B204" s="24" t="s">
        <v>7555</v>
      </c>
      <c r="C204" s="55" t="s">
        <v>2411</v>
      </c>
      <c r="D204" s="203" t="s">
        <v>2412</v>
      </c>
      <c r="E204" s="200" cm="1">
        <f t="array" ref="E204">MIN(IFERROR(--_xlfn.TEXTSPLIT(SUBSTITUTE(SUBSTITUTE(G204,"|",",")," ",""),","),0))</f>
        <v>140</v>
      </c>
      <c r="F204" s="200" cm="1">
        <f t="array" ref="F204">MAX(IFERROR(--_xlfn.TEXTSPLIT(SUBSTITUTE(SUBSTITUTE(G204,"|",",")," ",""),","),0))</f>
        <v>160</v>
      </c>
      <c r="G204" s="201" t="s">
        <v>7791</v>
      </c>
      <c r="H204" s="61"/>
    </row>
    <row r="205" spans="1:8">
      <c r="A205" s="24" t="s">
        <v>2321</v>
      </c>
      <c r="B205" s="24" t="s">
        <v>7555</v>
      </c>
      <c r="C205" s="55" t="s">
        <v>2413</v>
      </c>
      <c r="D205" s="203" t="s">
        <v>2414</v>
      </c>
      <c r="E205" s="200" cm="1">
        <f t="array" ref="E205">MIN(IFERROR(--_xlfn.TEXTSPLIT(SUBSTITUTE(SUBSTITUTE(G205,"|",",")," ",""),","),0))</f>
        <v>160</v>
      </c>
      <c r="F205" s="200" cm="1">
        <f t="array" ref="F205">MAX(IFERROR(--_xlfn.TEXTSPLIT(SUBSTITUTE(SUBSTITUTE(G205,"|",",")," ",""),","),0))</f>
        <v>180</v>
      </c>
      <c r="G205" s="201" t="s">
        <v>7792</v>
      </c>
      <c r="H205" s="61"/>
    </row>
    <row r="206" spans="1:8">
      <c r="A206" s="24" t="s">
        <v>2417</v>
      </c>
      <c r="B206" s="24" t="s">
        <v>7555</v>
      </c>
      <c r="C206" s="55" t="s">
        <v>2415</v>
      </c>
      <c r="D206" s="203" t="s">
        <v>2416</v>
      </c>
      <c r="E206" s="200" cm="1">
        <f t="array" ref="E206">MIN(IFERROR(--_xlfn.TEXTSPLIT(SUBSTITUTE(SUBSTITUTE(G206,"|",",")," ",""),","),0))</f>
        <v>100</v>
      </c>
      <c r="F206" s="200" cm="1">
        <f t="array" ref="F206">MAX(IFERROR(--_xlfn.TEXTSPLIT(SUBSTITUTE(SUBSTITUTE(G206,"|",",")," ",""),","),0))</f>
        <v>113</v>
      </c>
      <c r="G206" s="201" t="s">
        <v>7793</v>
      </c>
      <c r="H206" s="61"/>
    </row>
    <row r="207" spans="1:8">
      <c r="A207" s="24" t="s">
        <v>2417</v>
      </c>
      <c r="B207" s="24" t="s">
        <v>7555</v>
      </c>
      <c r="C207" s="55" t="s">
        <v>2418</v>
      </c>
      <c r="D207" s="203" t="s">
        <v>2419</v>
      </c>
      <c r="E207" s="200" cm="1">
        <f t="array" ref="E207">MIN(IFERROR(--_xlfn.TEXTSPLIT(SUBSTITUTE(SUBSTITUTE(G207,"|",",")," ",""),","),0))</f>
        <v>113</v>
      </c>
      <c r="F207" s="200" cm="1">
        <f t="array" ref="F207">MAX(IFERROR(--_xlfn.TEXTSPLIT(SUBSTITUTE(SUBSTITUTE(G207,"|",",")," ",""),","),0))</f>
        <v>126</v>
      </c>
      <c r="G207" s="201" t="s">
        <v>7794</v>
      </c>
      <c r="H207" s="61"/>
    </row>
    <row r="208" spans="1:8">
      <c r="A208" s="24" t="s">
        <v>2417</v>
      </c>
      <c r="B208" s="24" t="s">
        <v>7555</v>
      </c>
      <c r="C208" s="55" t="s">
        <v>2420</v>
      </c>
      <c r="D208" s="203" t="s">
        <v>2421</v>
      </c>
      <c r="E208" s="200" cm="1">
        <f t="array" ref="E208">MIN(IFERROR(--_xlfn.TEXTSPLIT(SUBSTITUTE(SUBSTITUTE(G208,"|",",")," ",""),","),0))</f>
        <v>127</v>
      </c>
      <c r="F208" s="200" cm="1">
        <f t="array" ref="F208">MAX(IFERROR(--_xlfn.TEXTSPLIT(SUBSTITUTE(SUBSTITUTE(G208,"|",",")," ",""),","),0))</f>
        <v>140</v>
      </c>
      <c r="G208" s="201" t="s">
        <v>7795</v>
      </c>
      <c r="H208" s="61"/>
    </row>
    <row r="209" spans="1:8">
      <c r="A209" s="24" t="s">
        <v>2417</v>
      </c>
      <c r="B209" s="24" t="s">
        <v>7555</v>
      </c>
      <c r="C209" s="55" t="s">
        <v>7796</v>
      </c>
      <c r="D209" s="203" t="s">
        <v>7797</v>
      </c>
      <c r="E209" s="200" cm="1">
        <f t="array" ref="E209">MIN(IFERROR(--_xlfn.TEXTSPLIT(SUBSTITUTE(SUBSTITUTE(G209,"|",",")," ",""),","),0))</f>
        <v>8</v>
      </c>
      <c r="F209" s="200" cm="1">
        <f t="array" ref="F209">MAX(IFERROR(--_xlfn.TEXTSPLIT(SUBSTITUTE(SUBSTITUTE(G209,"|",",")," ",""),","),0))</f>
        <v>8</v>
      </c>
      <c r="G209" s="201" t="s">
        <v>7764</v>
      </c>
      <c r="H209" s="61"/>
    </row>
    <row r="210" spans="1:8">
      <c r="A210" s="204" t="s">
        <v>2417</v>
      </c>
      <c r="B210" s="24" t="s">
        <v>7555</v>
      </c>
      <c r="C210" s="55" t="s">
        <v>2422</v>
      </c>
      <c r="D210" s="203" t="s">
        <v>2423</v>
      </c>
      <c r="E210" s="200" cm="1">
        <f t="array" ref="E210">MIN(IFERROR(--_xlfn.TEXTSPLIT(SUBSTITUTE(SUBSTITUTE(G210,"|",",")," ",""),","),0))</f>
        <v>169</v>
      </c>
      <c r="F210" s="200" cm="1">
        <f t="array" ref="F210">MAX(IFERROR(--_xlfn.TEXTSPLIT(SUBSTITUTE(SUBSTITUTE(G210,"|",",")," ",""),","),0))</f>
        <v>175</v>
      </c>
      <c r="G210" s="201" t="s">
        <v>7798</v>
      </c>
      <c r="H210" s="61"/>
    </row>
    <row r="211" spans="1:8">
      <c r="A211" s="14" t="s">
        <v>2156</v>
      </c>
      <c r="B211" s="54" t="s">
        <v>7581</v>
      </c>
      <c r="C211" s="55" t="s">
        <v>2424</v>
      </c>
      <c r="D211" s="203" t="s">
        <v>2425</v>
      </c>
      <c r="E211" s="200" cm="1">
        <f t="array" ref="E211">MIN(IFERROR(--_xlfn.TEXTSPLIT(SUBSTITUTE(SUBSTITUTE(G211,"|",",")," ",""),","),0))</f>
        <v>101</v>
      </c>
      <c r="F211" s="200" cm="1">
        <f t="array" ref="F211">MAX(IFERROR(--_xlfn.TEXTSPLIT(SUBSTITUTE(SUBSTITUTE(G211,"|",",")," ",""),","),0))</f>
        <v>111</v>
      </c>
      <c r="G211" s="201" t="s">
        <v>7799</v>
      </c>
      <c r="H211" s="61"/>
    </row>
    <row r="212" spans="1:8">
      <c r="A212" s="24" t="s">
        <v>2156</v>
      </c>
      <c r="B212" s="54" t="s">
        <v>7581</v>
      </c>
      <c r="C212" s="55" t="s">
        <v>2426</v>
      </c>
      <c r="D212" s="203" t="s">
        <v>2427</v>
      </c>
      <c r="E212" s="200" cm="1">
        <f t="array" ref="E212">MIN(IFERROR(--_xlfn.TEXTSPLIT(SUBSTITUTE(SUBSTITUTE(G212,"|",",")," ",""),","),0))</f>
        <v>114</v>
      </c>
      <c r="F212" s="200" cm="1">
        <f t="array" ref="F212">MAX(IFERROR(--_xlfn.TEXTSPLIT(SUBSTITUTE(SUBSTITUTE(G212,"|",",")," ",""),","),0))</f>
        <v>124</v>
      </c>
      <c r="G212" s="201" t="s">
        <v>7800</v>
      </c>
      <c r="H212" s="61"/>
    </row>
    <row r="213" spans="1:8">
      <c r="A213" s="24" t="s">
        <v>2156</v>
      </c>
      <c r="B213" s="54" t="s">
        <v>7581</v>
      </c>
      <c r="C213" s="55" t="s">
        <v>2428</v>
      </c>
      <c r="D213" s="203" t="s">
        <v>2429</v>
      </c>
      <c r="E213" s="200" cm="1">
        <f t="array" ref="E213">MIN(IFERROR(--_xlfn.TEXTSPLIT(SUBSTITUTE(SUBSTITUTE(G213,"|",",")," ",""),","),0))</f>
        <v>125</v>
      </c>
      <c r="F213" s="200" cm="1">
        <f t="array" ref="F213">MAX(IFERROR(--_xlfn.TEXTSPLIT(SUBSTITUTE(SUBSTITUTE(G213,"|",",")," ",""),","),0))</f>
        <v>135</v>
      </c>
      <c r="G213" s="201" t="s">
        <v>7789</v>
      </c>
      <c r="H213" s="61"/>
    </row>
    <row r="214" spans="1:8">
      <c r="A214" s="14" t="s">
        <v>2156</v>
      </c>
      <c r="B214" s="54" t="s">
        <v>7581</v>
      </c>
      <c r="C214" s="55" t="s">
        <v>2430</v>
      </c>
      <c r="D214" s="203" t="s">
        <v>2431</v>
      </c>
      <c r="E214" s="200" cm="1">
        <f t="array" ref="E214">MIN(IFERROR(--_xlfn.TEXTSPLIT(SUBSTITUTE(SUBSTITUTE(G214,"|",",")," ",""),","),0))</f>
        <v>131</v>
      </c>
      <c r="F214" s="200" cm="1">
        <f t="array" ref="F214">MAX(IFERROR(--_xlfn.TEXTSPLIT(SUBSTITUTE(SUBSTITUTE(G214,"|",",")," ",""),","),0))</f>
        <v>142</v>
      </c>
      <c r="G214" s="201" t="s">
        <v>7801</v>
      </c>
      <c r="H214" s="61"/>
    </row>
    <row r="215" spans="1:8">
      <c r="A215" s="24" t="s">
        <v>2156</v>
      </c>
      <c r="B215" s="54" t="s">
        <v>7581</v>
      </c>
      <c r="C215" s="55" t="s">
        <v>2432</v>
      </c>
      <c r="D215" s="203" t="s">
        <v>2433</v>
      </c>
      <c r="E215" s="200" cm="1">
        <f t="array" ref="E215">MIN(IFERROR(--_xlfn.TEXTSPLIT(SUBSTITUTE(SUBSTITUTE(G215,"|",",")," ",""),","),0))</f>
        <v>142</v>
      </c>
      <c r="F215" s="200" cm="1">
        <f t="array" ref="F215">MAX(IFERROR(--_xlfn.TEXTSPLIT(SUBSTITUTE(SUBSTITUTE(G215,"|",",")," ",""),","),0))</f>
        <v>153</v>
      </c>
      <c r="G215" s="201" t="s">
        <v>7802</v>
      </c>
      <c r="H215" s="61"/>
    </row>
    <row r="216" spans="1:8">
      <c r="A216" s="24" t="s">
        <v>2156</v>
      </c>
      <c r="B216" s="54" t="s">
        <v>7581</v>
      </c>
      <c r="C216" s="55" t="s">
        <v>2434</v>
      </c>
      <c r="D216" s="203" t="s">
        <v>2435</v>
      </c>
      <c r="E216" s="200" cm="1">
        <f t="array" ref="E216">MIN(IFERROR(--_xlfn.TEXTSPLIT(SUBSTITUTE(SUBSTITUTE(G216,"|",",")," ",""),","),0))</f>
        <v>153</v>
      </c>
      <c r="F216" s="200" cm="1">
        <f t="array" ref="F216">MAX(IFERROR(--_xlfn.TEXTSPLIT(SUBSTITUTE(SUBSTITUTE(G216,"|",",")," ",""),","),0))</f>
        <v>165</v>
      </c>
      <c r="G216" s="201" t="s">
        <v>7803</v>
      </c>
      <c r="H216" s="61"/>
    </row>
    <row r="217" spans="1:8">
      <c r="A217" s="24" t="s">
        <v>1573</v>
      </c>
      <c r="B217" s="54" t="s">
        <v>7556</v>
      </c>
      <c r="C217" s="55" t="s">
        <v>2436</v>
      </c>
      <c r="D217" s="203" t="s">
        <v>2437</v>
      </c>
      <c r="E217" s="200" cm="1">
        <f t="array" ref="E217">MIN(IFERROR(--_xlfn.TEXTSPLIT(SUBSTITUTE(SUBSTITUTE(G217,"|",",")," ",""),","),0))</f>
        <v>100</v>
      </c>
      <c r="F217" s="200" cm="1">
        <f t="array" ref="F217">MAX(IFERROR(--_xlfn.TEXTSPLIT(SUBSTITUTE(SUBSTITUTE(G217,"|",",")," ",""),","),0))</f>
        <v>115</v>
      </c>
      <c r="G217" s="201" t="s">
        <v>7804</v>
      </c>
      <c r="H217" s="61"/>
    </row>
    <row r="218" spans="1:8">
      <c r="A218" s="24" t="s">
        <v>1573</v>
      </c>
      <c r="B218" s="54" t="s">
        <v>7556</v>
      </c>
      <c r="C218" s="55" t="s">
        <v>2438</v>
      </c>
      <c r="D218" s="203" t="s">
        <v>2439</v>
      </c>
      <c r="E218" s="200" cm="1">
        <f t="array" ref="E218">MIN(IFERROR(--_xlfn.TEXTSPLIT(SUBSTITUTE(SUBSTITUTE(G218,"|",",")," ",""),","),0))</f>
        <v>115</v>
      </c>
      <c r="F218" s="200" cm="1">
        <f t="array" ref="F218">MAX(IFERROR(--_xlfn.TEXTSPLIT(SUBSTITUTE(SUBSTITUTE(G218,"|",",")," ",""),","),0))</f>
        <v>130</v>
      </c>
      <c r="G218" s="201" t="s">
        <v>7805</v>
      </c>
      <c r="H218" s="61"/>
    </row>
    <row r="219" spans="1:8">
      <c r="A219" s="24" t="s">
        <v>1573</v>
      </c>
      <c r="B219" s="54" t="s">
        <v>7556</v>
      </c>
      <c r="C219" s="55" t="s">
        <v>2440</v>
      </c>
      <c r="D219" s="203" t="s">
        <v>2441</v>
      </c>
      <c r="E219" s="200" cm="1">
        <f t="array" ref="E219">MIN(IFERROR(--_xlfn.TEXTSPLIT(SUBSTITUTE(SUBSTITUTE(G219,"|",",")," ",""),","),0))</f>
        <v>130</v>
      </c>
      <c r="F219" s="200" cm="1">
        <f t="array" ref="F219">MAX(IFERROR(--_xlfn.TEXTSPLIT(SUBSTITUTE(SUBSTITUTE(G219,"|",",")," ",""),","),0))</f>
        <v>145</v>
      </c>
      <c r="G219" s="201" t="s">
        <v>7806</v>
      </c>
      <c r="H219" s="61"/>
    </row>
    <row r="220" spans="1:8">
      <c r="A220" s="24" t="s">
        <v>1573</v>
      </c>
      <c r="B220" s="54" t="s">
        <v>7556</v>
      </c>
      <c r="C220" s="55" t="s">
        <v>2442</v>
      </c>
      <c r="D220" s="203" t="s">
        <v>2443</v>
      </c>
      <c r="E220" s="200" cm="1">
        <f t="array" ref="E220">MIN(IFERROR(--_xlfn.TEXTSPLIT(SUBSTITUTE(SUBSTITUTE(G220,"|",",")," ",""),","),0))</f>
        <v>120</v>
      </c>
      <c r="F220" s="200" cm="1">
        <f t="array" ref="F220">MAX(IFERROR(--_xlfn.TEXTSPLIT(SUBSTITUTE(SUBSTITUTE(G220,"|",",")," ",""),","),0))</f>
        <v>140</v>
      </c>
      <c r="G220" s="201" t="s">
        <v>7790</v>
      </c>
      <c r="H220" s="61"/>
    </row>
    <row r="221" spans="1:8">
      <c r="A221" s="24" t="s">
        <v>1573</v>
      </c>
      <c r="B221" s="54" t="s">
        <v>7556</v>
      </c>
      <c r="C221" s="55" t="s">
        <v>2444</v>
      </c>
      <c r="D221" s="203" t="s">
        <v>2445</v>
      </c>
      <c r="E221" s="200" cm="1">
        <f t="array" ref="E221">MIN(IFERROR(--_xlfn.TEXTSPLIT(SUBSTITUTE(SUBSTITUTE(G221,"|",",")," ",""),","),0))</f>
        <v>140</v>
      </c>
      <c r="F221" s="200" cm="1">
        <f t="array" ref="F221">MAX(IFERROR(--_xlfn.TEXTSPLIT(SUBSTITUTE(SUBSTITUTE(G221,"|",",")," ",""),","),0))</f>
        <v>160</v>
      </c>
      <c r="G221" s="201" t="s">
        <v>7791</v>
      </c>
      <c r="H221" s="61"/>
    </row>
    <row r="222" spans="1:8">
      <c r="A222" s="24" t="s">
        <v>1573</v>
      </c>
      <c r="B222" s="54" t="s">
        <v>7556</v>
      </c>
      <c r="C222" s="55" t="s">
        <v>2446</v>
      </c>
      <c r="D222" s="203" t="s">
        <v>2447</v>
      </c>
      <c r="E222" s="200" cm="1">
        <f t="array" ref="E222">MIN(IFERROR(--_xlfn.TEXTSPLIT(SUBSTITUTE(SUBSTITUTE(G222,"|",",")," ",""),","),0))</f>
        <v>160</v>
      </c>
      <c r="F222" s="200" cm="1">
        <f t="array" ref="F222">MAX(IFERROR(--_xlfn.TEXTSPLIT(SUBSTITUTE(SUBSTITUTE(G222,"|",",")," ",""),","),0))</f>
        <v>180</v>
      </c>
      <c r="G222" s="201" t="s">
        <v>7792</v>
      </c>
      <c r="H222" s="61"/>
    </row>
    <row r="223" spans="1:8">
      <c r="A223" s="24" t="s">
        <v>1573</v>
      </c>
      <c r="B223" s="54" t="s">
        <v>7556</v>
      </c>
      <c r="C223" s="55" t="s">
        <v>2448</v>
      </c>
      <c r="D223" s="203" t="s">
        <v>2449</v>
      </c>
      <c r="E223" s="200" cm="1">
        <f t="array" ref="E223">MIN(IFERROR(--_xlfn.TEXTSPLIT(SUBSTITUTE(SUBSTITUTE(G223,"|",",")," ",""),","),0))</f>
        <v>380</v>
      </c>
      <c r="F223" s="200" cm="1">
        <f t="array" ref="F223">MAX(IFERROR(--_xlfn.TEXTSPLIT(SUBSTITUTE(SUBSTITUTE(G223,"|",",")," ",""),","),0))</f>
        <v>430</v>
      </c>
      <c r="G223" s="201" t="s">
        <v>7807</v>
      </c>
      <c r="H223" s="61"/>
    </row>
    <row r="224" spans="1:8">
      <c r="A224" s="24" t="s">
        <v>1573</v>
      </c>
      <c r="B224" s="54" t="s">
        <v>7556</v>
      </c>
      <c r="C224" s="55" t="s">
        <v>2450</v>
      </c>
      <c r="D224" s="203" t="s">
        <v>2451</v>
      </c>
      <c r="E224" s="200" cm="1">
        <f t="array" ref="E224">MIN(IFERROR(--_xlfn.TEXTSPLIT(SUBSTITUTE(SUBSTITUTE(G224,"|",",")," ",""),","),0))</f>
        <v>420</v>
      </c>
      <c r="F224" s="200" cm="1">
        <f t="array" ref="F224">MAX(IFERROR(--_xlfn.TEXTSPLIT(SUBSTITUTE(SUBSTITUTE(G224,"|",",")," ",""),","),0))</f>
        <v>470</v>
      </c>
      <c r="G224" s="201" t="s">
        <v>7808</v>
      </c>
      <c r="H224" s="61"/>
    </row>
    <row r="225" spans="1:8">
      <c r="A225" s="24" t="s">
        <v>1573</v>
      </c>
      <c r="B225" s="54" t="s">
        <v>7556</v>
      </c>
      <c r="C225" s="55" t="s">
        <v>2452</v>
      </c>
      <c r="D225" s="203" t="s">
        <v>2453</v>
      </c>
      <c r="E225" s="200" cm="1">
        <f t="array" ref="E225">MIN(IFERROR(--_xlfn.TEXTSPLIT(SUBSTITUTE(SUBSTITUTE(G225,"|",",")," ",""),","),0))</f>
        <v>470</v>
      </c>
      <c r="F225" s="200" cm="1">
        <f t="array" ref="F225">MAX(IFERROR(--_xlfn.TEXTSPLIT(SUBSTITUTE(SUBSTITUTE(G225,"|",",")," ",""),","),0))</f>
        <v>520</v>
      </c>
      <c r="G225" s="201" t="s">
        <v>7809</v>
      </c>
      <c r="H225" s="61"/>
    </row>
    <row r="226" spans="1:8">
      <c r="A226" s="24" t="s">
        <v>2456</v>
      </c>
      <c r="B226" s="54" t="s">
        <v>7556</v>
      </c>
      <c r="C226" s="55" t="s">
        <v>2454</v>
      </c>
      <c r="D226" s="203" t="s">
        <v>2455</v>
      </c>
      <c r="E226" s="200" cm="1">
        <f t="array" ref="E226">MIN(IFERROR(--_xlfn.TEXTSPLIT(SUBSTITUTE(SUBSTITUTE(G226,"|",",")," ",""),","),0))</f>
        <v>120</v>
      </c>
      <c r="F226" s="200" cm="1">
        <f t="array" ref="F226">MAX(IFERROR(--_xlfn.TEXTSPLIT(SUBSTITUTE(SUBSTITUTE(G226,"|",",")," ",""),","),0))</f>
        <v>140</v>
      </c>
      <c r="G226" s="201" t="s">
        <v>7790</v>
      </c>
      <c r="H226" s="61"/>
    </row>
    <row r="227" spans="1:8">
      <c r="A227" s="24" t="s">
        <v>2456</v>
      </c>
      <c r="B227" s="54" t="s">
        <v>7556</v>
      </c>
      <c r="C227" s="55" t="s">
        <v>2457</v>
      </c>
      <c r="D227" s="203" t="s">
        <v>2458</v>
      </c>
      <c r="E227" s="200" cm="1">
        <f t="array" ref="E227">MIN(IFERROR(--_xlfn.TEXTSPLIT(SUBSTITUTE(SUBSTITUTE(G227,"|",",")," ",""),","),0))</f>
        <v>140</v>
      </c>
      <c r="F227" s="200" cm="1">
        <f t="array" ref="F227">MAX(IFERROR(--_xlfn.TEXTSPLIT(SUBSTITUTE(SUBSTITUTE(G227,"|",",")," ",""),","),0))</f>
        <v>160</v>
      </c>
      <c r="G227" s="201" t="s">
        <v>7791</v>
      </c>
      <c r="H227" s="61"/>
    </row>
    <row r="228" spans="1:8">
      <c r="A228" s="24" t="s">
        <v>2456</v>
      </c>
      <c r="B228" s="54" t="s">
        <v>7556</v>
      </c>
      <c r="C228" s="55" t="s">
        <v>2459</v>
      </c>
      <c r="D228" s="203" t="s">
        <v>2460</v>
      </c>
      <c r="E228" s="200" cm="1">
        <f t="array" ref="E228">MIN(IFERROR(--_xlfn.TEXTSPLIT(SUBSTITUTE(SUBSTITUTE(G228,"|",",")," ",""),","),0))</f>
        <v>160</v>
      </c>
      <c r="F228" s="200" cm="1">
        <f t="array" ref="F228">MAX(IFERROR(--_xlfn.TEXTSPLIT(SUBSTITUTE(SUBSTITUTE(G228,"|",",")," ",""),","),0))</f>
        <v>180</v>
      </c>
      <c r="G228" s="201" t="s">
        <v>7792</v>
      </c>
      <c r="H228" s="61"/>
    </row>
    <row r="229" spans="1:8">
      <c r="A229" s="24" t="s">
        <v>2456</v>
      </c>
      <c r="B229" s="54" t="s">
        <v>7556</v>
      </c>
      <c r="C229" s="55" t="s">
        <v>2461</v>
      </c>
      <c r="D229" s="203" t="s">
        <v>2462</v>
      </c>
      <c r="E229" s="200" cm="1">
        <f t="array" ref="E229">MIN(IFERROR(--_xlfn.TEXTSPLIT(SUBSTITUTE(SUBSTITUTE(G229,"|",",")," ",""),","),0))</f>
        <v>120</v>
      </c>
      <c r="F229" s="200" cm="1">
        <f t="array" ref="F229">MAX(IFERROR(--_xlfn.TEXTSPLIT(SUBSTITUTE(SUBSTITUTE(G229,"|",",")," ",""),","),0))</f>
        <v>140</v>
      </c>
      <c r="G229" s="201" t="s">
        <v>7790</v>
      </c>
      <c r="H229" s="61"/>
    </row>
    <row r="230" spans="1:8">
      <c r="A230" s="24" t="s">
        <v>2456</v>
      </c>
      <c r="B230" s="54" t="s">
        <v>7556</v>
      </c>
      <c r="C230" s="55" t="s">
        <v>2463</v>
      </c>
      <c r="D230" s="203" t="s">
        <v>2464</v>
      </c>
      <c r="E230" s="200" cm="1">
        <f t="array" ref="E230">MIN(IFERROR(--_xlfn.TEXTSPLIT(SUBSTITUTE(SUBSTITUTE(G230,"|",",")," ",""),","),0))</f>
        <v>140</v>
      </c>
      <c r="F230" s="200" cm="1">
        <f t="array" ref="F230">MAX(IFERROR(--_xlfn.TEXTSPLIT(SUBSTITUTE(SUBSTITUTE(G230,"|",",")," ",""),","),0))</f>
        <v>160</v>
      </c>
      <c r="G230" s="201" t="s">
        <v>7791</v>
      </c>
      <c r="H230" s="61"/>
    </row>
    <row r="231" spans="1:8">
      <c r="A231" s="24" t="s">
        <v>2456</v>
      </c>
      <c r="B231" s="54" t="s">
        <v>7556</v>
      </c>
      <c r="C231" s="55" t="s">
        <v>2465</v>
      </c>
      <c r="D231" s="203" t="s">
        <v>2466</v>
      </c>
      <c r="E231" s="200" cm="1">
        <f t="array" ref="E231">MIN(IFERROR(--_xlfn.TEXTSPLIT(SUBSTITUTE(SUBSTITUTE(G231,"|",",")," ",""),","),0))</f>
        <v>160</v>
      </c>
      <c r="F231" s="200" cm="1">
        <f t="array" ref="F231">MAX(IFERROR(--_xlfn.TEXTSPLIT(SUBSTITUTE(SUBSTITUTE(G231,"|",",")," ",""),","),0))</f>
        <v>180</v>
      </c>
      <c r="G231" s="201" t="s">
        <v>7792</v>
      </c>
      <c r="H231" s="61"/>
    </row>
    <row r="232" spans="1:8">
      <c r="A232" s="24" t="s">
        <v>2456</v>
      </c>
      <c r="B232" s="54" t="s">
        <v>7556</v>
      </c>
      <c r="C232" s="55" t="s">
        <v>2467</v>
      </c>
      <c r="D232" s="203" t="s">
        <v>2468</v>
      </c>
      <c r="E232" s="200" cm="1">
        <f t="array" ref="E232">MIN(IFERROR(--_xlfn.TEXTSPLIT(SUBSTITUTE(SUBSTITUTE(G232,"|",",")," ",""),","),0))</f>
        <v>120</v>
      </c>
      <c r="F232" s="200" cm="1">
        <f t="array" ref="F232">MAX(IFERROR(--_xlfn.TEXTSPLIT(SUBSTITUTE(SUBSTITUTE(G232,"|",",")," ",""),","),0))</f>
        <v>140</v>
      </c>
      <c r="G232" s="201" t="s">
        <v>7790</v>
      </c>
      <c r="H232" s="61"/>
    </row>
    <row r="233" spans="1:8">
      <c r="A233" s="24" t="s">
        <v>2456</v>
      </c>
      <c r="B233" s="54" t="s">
        <v>7556</v>
      </c>
      <c r="C233" s="55" t="s">
        <v>2469</v>
      </c>
      <c r="D233" s="203" t="s">
        <v>2470</v>
      </c>
      <c r="E233" s="200" cm="1">
        <f t="array" ref="E233">MIN(IFERROR(--_xlfn.TEXTSPLIT(SUBSTITUTE(SUBSTITUTE(G233,"|",",")," ",""),","),0))</f>
        <v>140</v>
      </c>
      <c r="F233" s="200" cm="1">
        <f t="array" ref="F233">MAX(IFERROR(--_xlfn.TEXTSPLIT(SUBSTITUTE(SUBSTITUTE(G233,"|",",")," ",""),","),0))</f>
        <v>160</v>
      </c>
      <c r="G233" s="201" t="s">
        <v>7791</v>
      </c>
      <c r="H233" s="61"/>
    </row>
    <row r="234" spans="1:8">
      <c r="A234" s="24" t="s">
        <v>2456</v>
      </c>
      <c r="B234" s="54" t="s">
        <v>7556</v>
      </c>
      <c r="C234" s="55" t="s">
        <v>2471</v>
      </c>
      <c r="D234" s="203" t="s">
        <v>2472</v>
      </c>
      <c r="E234" s="200" cm="1">
        <f t="array" ref="E234">MIN(IFERROR(--_xlfn.TEXTSPLIT(SUBSTITUTE(SUBSTITUTE(G234,"|",",")," ",""),","),0))</f>
        <v>160</v>
      </c>
      <c r="F234" s="200" cm="1">
        <f t="array" ref="F234">MAX(IFERROR(--_xlfn.TEXTSPLIT(SUBSTITUTE(SUBSTITUTE(G234,"|",",")," ",""),","),0))</f>
        <v>180</v>
      </c>
      <c r="G234" s="201" t="s">
        <v>7792</v>
      </c>
      <c r="H234" s="61"/>
    </row>
    <row r="235" spans="1:8">
      <c r="A235" s="24" t="s">
        <v>2456</v>
      </c>
      <c r="B235" s="54" t="s">
        <v>7556</v>
      </c>
      <c r="C235" s="55" t="s">
        <v>2473</v>
      </c>
      <c r="D235" s="203" t="s">
        <v>2474</v>
      </c>
      <c r="E235" s="200" cm="1">
        <f t="array" ref="E235">MIN(IFERROR(--_xlfn.TEXTSPLIT(SUBSTITUTE(SUBSTITUTE(G235,"|",",")," ",""),","),0))</f>
        <v>120</v>
      </c>
      <c r="F235" s="200" cm="1">
        <f t="array" ref="F235">MAX(IFERROR(--_xlfn.TEXTSPLIT(SUBSTITUTE(SUBSTITUTE(G235,"|",",")," ",""),","),0))</f>
        <v>140</v>
      </c>
      <c r="G235" s="201" t="s">
        <v>7790</v>
      </c>
      <c r="H235" s="61"/>
    </row>
    <row r="236" spans="1:8">
      <c r="A236" s="24" t="s">
        <v>2456</v>
      </c>
      <c r="B236" s="54" t="s">
        <v>7556</v>
      </c>
      <c r="C236" s="55" t="s">
        <v>2475</v>
      </c>
      <c r="D236" s="203" t="s">
        <v>2476</v>
      </c>
      <c r="E236" s="200" cm="1">
        <f t="array" ref="E236">MIN(IFERROR(--_xlfn.TEXTSPLIT(SUBSTITUTE(SUBSTITUTE(G236,"|",",")," ",""),","),0))</f>
        <v>140</v>
      </c>
      <c r="F236" s="200" cm="1">
        <f t="array" ref="F236">MAX(IFERROR(--_xlfn.TEXTSPLIT(SUBSTITUTE(SUBSTITUTE(G236,"|",",")," ",""),","),0))</f>
        <v>160</v>
      </c>
      <c r="G236" s="201" t="s">
        <v>7791</v>
      </c>
      <c r="H236" s="61"/>
    </row>
    <row r="237" spans="1:8">
      <c r="A237" s="24" t="s">
        <v>2456</v>
      </c>
      <c r="B237" s="54" t="s">
        <v>7556</v>
      </c>
      <c r="C237" s="55" t="s">
        <v>2477</v>
      </c>
      <c r="D237" s="203" t="s">
        <v>2478</v>
      </c>
      <c r="E237" s="200" cm="1">
        <f t="array" ref="E237">MIN(IFERROR(--_xlfn.TEXTSPLIT(SUBSTITUTE(SUBSTITUTE(G237,"|",",")," ",""),","),0))</f>
        <v>160</v>
      </c>
      <c r="F237" s="200" cm="1">
        <f t="array" ref="F237">MAX(IFERROR(--_xlfn.TEXTSPLIT(SUBSTITUTE(SUBSTITUTE(G237,"|",",")," ",""),","),0))</f>
        <v>180</v>
      </c>
      <c r="G237" s="201" t="s">
        <v>7792</v>
      </c>
      <c r="H237" s="61"/>
    </row>
    <row r="238" spans="1:8">
      <c r="A238" s="24" t="s">
        <v>30</v>
      </c>
      <c r="B238" s="54" t="s">
        <v>7556</v>
      </c>
      <c r="C238" s="55" t="s">
        <v>2479</v>
      </c>
      <c r="D238" s="203" t="s">
        <v>2480</v>
      </c>
      <c r="E238" s="200" cm="1">
        <f t="array" ref="E238">MIN(IFERROR(--_xlfn.TEXTSPLIT(SUBSTITUTE(SUBSTITUTE(G238,"|",",")," ",""),","),0))</f>
        <v>100</v>
      </c>
      <c r="F238" s="200" cm="1">
        <f t="array" ref="F238">MAX(IFERROR(--_xlfn.TEXTSPLIT(SUBSTITUTE(SUBSTITUTE(G238,"|",",")," ",""),","),0))</f>
        <v>117</v>
      </c>
      <c r="G238" s="201" t="s">
        <v>7810</v>
      </c>
      <c r="H238" s="61"/>
    </row>
    <row r="239" spans="1:8">
      <c r="A239" s="24" t="s">
        <v>30</v>
      </c>
      <c r="B239" s="54" t="s">
        <v>7556</v>
      </c>
      <c r="C239" s="55" t="s">
        <v>2481</v>
      </c>
      <c r="D239" s="203" t="s">
        <v>2482</v>
      </c>
      <c r="E239" s="200" cm="1">
        <f t="array" ref="E239">MIN(IFERROR(--_xlfn.TEXTSPLIT(SUBSTITUTE(SUBSTITUTE(G239,"|",",")," ",""),","),0))</f>
        <v>117</v>
      </c>
      <c r="F239" s="200" cm="1">
        <f t="array" ref="F239">MAX(IFERROR(--_xlfn.TEXTSPLIT(SUBSTITUTE(SUBSTITUTE(G239,"|",",")," ",""),","),0))</f>
        <v>134</v>
      </c>
      <c r="G239" s="201" t="s">
        <v>7811</v>
      </c>
      <c r="H239" s="61"/>
    </row>
    <row r="240" spans="1:8">
      <c r="A240" s="24" t="s">
        <v>30</v>
      </c>
      <c r="B240" s="54" t="s">
        <v>7556</v>
      </c>
      <c r="C240" s="55" t="s">
        <v>2483</v>
      </c>
      <c r="D240" s="203" t="s">
        <v>2484</v>
      </c>
      <c r="E240" s="200" cm="1">
        <f t="array" ref="E240">MIN(IFERROR(--_xlfn.TEXTSPLIT(SUBSTITUTE(SUBSTITUTE(G240,"|",",")," ",""),","),0))</f>
        <v>133</v>
      </c>
      <c r="F240" s="200" cm="1">
        <f t="array" ref="F240">MAX(IFERROR(--_xlfn.TEXTSPLIT(SUBSTITUTE(SUBSTITUTE(G240,"|",",")," ",""),","),0))</f>
        <v>150</v>
      </c>
      <c r="G240" s="201" t="s">
        <v>7812</v>
      </c>
      <c r="H240" s="61"/>
    </row>
    <row r="241" spans="1:8">
      <c r="A241" s="24" t="s">
        <v>30</v>
      </c>
      <c r="B241" s="54" t="s">
        <v>7556</v>
      </c>
      <c r="C241" s="55" t="s">
        <v>2485</v>
      </c>
      <c r="D241" s="203" t="s">
        <v>2486</v>
      </c>
      <c r="E241" s="200" cm="1">
        <f t="array" ref="E241">MIN(IFERROR(--_xlfn.TEXTSPLIT(SUBSTITUTE(SUBSTITUTE(G241,"|",",")," ",""),","),0))</f>
        <v>140</v>
      </c>
      <c r="F241" s="200" cm="1">
        <f t="array" ref="F241">MAX(IFERROR(--_xlfn.TEXTSPLIT(SUBSTITUTE(SUBSTITUTE(G241,"|",",")," ",""),","),0))</f>
        <v>147</v>
      </c>
      <c r="G241" s="201" t="s">
        <v>7813</v>
      </c>
      <c r="H241" s="61"/>
    </row>
    <row r="242" spans="1:8">
      <c r="A242" s="24" t="s">
        <v>30</v>
      </c>
      <c r="B242" s="54" t="s">
        <v>7556</v>
      </c>
      <c r="C242" s="55" t="s">
        <v>2487</v>
      </c>
      <c r="D242" s="203" t="s">
        <v>2488</v>
      </c>
      <c r="E242" s="200" cm="1">
        <f t="array" ref="E242">MIN(IFERROR(--_xlfn.TEXTSPLIT(SUBSTITUTE(SUBSTITUTE(G242,"|",",")," ",""),","),0))</f>
        <v>147</v>
      </c>
      <c r="F242" s="200" cm="1">
        <f t="array" ref="F242">MAX(IFERROR(--_xlfn.TEXTSPLIT(SUBSTITUTE(SUBSTITUTE(G242,"|",",")," ",""),","),0))</f>
        <v>154</v>
      </c>
      <c r="G242" s="201" t="s">
        <v>7814</v>
      </c>
      <c r="H242" s="61"/>
    </row>
    <row r="243" spans="1:8">
      <c r="A243" s="24" t="s">
        <v>30</v>
      </c>
      <c r="B243" s="54" t="s">
        <v>7556</v>
      </c>
      <c r="C243" s="55" t="s">
        <v>2489</v>
      </c>
      <c r="D243" s="203" t="s">
        <v>2490</v>
      </c>
      <c r="E243" s="200" cm="1">
        <f t="array" ref="E243">MIN(IFERROR(--_xlfn.TEXTSPLIT(SUBSTITUTE(SUBSTITUTE(G243,"|",",")," ",""),","),0))</f>
        <v>153</v>
      </c>
      <c r="F243" s="200" cm="1">
        <f t="array" ref="F243">MAX(IFERROR(--_xlfn.TEXTSPLIT(SUBSTITUTE(SUBSTITUTE(G243,"|",",")," ",""),","),0))</f>
        <v>160</v>
      </c>
      <c r="G243" s="201" t="s">
        <v>7815</v>
      </c>
      <c r="H243" s="61"/>
    </row>
    <row r="244" spans="1:8">
      <c r="A244" s="24" t="s">
        <v>30</v>
      </c>
      <c r="B244" s="54" t="s">
        <v>7556</v>
      </c>
      <c r="C244" s="55" t="s">
        <v>2491</v>
      </c>
      <c r="D244" s="203" t="s">
        <v>2492</v>
      </c>
      <c r="E244" s="200" cm="1">
        <f t="array" ref="E244">MIN(IFERROR(--_xlfn.TEXTSPLIT(SUBSTITUTE(SUBSTITUTE(G244,"|",",")," ",""),","),0))</f>
        <v>140</v>
      </c>
      <c r="F244" s="200" cm="1">
        <f t="array" ref="F244">MAX(IFERROR(--_xlfn.TEXTSPLIT(SUBSTITUTE(SUBSTITUTE(G244,"|",",")," ",""),","),0))</f>
        <v>147</v>
      </c>
      <c r="G244" s="201" t="s">
        <v>7813</v>
      </c>
      <c r="H244" s="61"/>
    </row>
    <row r="245" spans="1:8">
      <c r="A245" s="24" t="s">
        <v>30</v>
      </c>
      <c r="B245" s="54" t="s">
        <v>7556</v>
      </c>
      <c r="C245" s="55" t="s">
        <v>2493</v>
      </c>
      <c r="D245" s="203" t="s">
        <v>2494</v>
      </c>
      <c r="E245" s="200" cm="1">
        <f t="array" ref="E245">MIN(IFERROR(--_xlfn.TEXTSPLIT(SUBSTITUTE(SUBSTITUTE(G245,"|",",")," ",""),","),0))</f>
        <v>147</v>
      </c>
      <c r="F245" s="200" cm="1">
        <f t="array" ref="F245">MAX(IFERROR(--_xlfn.TEXTSPLIT(SUBSTITUTE(SUBSTITUTE(G245,"|",",")," ",""),","),0))</f>
        <v>154</v>
      </c>
      <c r="G245" s="201" t="s">
        <v>7814</v>
      </c>
      <c r="H245" s="61"/>
    </row>
    <row r="246" spans="1:8">
      <c r="A246" s="24" t="s">
        <v>30</v>
      </c>
      <c r="B246" s="54" t="s">
        <v>7556</v>
      </c>
      <c r="C246" s="55" t="s">
        <v>2495</v>
      </c>
      <c r="D246" s="203" t="s">
        <v>2496</v>
      </c>
      <c r="E246" s="200" cm="1">
        <f t="array" ref="E246">MIN(IFERROR(--_xlfn.TEXTSPLIT(SUBSTITUTE(SUBSTITUTE(G246,"|",",")," ",""),","),0))</f>
        <v>153</v>
      </c>
      <c r="F246" s="200" cm="1">
        <f t="array" ref="F246">MAX(IFERROR(--_xlfn.TEXTSPLIT(SUBSTITUTE(SUBSTITUTE(G246,"|",",")," ",""),","),0))</f>
        <v>160</v>
      </c>
      <c r="G246" s="201" t="s">
        <v>7815</v>
      </c>
      <c r="H246" s="61"/>
    </row>
    <row r="247" spans="1:8">
      <c r="A247" s="24" t="s">
        <v>30</v>
      </c>
      <c r="B247" s="54" t="s">
        <v>7556</v>
      </c>
      <c r="C247" s="55" t="s">
        <v>2497</v>
      </c>
      <c r="D247" s="203" t="s">
        <v>2498</v>
      </c>
      <c r="E247" s="200" cm="1">
        <f t="array" ref="E247">MIN(IFERROR(--_xlfn.TEXTSPLIT(SUBSTITUTE(SUBSTITUTE(G247,"|",",")," ",""),","),0))</f>
        <v>30</v>
      </c>
      <c r="F247" s="200" cm="1">
        <f t="array" ref="F247">MAX(IFERROR(--_xlfn.TEXTSPLIT(SUBSTITUTE(SUBSTITUTE(G247,"|",",")," ",""),","),0))</f>
        <v>35</v>
      </c>
      <c r="G247" s="201" t="s">
        <v>7816</v>
      </c>
      <c r="H247" s="61"/>
    </row>
    <row r="248" spans="1:8">
      <c r="A248" s="24" t="s">
        <v>30</v>
      </c>
      <c r="B248" s="54" t="s">
        <v>7556</v>
      </c>
      <c r="C248" s="55" t="s">
        <v>2499</v>
      </c>
      <c r="D248" s="203" t="s">
        <v>2500</v>
      </c>
      <c r="E248" s="200" cm="1">
        <f t="array" ref="E248">MIN(IFERROR(--_xlfn.TEXTSPLIT(SUBSTITUTE(SUBSTITUTE(G248,"|",",")," ",""),","),0))</f>
        <v>33</v>
      </c>
      <c r="F248" s="200" cm="1">
        <f t="array" ref="F248">MAX(IFERROR(--_xlfn.TEXTSPLIT(SUBSTITUTE(SUBSTITUTE(G248,"|",",")," ",""),","),0))</f>
        <v>38</v>
      </c>
      <c r="G248" s="201" t="s">
        <v>7817</v>
      </c>
      <c r="H248" s="61"/>
    </row>
    <row r="249" spans="1:8">
      <c r="A249" s="24" t="s">
        <v>30</v>
      </c>
      <c r="B249" s="54" t="s">
        <v>7556</v>
      </c>
      <c r="C249" s="55" t="s">
        <v>2501</v>
      </c>
      <c r="D249" s="203" t="s">
        <v>2502</v>
      </c>
      <c r="E249" s="200" cm="1">
        <f t="array" ref="E249">MIN(IFERROR(--_xlfn.TEXTSPLIT(SUBSTITUTE(SUBSTITUTE(G249,"|",",")," ",""),","),0))</f>
        <v>38</v>
      </c>
      <c r="F249" s="200" cm="1">
        <f t="array" ref="F249">MAX(IFERROR(--_xlfn.TEXTSPLIT(SUBSTITUTE(SUBSTITUTE(G249,"|",",")," ",""),","),0))</f>
        <v>45</v>
      </c>
      <c r="G249" s="201" t="s">
        <v>7818</v>
      </c>
      <c r="H249" s="61"/>
    </row>
    <row r="250" spans="1:8">
      <c r="A250" s="24" t="s">
        <v>30</v>
      </c>
      <c r="B250" s="54" t="s">
        <v>7556</v>
      </c>
      <c r="C250" s="55" t="s">
        <v>2503</v>
      </c>
      <c r="D250" s="203" t="s">
        <v>2504</v>
      </c>
      <c r="E250" s="200" cm="1">
        <f t="array" ref="E250">MIN(IFERROR(--_xlfn.TEXTSPLIT(SUBSTITUTE(SUBSTITUTE(G250,"|",",")," ",""),","),0))</f>
        <v>30</v>
      </c>
      <c r="F250" s="200" cm="1">
        <f t="array" ref="F250">MAX(IFERROR(--_xlfn.TEXTSPLIT(SUBSTITUTE(SUBSTITUTE(G250,"|",",")," ",""),","),0))</f>
        <v>35</v>
      </c>
      <c r="G250" s="201" t="s">
        <v>7816</v>
      </c>
      <c r="H250" s="61"/>
    </row>
    <row r="251" spans="1:8">
      <c r="A251" s="24" t="s">
        <v>30</v>
      </c>
      <c r="B251" s="54" t="s">
        <v>7556</v>
      </c>
      <c r="C251" s="55" t="s">
        <v>2505</v>
      </c>
      <c r="D251" s="203" t="s">
        <v>2506</v>
      </c>
      <c r="E251" s="200" cm="1">
        <f t="array" ref="E251">MIN(IFERROR(--_xlfn.TEXTSPLIT(SUBSTITUTE(SUBSTITUTE(G251,"|",",")," ",""),","),0))</f>
        <v>33</v>
      </c>
      <c r="F251" s="200" cm="1">
        <f t="array" ref="F251">MAX(IFERROR(--_xlfn.TEXTSPLIT(SUBSTITUTE(SUBSTITUTE(G251,"|",",")," ",""),","),0))</f>
        <v>38</v>
      </c>
      <c r="G251" s="201" t="s">
        <v>7817</v>
      </c>
      <c r="H251" s="61"/>
    </row>
    <row r="252" spans="1:8">
      <c r="A252" s="24" t="s">
        <v>30</v>
      </c>
      <c r="B252" s="54" t="s">
        <v>7556</v>
      </c>
      <c r="C252" s="55" t="s">
        <v>2507</v>
      </c>
      <c r="D252" s="203" t="s">
        <v>2508</v>
      </c>
      <c r="E252" s="200" cm="1">
        <f t="array" ref="E252">MIN(IFERROR(--_xlfn.TEXTSPLIT(SUBSTITUTE(SUBSTITUTE(G252,"|",",")," ",""),","),0))</f>
        <v>38</v>
      </c>
      <c r="F252" s="200" cm="1">
        <f t="array" ref="F252">MAX(IFERROR(--_xlfn.TEXTSPLIT(SUBSTITUTE(SUBSTITUTE(G252,"|",",")," ",""),","),0))</f>
        <v>45</v>
      </c>
      <c r="G252" s="201" t="s">
        <v>7818</v>
      </c>
      <c r="H252" s="61"/>
    </row>
    <row r="253" spans="1:8">
      <c r="A253" s="24" t="s">
        <v>30</v>
      </c>
      <c r="B253" s="54" t="s">
        <v>7556</v>
      </c>
      <c r="C253" s="55" t="s">
        <v>2509</v>
      </c>
      <c r="D253" s="203" t="s">
        <v>2510</v>
      </c>
      <c r="E253" s="200" cm="1">
        <f t="array" ref="E253">MIN(IFERROR(--_xlfn.TEXTSPLIT(SUBSTITUTE(SUBSTITUTE(G253,"|",",")," ",""),","),0))</f>
        <v>30</v>
      </c>
      <c r="F253" s="200" cm="1">
        <f t="array" ref="F253">MAX(IFERROR(--_xlfn.TEXTSPLIT(SUBSTITUTE(SUBSTITUTE(G253,"|",",")," ",""),","),0))</f>
        <v>35</v>
      </c>
      <c r="G253" s="201" t="s">
        <v>7816</v>
      </c>
      <c r="H253" s="61"/>
    </row>
    <row r="254" spans="1:8">
      <c r="A254" s="24" t="s">
        <v>30</v>
      </c>
      <c r="B254" s="54" t="s">
        <v>7556</v>
      </c>
      <c r="C254" s="55" t="s">
        <v>2511</v>
      </c>
      <c r="D254" s="203" t="s">
        <v>2512</v>
      </c>
      <c r="E254" s="200" cm="1">
        <f t="array" ref="E254">MIN(IFERROR(--_xlfn.TEXTSPLIT(SUBSTITUTE(SUBSTITUTE(G254,"|",",")," ",""),","),0))</f>
        <v>33</v>
      </c>
      <c r="F254" s="200" cm="1">
        <f t="array" ref="F254">MAX(IFERROR(--_xlfn.TEXTSPLIT(SUBSTITUTE(SUBSTITUTE(G254,"|",",")," ",""),","),0))</f>
        <v>38</v>
      </c>
      <c r="G254" s="201" t="s">
        <v>7817</v>
      </c>
      <c r="H254" s="61"/>
    </row>
    <row r="255" spans="1:8">
      <c r="A255" s="24" t="s">
        <v>30</v>
      </c>
      <c r="B255" s="54" t="s">
        <v>7556</v>
      </c>
      <c r="C255" s="55" t="s">
        <v>2513</v>
      </c>
      <c r="D255" s="203" t="s">
        <v>2514</v>
      </c>
      <c r="E255" s="200" cm="1">
        <f t="array" ref="E255">MIN(IFERROR(--_xlfn.TEXTSPLIT(SUBSTITUTE(SUBSTITUTE(G255,"|",",")," ",""),","),0))</f>
        <v>38</v>
      </c>
      <c r="F255" s="200" cm="1">
        <f t="array" ref="F255">MAX(IFERROR(--_xlfn.TEXTSPLIT(SUBSTITUTE(SUBSTITUTE(G255,"|",",")," ",""),","),0))</f>
        <v>45</v>
      </c>
      <c r="G255" s="201" t="s">
        <v>7818</v>
      </c>
      <c r="H255" s="61"/>
    </row>
    <row r="256" spans="1:8">
      <c r="A256" s="24" t="s">
        <v>30</v>
      </c>
      <c r="B256" s="54" t="s">
        <v>7556</v>
      </c>
      <c r="C256" s="55" t="s">
        <v>2515</v>
      </c>
      <c r="D256" s="203" t="s">
        <v>2516</v>
      </c>
      <c r="E256" s="200" cm="1">
        <f t="array" ref="E256">MIN(IFERROR(--_xlfn.TEXTSPLIT(SUBSTITUTE(SUBSTITUTE(G256,"|",",")," ",""),","),0))</f>
        <v>30</v>
      </c>
      <c r="F256" s="200" cm="1">
        <f t="array" ref="F256">MAX(IFERROR(--_xlfn.TEXTSPLIT(SUBSTITUTE(SUBSTITUTE(G256,"|",",")," ",""),","),0))</f>
        <v>35</v>
      </c>
      <c r="G256" s="201" t="s">
        <v>7816</v>
      </c>
      <c r="H256" s="61"/>
    </row>
    <row r="257" spans="1:8">
      <c r="A257" s="24" t="s">
        <v>30</v>
      </c>
      <c r="B257" s="54" t="s">
        <v>7556</v>
      </c>
      <c r="C257" s="55" t="s">
        <v>2517</v>
      </c>
      <c r="D257" s="203" t="s">
        <v>2518</v>
      </c>
      <c r="E257" s="200" cm="1">
        <f t="array" ref="E257">MIN(IFERROR(--_xlfn.TEXTSPLIT(SUBSTITUTE(SUBSTITUTE(G257,"|",",")," ",""),","),0))</f>
        <v>33</v>
      </c>
      <c r="F257" s="200" cm="1">
        <f t="array" ref="F257">MAX(IFERROR(--_xlfn.TEXTSPLIT(SUBSTITUTE(SUBSTITUTE(G257,"|",",")," ",""),","),0))</f>
        <v>38</v>
      </c>
      <c r="G257" s="201" t="s">
        <v>7817</v>
      </c>
      <c r="H257" s="61"/>
    </row>
    <row r="258" spans="1:8">
      <c r="A258" s="24" t="s">
        <v>30</v>
      </c>
      <c r="B258" s="54" t="s">
        <v>7556</v>
      </c>
      <c r="C258" s="55" t="s">
        <v>2519</v>
      </c>
      <c r="D258" s="203" t="s">
        <v>2520</v>
      </c>
      <c r="E258" s="200" cm="1">
        <f t="array" ref="E258">MIN(IFERROR(--_xlfn.TEXTSPLIT(SUBSTITUTE(SUBSTITUTE(G258,"|",",")," ",""),","),0))</f>
        <v>38</v>
      </c>
      <c r="F258" s="200" cm="1">
        <f t="array" ref="F258">MAX(IFERROR(--_xlfn.TEXTSPLIT(SUBSTITUTE(SUBSTITUTE(G258,"|",",")," ",""),","),0))</f>
        <v>45</v>
      </c>
      <c r="G258" s="201" t="s">
        <v>7818</v>
      </c>
      <c r="H258" s="61"/>
    </row>
  </sheetData>
  <autoFilter xmlns:etc="http://www.wps.cn/officeDocument/2017/etCustomData" ref="A1:H258" etc:filterBottomFollowUsedRange="0">
    <extLst/>
  </autoFilter>
  <mergeCells count="1">
    <mergeCell ref="E1:F1"/>
  </mergeCells>
  <pageMargins left="0.75" right="0.75" top="1" bottom="1" header="0.5" footer="0.5"/>
  <headerFooter/>
  <ignoredErrors>
    <ignoredError sqref="B191 B14:B16 H2:H3 H191 H9 H11:H12 B5:B6 H5:H6 B9 B11:B12 B61 B2:B3 H87:H88 B87:B88 H14:H16 B40 B42:B43 H42:H43 B48:B52 H48:H52 B54:B55 H54:H55 B57:B58 H57:H58 H61 H64 H66:H67 H70:H76 H78:H79 B81:B82 H81:H82 B90:B91 H90:H91 B93:B94 H93:H94 H109 B118 B121:B127 H121:H127 B64 B66:B67 B70:B76 B78:B79 H98:H103 B98:B103 B1:H1 B196:B198 H196:H198 B202 H202 B206:B208 B211 H206:H208 H213:H215 H210:H21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9"/>
  <sheetViews>
    <sheetView workbookViewId="0">
      <pane ySplit="1" topLeftCell="A2" activePane="bottomLeft" state="frozen"/>
      <selection/>
      <selection pane="bottomLeft" activeCell="D323" sqref="D323"/>
    </sheetView>
  </sheetViews>
  <sheetFormatPr defaultColWidth="9" defaultRowHeight="13.5" outlineLevelCol="7"/>
  <cols>
    <col min="1" max="1" width="20" style="1" customWidth="1"/>
    <col min="2" max="2" width="21" style="14" customWidth="1"/>
    <col min="3" max="3" width="39.375" style="52" customWidth="1"/>
    <col min="4" max="4" width="52.875" style="52" customWidth="1"/>
    <col min="5" max="6" width="8.625" customWidth="1"/>
    <col min="7" max="7" width="39.25" style="194" customWidth="1"/>
    <col min="8" max="8" width="33.75" style="52" customWidth="1"/>
  </cols>
  <sheetData>
    <row r="1" s="52" customFormat="1" ht="18.75" spans="1:8">
      <c r="A1" s="15" t="s">
        <v>7819</v>
      </c>
      <c r="B1" s="15" t="s">
        <v>7540</v>
      </c>
      <c r="C1" s="195" t="s">
        <v>8</v>
      </c>
      <c r="D1" s="15" t="s">
        <v>22</v>
      </c>
      <c r="E1" s="196" t="s">
        <v>7597</v>
      </c>
      <c r="F1" s="197"/>
      <c r="G1" s="33" t="s">
        <v>7598</v>
      </c>
      <c r="H1" s="15" t="s">
        <v>3284</v>
      </c>
    </row>
    <row r="2" s="52" customFormat="1" spans="1:8">
      <c r="A2" s="198" t="s">
        <v>7321</v>
      </c>
      <c r="B2" s="54" t="s">
        <v>7542</v>
      </c>
      <c r="C2" s="55" t="s">
        <v>2521</v>
      </c>
      <c r="D2" s="199" t="s">
        <v>2522</v>
      </c>
      <c r="E2" s="200" cm="1">
        <f t="array" ref="E2">MIN(IFERROR(--_xlfn.TEXTSPLIT(SUBSTITUTE(SUBSTITUTE(G2,"|",",")," ",""),","),0))</f>
        <v>74</v>
      </c>
      <c r="F2" s="200" cm="1">
        <f t="array" ref="F2">MAX(IFERROR(--_xlfn.TEXTSPLIT(SUBSTITUTE(SUBSTITUTE(G2,"|",",")," ",""),","),0))</f>
        <v>90</v>
      </c>
      <c r="G2" s="201" t="s">
        <v>7820</v>
      </c>
      <c r="H2" s="61"/>
    </row>
    <row r="3" s="52" customFormat="1" spans="1:8">
      <c r="A3" s="198" t="s">
        <v>7321</v>
      </c>
      <c r="B3" s="54" t="s">
        <v>7542</v>
      </c>
      <c r="C3" s="52" t="s">
        <v>2524</v>
      </c>
      <c r="D3" s="199" t="s">
        <v>2525</v>
      </c>
      <c r="E3" s="200" cm="1">
        <f t="array" ref="E3">MIN(IFERROR(--_xlfn.TEXTSPLIT(SUBSTITUTE(SUBSTITUTE(G3,"|",",")," ",""),","),0))</f>
        <v>74</v>
      </c>
      <c r="F3" s="200" cm="1">
        <f t="array" ref="F3">MAX(IFERROR(--_xlfn.TEXTSPLIT(SUBSTITUTE(SUBSTITUTE(G3,"|",",")," ",""),","),0))</f>
        <v>90</v>
      </c>
      <c r="G3" s="201" t="s">
        <v>7820</v>
      </c>
      <c r="H3" s="61"/>
    </row>
    <row r="4" s="52" customFormat="1" spans="1:8">
      <c r="A4" s="198" t="s">
        <v>7321</v>
      </c>
      <c r="B4" s="54" t="s">
        <v>7542</v>
      </c>
      <c r="C4" s="55" t="s">
        <v>2526</v>
      </c>
      <c r="D4" s="199" t="s">
        <v>2527</v>
      </c>
      <c r="E4" s="200" cm="1">
        <f t="array" ref="E4">MIN(IFERROR(--_xlfn.TEXTSPLIT(SUBSTITUTE(SUBSTITUTE(G4,"|",",")," ",""),","),0))</f>
        <v>44</v>
      </c>
      <c r="F4" s="200" cm="1">
        <f t="array" ref="F4">MAX(IFERROR(--_xlfn.TEXTSPLIT(SUBSTITUTE(SUBSTITUTE(G4,"|",",")," ",""),","),0))</f>
        <v>60</v>
      </c>
      <c r="G4" s="201" t="s">
        <v>7821</v>
      </c>
      <c r="H4" s="61"/>
    </row>
    <row r="5" s="52" customFormat="1" spans="1:8">
      <c r="A5" s="198" t="s">
        <v>7321</v>
      </c>
      <c r="B5" s="54" t="s">
        <v>7542</v>
      </c>
      <c r="C5" s="55" t="s">
        <v>2528</v>
      </c>
      <c r="D5" s="56" t="s">
        <v>2529</v>
      </c>
      <c r="E5" s="200" cm="1">
        <f t="array" ref="E5">MIN(IFERROR(--_xlfn.TEXTSPLIT(SUBSTITUTE(SUBSTITUTE(G5,"|",",")," ",""),","),0))</f>
        <v>54</v>
      </c>
      <c r="F5" s="200" cm="1">
        <f t="array" ref="F5">MAX(IFERROR(--_xlfn.TEXTSPLIT(SUBSTITUTE(SUBSTITUTE(G5,"|",",")," ",""),","),0))</f>
        <v>70</v>
      </c>
      <c r="G5" s="201" t="s">
        <v>7822</v>
      </c>
      <c r="H5" s="61"/>
    </row>
    <row r="6" s="52" customFormat="1" spans="1:8">
      <c r="A6" s="198" t="s">
        <v>7321</v>
      </c>
      <c r="B6" s="54" t="s">
        <v>7542</v>
      </c>
      <c r="C6" s="55" t="s">
        <v>2530</v>
      </c>
      <c r="D6" s="199" t="s">
        <v>2531</v>
      </c>
      <c r="E6" s="200" cm="1">
        <f t="array" ref="E6">MIN(IFERROR(--_xlfn.TEXTSPLIT(SUBSTITUTE(SUBSTITUTE(G6,"|",",")," ",""),","),0))</f>
        <v>6</v>
      </c>
      <c r="F6" s="200" cm="1">
        <f t="array" ref="F6">MAX(IFERROR(--_xlfn.TEXTSPLIT(SUBSTITUTE(SUBSTITUTE(G6,"|",",")," ",""),","),0))</f>
        <v>8</v>
      </c>
      <c r="G6" s="201" t="s">
        <v>7823</v>
      </c>
      <c r="H6" s="61"/>
    </row>
    <row r="7" s="52" customFormat="1" spans="1:8">
      <c r="A7" s="198" t="s">
        <v>7321</v>
      </c>
      <c r="B7" s="54" t="s">
        <v>7542</v>
      </c>
      <c r="C7" s="55" t="s">
        <v>2532</v>
      </c>
      <c r="D7" s="199" t="s">
        <v>2533</v>
      </c>
      <c r="E7" s="200" cm="1">
        <f t="array" ref="E7">MIN(IFERROR(--_xlfn.TEXTSPLIT(SUBSTITUTE(SUBSTITUTE(G7,"|",",")," ",""),","),0))</f>
        <v>11</v>
      </c>
      <c r="F7" s="200" cm="1">
        <f t="array" ref="F7">MAX(IFERROR(--_xlfn.TEXTSPLIT(SUBSTITUTE(SUBSTITUTE(G7,"|",",")," ",""),","),0))</f>
        <v>18</v>
      </c>
      <c r="G7" s="201" t="s">
        <v>7824</v>
      </c>
      <c r="H7" s="61"/>
    </row>
    <row r="8" s="52" customFormat="1" spans="1:8">
      <c r="A8" s="198" t="s">
        <v>7321</v>
      </c>
      <c r="B8" s="54" t="s">
        <v>7542</v>
      </c>
      <c r="C8" s="55" t="s">
        <v>2534</v>
      </c>
      <c r="D8" s="199" t="s">
        <v>2535</v>
      </c>
      <c r="E8" s="200" cm="1">
        <f t="array" ref="E8">MIN(IFERROR(--_xlfn.TEXTSPLIT(SUBSTITUTE(SUBSTITUTE(G8,"|",",")," ",""),","),0))</f>
        <v>80</v>
      </c>
      <c r="F8" s="200" cm="1">
        <f t="array" ref="F8">MAX(IFERROR(--_xlfn.TEXTSPLIT(SUBSTITUTE(SUBSTITUTE(G8,"|",",")," ",""),","),0))</f>
        <v>100</v>
      </c>
      <c r="G8" s="201" t="s">
        <v>7721</v>
      </c>
      <c r="H8" s="61"/>
    </row>
    <row r="9" s="52" customFormat="1" spans="1:8">
      <c r="A9" s="198" t="s">
        <v>7321</v>
      </c>
      <c r="B9" s="54" t="s">
        <v>7542</v>
      </c>
      <c r="C9" s="55" t="s">
        <v>2536</v>
      </c>
      <c r="D9" s="199" t="s">
        <v>2537</v>
      </c>
      <c r="E9" s="200" cm="1">
        <f t="array" ref="E9">MIN(IFERROR(--_xlfn.TEXTSPLIT(SUBSTITUTE(SUBSTITUTE(G9,"|",",")," ",""),","),0))</f>
        <v>44</v>
      </c>
      <c r="F9" s="200" cm="1">
        <f t="array" ref="F9">MAX(IFERROR(--_xlfn.TEXTSPLIT(SUBSTITUTE(SUBSTITUTE(G9,"|",",")," ",""),","),0))</f>
        <v>60</v>
      </c>
      <c r="G9" s="201" t="s">
        <v>7821</v>
      </c>
      <c r="H9" s="61"/>
    </row>
    <row r="10" s="52" customFormat="1" spans="1:8">
      <c r="A10" s="198" t="s">
        <v>7321</v>
      </c>
      <c r="B10" s="54" t="s">
        <v>7542</v>
      </c>
      <c r="C10" s="55" t="s">
        <v>2538</v>
      </c>
      <c r="D10" s="199" t="s">
        <v>2539</v>
      </c>
      <c r="E10" s="200" cm="1">
        <f t="array" ref="E10">MIN(IFERROR(--_xlfn.TEXTSPLIT(SUBSTITUTE(SUBSTITUTE(G10,"|",",")," ",""),","),0))</f>
        <v>0</v>
      </c>
      <c r="F10" s="200" cm="1">
        <f t="array" ref="F10">MAX(IFERROR(--_xlfn.TEXTSPLIT(SUBSTITUTE(SUBSTITUTE(G10,"|",",")," ",""),","),0))</f>
        <v>0</v>
      </c>
      <c r="G10" s="201">
        <v>0</v>
      </c>
      <c r="H10" s="61"/>
    </row>
    <row r="11" s="52" customFormat="1" spans="1:8">
      <c r="A11" s="198" t="s">
        <v>7321</v>
      </c>
      <c r="B11" s="54" t="s">
        <v>7542</v>
      </c>
      <c r="C11" s="55" t="s">
        <v>2540</v>
      </c>
      <c r="D11" s="199" t="s">
        <v>2541</v>
      </c>
      <c r="E11" s="200" cm="1">
        <f t="array" ref="E11">MIN(IFERROR(--_xlfn.TEXTSPLIT(SUBSTITUTE(SUBSTITUTE(G11,"|",",")," ",""),","),0))</f>
        <v>6</v>
      </c>
      <c r="F11" s="200" cm="1">
        <f t="array" ref="F11">MAX(IFERROR(--_xlfn.TEXTSPLIT(SUBSTITUTE(SUBSTITUTE(G11,"|",",")," ",""),","),0))</f>
        <v>10</v>
      </c>
      <c r="G11" s="201" t="s">
        <v>7825</v>
      </c>
      <c r="H11" s="61"/>
    </row>
    <row r="12" s="52" customFormat="1" spans="1:8">
      <c r="A12" s="198" t="s">
        <v>7321</v>
      </c>
      <c r="B12" s="54" t="s">
        <v>7542</v>
      </c>
      <c r="C12" s="55" t="s">
        <v>2542</v>
      </c>
      <c r="D12" s="199" t="s">
        <v>2543</v>
      </c>
      <c r="E12" s="200" cm="1">
        <f t="array" ref="E12">MIN(IFERROR(--_xlfn.TEXTSPLIT(SUBSTITUTE(SUBSTITUTE(G12,"|",",")," ",""),","),0))</f>
        <v>6</v>
      </c>
      <c r="F12" s="200" cm="1">
        <f t="array" ref="F12">MAX(IFERROR(--_xlfn.TEXTSPLIT(SUBSTITUTE(SUBSTITUTE(G12,"|",",")," ",""),","),0))</f>
        <v>10</v>
      </c>
      <c r="G12" s="201" t="s">
        <v>7825</v>
      </c>
      <c r="H12" s="61"/>
    </row>
    <row r="13" s="52" customFormat="1" spans="1:8">
      <c r="A13" s="198" t="s">
        <v>7321</v>
      </c>
      <c r="B13" s="24" t="s">
        <v>7546</v>
      </c>
      <c r="C13" s="55" t="s">
        <v>2544</v>
      </c>
      <c r="D13" s="56" t="s">
        <v>2545</v>
      </c>
      <c r="E13" s="200" cm="1">
        <f t="array" ref="E13">MIN(IFERROR(--_xlfn.TEXTSPLIT(SUBSTITUTE(SUBSTITUTE(G13,"|",",")," ",""),","),0))</f>
        <v>38</v>
      </c>
      <c r="F13" s="200" cm="1">
        <f t="array" ref="F13">MAX(IFERROR(--_xlfn.TEXTSPLIT(SUBSTITUTE(SUBSTITUTE(G13,"|",",")," ",""),","),0))</f>
        <v>50</v>
      </c>
      <c r="G13" s="201" t="s">
        <v>7826</v>
      </c>
      <c r="H13" s="61"/>
    </row>
    <row r="14" s="52" customFormat="1" spans="1:8">
      <c r="A14" s="198" t="s">
        <v>7321</v>
      </c>
      <c r="B14" s="24" t="s">
        <v>7546</v>
      </c>
      <c r="C14" s="55" t="s">
        <v>2546</v>
      </c>
      <c r="D14" s="22" t="s">
        <v>2547</v>
      </c>
      <c r="E14" s="200" cm="1">
        <f t="array" ref="E14">MIN(IFERROR(--_xlfn.TEXTSPLIT(SUBSTITUTE(SUBSTITUTE(G14,"|",",")," ",""),","),0))</f>
        <v>44</v>
      </c>
      <c r="F14" s="200" cm="1">
        <f t="array" ref="F14">MAX(IFERROR(--_xlfn.TEXTSPLIT(SUBSTITUTE(SUBSTITUTE(G14,"|",",")," ",""),","),0))</f>
        <v>60</v>
      </c>
      <c r="G14" s="201" t="s">
        <v>7821</v>
      </c>
      <c r="H14" s="61"/>
    </row>
    <row r="15" s="52" customFormat="1" spans="1:8">
      <c r="A15" s="198" t="s">
        <v>7321</v>
      </c>
      <c r="B15" s="54" t="s">
        <v>7546</v>
      </c>
      <c r="C15" s="55" t="s">
        <v>2548</v>
      </c>
      <c r="D15" s="22" t="s">
        <v>2549</v>
      </c>
      <c r="E15" s="200" cm="1">
        <f t="array" ref="E15">MIN(IFERROR(--_xlfn.TEXTSPLIT(SUBSTITUTE(SUBSTITUTE(G15,"|",",")," ",""),","),0))</f>
        <v>44</v>
      </c>
      <c r="F15" s="200" cm="1">
        <f t="array" ref="F15">MAX(IFERROR(--_xlfn.TEXTSPLIT(SUBSTITUTE(SUBSTITUTE(G15,"|",",")," ",""),","),0))</f>
        <v>60</v>
      </c>
      <c r="G15" s="201" t="s">
        <v>7821</v>
      </c>
      <c r="H15" s="61"/>
    </row>
    <row r="16" s="52" customFormat="1" spans="1:8">
      <c r="A16" s="198" t="s">
        <v>7321</v>
      </c>
      <c r="B16" s="54" t="s">
        <v>7546</v>
      </c>
      <c r="C16" s="55" t="s">
        <v>2550</v>
      </c>
      <c r="D16" s="56" t="s">
        <v>2551</v>
      </c>
      <c r="E16" s="200" cm="1">
        <f t="array" ref="E16">MIN(IFERROR(--_xlfn.TEXTSPLIT(SUBSTITUTE(SUBSTITUTE(G16,"|",",")," ",""),","),0))</f>
        <v>44</v>
      </c>
      <c r="F16" s="200" cm="1">
        <f t="array" ref="F16">MAX(IFERROR(--_xlfn.TEXTSPLIT(SUBSTITUTE(SUBSTITUTE(G16,"|",",")," ",""),","),0))</f>
        <v>60</v>
      </c>
      <c r="G16" s="201" t="s">
        <v>7821</v>
      </c>
      <c r="H16" s="61"/>
    </row>
    <row r="17" s="52" customFormat="1" spans="1:8">
      <c r="A17" s="198" t="s">
        <v>7321</v>
      </c>
      <c r="B17" s="54" t="s">
        <v>7546</v>
      </c>
      <c r="C17" s="55" t="s">
        <v>2552</v>
      </c>
      <c r="D17" s="22" t="s">
        <v>2553</v>
      </c>
      <c r="E17" s="200" cm="1">
        <f t="array" ref="E17">MIN(IFERROR(--_xlfn.TEXTSPLIT(SUBSTITUTE(SUBSTITUTE(G17,"|",",")," ",""),","),0))</f>
        <v>48</v>
      </c>
      <c r="F17" s="200" cm="1">
        <f t="array" ref="F17">MAX(IFERROR(--_xlfn.TEXTSPLIT(SUBSTITUTE(SUBSTITUTE(G17,"|",",")," ",""),","),0))</f>
        <v>60</v>
      </c>
      <c r="G17" s="201" t="s">
        <v>7827</v>
      </c>
      <c r="H17" s="61"/>
    </row>
    <row r="18" s="52" customFormat="1" spans="1:8">
      <c r="A18" s="198" t="s">
        <v>7321</v>
      </c>
      <c r="B18" s="54" t="s">
        <v>7566</v>
      </c>
      <c r="C18" s="55" t="s">
        <v>2554</v>
      </c>
      <c r="D18" s="22" t="s">
        <v>2555</v>
      </c>
      <c r="E18" s="200" cm="1">
        <f t="array" ref="E18">MIN(IFERROR(--_xlfn.TEXTSPLIT(SUBSTITUTE(SUBSTITUTE(G18,"|",",")," ",""),","),0))</f>
        <v>12</v>
      </c>
      <c r="F18" s="200" cm="1">
        <f t="array" ref="F18">MAX(IFERROR(--_xlfn.TEXTSPLIT(SUBSTITUTE(SUBSTITUTE(G18,"|",",")," ",""),","),0))</f>
        <v>15</v>
      </c>
      <c r="G18" s="201" t="s">
        <v>7828</v>
      </c>
      <c r="H18" s="61"/>
    </row>
    <row r="19" s="52" customFormat="1" spans="1:8">
      <c r="A19" s="198" t="s">
        <v>7321</v>
      </c>
      <c r="B19" s="54" t="s">
        <v>7566</v>
      </c>
      <c r="C19" s="55" t="s">
        <v>2556</v>
      </c>
      <c r="D19" s="199" t="s">
        <v>2557</v>
      </c>
      <c r="E19" s="200" cm="1">
        <f t="array" ref="E19">MIN(IFERROR(--_xlfn.TEXTSPLIT(SUBSTITUTE(SUBSTITUTE(G19,"|",",")," ",""),","),0))</f>
        <v>10</v>
      </c>
      <c r="F19" s="200" cm="1">
        <f t="array" ref="F19">MAX(IFERROR(--_xlfn.TEXTSPLIT(SUBSTITUTE(SUBSTITUTE(G19,"|",",")," ",""),","),0))</f>
        <v>12</v>
      </c>
      <c r="G19" s="201" t="s">
        <v>7720</v>
      </c>
      <c r="H19" s="61"/>
    </row>
    <row r="20" s="52" customFormat="1" spans="1:8">
      <c r="A20" s="198" t="s">
        <v>7321</v>
      </c>
      <c r="B20" s="54" t="s">
        <v>7547</v>
      </c>
      <c r="C20" s="55" t="s">
        <v>2558</v>
      </c>
      <c r="D20" s="56" t="s">
        <v>2559</v>
      </c>
      <c r="E20" s="200" cm="1">
        <f t="array" ref="E20">MIN(IFERROR(--_xlfn.TEXTSPLIT(SUBSTITUTE(SUBSTITUTE(G20,"|",",")," ",""),","),0))</f>
        <v>80</v>
      </c>
      <c r="F20" s="200" cm="1">
        <f t="array" ref="F20">MAX(IFERROR(--_xlfn.TEXTSPLIT(SUBSTITUTE(SUBSTITUTE(G20,"|",",")," ",""),","),0))</f>
        <v>100</v>
      </c>
      <c r="G20" s="201" t="s">
        <v>7721</v>
      </c>
      <c r="H20" s="61"/>
    </row>
    <row r="21" s="52" customFormat="1" spans="1:8">
      <c r="A21" s="198" t="s">
        <v>7321</v>
      </c>
      <c r="B21" s="54" t="s">
        <v>7547</v>
      </c>
      <c r="C21" s="55" t="s">
        <v>2560</v>
      </c>
      <c r="D21" s="56" t="s">
        <v>2561</v>
      </c>
      <c r="E21" s="200" cm="1">
        <f t="array" ref="E21">MIN(IFERROR(--_xlfn.TEXTSPLIT(SUBSTITUTE(SUBSTITUTE(G21,"|",",")," ",""),","),0))</f>
        <v>54</v>
      </c>
      <c r="F21" s="200" cm="1">
        <f t="array" ref="F21">MAX(IFERROR(--_xlfn.TEXTSPLIT(SUBSTITUTE(SUBSTITUTE(G21,"|",",")," ",""),","),0))</f>
        <v>70</v>
      </c>
      <c r="G21" s="201" t="s">
        <v>7822</v>
      </c>
      <c r="H21" s="61"/>
    </row>
    <row r="22" s="52" customFormat="1" spans="1:8">
      <c r="A22" s="198" t="s">
        <v>7321</v>
      </c>
      <c r="B22" s="54" t="s">
        <v>7547</v>
      </c>
      <c r="C22" s="55" t="s">
        <v>2562</v>
      </c>
      <c r="D22" s="56" t="s">
        <v>2563</v>
      </c>
      <c r="E22" s="200" cm="1">
        <f t="array" ref="E22">MIN(IFERROR(--_xlfn.TEXTSPLIT(SUBSTITUTE(SUBSTITUTE(G22,"|",",")," ",""),","),0))</f>
        <v>54</v>
      </c>
      <c r="F22" s="200" cm="1">
        <f t="array" ref="F22">MAX(IFERROR(--_xlfn.TEXTSPLIT(SUBSTITUTE(SUBSTITUTE(G22,"|",",")," ",""),","),0))</f>
        <v>70</v>
      </c>
      <c r="G22" s="201" t="s">
        <v>7822</v>
      </c>
      <c r="H22" s="61"/>
    </row>
    <row r="23" s="52" customFormat="1" spans="1:8">
      <c r="A23" s="198" t="s">
        <v>7321</v>
      </c>
      <c r="B23" s="54" t="s">
        <v>7547</v>
      </c>
      <c r="C23" s="55" t="s">
        <v>2564</v>
      </c>
      <c r="D23" s="56" t="s">
        <v>2565</v>
      </c>
      <c r="E23" s="200" cm="1">
        <f t="array" ref="E23">MIN(IFERROR(--_xlfn.TEXTSPLIT(SUBSTITUTE(SUBSTITUTE(G23,"|",",")," ",""),","),0))</f>
        <v>27</v>
      </c>
      <c r="F23" s="200" cm="1">
        <f t="array" ref="F23">MAX(IFERROR(--_xlfn.TEXTSPLIT(SUBSTITUTE(SUBSTITUTE(G23,"|",",")," ",""),","),0))</f>
        <v>40</v>
      </c>
      <c r="G23" s="201" t="s">
        <v>7829</v>
      </c>
      <c r="H23" s="61"/>
    </row>
    <row r="24" s="52" customFormat="1" spans="1:8">
      <c r="A24" s="198" t="s">
        <v>7321</v>
      </c>
      <c r="B24" s="54" t="s">
        <v>7548</v>
      </c>
      <c r="C24" s="55" t="s">
        <v>2566</v>
      </c>
      <c r="D24" s="56" t="s">
        <v>2567</v>
      </c>
      <c r="E24" s="200" cm="1">
        <f t="array" ref="E24">MIN(IFERROR(--_xlfn.TEXTSPLIT(SUBSTITUTE(SUBSTITUTE(G24,"|",",")," ",""),","),0))</f>
        <v>48</v>
      </c>
      <c r="F24" s="200" cm="1">
        <f t="array" ref="F24">MAX(IFERROR(--_xlfn.TEXTSPLIT(SUBSTITUTE(SUBSTITUTE(G24,"|",",")," ",""),","),0))</f>
        <v>60</v>
      </c>
      <c r="G24" s="201" t="s">
        <v>7827</v>
      </c>
      <c r="H24" s="61"/>
    </row>
    <row r="25" s="52" customFormat="1" spans="1:8">
      <c r="A25" s="198" t="s">
        <v>7321</v>
      </c>
      <c r="B25" s="54" t="s">
        <v>7549</v>
      </c>
      <c r="C25" s="55" t="s">
        <v>2568</v>
      </c>
      <c r="D25" s="199" t="s">
        <v>2569</v>
      </c>
      <c r="E25" s="200" cm="1">
        <f t="array" ref="E25">MIN(IFERROR(--_xlfn.TEXTSPLIT(SUBSTITUTE(SUBSTITUTE(G25,"|",",")," ",""),","),0))</f>
        <v>116</v>
      </c>
      <c r="F25" s="200" cm="1">
        <f t="array" ref="F25">MAX(IFERROR(--_xlfn.TEXTSPLIT(SUBSTITUTE(SUBSTITUTE(G25,"|",",")," ",""),","),0))</f>
        <v>140</v>
      </c>
      <c r="G25" s="201" t="s">
        <v>7830</v>
      </c>
      <c r="H25" s="61"/>
    </row>
    <row r="26" s="52" customFormat="1" spans="1:8">
      <c r="A26" s="198" t="s">
        <v>7321</v>
      </c>
      <c r="B26" s="54" t="s">
        <v>7549</v>
      </c>
      <c r="C26" s="55" t="s">
        <v>2570</v>
      </c>
      <c r="D26" s="199" t="s">
        <v>2571</v>
      </c>
      <c r="E26" s="200" cm="1">
        <f t="array" ref="E26">MIN(IFERROR(--_xlfn.TEXTSPLIT(SUBSTITUTE(SUBSTITUTE(G26,"|",",")," ",""),","),0))</f>
        <v>5</v>
      </c>
      <c r="F26" s="200" cm="1">
        <f t="array" ref="F26">MAX(IFERROR(--_xlfn.TEXTSPLIT(SUBSTITUTE(SUBSTITUTE(G26,"|",",")," ",""),","),0))</f>
        <v>5</v>
      </c>
      <c r="G26" s="201">
        <v>5</v>
      </c>
      <c r="H26" s="61"/>
    </row>
    <row r="27" s="52" customFormat="1" spans="1:8">
      <c r="A27" s="198" t="s">
        <v>7321</v>
      </c>
      <c r="B27" s="54" t="s">
        <v>7549</v>
      </c>
      <c r="C27" s="55" t="s">
        <v>2572</v>
      </c>
      <c r="D27" s="199" t="s">
        <v>2573</v>
      </c>
      <c r="E27" s="200" cm="1">
        <f t="array" ref="E27">MIN(IFERROR(--_xlfn.TEXTSPLIT(SUBSTITUTE(SUBSTITUTE(G27,"|",",")," ",""),","),0))</f>
        <v>11</v>
      </c>
      <c r="F27" s="200" cm="1">
        <f t="array" ref="F27">MAX(IFERROR(--_xlfn.TEXTSPLIT(SUBSTITUTE(SUBSTITUTE(G27,"|",",")," ",""),","),0))</f>
        <v>15</v>
      </c>
      <c r="G27" s="201" t="s">
        <v>7831</v>
      </c>
      <c r="H27" s="61"/>
    </row>
    <row r="28" s="52" customFormat="1" spans="1:8">
      <c r="A28" s="198" t="s">
        <v>7321</v>
      </c>
      <c r="B28" s="54" t="s">
        <v>7549</v>
      </c>
      <c r="C28" s="55" t="s">
        <v>2574</v>
      </c>
      <c r="D28" s="199" t="s">
        <v>2575</v>
      </c>
      <c r="E28" s="200" cm="1">
        <f t="array" ref="E28">MIN(IFERROR(--_xlfn.TEXTSPLIT(SUBSTITUTE(SUBSTITUTE(G28,"|",",")," ",""),","),0))</f>
        <v>200</v>
      </c>
      <c r="F28" s="200" cm="1">
        <f t="array" ref="F28">MAX(IFERROR(--_xlfn.TEXTSPLIT(SUBSTITUTE(SUBSTITUTE(G28,"|",",")," ",""),","),0))</f>
        <v>200</v>
      </c>
      <c r="G28" s="201">
        <v>200</v>
      </c>
      <c r="H28" s="61"/>
    </row>
    <row r="29" s="52" customFormat="1" spans="1:8">
      <c r="A29" s="198" t="s">
        <v>7321</v>
      </c>
      <c r="B29" s="54" t="s">
        <v>7549</v>
      </c>
      <c r="C29" s="55" t="s">
        <v>2576</v>
      </c>
      <c r="D29" s="199" t="s">
        <v>2577</v>
      </c>
      <c r="E29" s="200" cm="1">
        <f t="array" ref="E29">MIN(IFERROR(--_xlfn.TEXTSPLIT(SUBSTITUTE(SUBSTITUTE(G29,"|",",")," ",""),","),0))</f>
        <v>210</v>
      </c>
      <c r="F29" s="200" cm="1">
        <f t="array" ref="F29">MAX(IFERROR(--_xlfn.TEXTSPLIT(SUBSTITUTE(SUBSTITUTE(G29,"|",",")," ",""),","),0))</f>
        <v>250</v>
      </c>
      <c r="G29" s="201" t="s">
        <v>7832</v>
      </c>
      <c r="H29" s="61"/>
    </row>
    <row r="30" s="52" customFormat="1" spans="1:8">
      <c r="A30" s="198" t="s">
        <v>7321</v>
      </c>
      <c r="B30" s="24" t="s">
        <v>7549</v>
      </c>
      <c r="C30" s="55" t="s">
        <v>2578</v>
      </c>
      <c r="D30" s="199" t="s">
        <v>2579</v>
      </c>
      <c r="E30" s="200" cm="1">
        <f t="array" ref="E30">MIN(IFERROR(--_xlfn.TEXTSPLIT(SUBSTITUTE(SUBSTITUTE(G30,"|",",")," ",""),","),0))</f>
        <v>0</v>
      </c>
      <c r="F30" s="200" cm="1">
        <f t="array" ref="F30">MAX(IFERROR(--_xlfn.TEXTSPLIT(SUBSTITUTE(SUBSTITUTE(G30,"|",",")," ",""),","),0))</f>
        <v>0</v>
      </c>
      <c r="G30" s="201">
        <v>0</v>
      </c>
      <c r="H30" s="61" t="s">
        <v>7833</v>
      </c>
    </row>
    <row r="31" s="52" customFormat="1" spans="1:8">
      <c r="A31" s="198" t="s">
        <v>7321</v>
      </c>
      <c r="B31" s="24" t="s">
        <v>7834</v>
      </c>
      <c r="C31" s="55" t="s">
        <v>2580</v>
      </c>
      <c r="D31" s="202" t="s">
        <v>2581</v>
      </c>
      <c r="E31" s="200" cm="1">
        <f t="array" ref="E31">MIN(IFERROR(--_xlfn.TEXTSPLIT(SUBSTITUTE(SUBSTITUTE(G31,"|",",")," ",""),","),0))</f>
        <v>150</v>
      </c>
      <c r="F31" s="200" cm="1">
        <f t="array" ref="F31">MAX(IFERROR(--_xlfn.TEXTSPLIT(SUBSTITUTE(SUBSTITUTE(G31,"|",",")," ",""),","),0))</f>
        <v>150</v>
      </c>
      <c r="G31" s="201">
        <v>150</v>
      </c>
      <c r="H31" s="61" t="s">
        <v>7833</v>
      </c>
    </row>
    <row r="32" s="52" customFormat="1" spans="1:8">
      <c r="A32" s="198" t="s">
        <v>7321</v>
      </c>
      <c r="B32" s="24" t="s">
        <v>7834</v>
      </c>
      <c r="C32" s="55" t="s">
        <v>2582</v>
      </c>
      <c r="D32" s="202" t="s">
        <v>2583</v>
      </c>
      <c r="E32" s="200" cm="1">
        <f t="array" ref="E32">MIN(IFERROR(--_xlfn.TEXTSPLIT(SUBSTITUTE(SUBSTITUTE(G32,"|",",")," ",""),","),0))</f>
        <v>150</v>
      </c>
      <c r="F32" s="200" cm="1">
        <f t="array" ref="F32">MAX(IFERROR(--_xlfn.TEXTSPLIT(SUBSTITUTE(SUBSTITUTE(G32,"|",",")," ",""),","),0))</f>
        <v>150</v>
      </c>
      <c r="G32" s="201">
        <v>150</v>
      </c>
      <c r="H32" s="61" t="s">
        <v>7833</v>
      </c>
    </row>
    <row r="33" s="52" customFormat="1" spans="1:8">
      <c r="A33" s="198" t="s">
        <v>7321</v>
      </c>
      <c r="B33" s="24" t="s">
        <v>7834</v>
      </c>
      <c r="C33" s="55" t="s">
        <v>2584</v>
      </c>
      <c r="D33" s="202" t="s">
        <v>2585</v>
      </c>
      <c r="E33" s="200" cm="1">
        <f t="array" ref="E33">MIN(IFERROR(--_xlfn.TEXTSPLIT(SUBSTITUTE(SUBSTITUTE(G33,"|",",")," ",""),","),0))</f>
        <v>150</v>
      </c>
      <c r="F33" s="200" cm="1">
        <f t="array" ref="F33">MAX(IFERROR(--_xlfn.TEXTSPLIT(SUBSTITUTE(SUBSTITUTE(G33,"|",",")," ",""),","),0))</f>
        <v>150</v>
      </c>
      <c r="G33" s="201">
        <v>150</v>
      </c>
      <c r="H33" s="61" t="s">
        <v>7833</v>
      </c>
    </row>
    <row r="34" s="52" customFormat="1" spans="1:8">
      <c r="A34" s="198" t="s">
        <v>7321</v>
      </c>
      <c r="B34" s="24" t="s">
        <v>7834</v>
      </c>
      <c r="C34" s="55" t="s">
        <v>2586</v>
      </c>
      <c r="D34" s="202" t="s">
        <v>2587</v>
      </c>
      <c r="E34" s="200" cm="1">
        <f t="array" ref="E34">MIN(IFERROR(--_xlfn.TEXTSPLIT(SUBSTITUTE(SUBSTITUTE(G34,"|",",")," ",""),","),0))</f>
        <v>150</v>
      </c>
      <c r="F34" s="200" cm="1">
        <f t="array" ref="F34">MAX(IFERROR(--_xlfn.TEXTSPLIT(SUBSTITUTE(SUBSTITUTE(G34,"|",",")," ",""),","),0))</f>
        <v>150</v>
      </c>
      <c r="G34" s="201">
        <v>150</v>
      </c>
      <c r="H34" s="61" t="s">
        <v>7833</v>
      </c>
    </row>
    <row r="35" s="52" customFormat="1" spans="1:8">
      <c r="A35" s="198" t="s">
        <v>7321</v>
      </c>
      <c r="B35" s="24" t="s">
        <v>7834</v>
      </c>
      <c r="C35" s="55" t="s">
        <v>2588</v>
      </c>
      <c r="D35" s="202" t="s">
        <v>2589</v>
      </c>
      <c r="E35" s="200" cm="1">
        <f t="array" ref="E35">MIN(IFERROR(--_xlfn.TEXTSPLIT(SUBSTITUTE(SUBSTITUTE(G35,"|",",")," ",""),","),0))</f>
        <v>150</v>
      </c>
      <c r="F35" s="200" cm="1">
        <f t="array" ref="F35">MAX(IFERROR(--_xlfn.TEXTSPLIT(SUBSTITUTE(SUBSTITUTE(G35,"|",",")," ",""),","),0))</f>
        <v>150</v>
      </c>
      <c r="G35" s="201">
        <v>150</v>
      </c>
      <c r="H35" s="61" t="s">
        <v>7833</v>
      </c>
    </row>
    <row r="36" s="52" customFormat="1" spans="1:8">
      <c r="A36" s="198" t="s">
        <v>7321</v>
      </c>
      <c r="B36" s="24" t="s">
        <v>7834</v>
      </c>
      <c r="C36" s="55" t="s">
        <v>2590</v>
      </c>
      <c r="D36" s="202" t="s">
        <v>2591</v>
      </c>
      <c r="E36" s="200" cm="1">
        <f t="array" ref="E36">MIN(IFERROR(--_xlfn.TEXTSPLIT(SUBSTITUTE(SUBSTITUTE(G36,"|",",")," ",""),","),0))</f>
        <v>150</v>
      </c>
      <c r="F36" s="200" cm="1">
        <f t="array" ref="F36">MAX(IFERROR(--_xlfn.TEXTSPLIT(SUBSTITUTE(SUBSTITUTE(G36,"|",",")," ",""),","),0))</f>
        <v>150</v>
      </c>
      <c r="G36" s="201">
        <v>150</v>
      </c>
      <c r="H36" s="61" t="s">
        <v>7833</v>
      </c>
    </row>
    <row r="37" s="52" customFormat="1" spans="1:8">
      <c r="A37" s="198" t="s">
        <v>7321</v>
      </c>
      <c r="B37" s="24" t="s">
        <v>7834</v>
      </c>
      <c r="C37" s="55" t="s">
        <v>2592</v>
      </c>
      <c r="D37" s="202" t="s">
        <v>2593</v>
      </c>
      <c r="E37" s="200" cm="1">
        <f t="array" ref="E37">MIN(IFERROR(--_xlfn.TEXTSPLIT(SUBSTITUTE(SUBSTITUTE(G37,"|",",")," ",""),","),0))</f>
        <v>150</v>
      </c>
      <c r="F37" s="200" cm="1">
        <f t="array" ref="F37">MAX(IFERROR(--_xlfn.TEXTSPLIT(SUBSTITUTE(SUBSTITUTE(G37,"|",",")," ",""),","),0))</f>
        <v>150</v>
      </c>
      <c r="G37" s="201">
        <v>150</v>
      </c>
      <c r="H37" s="61" t="s">
        <v>7833</v>
      </c>
    </row>
    <row r="38" s="52" customFormat="1" spans="1:8">
      <c r="A38" s="198" t="s">
        <v>7321</v>
      </c>
      <c r="B38" s="24" t="s">
        <v>7834</v>
      </c>
      <c r="C38" s="55" t="s">
        <v>2594</v>
      </c>
      <c r="D38" s="202" t="s">
        <v>2595</v>
      </c>
      <c r="E38" s="200" cm="1">
        <f t="array" ref="E38">MIN(IFERROR(--_xlfn.TEXTSPLIT(SUBSTITUTE(SUBSTITUTE(G38,"|",",")," ",""),","),0))</f>
        <v>0</v>
      </c>
      <c r="F38" s="200" cm="1">
        <f t="array" ref="F38">MAX(IFERROR(--_xlfn.TEXTSPLIT(SUBSTITUTE(SUBSTITUTE(G38,"|",",")," ",""),","),0))</f>
        <v>0</v>
      </c>
      <c r="G38" s="201">
        <v>0</v>
      </c>
      <c r="H38" s="61"/>
    </row>
    <row r="39" s="52" customFormat="1" spans="1:8">
      <c r="A39" s="198" t="s">
        <v>7321</v>
      </c>
      <c r="B39" s="24" t="s">
        <v>7834</v>
      </c>
      <c r="C39" s="55" t="s">
        <v>2596</v>
      </c>
      <c r="D39" s="202" t="s">
        <v>2597</v>
      </c>
      <c r="E39" s="200" cm="1">
        <f t="array" ref="E39">MIN(IFERROR(--_xlfn.TEXTSPLIT(SUBSTITUTE(SUBSTITUTE(G39,"|",",")," ",""),","),0))</f>
        <v>0</v>
      </c>
      <c r="F39" s="200" cm="1">
        <f t="array" ref="F39">MAX(IFERROR(--_xlfn.TEXTSPLIT(SUBSTITUTE(SUBSTITUTE(G39,"|",",")," ",""),","),0))</f>
        <v>0</v>
      </c>
      <c r="G39" s="201">
        <v>0</v>
      </c>
      <c r="H39" s="61"/>
    </row>
    <row r="40" s="52" customFormat="1" spans="1:8">
      <c r="A40" s="198" t="s">
        <v>7321</v>
      </c>
      <c r="B40" s="24" t="s">
        <v>7834</v>
      </c>
      <c r="C40" s="55" t="s">
        <v>2598</v>
      </c>
      <c r="D40" s="202" t="s">
        <v>2599</v>
      </c>
      <c r="E40" s="200" cm="1">
        <f t="array" ref="E40">MIN(IFERROR(--_xlfn.TEXTSPLIT(SUBSTITUTE(SUBSTITUTE(G40,"|",",")," ",""),","),0))</f>
        <v>0</v>
      </c>
      <c r="F40" s="200" cm="1">
        <f t="array" ref="F40">MAX(IFERROR(--_xlfn.TEXTSPLIT(SUBSTITUTE(SUBSTITUTE(G40,"|",",")," ",""),","),0))</f>
        <v>0</v>
      </c>
      <c r="G40" s="201">
        <v>0</v>
      </c>
      <c r="H40" s="61"/>
    </row>
    <row r="41" s="52" customFormat="1" spans="1:8">
      <c r="A41" s="198" t="s">
        <v>7321</v>
      </c>
      <c r="B41" s="54" t="s">
        <v>7573</v>
      </c>
      <c r="C41" s="55" t="s">
        <v>2600</v>
      </c>
      <c r="D41" s="199" t="s">
        <v>2601</v>
      </c>
      <c r="E41" s="200" cm="1">
        <f t="array" ref="E41">MIN(IFERROR(--_xlfn.TEXTSPLIT(SUBSTITUTE(SUBSTITUTE(G41,"|",",")," ",""),","),0))</f>
        <v>11</v>
      </c>
      <c r="F41" s="200" cm="1">
        <f t="array" ref="F41">MAX(IFERROR(--_xlfn.TEXTSPLIT(SUBSTITUTE(SUBSTITUTE(G41,"|",",")," ",""),","),0))</f>
        <v>15</v>
      </c>
      <c r="G41" s="201" t="s">
        <v>7831</v>
      </c>
      <c r="H41" s="61"/>
    </row>
    <row r="42" s="52" customFormat="1" spans="1:8">
      <c r="A42" s="198" t="s">
        <v>7321</v>
      </c>
      <c r="B42" s="54" t="s">
        <v>7550</v>
      </c>
      <c r="C42" s="55" t="s">
        <v>2602</v>
      </c>
      <c r="D42" s="199" t="s">
        <v>2603</v>
      </c>
      <c r="E42" s="200" cm="1">
        <f t="array" ref="E42">MIN(IFERROR(--_xlfn.TEXTSPLIT(SUBSTITUTE(SUBSTITUTE(G42,"|",",")," ",""),","),0))</f>
        <v>48</v>
      </c>
      <c r="F42" s="200" cm="1">
        <f t="array" ref="F42">MAX(IFERROR(--_xlfn.TEXTSPLIT(SUBSTITUTE(SUBSTITUTE(G42,"|",",")," ",""),","),0))</f>
        <v>60</v>
      </c>
      <c r="G42" s="201" t="s">
        <v>7827</v>
      </c>
      <c r="H42" s="61"/>
    </row>
    <row r="43" s="52" customFormat="1" spans="1:8">
      <c r="A43" s="198" t="s">
        <v>7321</v>
      </c>
      <c r="B43" s="54" t="s">
        <v>7550</v>
      </c>
      <c r="C43" s="55" t="s">
        <v>2604</v>
      </c>
      <c r="D43" s="199" t="s">
        <v>2605</v>
      </c>
      <c r="E43" s="200" cm="1">
        <f t="array" ref="E43">MIN(IFERROR(--_xlfn.TEXTSPLIT(SUBSTITUTE(SUBSTITUTE(G43,"|",",")," ",""),","),0))</f>
        <v>54</v>
      </c>
      <c r="F43" s="200" cm="1">
        <f t="array" ref="F43">MAX(IFERROR(--_xlfn.TEXTSPLIT(SUBSTITUTE(SUBSTITUTE(G43,"|",",")," ",""),","),0))</f>
        <v>70</v>
      </c>
      <c r="G43" s="201" t="s">
        <v>7822</v>
      </c>
      <c r="H43" s="61"/>
    </row>
    <row r="44" s="52" customFormat="1" spans="1:8">
      <c r="A44" s="198" t="s">
        <v>7321</v>
      </c>
      <c r="B44" s="24" t="s">
        <v>7551</v>
      </c>
      <c r="C44" s="55" t="s">
        <v>2606</v>
      </c>
      <c r="D44" s="199" t="s">
        <v>2607</v>
      </c>
      <c r="E44" s="200" cm="1">
        <f t="array" ref="E44">MIN(IFERROR(--_xlfn.TEXTSPLIT(SUBSTITUTE(SUBSTITUTE(G44,"|",",")," ",""),","),0))</f>
        <v>288</v>
      </c>
      <c r="F44" s="200" cm="1">
        <f t="array" ref="F44">MAX(IFERROR(--_xlfn.TEXTSPLIT(SUBSTITUTE(SUBSTITUTE(G44,"|",",")," ",""),","),0))</f>
        <v>360</v>
      </c>
      <c r="G44" s="201" t="s">
        <v>7835</v>
      </c>
      <c r="H44" s="61"/>
    </row>
    <row r="45" s="52" customFormat="1" spans="1:8">
      <c r="A45" s="198" t="s">
        <v>7321</v>
      </c>
      <c r="B45" s="24" t="s">
        <v>7551</v>
      </c>
      <c r="C45" s="55" t="s">
        <v>2608</v>
      </c>
      <c r="D45" s="22" t="s">
        <v>2609</v>
      </c>
      <c r="E45" s="200" cm="1">
        <f t="array" ref="E45">MIN(IFERROR(--_xlfn.TEXTSPLIT(SUBSTITUTE(SUBSTITUTE(G45,"|",",")," ",""),","),0))</f>
        <v>280</v>
      </c>
      <c r="F45" s="200" cm="1">
        <f t="array" ref="F45">MAX(IFERROR(--_xlfn.TEXTSPLIT(SUBSTITUTE(SUBSTITUTE(G45,"|",",")," ",""),","),0))</f>
        <v>360</v>
      </c>
      <c r="G45" s="201" t="s">
        <v>7836</v>
      </c>
      <c r="H45" s="61"/>
    </row>
    <row r="46" s="52" customFormat="1" spans="1:8">
      <c r="A46" s="198" t="s">
        <v>7321</v>
      </c>
      <c r="B46" s="24" t="s">
        <v>7552</v>
      </c>
      <c r="C46" s="55" t="s">
        <v>2610</v>
      </c>
      <c r="D46" s="199" t="s">
        <v>2611</v>
      </c>
      <c r="E46" s="200" cm="1">
        <f t="array" ref="E46">MIN(IFERROR(--_xlfn.TEXTSPLIT(SUBSTITUTE(SUBSTITUTE(G46,"|",",")," ",""),","),0))</f>
        <v>64</v>
      </c>
      <c r="F46" s="200" cm="1">
        <f t="array" ref="F46">MAX(IFERROR(--_xlfn.TEXTSPLIT(SUBSTITUTE(SUBSTITUTE(G46,"|",",")," ",""),","),0))</f>
        <v>80</v>
      </c>
      <c r="G46" s="201" t="s">
        <v>7837</v>
      </c>
      <c r="H46" s="61"/>
    </row>
    <row r="47" s="52" customFormat="1" spans="1:8">
      <c r="A47" s="198" t="s">
        <v>7321</v>
      </c>
      <c r="B47" s="54" t="s">
        <v>7553</v>
      </c>
      <c r="C47" s="55" t="s">
        <v>2612</v>
      </c>
      <c r="D47" s="22" t="s">
        <v>2613</v>
      </c>
      <c r="E47" s="200" cm="1">
        <f t="array" ref="E47">MIN(IFERROR(--_xlfn.TEXTSPLIT(SUBSTITUTE(SUBSTITUTE(G47,"|",",")," ",""),","),0))</f>
        <v>80</v>
      </c>
      <c r="F47" s="200" cm="1">
        <f t="array" ref="F47">MAX(IFERROR(--_xlfn.TEXTSPLIT(SUBSTITUTE(SUBSTITUTE(G47,"|",",")," ",""),","),0))</f>
        <v>100</v>
      </c>
      <c r="G47" s="201" t="s">
        <v>7721</v>
      </c>
      <c r="H47" s="61"/>
    </row>
    <row r="48" s="52" customFormat="1" spans="1:8">
      <c r="A48" s="198" t="s">
        <v>7321</v>
      </c>
      <c r="B48" s="54" t="s">
        <v>7553</v>
      </c>
      <c r="C48" s="55" t="s">
        <v>2614</v>
      </c>
      <c r="D48" s="199" t="s">
        <v>2615</v>
      </c>
      <c r="E48" s="200" cm="1">
        <f t="array" ref="E48">MIN(IFERROR(--_xlfn.TEXTSPLIT(SUBSTITUTE(SUBSTITUTE(G48,"|",",")," ",""),","),0))</f>
        <v>54</v>
      </c>
      <c r="F48" s="200" cm="1">
        <f t="array" ref="F48">MAX(IFERROR(--_xlfn.TEXTSPLIT(SUBSTITUTE(SUBSTITUTE(G48,"|",",")," ",""),","),0))</f>
        <v>70</v>
      </c>
      <c r="G48" s="201" t="s">
        <v>7822</v>
      </c>
      <c r="H48" s="61"/>
    </row>
    <row r="49" s="52" customFormat="1" spans="1:8">
      <c r="A49" s="198" t="s">
        <v>7321</v>
      </c>
      <c r="B49" s="24" t="s">
        <v>7555</v>
      </c>
      <c r="C49" s="55" t="s">
        <v>2616</v>
      </c>
      <c r="D49" s="199" t="s">
        <v>2617</v>
      </c>
      <c r="E49" s="200" cm="1">
        <f t="array" ref="E49">MIN(IFERROR(--_xlfn.TEXTSPLIT(SUBSTITUTE(SUBSTITUTE(G49,"|",",")," ",""),","),0))</f>
        <v>64</v>
      </c>
      <c r="F49" s="200" cm="1">
        <f t="array" ref="F49">MAX(IFERROR(--_xlfn.TEXTSPLIT(SUBSTITUTE(SUBSTITUTE(G49,"|",",")," ",""),","),0))</f>
        <v>80</v>
      </c>
      <c r="G49" s="201" t="s">
        <v>7837</v>
      </c>
      <c r="H49" s="61"/>
    </row>
    <row r="50" s="52" customFormat="1" spans="1:8">
      <c r="A50" s="198" t="s">
        <v>7321</v>
      </c>
      <c r="B50" s="54" t="s">
        <v>7581</v>
      </c>
      <c r="C50" s="55" t="s">
        <v>2618</v>
      </c>
      <c r="D50" s="22" t="s">
        <v>2619</v>
      </c>
      <c r="E50" s="200" cm="1">
        <f t="array" ref="E50">MIN(IFERROR(--_xlfn.TEXTSPLIT(SUBSTITUTE(SUBSTITUTE(G50,"|",",")," ",""),","),0))</f>
        <v>54</v>
      </c>
      <c r="F50" s="200" cm="1">
        <f t="array" ref="F50">MAX(IFERROR(--_xlfn.TEXTSPLIT(SUBSTITUTE(SUBSTITUTE(G50,"|",",")," ",""),","),0))</f>
        <v>70</v>
      </c>
      <c r="G50" s="201" t="s">
        <v>7822</v>
      </c>
      <c r="H50" s="61"/>
    </row>
    <row r="51" s="52" customFormat="1" spans="1:8">
      <c r="A51" s="198" t="s">
        <v>7321</v>
      </c>
      <c r="B51" s="54" t="s">
        <v>7581</v>
      </c>
      <c r="C51" s="55" t="s">
        <v>2620</v>
      </c>
      <c r="D51" s="22" t="s">
        <v>2621</v>
      </c>
      <c r="E51" s="200" cm="1">
        <f t="array" ref="E51">MIN(IFERROR(--_xlfn.TEXTSPLIT(SUBSTITUTE(SUBSTITUTE(G51,"|",",")," ",""),","),0))</f>
        <v>54</v>
      </c>
      <c r="F51" s="200" cm="1">
        <f t="array" ref="F51">MAX(IFERROR(--_xlfn.TEXTSPLIT(SUBSTITUTE(SUBSTITUTE(G51,"|",",")," ",""),","),0))</f>
        <v>70</v>
      </c>
      <c r="G51" s="201" t="s">
        <v>7822</v>
      </c>
      <c r="H51" s="61"/>
    </row>
    <row r="52" s="52" customFormat="1" spans="1:8">
      <c r="A52" s="198" t="s">
        <v>7321</v>
      </c>
      <c r="B52" s="24" t="s">
        <v>7549</v>
      </c>
      <c r="C52" s="55" t="s">
        <v>2622</v>
      </c>
      <c r="D52" s="56" t="s">
        <v>2623</v>
      </c>
      <c r="E52" s="200" cm="1">
        <f t="array" ref="E52">MIN(IFERROR(--_xlfn.TEXTSPLIT(SUBSTITUTE(SUBSTITUTE(G52,"|",",")," ",""),","),0))</f>
        <v>0</v>
      </c>
      <c r="F52" s="200" cm="1">
        <f t="array" ref="F52">MAX(IFERROR(--_xlfn.TEXTSPLIT(SUBSTITUTE(SUBSTITUTE(G52,"|",",")," ",""),","),0))</f>
        <v>0</v>
      </c>
      <c r="G52" s="201" t="s">
        <v>7838</v>
      </c>
      <c r="H52" s="61" t="s">
        <v>7839</v>
      </c>
    </row>
    <row r="53" spans="1:8">
      <c r="A53" s="198" t="s">
        <v>5349</v>
      </c>
      <c r="B53" s="54" t="s">
        <v>7542</v>
      </c>
      <c r="C53" s="55" t="s">
        <v>2624</v>
      </c>
      <c r="D53" s="22" t="s">
        <v>2625</v>
      </c>
      <c r="E53" s="200" cm="1">
        <f t="array" ref="E53">MIN(IFERROR(--_xlfn.TEXTSPLIT(SUBSTITUTE(SUBSTITUTE(G53,"|",",")," ",""),","),0))</f>
        <v>25</v>
      </c>
      <c r="F53" s="200" cm="1">
        <f t="array" ref="F53">MAX(IFERROR(--_xlfn.TEXTSPLIT(SUBSTITUTE(SUBSTITUTE(G53,"|",",")," ",""),","),0))</f>
        <v>25</v>
      </c>
      <c r="G53" s="201" t="s">
        <v>7840</v>
      </c>
      <c r="H53" s="61"/>
    </row>
    <row r="54" spans="1:8">
      <c r="A54" s="198" t="s">
        <v>5349</v>
      </c>
      <c r="B54" s="54" t="s">
        <v>7542</v>
      </c>
      <c r="C54" s="55" t="s">
        <v>2626</v>
      </c>
      <c r="D54" s="22" t="s">
        <v>2627</v>
      </c>
      <c r="E54" s="200" cm="1">
        <f t="array" ref="E54">MIN(IFERROR(--_xlfn.TEXTSPLIT(SUBSTITUTE(SUBSTITUTE(G54,"|",",")," ",""),","),0))</f>
        <v>19</v>
      </c>
      <c r="F54" s="200" cm="1">
        <f t="array" ref="F54">MAX(IFERROR(--_xlfn.TEXTSPLIT(SUBSTITUTE(SUBSTITUTE(G54,"|",",")," ",""),","),0))</f>
        <v>19</v>
      </c>
      <c r="G54" s="201" t="s">
        <v>7841</v>
      </c>
      <c r="H54" s="61"/>
    </row>
    <row r="55" spans="1:8">
      <c r="A55" s="198" t="s">
        <v>5349</v>
      </c>
      <c r="B55" s="54" t="s">
        <v>7542</v>
      </c>
      <c r="C55" s="55" t="s">
        <v>2628</v>
      </c>
      <c r="D55" s="22" t="s">
        <v>713</v>
      </c>
      <c r="E55" s="200" cm="1">
        <f t="array" ref="E55">MIN(IFERROR(--_xlfn.TEXTSPLIT(SUBSTITUTE(SUBSTITUTE(G55,"|",",")," ",""),","),0))</f>
        <v>21</v>
      </c>
      <c r="F55" s="200" cm="1">
        <f t="array" ref="F55">MAX(IFERROR(--_xlfn.TEXTSPLIT(SUBSTITUTE(SUBSTITUTE(G55,"|",",")," ",""),","),0))</f>
        <v>21</v>
      </c>
      <c r="G55" s="201" t="s">
        <v>7842</v>
      </c>
      <c r="H55" s="61"/>
    </row>
    <row r="56" spans="1:8">
      <c r="A56" s="198" t="s">
        <v>5349</v>
      </c>
      <c r="B56" s="54" t="s">
        <v>7542</v>
      </c>
      <c r="C56" s="55" t="s">
        <v>2629</v>
      </c>
      <c r="D56" s="22" t="s">
        <v>716</v>
      </c>
      <c r="E56" s="200" cm="1">
        <f t="array" ref="E56">MIN(IFERROR(--_xlfn.TEXTSPLIT(SUBSTITUTE(SUBSTITUTE(G56,"|",",")," ",""),","),0))</f>
        <v>21</v>
      </c>
      <c r="F56" s="200" cm="1">
        <f t="array" ref="F56">MAX(IFERROR(--_xlfn.TEXTSPLIT(SUBSTITUTE(SUBSTITUTE(G56,"|",",")," ",""),","),0))</f>
        <v>21</v>
      </c>
      <c r="G56" s="201" t="s">
        <v>7842</v>
      </c>
      <c r="H56" s="61"/>
    </row>
    <row r="57" spans="1:8">
      <c r="A57" s="198" t="s">
        <v>5349</v>
      </c>
      <c r="B57" s="54" t="s">
        <v>7542</v>
      </c>
      <c r="C57" s="55" t="s">
        <v>2630</v>
      </c>
      <c r="D57" s="22" t="s">
        <v>718</v>
      </c>
      <c r="E57" s="200" cm="1">
        <f t="array" ref="E57">MIN(IFERROR(--_xlfn.TEXTSPLIT(SUBSTITUTE(SUBSTITUTE(G57,"|",",")," ",""),","),0))</f>
        <v>21</v>
      </c>
      <c r="F57" s="200" cm="1">
        <f t="array" ref="F57">MAX(IFERROR(--_xlfn.TEXTSPLIT(SUBSTITUTE(SUBSTITUTE(G57,"|",",")," ",""),","),0))</f>
        <v>21</v>
      </c>
      <c r="G57" s="201" t="s">
        <v>7842</v>
      </c>
      <c r="H57" s="61"/>
    </row>
    <row r="58" spans="1:8">
      <c r="A58" s="198" t="s">
        <v>5349</v>
      </c>
      <c r="B58" s="54" t="s">
        <v>7542</v>
      </c>
      <c r="C58" s="55" t="s">
        <v>2631</v>
      </c>
      <c r="D58" s="22" t="s">
        <v>720</v>
      </c>
      <c r="E58" s="200" cm="1">
        <f t="array" ref="E58">MIN(IFERROR(--_xlfn.TEXTSPLIT(SUBSTITUTE(SUBSTITUTE(G58,"|",",")," ",""),","),0))</f>
        <v>21</v>
      </c>
      <c r="F58" s="200" cm="1">
        <f t="array" ref="F58">MAX(IFERROR(--_xlfn.TEXTSPLIT(SUBSTITUTE(SUBSTITUTE(G58,"|",",")," ",""),","),0))</f>
        <v>21</v>
      </c>
      <c r="G58" s="201" t="s">
        <v>7842</v>
      </c>
      <c r="H58" s="61"/>
    </row>
    <row r="59" spans="1:8">
      <c r="A59" s="198" t="s">
        <v>5349</v>
      </c>
      <c r="B59" s="54" t="s">
        <v>7542</v>
      </c>
      <c r="C59" s="55" t="s">
        <v>2632</v>
      </c>
      <c r="D59" s="22" t="s">
        <v>725</v>
      </c>
      <c r="E59" s="200" cm="1">
        <f t="array" ref="E59">MIN(IFERROR(--_xlfn.TEXTSPLIT(SUBSTITUTE(SUBSTITUTE(G59,"|",",")," ",""),","),0))</f>
        <v>21</v>
      </c>
      <c r="F59" s="200" cm="1">
        <f t="array" ref="F59">MAX(IFERROR(--_xlfn.TEXTSPLIT(SUBSTITUTE(SUBSTITUTE(G59,"|",",")," ",""),","),0))</f>
        <v>21</v>
      </c>
      <c r="G59" s="201" t="s">
        <v>7842</v>
      </c>
      <c r="H59" s="61"/>
    </row>
    <row r="60" spans="1:8">
      <c r="A60" s="198" t="s">
        <v>5349</v>
      </c>
      <c r="B60" s="54" t="s">
        <v>7542</v>
      </c>
      <c r="C60" s="55" t="s">
        <v>2633</v>
      </c>
      <c r="D60" s="22" t="s">
        <v>727</v>
      </c>
      <c r="E60" s="200" cm="1">
        <f t="array" ref="E60">MIN(IFERROR(--_xlfn.TEXTSPLIT(SUBSTITUTE(SUBSTITUTE(G60,"|",",")," ",""),","),0))</f>
        <v>19</v>
      </c>
      <c r="F60" s="200" cm="1">
        <f t="array" ref="F60">MAX(IFERROR(--_xlfn.TEXTSPLIT(SUBSTITUTE(SUBSTITUTE(G60,"|",",")," ",""),","),0))</f>
        <v>19</v>
      </c>
      <c r="G60" s="201" t="s">
        <v>7841</v>
      </c>
      <c r="H60" s="61"/>
    </row>
    <row r="61" spans="1:8">
      <c r="A61" s="198" t="s">
        <v>5349</v>
      </c>
      <c r="B61" s="54" t="s">
        <v>7542</v>
      </c>
      <c r="C61" s="55" t="s">
        <v>2634</v>
      </c>
      <c r="D61" s="22" t="s">
        <v>2635</v>
      </c>
      <c r="E61" s="200" cm="1">
        <f t="array" ref="E61">MIN(IFERROR(--_xlfn.TEXTSPLIT(SUBSTITUTE(SUBSTITUTE(G61,"|",",")," ",""),","),0))</f>
        <v>57</v>
      </c>
      <c r="F61" s="200" cm="1">
        <f t="array" ref="F61">MAX(IFERROR(--_xlfn.TEXTSPLIT(SUBSTITUTE(SUBSTITUTE(G61,"|",",")," ",""),","),0))</f>
        <v>57</v>
      </c>
      <c r="G61" s="201" t="s">
        <v>7843</v>
      </c>
      <c r="H61" s="61"/>
    </row>
    <row r="62" spans="1:8">
      <c r="A62" s="198" t="s">
        <v>5349</v>
      </c>
      <c r="B62" s="54" t="s">
        <v>7542</v>
      </c>
      <c r="C62" s="55" t="s">
        <v>2636</v>
      </c>
      <c r="D62" s="22" t="s">
        <v>2637</v>
      </c>
      <c r="E62" s="200" cm="1">
        <f t="array" ref="E62">MIN(IFERROR(--_xlfn.TEXTSPLIT(SUBSTITUTE(SUBSTITUTE(G62,"|",",")," ",""),","),0))</f>
        <v>19</v>
      </c>
      <c r="F62" s="200" cm="1">
        <f t="array" ref="F62">MAX(IFERROR(--_xlfn.TEXTSPLIT(SUBSTITUTE(SUBSTITUTE(G62,"|",",")," ",""),","),0))</f>
        <v>19</v>
      </c>
      <c r="G62" s="201" t="s">
        <v>7841</v>
      </c>
      <c r="H62" s="61"/>
    </row>
    <row r="63" spans="1:8">
      <c r="A63" s="198" t="s">
        <v>5349</v>
      </c>
      <c r="B63" s="54" t="s">
        <v>7542</v>
      </c>
      <c r="C63" s="55" t="s">
        <v>2638</v>
      </c>
      <c r="D63" s="22" t="s">
        <v>2639</v>
      </c>
      <c r="E63" s="200" cm="1">
        <f t="array" ref="E63">MIN(IFERROR(--_xlfn.TEXTSPLIT(SUBSTITUTE(SUBSTITUTE(G63,"|",",")," ",""),","),0))</f>
        <v>25</v>
      </c>
      <c r="F63" s="200" cm="1">
        <f t="array" ref="F63">MAX(IFERROR(--_xlfn.TEXTSPLIT(SUBSTITUTE(SUBSTITUTE(G63,"|",",")," ",""),","),0))</f>
        <v>25</v>
      </c>
      <c r="G63" s="201" t="s">
        <v>7840</v>
      </c>
      <c r="H63" s="61"/>
    </row>
    <row r="64" spans="1:8">
      <c r="A64" s="198" t="s">
        <v>5349</v>
      </c>
      <c r="B64" s="54" t="s">
        <v>7542</v>
      </c>
      <c r="C64" s="55" t="s">
        <v>2640</v>
      </c>
      <c r="D64" s="22" t="s">
        <v>2641</v>
      </c>
      <c r="E64" s="200" cm="1">
        <f t="array" ref="E64">MIN(IFERROR(--_xlfn.TEXTSPLIT(SUBSTITUTE(SUBSTITUTE(G64,"|",",")," ",""),","),0))</f>
        <v>28</v>
      </c>
      <c r="F64" s="200" cm="1">
        <f t="array" ref="F64">MAX(IFERROR(--_xlfn.TEXTSPLIT(SUBSTITUTE(SUBSTITUTE(G64,"|",",")," ",""),","),0))</f>
        <v>28</v>
      </c>
      <c r="G64" s="201" t="s">
        <v>7844</v>
      </c>
      <c r="H64" s="61"/>
    </row>
    <row r="65" spans="1:8">
      <c r="A65" s="198" t="s">
        <v>5349</v>
      </c>
      <c r="B65" s="54" t="s">
        <v>7542</v>
      </c>
      <c r="C65" s="55" t="s">
        <v>2642</v>
      </c>
      <c r="D65" s="22" t="s">
        <v>2643</v>
      </c>
      <c r="E65" s="200" cm="1">
        <f t="array" ref="E65">MIN(IFERROR(--_xlfn.TEXTSPLIT(SUBSTITUTE(SUBSTITUTE(G65,"|",",")," ",""),","),0))</f>
        <v>28</v>
      </c>
      <c r="F65" s="200" cm="1">
        <f t="array" ref="F65">MAX(IFERROR(--_xlfn.TEXTSPLIT(SUBSTITUTE(SUBSTITUTE(G65,"|",",")," ",""),","),0))</f>
        <v>28</v>
      </c>
      <c r="G65" s="201" t="s">
        <v>7844</v>
      </c>
      <c r="H65" s="61"/>
    </row>
    <row r="66" spans="1:8">
      <c r="A66" s="198" t="s">
        <v>5349</v>
      </c>
      <c r="B66" s="54" t="s">
        <v>7542</v>
      </c>
      <c r="C66" s="55" t="s">
        <v>2644</v>
      </c>
      <c r="D66" s="22" t="s">
        <v>2645</v>
      </c>
      <c r="E66" s="200" cm="1">
        <f t="array" ref="E66">MIN(IFERROR(--_xlfn.TEXTSPLIT(SUBSTITUTE(SUBSTITUTE(G66,"|",",")," ",""),","),0))</f>
        <v>28</v>
      </c>
      <c r="F66" s="200" cm="1">
        <f t="array" ref="F66">MAX(IFERROR(--_xlfn.TEXTSPLIT(SUBSTITUTE(SUBSTITUTE(G66,"|",",")," ",""),","),0))</f>
        <v>28</v>
      </c>
      <c r="G66" s="201" t="s">
        <v>7844</v>
      </c>
      <c r="H66" s="61"/>
    </row>
    <row r="67" spans="1:8">
      <c r="A67" s="198" t="s">
        <v>5349</v>
      </c>
      <c r="B67" s="54" t="s">
        <v>7542</v>
      </c>
      <c r="C67" s="55" t="s">
        <v>2646</v>
      </c>
      <c r="D67" s="22" t="s">
        <v>2647</v>
      </c>
      <c r="E67" s="200" cm="1">
        <f t="array" ref="E67">MIN(IFERROR(--_xlfn.TEXTSPLIT(SUBSTITUTE(SUBSTITUTE(G67,"|",",")," ",""),","),0))</f>
        <v>28</v>
      </c>
      <c r="F67" s="200" cm="1">
        <f t="array" ref="F67">MAX(IFERROR(--_xlfn.TEXTSPLIT(SUBSTITUTE(SUBSTITUTE(G67,"|",",")," ",""),","),0))</f>
        <v>28</v>
      </c>
      <c r="G67" s="201" t="s">
        <v>7844</v>
      </c>
      <c r="H67" s="61"/>
    </row>
    <row r="68" spans="1:8">
      <c r="A68" s="198" t="s">
        <v>5349</v>
      </c>
      <c r="B68" s="54" t="s">
        <v>7542</v>
      </c>
      <c r="C68" s="55" t="s">
        <v>2648</v>
      </c>
      <c r="D68" s="22" t="s">
        <v>2649</v>
      </c>
      <c r="E68" s="200" cm="1">
        <f t="array" ref="E68">MIN(IFERROR(--_xlfn.TEXTSPLIT(SUBSTITUTE(SUBSTITUTE(G68,"|",",")," ",""),","),0))</f>
        <v>28</v>
      </c>
      <c r="F68" s="200" cm="1">
        <f t="array" ref="F68">MAX(IFERROR(--_xlfn.TEXTSPLIT(SUBSTITUTE(SUBSTITUTE(G68,"|",",")," ",""),","),0))</f>
        <v>28</v>
      </c>
      <c r="G68" s="201" t="s">
        <v>7844</v>
      </c>
      <c r="H68" s="61"/>
    </row>
    <row r="69" spans="1:8">
      <c r="A69" s="198" t="s">
        <v>5349</v>
      </c>
      <c r="B69" s="54" t="s">
        <v>7542</v>
      </c>
      <c r="C69" s="55" t="s">
        <v>2650</v>
      </c>
      <c r="D69" s="22" t="s">
        <v>2651</v>
      </c>
      <c r="E69" s="200" cm="1">
        <f t="array" ref="E69">MIN(IFERROR(--_xlfn.TEXTSPLIT(SUBSTITUTE(SUBSTITUTE(G69,"|",",")," ",""),","),0))</f>
        <v>140</v>
      </c>
      <c r="F69" s="200" cm="1">
        <f t="array" ref="F69">MAX(IFERROR(--_xlfn.TEXTSPLIT(SUBSTITUTE(SUBSTITUTE(G69,"|",",")," ",""),","),0))</f>
        <v>140</v>
      </c>
      <c r="G69" s="201" t="s">
        <v>7845</v>
      </c>
      <c r="H69" s="61"/>
    </row>
    <row r="70" spans="1:8">
      <c r="A70" s="198" t="s">
        <v>5349</v>
      </c>
      <c r="B70" s="54" t="s">
        <v>7542</v>
      </c>
      <c r="C70" s="55" t="s">
        <v>2652</v>
      </c>
      <c r="D70" s="22" t="s">
        <v>2653</v>
      </c>
      <c r="E70" s="200" cm="1">
        <f t="array" ref="E70">MIN(IFERROR(--_xlfn.TEXTSPLIT(SUBSTITUTE(SUBSTITUTE(G70,"|",",")," ",""),","),0))</f>
        <v>150</v>
      </c>
      <c r="F70" s="200" cm="1">
        <f t="array" ref="F70">MAX(IFERROR(--_xlfn.TEXTSPLIT(SUBSTITUTE(SUBSTITUTE(G70,"|",",")," ",""),","),0))</f>
        <v>150</v>
      </c>
      <c r="G70" s="201" t="s">
        <v>7846</v>
      </c>
      <c r="H70" s="61"/>
    </row>
    <row r="71" spans="1:8">
      <c r="A71" s="198" t="s">
        <v>5349</v>
      </c>
      <c r="B71" s="54" t="s">
        <v>7542</v>
      </c>
      <c r="C71" s="55" t="s">
        <v>2654</v>
      </c>
      <c r="D71" s="22" t="s">
        <v>754</v>
      </c>
      <c r="E71" s="200" cm="1">
        <f t="array" ref="E71">MIN(IFERROR(--_xlfn.TEXTSPLIT(SUBSTITUTE(SUBSTITUTE(G71,"|",",")," ",""),","),0))</f>
        <v>38</v>
      </c>
      <c r="F71" s="200" cm="1">
        <f t="array" ref="F71">MAX(IFERROR(--_xlfn.TEXTSPLIT(SUBSTITUTE(SUBSTITUTE(G71,"|",",")," ",""),","),0))</f>
        <v>38</v>
      </c>
      <c r="G71" s="201" t="s">
        <v>7847</v>
      </c>
      <c r="H71" s="61"/>
    </row>
    <row r="72" spans="1:8">
      <c r="A72" s="198" t="s">
        <v>5349</v>
      </c>
      <c r="B72" s="54" t="s">
        <v>7542</v>
      </c>
      <c r="C72" s="55" t="s">
        <v>2655</v>
      </c>
      <c r="D72" s="22" t="s">
        <v>758</v>
      </c>
      <c r="E72" s="200" cm="1">
        <f t="array" ref="E72">MIN(IFERROR(--_xlfn.TEXTSPLIT(SUBSTITUTE(SUBSTITUTE(G72,"|",",")," ",""),","),0))</f>
        <v>25</v>
      </c>
      <c r="F72" s="200" cm="1">
        <f t="array" ref="F72">MAX(IFERROR(--_xlfn.TEXTSPLIT(SUBSTITUTE(SUBSTITUTE(G72,"|",",")," ",""),","),0))</f>
        <v>25</v>
      </c>
      <c r="G72" s="201" t="s">
        <v>7840</v>
      </c>
      <c r="H72" s="61"/>
    </row>
    <row r="73" spans="1:8">
      <c r="A73" s="198" t="s">
        <v>5349</v>
      </c>
      <c r="B73" s="54" t="s">
        <v>7542</v>
      </c>
      <c r="C73" s="55" t="s">
        <v>2656</v>
      </c>
      <c r="D73" s="22" t="s">
        <v>760</v>
      </c>
      <c r="E73" s="200" cm="1">
        <f t="array" ref="E73">MIN(IFERROR(--_xlfn.TEXTSPLIT(SUBSTITUTE(SUBSTITUTE(G73,"|",",")," ",""),","),0))</f>
        <v>23</v>
      </c>
      <c r="F73" s="200" cm="1">
        <f t="array" ref="F73">MAX(IFERROR(--_xlfn.TEXTSPLIT(SUBSTITUTE(SUBSTITUTE(G73,"|",",")," ",""),","),0))</f>
        <v>23</v>
      </c>
      <c r="G73" s="201" t="s">
        <v>7848</v>
      </c>
      <c r="H73" s="61"/>
    </row>
    <row r="74" spans="1:8">
      <c r="A74" s="198" t="s">
        <v>5349</v>
      </c>
      <c r="B74" s="54" t="s">
        <v>7542</v>
      </c>
      <c r="C74" s="55" t="s">
        <v>2657</v>
      </c>
      <c r="D74" s="22" t="s">
        <v>2658</v>
      </c>
      <c r="E74" s="200" cm="1">
        <f t="array" ref="E74">MIN(IFERROR(--_xlfn.TEXTSPLIT(SUBSTITUTE(SUBSTITUTE(G74,"|",",")," ",""),","),0))</f>
        <v>28</v>
      </c>
      <c r="F74" s="200" cm="1">
        <f t="array" ref="F74">MAX(IFERROR(--_xlfn.TEXTSPLIT(SUBSTITUTE(SUBSTITUTE(G74,"|",",")," ",""),","),0))</f>
        <v>28</v>
      </c>
      <c r="G74" s="201" t="s">
        <v>7844</v>
      </c>
      <c r="H74" s="61"/>
    </row>
    <row r="75" spans="1:8">
      <c r="A75" s="198" t="s">
        <v>5349</v>
      </c>
      <c r="B75" s="54" t="s">
        <v>7542</v>
      </c>
      <c r="C75" s="55" t="s">
        <v>2659</v>
      </c>
      <c r="D75" s="22" t="s">
        <v>762</v>
      </c>
      <c r="E75" s="200" cm="1">
        <f t="array" ref="E75">MIN(IFERROR(--_xlfn.TEXTSPLIT(SUBSTITUTE(SUBSTITUTE(G75,"|",",")," ",""),","),0))</f>
        <v>21</v>
      </c>
      <c r="F75" s="200" cm="1">
        <f t="array" ref="F75">MAX(IFERROR(--_xlfn.TEXTSPLIT(SUBSTITUTE(SUBSTITUTE(G75,"|",",")," ",""),","),0))</f>
        <v>21</v>
      </c>
      <c r="G75" s="201" t="s">
        <v>7842</v>
      </c>
      <c r="H75" s="61"/>
    </row>
    <row r="76" spans="1:8">
      <c r="A76" s="198" t="s">
        <v>5349</v>
      </c>
      <c r="B76" s="54" t="s">
        <v>7542</v>
      </c>
      <c r="C76" s="55" t="s">
        <v>2660</v>
      </c>
      <c r="D76" s="22" t="s">
        <v>2661</v>
      </c>
      <c r="E76" s="200" cm="1">
        <f t="array" ref="E76">MIN(IFERROR(--_xlfn.TEXTSPLIT(SUBSTITUTE(SUBSTITUTE(G76,"|",",")," ",""),","),0))</f>
        <v>42</v>
      </c>
      <c r="F76" s="200" cm="1">
        <f t="array" ref="F76">MAX(IFERROR(--_xlfn.TEXTSPLIT(SUBSTITUTE(SUBSTITUTE(G76,"|",",")," ",""),","),0))</f>
        <v>42</v>
      </c>
      <c r="G76" s="201" t="s">
        <v>7849</v>
      </c>
      <c r="H76" s="61"/>
    </row>
    <row r="77" spans="1:8">
      <c r="A77" s="198" t="s">
        <v>5349</v>
      </c>
      <c r="B77" s="54" t="s">
        <v>7542</v>
      </c>
      <c r="C77" s="55" t="s">
        <v>2662</v>
      </c>
      <c r="D77" s="22" t="s">
        <v>2663</v>
      </c>
      <c r="E77" s="200" cm="1">
        <f t="array" ref="E77">MIN(IFERROR(--_xlfn.TEXTSPLIT(SUBSTITUTE(SUBSTITUTE(G77,"|",",")," ",""),","),0))</f>
        <v>17</v>
      </c>
      <c r="F77" s="200" cm="1">
        <f t="array" ref="F77">MAX(IFERROR(--_xlfn.TEXTSPLIT(SUBSTITUTE(SUBSTITUTE(G77,"|",",")," ",""),","),0))</f>
        <v>17</v>
      </c>
      <c r="G77" s="201" t="s">
        <v>7850</v>
      </c>
      <c r="H77" s="61"/>
    </row>
    <row r="78" spans="1:8">
      <c r="A78" s="198" t="s">
        <v>5349</v>
      </c>
      <c r="B78" s="54" t="s">
        <v>7542</v>
      </c>
      <c r="C78" s="55" t="s">
        <v>2664</v>
      </c>
      <c r="D78" s="22" t="s">
        <v>2665</v>
      </c>
      <c r="E78" s="200" cm="1">
        <f t="array" ref="E78">MIN(IFERROR(--_xlfn.TEXTSPLIT(SUBSTITUTE(SUBSTITUTE(G78,"|",",")," ",""),","),0))</f>
        <v>20</v>
      </c>
      <c r="F78" s="200" cm="1">
        <f t="array" ref="F78">MAX(IFERROR(--_xlfn.TEXTSPLIT(SUBSTITUTE(SUBSTITUTE(G78,"|",",")," ",""),","),0))</f>
        <v>20</v>
      </c>
      <c r="G78" s="201" t="s">
        <v>7851</v>
      </c>
      <c r="H78" s="61"/>
    </row>
    <row r="79" spans="1:8">
      <c r="A79" s="198" t="s">
        <v>5349</v>
      </c>
      <c r="B79" s="54" t="s">
        <v>7542</v>
      </c>
      <c r="C79" s="55" t="s">
        <v>2666</v>
      </c>
      <c r="D79" s="22" t="s">
        <v>2667</v>
      </c>
      <c r="E79" s="200" cm="1">
        <f t="array" ref="E79">MIN(IFERROR(--_xlfn.TEXTSPLIT(SUBSTITUTE(SUBSTITUTE(G79,"|",",")," ",""),","),0))</f>
        <v>25</v>
      </c>
      <c r="F79" s="200" cm="1">
        <f t="array" ref="F79">MAX(IFERROR(--_xlfn.TEXTSPLIT(SUBSTITUTE(SUBSTITUTE(G79,"|",",")," ",""),","),0))</f>
        <v>25</v>
      </c>
      <c r="G79" s="201" t="s">
        <v>7840</v>
      </c>
      <c r="H79" s="61"/>
    </row>
    <row r="80" spans="1:8">
      <c r="A80" s="198" t="s">
        <v>5349</v>
      </c>
      <c r="B80" s="54" t="s">
        <v>7542</v>
      </c>
      <c r="C80" s="55" t="s">
        <v>2668</v>
      </c>
      <c r="D80" s="22" t="s">
        <v>2669</v>
      </c>
      <c r="E80" s="200" cm="1">
        <f t="array" ref="E80">MIN(IFERROR(--_xlfn.TEXTSPLIT(SUBSTITUTE(SUBSTITUTE(G80,"|",",")," ",""),","),0))</f>
        <v>27</v>
      </c>
      <c r="F80" s="200" cm="1">
        <f t="array" ref="F80">MAX(IFERROR(--_xlfn.TEXTSPLIT(SUBSTITUTE(SUBSTITUTE(G80,"|",",")," ",""),","),0))</f>
        <v>27</v>
      </c>
      <c r="G80" s="201" t="s">
        <v>7852</v>
      </c>
      <c r="H80" s="61"/>
    </row>
    <row r="81" spans="1:8">
      <c r="A81" s="198" t="s">
        <v>5349</v>
      </c>
      <c r="B81" s="54" t="s">
        <v>7542</v>
      </c>
      <c r="C81" s="55" t="s">
        <v>2670</v>
      </c>
      <c r="D81" s="22" t="s">
        <v>2671</v>
      </c>
      <c r="E81" s="200" cm="1">
        <f t="array" ref="E81">MIN(IFERROR(--_xlfn.TEXTSPLIT(SUBSTITUTE(SUBSTITUTE(G81,"|",",")," ",""),","),0))</f>
        <v>29</v>
      </c>
      <c r="F81" s="200" cm="1">
        <f t="array" ref="F81">MAX(IFERROR(--_xlfn.TEXTSPLIT(SUBSTITUTE(SUBSTITUTE(G81,"|",",")," ",""),","),0))</f>
        <v>29</v>
      </c>
      <c r="G81" s="201" t="s">
        <v>7853</v>
      </c>
      <c r="H81" s="61"/>
    </row>
    <row r="82" spans="1:8">
      <c r="A82" s="198" t="s">
        <v>5349</v>
      </c>
      <c r="B82" s="54" t="s">
        <v>7542</v>
      </c>
      <c r="C82" s="55" t="s">
        <v>2672</v>
      </c>
      <c r="D82" s="22" t="s">
        <v>2673</v>
      </c>
      <c r="E82" s="200" cm="1">
        <f t="array" ref="E82">MIN(IFERROR(--_xlfn.TEXTSPLIT(SUBSTITUTE(SUBSTITUTE(G82,"|",",")," ",""),","),0))</f>
        <v>23</v>
      </c>
      <c r="F82" s="200" cm="1">
        <f t="array" ref="F82">MAX(IFERROR(--_xlfn.TEXTSPLIT(SUBSTITUTE(SUBSTITUTE(G82,"|",",")," ",""),","),0))</f>
        <v>23</v>
      </c>
      <c r="G82" s="201" t="s">
        <v>7848</v>
      </c>
      <c r="H82" s="61"/>
    </row>
    <row r="83" spans="1:8">
      <c r="A83" s="198" t="s">
        <v>5349</v>
      </c>
      <c r="B83" s="54" t="s">
        <v>7542</v>
      </c>
      <c r="C83" s="55" t="s">
        <v>2674</v>
      </c>
      <c r="D83" s="22" t="s">
        <v>2675</v>
      </c>
      <c r="E83" s="200" cm="1">
        <f t="array" ref="E83">MIN(IFERROR(--_xlfn.TEXTSPLIT(SUBSTITUTE(SUBSTITUTE(G83,"|",",")," ",""),","),0))</f>
        <v>62</v>
      </c>
      <c r="F83" s="200" cm="1">
        <f t="array" ref="F83">MAX(IFERROR(--_xlfn.TEXTSPLIT(SUBSTITUTE(SUBSTITUTE(G83,"|",",")," ",""),","),0))</f>
        <v>62</v>
      </c>
      <c r="G83" s="201" t="s">
        <v>7854</v>
      </c>
      <c r="H83" s="61"/>
    </row>
    <row r="84" spans="1:8">
      <c r="A84" s="198" t="s">
        <v>5349</v>
      </c>
      <c r="B84" s="54" t="s">
        <v>7542</v>
      </c>
      <c r="C84" s="55" t="s">
        <v>2676</v>
      </c>
      <c r="D84" s="22" t="s">
        <v>2677</v>
      </c>
      <c r="E84" s="200" cm="1">
        <f t="array" ref="E84">MIN(IFERROR(--_xlfn.TEXTSPLIT(SUBSTITUTE(SUBSTITUTE(G84,"|",",")," ",""),","),0))</f>
        <v>30</v>
      </c>
      <c r="F84" s="200" cm="1">
        <f t="array" ref="F84">MAX(IFERROR(--_xlfn.TEXTSPLIT(SUBSTITUTE(SUBSTITUTE(G84,"|",",")," ",""),","),0))</f>
        <v>30</v>
      </c>
      <c r="G84" s="201" t="s">
        <v>7855</v>
      </c>
      <c r="H84" s="61"/>
    </row>
    <row r="85" spans="1:8">
      <c r="A85" s="198" t="s">
        <v>5349</v>
      </c>
      <c r="B85" s="54" t="s">
        <v>7542</v>
      </c>
      <c r="C85" s="55" t="s">
        <v>2678</v>
      </c>
      <c r="D85" s="22" t="s">
        <v>2679</v>
      </c>
      <c r="E85" s="200" cm="1">
        <f t="array" ref="E85">MIN(IFERROR(--_xlfn.TEXTSPLIT(SUBSTITUTE(SUBSTITUTE(G85,"|",",")," ",""),","),0))</f>
        <v>21</v>
      </c>
      <c r="F85" s="200" cm="1">
        <f t="array" ref="F85">MAX(IFERROR(--_xlfn.TEXTSPLIT(SUBSTITUTE(SUBSTITUTE(G85,"|",",")," ",""),","),0))</f>
        <v>21</v>
      </c>
      <c r="G85" s="201" t="s">
        <v>7842</v>
      </c>
      <c r="H85" s="61"/>
    </row>
    <row r="86" spans="1:8">
      <c r="A86" s="198" t="s">
        <v>5349</v>
      </c>
      <c r="B86" s="54" t="s">
        <v>7542</v>
      </c>
      <c r="C86" s="55" t="s">
        <v>2680</v>
      </c>
      <c r="D86" s="22" t="s">
        <v>2681</v>
      </c>
      <c r="E86" s="200" cm="1">
        <f t="array" ref="E86">MIN(IFERROR(--_xlfn.TEXTSPLIT(SUBSTITUTE(SUBSTITUTE(G86,"|",",")," ",""),","),0))</f>
        <v>83</v>
      </c>
      <c r="F86" s="200" cm="1">
        <f t="array" ref="F86">MAX(IFERROR(--_xlfn.TEXTSPLIT(SUBSTITUTE(SUBSTITUTE(G86,"|",",")," ",""),","),0))</f>
        <v>83</v>
      </c>
      <c r="G86" s="201" t="s">
        <v>7856</v>
      </c>
      <c r="H86" s="61"/>
    </row>
    <row r="87" spans="1:8">
      <c r="A87" s="198" t="s">
        <v>5349</v>
      </c>
      <c r="B87" s="54" t="s">
        <v>7542</v>
      </c>
      <c r="C87" s="55" t="s">
        <v>2682</v>
      </c>
      <c r="D87" s="22" t="s">
        <v>784</v>
      </c>
      <c r="E87" s="200" cm="1">
        <f t="array" ref="E87">MIN(IFERROR(--_xlfn.TEXTSPLIT(SUBSTITUTE(SUBSTITUTE(G87,"|",",")," ",""),","),0))</f>
        <v>23</v>
      </c>
      <c r="F87" s="200" cm="1">
        <f t="array" ref="F87">MAX(IFERROR(--_xlfn.TEXTSPLIT(SUBSTITUTE(SUBSTITUTE(G87,"|",",")," ",""),","),0))</f>
        <v>23</v>
      </c>
      <c r="G87" s="201" t="s">
        <v>7848</v>
      </c>
      <c r="H87" s="61"/>
    </row>
    <row r="88" spans="1:8">
      <c r="A88" s="198" t="s">
        <v>5349</v>
      </c>
      <c r="B88" s="54" t="s">
        <v>7542</v>
      </c>
      <c r="C88" s="55" t="s">
        <v>2683</v>
      </c>
      <c r="D88" s="22" t="s">
        <v>2684</v>
      </c>
      <c r="E88" s="200" cm="1">
        <f t="array" ref="E88">MIN(IFERROR(--_xlfn.TEXTSPLIT(SUBSTITUTE(SUBSTITUTE(G88,"|",",")," ",""),","),0))</f>
        <v>23</v>
      </c>
      <c r="F88" s="200" cm="1">
        <f t="array" ref="F88">MAX(IFERROR(--_xlfn.TEXTSPLIT(SUBSTITUTE(SUBSTITUTE(G88,"|",",")," ",""),","),0))</f>
        <v>23</v>
      </c>
      <c r="G88" s="201" t="s">
        <v>7848</v>
      </c>
      <c r="H88" s="61"/>
    </row>
    <row r="89" spans="1:8">
      <c r="A89" s="198" t="s">
        <v>5349</v>
      </c>
      <c r="B89" s="54" t="s">
        <v>7542</v>
      </c>
      <c r="C89" s="55" t="s">
        <v>2685</v>
      </c>
      <c r="D89" s="22" t="s">
        <v>786</v>
      </c>
      <c r="E89" s="200" cm="1">
        <f t="array" ref="E89">MIN(IFERROR(--_xlfn.TEXTSPLIT(SUBSTITUTE(SUBSTITUTE(G89,"|",",")," ",""),","),0))</f>
        <v>20</v>
      </c>
      <c r="F89" s="200" cm="1">
        <f t="array" ref="F89">MAX(IFERROR(--_xlfn.TEXTSPLIT(SUBSTITUTE(SUBSTITUTE(G89,"|",",")," ",""),","),0))</f>
        <v>20</v>
      </c>
      <c r="G89" s="201" t="s">
        <v>7851</v>
      </c>
      <c r="H89" s="61"/>
    </row>
    <row r="90" spans="1:8">
      <c r="A90" s="198" t="s">
        <v>5349</v>
      </c>
      <c r="B90" s="54" t="s">
        <v>7542</v>
      </c>
      <c r="C90" s="55" t="s">
        <v>2686</v>
      </c>
      <c r="D90" s="22" t="s">
        <v>2687</v>
      </c>
      <c r="E90" s="200" cm="1">
        <f t="array" ref="E90">MIN(IFERROR(--_xlfn.TEXTSPLIT(SUBSTITUTE(SUBSTITUTE(G90,"|",",")," ",""),","),0))</f>
        <v>30</v>
      </c>
      <c r="F90" s="200" cm="1">
        <f t="array" ref="F90">MAX(IFERROR(--_xlfn.TEXTSPLIT(SUBSTITUTE(SUBSTITUTE(G90,"|",",")," ",""),","),0))</f>
        <v>30</v>
      </c>
      <c r="G90" s="201" t="s">
        <v>7855</v>
      </c>
      <c r="H90" s="61"/>
    </row>
    <row r="91" spans="1:8">
      <c r="A91" s="198" t="s">
        <v>5349</v>
      </c>
      <c r="B91" s="54" t="s">
        <v>7542</v>
      </c>
      <c r="C91" s="55" t="s">
        <v>2688</v>
      </c>
      <c r="D91" s="22" t="s">
        <v>2689</v>
      </c>
      <c r="E91" s="200" cm="1">
        <f t="array" ref="E91">MIN(IFERROR(--_xlfn.TEXTSPLIT(SUBSTITUTE(SUBSTITUTE(G91,"|",",")," ",""),","),0))</f>
        <v>28</v>
      </c>
      <c r="F91" s="200" cm="1">
        <f t="array" ref="F91">MAX(IFERROR(--_xlfn.TEXTSPLIT(SUBSTITUTE(SUBSTITUTE(G91,"|",",")," ",""),","),0))</f>
        <v>28</v>
      </c>
      <c r="G91" s="201" t="s">
        <v>7844</v>
      </c>
      <c r="H91" s="61"/>
    </row>
    <row r="92" spans="1:8">
      <c r="A92" s="198" t="s">
        <v>5349</v>
      </c>
      <c r="B92" s="54" t="s">
        <v>7542</v>
      </c>
      <c r="C92" s="55" t="s">
        <v>2690</v>
      </c>
      <c r="D92" s="22" t="s">
        <v>2691</v>
      </c>
      <c r="E92" s="200" cm="1">
        <f t="array" ref="E92">MIN(IFERROR(--_xlfn.TEXTSPLIT(SUBSTITUTE(SUBSTITUTE(G92,"|",",")," ",""),","),0))</f>
        <v>20</v>
      </c>
      <c r="F92" s="200" cm="1">
        <f t="array" ref="F92">MAX(IFERROR(--_xlfn.TEXTSPLIT(SUBSTITUTE(SUBSTITUTE(G92,"|",",")," ",""),","),0))</f>
        <v>20</v>
      </c>
      <c r="G92" s="201" t="s">
        <v>7851</v>
      </c>
      <c r="H92" s="61"/>
    </row>
    <row r="93" spans="1:8">
      <c r="A93" s="198" t="s">
        <v>5349</v>
      </c>
      <c r="B93" s="54" t="s">
        <v>7542</v>
      </c>
      <c r="C93" s="55" t="s">
        <v>2692</v>
      </c>
      <c r="D93" s="22" t="s">
        <v>2693</v>
      </c>
      <c r="E93" s="200" cm="1">
        <f t="array" ref="E93">MIN(IFERROR(--_xlfn.TEXTSPLIT(SUBSTITUTE(SUBSTITUTE(G93,"|",",")," ",""),","),0))</f>
        <v>57</v>
      </c>
      <c r="F93" s="200" cm="1">
        <f t="array" ref="F93">MAX(IFERROR(--_xlfn.TEXTSPLIT(SUBSTITUTE(SUBSTITUTE(G93,"|",",")," ",""),","),0))</f>
        <v>57</v>
      </c>
      <c r="G93" s="201" t="s">
        <v>7843</v>
      </c>
      <c r="H93" s="61"/>
    </row>
    <row r="94" spans="1:8">
      <c r="A94" s="198" t="s">
        <v>5349</v>
      </c>
      <c r="B94" s="54" t="s">
        <v>7542</v>
      </c>
      <c r="C94" s="55" t="s">
        <v>2694</v>
      </c>
      <c r="D94" s="22" t="s">
        <v>2695</v>
      </c>
      <c r="E94" s="200" cm="1">
        <f t="array" ref="E94">MIN(IFERROR(--_xlfn.TEXTSPLIT(SUBSTITUTE(SUBSTITUTE(G94,"|",",")," ",""),","),0))</f>
        <v>38</v>
      </c>
      <c r="F94" s="200" cm="1">
        <f t="array" ref="F94">MAX(IFERROR(--_xlfn.TEXTSPLIT(SUBSTITUTE(SUBSTITUTE(G94,"|",",")," ",""),","),0))</f>
        <v>38</v>
      </c>
      <c r="G94" s="201" t="s">
        <v>7847</v>
      </c>
      <c r="H94" s="61"/>
    </row>
    <row r="95" spans="1:8">
      <c r="A95" s="198" t="s">
        <v>5349</v>
      </c>
      <c r="B95" s="54" t="s">
        <v>7542</v>
      </c>
      <c r="C95" s="55" t="s">
        <v>2696</v>
      </c>
      <c r="D95" s="22" t="s">
        <v>2697</v>
      </c>
      <c r="E95" s="200" cm="1">
        <f t="array" ref="E95">MIN(IFERROR(--_xlfn.TEXTSPLIT(SUBSTITUTE(SUBSTITUTE(G95,"|",",")," ",""),","),0))</f>
        <v>21</v>
      </c>
      <c r="F95" s="200" cm="1">
        <f t="array" ref="F95">MAX(IFERROR(--_xlfn.TEXTSPLIT(SUBSTITUTE(SUBSTITUTE(G95,"|",",")," ",""),","),0))</f>
        <v>21</v>
      </c>
      <c r="G95" s="201" t="s">
        <v>7842</v>
      </c>
      <c r="H95" s="61"/>
    </row>
    <row r="96" spans="1:8">
      <c r="A96" s="198" t="s">
        <v>5349</v>
      </c>
      <c r="B96" s="54" t="s">
        <v>7542</v>
      </c>
      <c r="C96" s="55" t="s">
        <v>2698</v>
      </c>
      <c r="D96" s="22" t="s">
        <v>2699</v>
      </c>
      <c r="E96" s="200" cm="1">
        <f t="array" ref="E96">MIN(IFERROR(--_xlfn.TEXTSPLIT(SUBSTITUTE(SUBSTITUTE(G96,"|",",")," ",""),","),0))</f>
        <v>27</v>
      </c>
      <c r="F96" s="200" cm="1">
        <f t="array" ref="F96">MAX(IFERROR(--_xlfn.TEXTSPLIT(SUBSTITUTE(SUBSTITUTE(G96,"|",",")," ",""),","),0))</f>
        <v>27</v>
      </c>
      <c r="G96" s="201" t="s">
        <v>7852</v>
      </c>
      <c r="H96" s="61"/>
    </row>
    <row r="97" spans="1:8">
      <c r="A97" s="198" t="s">
        <v>5349</v>
      </c>
      <c r="B97" s="54" t="s">
        <v>7542</v>
      </c>
      <c r="C97" s="55" t="s">
        <v>2700</v>
      </c>
      <c r="D97" s="22" t="s">
        <v>2701</v>
      </c>
      <c r="E97" s="200" cm="1">
        <f t="array" ref="E97">MIN(IFERROR(--_xlfn.TEXTSPLIT(SUBSTITUTE(SUBSTITUTE(G97,"|",",")," ",""),","),0))</f>
        <v>85</v>
      </c>
      <c r="F97" s="200" cm="1">
        <f t="array" ref="F97">MAX(IFERROR(--_xlfn.TEXTSPLIT(SUBSTITUTE(SUBSTITUTE(G97,"|",",")," ",""),","),0))</f>
        <v>85</v>
      </c>
      <c r="G97" s="201" t="s">
        <v>7857</v>
      </c>
      <c r="H97" s="61"/>
    </row>
    <row r="98" spans="1:8">
      <c r="A98" s="198" t="s">
        <v>5349</v>
      </c>
      <c r="B98" s="54" t="s">
        <v>7542</v>
      </c>
      <c r="C98" s="55" t="s">
        <v>2702</v>
      </c>
      <c r="D98" s="22" t="s">
        <v>2703</v>
      </c>
      <c r="E98" s="200" cm="1">
        <f t="array" ref="E98">MIN(IFERROR(--_xlfn.TEXTSPLIT(SUBSTITUTE(SUBSTITUTE(G98,"|",",")," ",""),","),0))</f>
        <v>55</v>
      </c>
      <c r="F98" s="200" cm="1">
        <f t="array" ref="F98">MAX(IFERROR(--_xlfn.TEXTSPLIT(SUBSTITUTE(SUBSTITUTE(G98,"|",",")," ",""),","),0))</f>
        <v>55</v>
      </c>
      <c r="G98" s="201" t="s">
        <v>7858</v>
      </c>
      <c r="H98" s="61"/>
    </row>
    <row r="99" spans="1:8">
      <c r="A99" s="198" t="s">
        <v>5349</v>
      </c>
      <c r="B99" s="54" t="s">
        <v>7542</v>
      </c>
      <c r="C99" s="55" t="s">
        <v>2704</v>
      </c>
      <c r="D99" s="22" t="s">
        <v>2705</v>
      </c>
      <c r="E99" s="200" cm="1">
        <f t="array" ref="E99">MIN(IFERROR(--_xlfn.TEXTSPLIT(SUBSTITUTE(SUBSTITUTE(G99,"|",",")," ",""),","),0))</f>
        <v>75</v>
      </c>
      <c r="F99" s="200" cm="1">
        <f t="array" ref="F99">MAX(IFERROR(--_xlfn.TEXTSPLIT(SUBSTITUTE(SUBSTITUTE(G99,"|",",")," ",""),","),0))</f>
        <v>75</v>
      </c>
      <c r="G99" s="201" t="s">
        <v>7859</v>
      </c>
      <c r="H99" s="61"/>
    </row>
    <row r="100" spans="1:8">
      <c r="A100" s="198" t="s">
        <v>5349</v>
      </c>
      <c r="B100" s="54" t="s">
        <v>7542</v>
      </c>
      <c r="C100" s="55" t="s">
        <v>2706</v>
      </c>
      <c r="D100" s="22" t="s">
        <v>2707</v>
      </c>
      <c r="E100" s="200" cm="1">
        <f t="array" ref="E100">MIN(IFERROR(--_xlfn.TEXTSPLIT(SUBSTITUTE(SUBSTITUTE(G100,"|",",")," ",""),","),0))</f>
        <v>40</v>
      </c>
      <c r="F100" s="200" cm="1">
        <f t="array" ref="F100">MAX(IFERROR(--_xlfn.TEXTSPLIT(SUBSTITUTE(SUBSTITUTE(G100,"|",",")," ",""),","),0))</f>
        <v>40</v>
      </c>
      <c r="G100" s="201" t="s">
        <v>7860</v>
      </c>
      <c r="H100" s="61"/>
    </row>
    <row r="101" spans="1:8">
      <c r="A101" s="198" t="s">
        <v>5349</v>
      </c>
      <c r="B101" s="54" t="s">
        <v>7542</v>
      </c>
      <c r="C101" s="55" t="s">
        <v>2708</v>
      </c>
      <c r="D101" s="22" t="s">
        <v>2709</v>
      </c>
      <c r="E101" s="200" cm="1">
        <f t="array" ref="E101">MIN(IFERROR(--_xlfn.TEXTSPLIT(SUBSTITUTE(SUBSTITUTE(G101,"|",",")," ",""),","),0))</f>
        <v>2</v>
      </c>
      <c r="F101" s="200" cm="1">
        <f t="array" ref="F101">MAX(IFERROR(--_xlfn.TEXTSPLIT(SUBSTITUTE(SUBSTITUTE(G101,"|",",")," ",""),","),0))</f>
        <v>2</v>
      </c>
      <c r="G101" s="201" t="s">
        <v>7861</v>
      </c>
      <c r="H101" s="61"/>
    </row>
    <row r="102" spans="1:8">
      <c r="A102" s="198" t="s">
        <v>5349</v>
      </c>
      <c r="B102" s="54" t="s">
        <v>7546</v>
      </c>
      <c r="C102" s="55" t="s">
        <v>2710</v>
      </c>
      <c r="D102" s="56" t="s">
        <v>2711</v>
      </c>
      <c r="E102" s="200" cm="1">
        <f t="array" ref="E102">MIN(IFERROR(--_xlfn.TEXTSPLIT(SUBSTITUTE(SUBSTITUTE(G102,"|",",")," ",""),","),0))</f>
        <v>8</v>
      </c>
      <c r="F102" s="200" cm="1">
        <f t="array" ref="F102">MAX(IFERROR(--_xlfn.TEXTSPLIT(SUBSTITUTE(SUBSTITUTE(G102,"|",",")," ",""),","),0))</f>
        <v>8</v>
      </c>
      <c r="G102" s="201" t="s">
        <v>7764</v>
      </c>
      <c r="H102" s="61"/>
    </row>
    <row r="103" spans="1:8">
      <c r="A103" s="198" t="s">
        <v>5349</v>
      </c>
      <c r="B103" s="54" t="s">
        <v>7546</v>
      </c>
      <c r="C103" s="55" t="s">
        <v>2712</v>
      </c>
      <c r="D103" s="56" t="s">
        <v>2713</v>
      </c>
      <c r="E103" s="200" cm="1">
        <f t="array" ref="E103">MIN(IFERROR(--_xlfn.TEXTSPLIT(SUBSTITUTE(SUBSTITUTE(G103,"|",",")," ",""),","),0))</f>
        <v>8</v>
      </c>
      <c r="F103" s="200" cm="1">
        <f t="array" ref="F103">MAX(IFERROR(--_xlfn.TEXTSPLIT(SUBSTITUTE(SUBSTITUTE(G103,"|",",")," ",""),","),0))</f>
        <v>8</v>
      </c>
      <c r="G103" s="201" t="s">
        <v>7764</v>
      </c>
      <c r="H103" s="61"/>
    </row>
    <row r="104" spans="1:8">
      <c r="A104" s="198" t="s">
        <v>5349</v>
      </c>
      <c r="B104" s="54" t="s">
        <v>7546</v>
      </c>
      <c r="C104" s="55" t="s">
        <v>2714</v>
      </c>
      <c r="D104" s="56" t="s">
        <v>2715</v>
      </c>
      <c r="E104" s="200" cm="1">
        <f t="array" ref="E104">MIN(IFERROR(--_xlfn.TEXTSPLIT(SUBSTITUTE(SUBSTITUTE(G104,"|",",")," ",""),","),0))</f>
        <v>8</v>
      </c>
      <c r="F104" s="200" cm="1">
        <f t="array" ref="F104">MAX(IFERROR(--_xlfn.TEXTSPLIT(SUBSTITUTE(SUBSTITUTE(G104,"|",",")," ",""),","),0))</f>
        <v>8</v>
      </c>
      <c r="G104" s="201" t="s">
        <v>7764</v>
      </c>
      <c r="H104" s="61"/>
    </row>
    <row r="105" spans="1:8">
      <c r="A105" s="198" t="s">
        <v>5349</v>
      </c>
      <c r="B105" s="54" t="s">
        <v>7546</v>
      </c>
      <c r="C105" s="55" t="s">
        <v>2716</v>
      </c>
      <c r="D105" s="56" t="s">
        <v>2717</v>
      </c>
      <c r="E105" s="200" cm="1">
        <f t="array" ref="E105">MIN(IFERROR(--_xlfn.TEXTSPLIT(SUBSTITUTE(SUBSTITUTE(G105,"|",",")," ",""),","),0))</f>
        <v>15</v>
      </c>
      <c r="F105" s="200" cm="1">
        <f t="array" ref="F105">MAX(IFERROR(--_xlfn.TEXTSPLIT(SUBSTITUTE(SUBSTITUTE(G105,"|",",")," ",""),","),0))</f>
        <v>15</v>
      </c>
      <c r="G105" s="201" t="s">
        <v>7862</v>
      </c>
      <c r="H105" s="61"/>
    </row>
    <row r="106" spans="1:8">
      <c r="A106" s="198" t="s">
        <v>5349</v>
      </c>
      <c r="B106" s="54" t="s">
        <v>7566</v>
      </c>
      <c r="C106" s="55" t="s">
        <v>2718</v>
      </c>
      <c r="D106" s="56" t="s">
        <v>870</v>
      </c>
      <c r="E106" s="200" cm="1">
        <f t="array" ref="E106">MIN(IFERROR(--_xlfn.TEXTSPLIT(SUBSTITUTE(SUBSTITUTE(G106,"|",",")," ",""),","),0))</f>
        <v>8</v>
      </c>
      <c r="F106" s="200" cm="1">
        <f t="array" ref="F106">MAX(IFERROR(--_xlfn.TEXTSPLIT(SUBSTITUTE(SUBSTITUTE(G106,"|",",")," ",""),","),0))</f>
        <v>8</v>
      </c>
      <c r="G106" s="201" t="s">
        <v>7764</v>
      </c>
      <c r="H106" s="61"/>
    </row>
    <row r="107" spans="1:8">
      <c r="A107" s="198" t="s">
        <v>5349</v>
      </c>
      <c r="B107" s="54" t="s">
        <v>7566</v>
      </c>
      <c r="C107" s="55" t="s">
        <v>2719</v>
      </c>
      <c r="D107" s="56" t="s">
        <v>884</v>
      </c>
      <c r="E107" s="200" cm="1">
        <f t="array" ref="E107">MIN(IFERROR(--_xlfn.TEXTSPLIT(SUBSTITUTE(SUBSTITUTE(G107,"|",",")," ",""),","),0))</f>
        <v>8</v>
      </c>
      <c r="F107" s="200" cm="1">
        <f t="array" ref="F107">MAX(IFERROR(--_xlfn.TEXTSPLIT(SUBSTITUTE(SUBSTITUTE(G107,"|",",")," ",""),","),0))</f>
        <v>8</v>
      </c>
      <c r="G107" s="201" t="s">
        <v>7764</v>
      </c>
      <c r="H107" s="61"/>
    </row>
    <row r="108" spans="1:8">
      <c r="A108" s="198" t="s">
        <v>5349</v>
      </c>
      <c r="B108" s="54" t="s">
        <v>7566</v>
      </c>
      <c r="C108" s="55" t="s">
        <v>2720</v>
      </c>
      <c r="D108" s="56" t="s">
        <v>1597</v>
      </c>
      <c r="E108" s="200" cm="1">
        <f t="array" ref="E108">MIN(IFERROR(--_xlfn.TEXTSPLIT(SUBSTITUTE(SUBSTITUTE(G108,"|",",")," ",""),","),0))</f>
        <v>15</v>
      </c>
      <c r="F108" s="200" cm="1">
        <f t="array" ref="F108">MAX(IFERROR(--_xlfn.TEXTSPLIT(SUBSTITUTE(SUBSTITUTE(G108,"|",",")," ",""),","),0))</f>
        <v>15</v>
      </c>
      <c r="G108" s="201" t="s">
        <v>7862</v>
      </c>
      <c r="H108" s="61"/>
    </row>
    <row r="109" spans="1:8">
      <c r="A109" s="198" t="s">
        <v>5349</v>
      </c>
      <c r="B109" s="54" t="s">
        <v>7566</v>
      </c>
      <c r="C109" s="55" t="s">
        <v>2721</v>
      </c>
      <c r="D109" s="56" t="s">
        <v>2722</v>
      </c>
      <c r="E109" s="200" cm="1">
        <f t="array" ref="E109">MIN(IFERROR(--_xlfn.TEXTSPLIT(SUBSTITUTE(SUBSTITUTE(G109,"|",",")," ",""),","),0))</f>
        <v>70</v>
      </c>
      <c r="F109" s="200" cm="1">
        <f t="array" ref="F109">MAX(IFERROR(--_xlfn.TEXTSPLIT(SUBSTITUTE(SUBSTITUTE(G109,"|",",")," ",""),","),0))</f>
        <v>70</v>
      </c>
      <c r="G109" s="201" t="s">
        <v>7863</v>
      </c>
      <c r="H109" s="61"/>
    </row>
    <row r="110" spans="1:8">
      <c r="A110" s="198" t="s">
        <v>5349</v>
      </c>
      <c r="B110" s="54" t="s">
        <v>7566</v>
      </c>
      <c r="C110" s="55" t="s">
        <v>2723</v>
      </c>
      <c r="D110" s="56" t="s">
        <v>2724</v>
      </c>
      <c r="E110" s="200" cm="1">
        <f t="array" ref="E110">MIN(IFERROR(--_xlfn.TEXTSPLIT(SUBSTITUTE(SUBSTITUTE(G110,"|",",")," ",""),","),0))</f>
        <v>15</v>
      </c>
      <c r="F110" s="200" cm="1">
        <f t="array" ref="F110">MAX(IFERROR(--_xlfn.TEXTSPLIT(SUBSTITUTE(SUBSTITUTE(G110,"|",",")," ",""),","),0))</f>
        <v>15</v>
      </c>
      <c r="G110" s="201" t="s">
        <v>7862</v>
      </c>
      <c r="H110" s="61"/>
    </row>
    <row r="111" spans="1:8">
      <c r="A111" s="198" t="s">
        <v>5349</v>
      </c>
      <c r="B111" s="54" t="s">
        <v>7566</v>
      </c>
      <c r="C111" s="55" t="s">
        <v>2725</v>
      </c>
      <c r="D111" s="56" t="s">
        <v>1609</v>
      </c>
      <c r="E111" s="200" cm="1">
        <f t="array" ref="E111">MIN(IFERROR(--_xlfn.TEXTSPLIT(SUBSTITUTE(SUBSTITUTE(G111,"|",",")," ",""),","),0))</f>
        <v>15</v>
      </c>
      <c r="F111" s="200" cm="1">
        <f t="array" ref="F111">MAX(IFERROR(--_xlfn.TEXTSPLIT(SUBSTITUTE(SUBSTITUTE(G111,"|",",")," ",""),","),0))</f>
        <v>15</v>
      </c>
      <c r="G111" s="201" t="s">
        <v>7862</v>
      </c>
      <c r="H111" s="61"/>
    </row>
    <row r="112" spans="1:8">
      <c r="A112" s="198" t="s">
        <v>5349</v>
      </c>
      <c r="B112" s="54" t="s">
        <v>7566</v>
      </c>
      <c r="C112" s="55" t="s">
        <v>2726</v>
      </c>
      <c r="D112" s="56" t="s">
        <v>1612</v>
      </c>
      <c r="E112" s="200" cm="1">
        <f t="array" ref="E112">MIN(IFERROR(--_xlfn.TEXTSPLIT(SUBSTITUTE(SUBSTITUTE(G112,"|",",")," ",""),","),0))</f>
        <v>15</v>
      </c>
      <c r="F112" s="200" cm="1">
        <f t="array" ref="F112">MAX(IFERROR(--_xlfn.TEXTSPLIT(SUBSTITUTE(SUBSTITUTE(G112,"|",",")," ",""),","),0))</f>
        <v>15</v>
      </c>
      <c r="G112" s="201" t="s">
        <v>7862</v>
      </c>
      <c r="H112" s="61"/>
    </row>
    <row r="113" spans="1:8">
      <c r="A113" s="198" t="s">
        <v>5349</v>
      </c>
      <c r="B113" s="54" t="s">
        <v>7566</v>
      </c>
      <c r="C113" s="55" t="s">
        <v>2727</v>
      </c>
      <c r="D113" s="56" t="s">
        <v>2728</v>
      </c>
      <c r="E113" s="200" cm="1">
        <f t="array" ref="E113">MIN(IFERROR(--_xlfn.TEXTSPLIT(SUBSTITUTE(SUBSTITUTE(G113,"|",",")," ",""),","),0))</f>
        <v>15</v>
      </c>
      <c r="F113" s="200" cm="1">
        <f t="array" ref="F113">MAX(IFERROR(--_xlfn.TEXTSPLIT(SUBSTITUTE(SUBSTITUTE(G113,"|",",")," ",""),","),0))</f>
        <v>15</v>
      </c>
      <c r="G113" s="201" t="s">
        <v>7862</v>
      </c>
      <c r="H113" s="61"/>
    </row>
    <row r="114" spans="1:8">
      <c r="A114" s="198" t="s">
        <v>5349</v>
      </c>
      <c r="B114" s="54" t="s">
        <v>7547</v>
      </c>
      <c r="C114" s="55" t="s">
        <v>2729</v>
      </c>
      <c r="D114" s="22" t="s">
        <v>214</v>
      </c>
      <c r="E114" s="200" cm="1">
        <f t="array" ref="E114">MIN(IFERROR(--_xlfn.TEXTSPLIT(SUBSTITUTE(SUBSTITUTE(G114,"|",",")," ",""),","),0))</f>
        <v>12</v>
      </c>
      <c r="F114" s="200" cm="1">
        <f t="array" ref="F114">MAX(IFERROR(--_xlfn.TEXTSPLIT(SUBSTITUTE(SUBSTITUTE(G114,"|",",")," ",""),","),0))</f>
        <v>12</v>
      </c>
      <c r="G114" s="201" t="s">
        <v>7864</v>
      </c>
      <c r="H114" s="61"/>
    </row>
    <row r="115" spans="1:8">
      <c r="A115" s="198" t="s">
        <v>5349</v>
      </c>
      <c r="B115" s="54" t="s">
        <v>7547</v>
      </c>
      <c r="C115" s="55" t="s">
        <v>2730</v>
      </c>
      <c r="D115" s="22" t="s">
        <v>2731</v>
      </c>
      <c r="E115" s="200" cm="1">
        <f t="array" ref="E115">MIN(IFERROR(--_xlfn.TEXTSPLIT(SUBSTITUTE(SUBSTITUTE(G115,"|",",")," ",""),","),0))</f>
        <v>11</v>
      </c>
      <c r="F115" s="200" cm="1">
        <f t="array" ref="F115">MAX(IFERROR(--_xlfn.TEXTSPLIT(SUBSTITUTE(SUBSTITUTE(G115,"|",",")," ",""),","),0))</f>
        <v>11</v>
      </c>
      <c r="G115" s="201" t="s">
        <v>7865</v>
      </c>
      <c r="H115" s="61"/>
    </row>
    <row r="116" spans="1:8">
      <c r="A116" s="198" t="s">
        <v>5349</v>
      </c>
      <c r="B116" s="54" t="s">
        <v>7547</v>
      </c>
      <c r="C116" s="55" t="s">
        <v>2732</v>
      </c>
      <c r="D116" s="22" t="s">
        <v>2733</v>
      </c>
      <c r="E116" s="200" cm="1">
        <f t="array" ref="E116">MIN(IFERROR(--_xlfn.TEXTSPLIT(SUBSTITUTE(SUBSTITUTE(G116,"|",",")," ",""),","),0))</f>
        <v>10</v>
      </c>
      <c r="F116" s="200" cm="1">
        <f t="array" ref="F116">MAX(IFERROR(--_xlfn.TEXTSPLIT(SUBSTITUTE(SUBSTITUTE(G116,"|",",")," ",""),","),0))</f>
        <v>10</v>
      </c>
      <c r="G116" s="201" t="s">
        <v>7768</v>
      </c>
      <c r="H116" s="61"/>
    </row>
    <row r="117" spans="1:8">
      <c r="A117" s="198" t="s">
        <v>5349</v>
      </c>
      <c r="B117" s="54" t="s">
        <v>7547</v>
      </c>
      <c r="C117" s="55" t="s">
        <v>2734</v>
      </c>
      <c r="D117" s="22" t="s">
        <v>2735</v>
      </c>
      <c r="E117" s="200" cm="1">
        <f t="array" ref="E117">MIN(IFERROR(--_xlfn.TEXTSPLIT(SUBSTITUTE(SUBSTITUTE(G117,"|",",")," ",""),","),0))</f>
        <v>7</v>
      </c>
      <c r="F117" s="200" cm="1">
        <f t="array" ref="F117">MAX(IFERROR(--_xlfn.TEXTSPLIT(SUBSTITUTE(SUBSTITUTE(G117,"|",",")," ",""),","),0))</f>
        <v>7</v>
      </c>
      <c r="G117" s="201" t="s">
        <v>7866</v>
      </c>
      <c r="H117" s="61"/>
    </row>
    <row r="118" spans="1:8">
      <c r="A118" s="198" t="s">
        <v>5349</v>
      </c>
      <c r="B118" s="54" t="s">
        <v>7547</v>
      </c>
      <c r="C118" s="55" t="s">
        <v>2736</v>
      </c>
      <c r="D118" s="22" t="s">
        <v>2737</v>
      </c>
      <c r="E118" s="200" cm="1">
        <f t="array" ref="E118">MIN(IFERROR(--_xlfn.TEXTSPLIT(SUBSTITUTE(SUBSTITUTE(G118,"|",",")," ",""),","),0))</f>
        <v>9</v>
      </c>
      <c r="F118" s="200" cm="1">
        <f t="array" ref="F118">MAX(IFERROR(--_xlfn.TEXTSPLIT(SUBSTITUTE(SUBSTITUTE(G118,"|",",")," ",""),","),0))</f>
        <v>9</v>
      </c>
      <c r="G118" s="201" t="s">
        <v>7766</v>
      </c>
      <c r="H118" s="61"/>
    </row>
    <row r="119" spans="1:8">
      <c r="A119" s="198" t="s">
        <v>5349</v>
      </c>
      <c r="B119" s="54" t="s">
        <v>7547</v>
      </c>
      <c r="C119" s="55" t="s">
        <v>2738</v>
      </c>
      <c r="D119" s="61" t="s">
        <v>2739</v>
      </c>
      <c r="E119" s="200" cm="1">
        <f t="array" ref="E119">MIN(IFERROR(--_xlfn.TEXTSPLIT(SUBSTITUTE(SUBSTITUTE(G119,"|",",")," ",""),","),0))</f>
        <v>2</v>
      </c>
      <c r="F119" s="200" cm="1">
        <f t="array" ref="F119">MAX(IFERROR(--_xlfn.TEXTSPLIT(SUBSTITUTE(SUBSTITUTE(G119,"|",",")," ",""),","),0))</f>
        <v>2</v>
      </c>
      <c r="G119" s="201" t="s">
        <v>7861</v>
      </c>
      <c r="H119" s="61"/>
    </row>
    <row r="120" spans="1:8">
      <c r="A120" s="198" t="s">
        <v>5349</v>
      </c>
      <c r="B120" s="54" t="s">
        <v>7547</v>
      </c>
      <c r="C120" s="55" t="s">
        <v>2740</v>
      </c>
      <c r="D120" s="61" t="s">
        <v>2741</v>
      </c>
      <c r="E120" s="200" cm="1">
        <f t="array" ref="E120">MIN(IFERROR(--_xlfn.TEXTSPLIT(SUBSTITUTE(SUBSTITUTE(G120,"|",",")," ",""),","),0))</f>
        <v>9</v>
      </c>
      <c r="F120" s="200" cm="1">
        <f t="array" ref="F120">MAX(IFERROR(--_xlfn.TEXTSPLIT(SUBSTITUTE(SUBSTITUTE(G120,"|",",")," ",""),","),0))</f>
        <v>9</v>
      </c>
      <c r="G120" s="201" t="s">
        <v>7766</v>
      </c>
      <c r="H120" s="61"/>
    </row>
    <row r="121" spans="1:8">
      <c r="A121" s="198" t="s">
        <v>5349</v>
      </c>
      <c r="B121" s="54" t="s">
        <v>7547</v>
      </c>
      <c r="C121" s="55" t="s">
        <v>2742</v>
      </c>
      <c r="D121" s="61" t="s">
        <v>232</v>
      </c>
      <c r="E121" s="200" cm="1">
        <f t="array" ref="E121">MIN(IFERROR(--_xlfn.TEXTSPLIT(SUBSTITUTE(SUBSTITUTE(G121,"|",",")," ",""),","),0))</f>
        <v>8</v>
      </c>
      <c r="F121" s="200" cm="1">
        <f t="array" ref="F121">MAX(IFERROR(--_xlfn.TEXTSPLIT(SUBSTITUTE(SUBSTITUTE(G121,"|",",")," ",""),","),0))</f>
        <v>8</v>
      </c>
      <c r="G121" s="201" t="s">
        <v>7764</v>
      </c>
      <c r="H121" s="61"/>
    </row>
    <row r="122" spans="1:8">
      <c r="A122" s="198" t="s">
        <v>5349</v>
      </c>
      <c r="B122" s="54" t="s">
        <v>7547</v>
      </c>
      <c r="C122" s="55" t="s">
        <v>2743</v>
      </c>
      <c r="D122" s="61" t="s">
        <v>2744</v>
      </c>
      <c r="E122" s="200" cm="1">
        <f t="array" ref="E122">MIN(IFERROR(--_xlfn.TEXTSPLIT(SUBSTITUTE(SUBSTITUTE(G122,"|",",")," ",""),","),0))</f>
        <v>11</v>
      </c>
      <c r="F122" s="200" cm="1">
        <f t="array" ref="F122">MAX(IFERROR(--_xlfn.TEXTSPLIT(SUBSTITUTE(SUBSTITUTE(G122,"|",",")," ",""),","),0))</f>
        <v>11</v>
      </c>
      <c r="G122" s="201" t="s">
        <v>7865</v>
      </c>
      <c r="H122" s="61"/>
    </row>
    <row r="123" spans="1:8">
      <c r="A123" s="198" t="s">
        <v>5349</v>
      </c>
      <c r="B123" s="54" t="s">
        <v>7547</v>
      </c>
      <c r="C123" s="55" t="s">
        <v>2745</v>
      </c>
      <c r="D123" s="61" t="s">
        <v>1010</v>
      </c>
      <c r="E123" s="200" cm="1">
        <f t="array" ref="E123">MIN(IFERROR(--_xlfn.TEXTSPLIT(SUBSTITUTE(SUBSTITUTE(G123,"|",",")," ",""),","),0))</f>
        <v>80</v>
      </c>
      <c r="F123" s="200" cm="1">
        <f t="array" ref="F123">MAX(IFERROR(--_xlfn.TEXTSPLIT(SUBSTITUTE(SUBSTITUTE(G123,"|",",")," ",""),","),0))</f>
        <v>80</v>
      </c>
      <c r="G123" s="201" t="s">
        <v>7867</v>
      </c>
      <c r="H123" s="61"/>
    </row>
    <row r="124" spans="1:8">
      <c r="A124" s="198" t="s">
        <v>5349</v>
      </c>
      <c r="B124" s="54" t="s">
        <v>7547</v>
      </c>
      <c r="C124" s="55" t="s">
        <v>2746</v>
      </c>
      <c r="D124" s="61" t="s">
        <v>1022</v>
      </c>
      <c r="E124" s="200" cm="1">
        <f t="array" ref="E124">MIN(IFERROR(--_xlfn.TEXTSPLIT(SUBSTITUTE(SUBSTITUTE(G124,"|",",")," ",""),","),0))</f>
        <v>80</v>
      </c>
      <c r="F124" s="200" cm="1">
        <f t="array" ref="F124">MAX(IFERROR(--_xlfn.TEXTSPLIT(SUBSTITUTE(SUBSTITUTE(G124,"|",",")," ",""),","),0))</f>
        <v>80</v>
      </c>
      <c r="G124" s="201" t="s">
        <v>7867</v>
      </c>
      <c r="H124" s="61"/>
    </row>
    <row r="125" spans="1:8">
      <c r="A125" s="198" t="s">
        <v>5349</v>
      </c>
      <c r="B125" s="54" t="s">
        <v>7547</v>
      </c>
      <c r="C125" s="55" t="s">
        <v>2747</v>
      </c>
      <c r="D125" s="61" t="s">
        <v>1028</v>
      </c>
      <c r="E125" s="200" cm="1">
        <f t="array" ref="E125">MIN(IFERROR(--_xlfn.TEXTSPLIT(SUBSTITUTE(SUBSTITUTE(G125,"|",",")," ",""),","),0))</f>
        <v>80</v>
      </c>
      <c r="F125" s="200" cm="1">
        <f t="array" ref="F125">MAX(IFERROR(--_xlfn.TEXTSPLIT(SUBSTITUTE(SUBSTITUTE(G125,"|",",")," ",""),","),0))</f>
        <v>80</v>
      </c>
      <c r="G125" s="201" t="s">
        <v>7867</v>
      </c>
      <c r="H125" s="61"/>
    </row>
    <row r="126" spans="1:8">
      <c r="A126" s="198" t="s">
        <v>5349</v>
      </c>
      <c r="B126" s="54" t="s">
        <v>7547</v>
      </c>
      <c r="C126" s="55" t="s">
        <v>2748</v>
      </c>
      <c r="D126" s="61" t="s">
        <v>2749</v>
      </c>
      <c r="E126" s="200" cm="1">
        <f t="array" ref="E126">MIN(IFERROR(--_xlfn.TEXTSPLIT(SUBSTITUTE(SUBSTITUTE(G126,"|",",")," ",""),","),0))</f>
        <v>5</v>
      </c>
      <c r="F126" s="200" cm="1">
        <f t="array" ref="F126">MAX(IFERROR(--_xlfn.TEXTSPLIT(SUBSTITUTE(SUBSTITUTE(G126,"|",",")," ",""),","),0))</f>
        <v>5</v>
      </c>
      <c r="G126" s="201" t="s">
        <v>7620</v>
      </c>
      <c r="H126" s="61"/>
    </row>
    <row r="127" spans="1:8">
      <c r="A127" s="198" t="s">
        <v>5349</v>
      </c>
      <c r="B127" s="54" t="s">
        <v>7547</v>
      </c>
      <c r="C127" s="55" t="s">
        <v>2750</v>
      </c>
      <c r="D127" s="61" t="s">
        <v>2751</v>
      </c>
      <c r="E127" s="200" cm="1">
        <f t="array" ref="E127">MIN(IFERROR(--_xlfn.TEXTSPLIT(SUBSTITUTE(SUBSTITUTE(G127,"|",",")," ",""),","),0))</f>
        <v>40</v>
      </c>
      <c r="F127" s="200" cm="1">
        <f t="array" ref="F127">MAX(IFERROR(--_xlfn.TEXTSPLIT(SUBSTITUTE(SUBSTITUTE(G127,"|",",")," ",""),","),0))</f>
        <v>40</v>
      </c>
      <c r="G127" s="201" t="s">
        <v>7860</v>
      </c>
      <c r="H127" s="61"/>
    </row>
    <row r="128" spans="1:8">
      <c r="A128" s="198" t="s">
        <v>5349</v>
      </c>
      <c r="B128" s="54" t="s">
        <v>7547</v>
      </c>
      <c r="C128" s="55" t="s">
        <v>2752</v>
      </c>
      <c r="D128" s="61" t="s">
        <v>218</v>
      </c>
      <c r="E128" s="200" cm="1">
        <f t="array" ref="E128">MIN(IFERROR(--_xlfn.TEXTSPLIT(SUBSTITUTE(SUBSTITUTE(G128,"|",",")," ",""),","),0))</f>
        <v>8</v>
      </c>
      <c r="F128" s="200" cm="1">
        <f t="array" ref="F128">MAX(IFERROR(--_xlfn.TEXTSPLIT(SUBSTITUTE(SUBSTITUTE(G128,"|",",")," ",""),","),0))</f>
        <v>8</v>
      </c>
      <c r="G128" s="201" t="s">
        <v>7764</v>
      </c>
      <c r="H128" s="61"/>
    </row>
    <row r="129" spans="1:8">
      <c r="A129" s="198" t="s">
        <v>5349</v>
      </c>
      <c r="B129" s="54" t="s">
        <v>7547</v>
      </c>
      <c r="C129" s="55" t="s">
        <v>2753</v>
      </c>
      <c r="D129" s="61" t="s">
        <v>250</v>
      </c>
      <c r="E129" s="200" cm="1">
        <f t="array" ref="E129">MIN(IFERROR(--_xlfn.TEXTSPLIT(SUBSTITUTE(SUBSTITUTE(G129,"|",",")," ",""),","),0))</f>
        <v>40</v>
      </c>
      <c r="F129" s="200" cm="1">
        <f t="array" ref="F129">MAX(IFERROR(--_xlfn.TEXTSPLIT(SUBSTITUTE(SUBSTITUTE(G129,"|",",")," ",""),","),0))</f>
        <v>40</v>
      </c>
      <c r="G129" s="201" t="s">
        <v>7860</v>
      </c>
      <c r="H129" s="61"/>
    </row>
    <row r="130" spans="1:8">
      <c r="A130" s="198" t="s">
        <v>5349</v>
      </c>
      <c r="B130" s="54" t="s">
        <v>7547</v>
      </c>
      <c r="C130" s="55" t="s">
        <v>2754</v>
      </c>
      <c r="D130" s="56" t="s">
        <v>2755</v>
      </c>
      <c r="E130" s="200" cm="1">
        <f t="array" ref="E130">MIN(IFERROR(--_xlfn.TEXTSPLIT(SUBSTITUTE(SUBSTITUTE(G130,"|",",")," ",""),","),0))</f>
        <v>35</v>
      </c>
      <c r="F130" s="200" cm="1">
        <f t="array" ref="F130">MAX(IFERROR(--_xlfn.TEXTSPLIT(SUBSTITUTE(SUBSTITUTE(G130,"|",",")," ",""),","),0))</f>
        <v>35</v>
      </c>
      <c r="G130" s="201" t="s">
        <v>7868</v>
      </c>
      <c r="H130" s="61"/>
    </row>
    <row r="131" spans="1:8">
      <c r="A131" s="198" t="s">
        <v>5349</v>
      </c>
      <c r="B131" s="54" t="s">
        <v>7547</v>
      </c>
      <c r="C131" s="55" t="s">
        <v>2756</v>
      </c>
      <c r="D131" s="56" t="s">
        <v>2757</v>
      </c>
      <c r="E131" s="200" cm="1">
        <f t="array" ref="E131">MIN(IFERROR(--_xlfn.TEXTSPLIT(SUBSTITUTE(SUBSTITUTE(G131,"|",",")," ",""),","),0))</f>
        <v>85</v>
      </c>
      <c r="F131" s="200" cm="1">
        <f t="array" ref="F131">MAX(IFERROR(--_xlfn.TEXTSPLIT(SUBSTITUTE(SUBSTITUTE(G131,"|",",")," ",""),","),0))</f>
        <v>85</v>
      </c>
      <c r="G131" s="201" t="s">
        <v>7857</v>
      </c>
      <c r="H131" s="61"/>
    </row>
    <row r="132" spans="1:8">
      <c r="A132" s="198" t="s">
        <v>5349</v>
      </c>
      <c r="B132" s="54" t="s">
        <v>7547</v>
      </c>
      <c r="C132" s="55" t="s">
        <v>2758</v>
      </c>
      <c r="D132" s="56" t="s">
        <v>2759</v>
      </c>
      <c r="E132" s="200" cm="1">
        <f t="array" ref="E132">MIN(IFERROR(--_xlfn.TEXTSPLIT(SUBSTITUTE(SUBSTITUTE(G132,"|",",")," ",""),","),0))</f>
        <v>90</v>
      </c>
      <c r="F132" s="200" cm="1">
        <f t="array" ref="F132">MAX(IFERROR(--_xlfn.TEXTSPLIT(SUBSTITUTE(SUBSTITUTE(G132,"|",",")," ",""),","),0))</f>
        <v>90</v>
      </c>
      <c r="G132" s="201" t="s">
        <v>7869</v>
      </c>
      <c r="H132" s="61"/>
    </row>
    <row r="133" spans="1:8">
      <c r="A133" s="198" t="s">
        <v>5349</v>
      </c>
      <c r="B133" s="54" t="s">
        <v>7547</v>
      </c>
      <c r="C133" s="55" t="s">
        <v>2760</v>
      </c>
      <c r="D133" s="56" t="s">
        <v>2761</v>
      </c>
      <c r="E133" s="200" cm="1">
        <f t="array" ref="E133">MIN(IFERROR(--_xlfn.TEXTSPLIT(SUBSTITUTE(SUBSTITUTE(G133,"|",",")," ",""),","),0))</f>
        <v>60</v>
      </c>
      <c r="F133" s="200" cm="1">
        <f t="array" ref="F133">MAX(IFERROR(--_xlfn.TEXTSPLIT(SUBSTITUTE(SUBSTITUTE(G133,"|",",")," ",""),","),0))</f>
        <v>60</v>
      </c>
      <c r="G133" s="201" t="s">
        <v>7870</v>
      </c>
      <c r="H133" s="61"/>
    </row>
    <row r="134" spans="1:8">
      <c r="A134" s="198" t="s">
        <v>5349</v>
      </c>
      <c r="B134" s="54" t="s">
        <v>7547</v>
      </c>
      <c r="C134" s="55" t="s">
        <v>2762</v>
      </c>
      <c r="D134" s="56" t="s">
        <v>2763</v>
      </c>
      <c r="E134" s="200" cm="1">
        <f t="array" ref="E134">MIN(IFERROR(--_xlfn.TEXTSPLIT(SUBSTITUTE(SUBSTITUTE(G134,"|",",")," ",""),","),0))</f>
        <v>90</v>
      </c>
      <c r="F134" s="200" cm="1">
        <f t="array" ref="F134">MAX(IFERROR(--_xlfn.TEXTSPLIT(SUBSTITUTE(SUBSTITUTE(G134,"|",",")," ",""),","),0))</f>
        <v>90</v>
      </c>
      <c r="G134" s="201" t="s">
        <v>7869</v>
      </c>
      <c r="H134" s="61"/>
    </row>
    <row r="135" spans="1:8">
      <c r="A135" s="198" t="s">
        <v>5349</v>
      </c>
      <c r="B135" s="54" t="s">
        <v>7547</v>
      </c>
      <c r="C135" s="55" t="s">
        <v>2764</v>
      </c>
      <c r="D135" s="56" t="s">
        <v>2765</v>
      </c>
      <c r="E135" s="200" cm="1">
        <f t="array" ref="E135">MIN(IFERROR(--_xlfn.TEXTSPLIT(SUBSTITUTE(SUBSTITUTE(G135,"|",",")," ",""),","),0))</f>
        <v>24</v>
      </c>
      <c r="F135" s="200" cm="1">
        <f t="array" ref="F135">MAX(IFERROR(--_xlfn.TEXTSPLIT(SUBSTITUTE(SUBSTITUTE(G135,"|",",")," ",""),","),0))</f>
        <v>24</v>
      </c>
      <c r="G135" s="201" t="s">
        <v>7871</v>
      </c>
      <c r="H135" s="61"/>
    </row>
    <row r="136" spans="1:8">
      <c r="A136" s="198" t="s">
        <v>5349</v>
      </c>
      <c r="B136" s="54" t="s">
        <v>7548</v>
      </c>
      <c r="C136" s="55" t="s">
        <v>2766</v>
      </c>
      <c r="D136" s="61" t="s">
        <v>260</v>
      </c>
      <c r="E136" s="200" cm="1">
        <f t="array" ref="E136">MIN(IFERROR(--_xlfn.TEXTSPLIT(SUBSTITUTE(SUBSTITUTE(G136,"|",",")," ",""),","),0))</f>
        <v>9</v>
      </c>
      <c r="F136" s="200" cm="1">
        <f t="array" ref="F136">MAX(IFERROR(--_xlfn.TEXTSPLIT(SUBSTITUTE(SUBSTITUTE(G136,"|",",")," ",""),","),0))</f>
        <v>9</v>
      </c>
      <c r="G136" s="201" t="s">
        <v>7766</v>
      </c>
      <c r="H136" s="61"/>
    </row>
    <row r="137" spans="1:8">
      <c r="A137" s="198" t="s">
        <v>5349</v>
      </c>
      <c r="B137" s="54" t="s">
        <v>7548</v>
      </c>
      <c r="C137" s="55" t="s">
        <v>2767</v>
      </c>
      <c r="D137" s="61" t="s">
        <v>1667</v>
      </c>
      <c r="E137" s="200" cm="1">
        <f t="array" ref="E137">MIN(IFERROR(--_xlfn.TEXTSPLIT(SUBSTITUTE(SUBSTITUTE(G137,"|",",")," ",""),","),0))</f>
        <v>3</v>
      </c>
      <c r="F137" s="200" cm="1">
        <f t="array" ref="F137">MAX(IFERROR(--_xlfn.TEXTSPLIT(SUBSTITUTE(SUBSTITUTE(G137,"|",",")," ",""),","),0))</f>
        <v>3</v>
      </c>
      <c r="G137" s="201" t="s">
        <v>7872</v>
      </c>
      <c r="H137" s="61"/>
    </row>
    <row r="138" spans="1:8">
      <c r="A138" s="198" t="s">
        <v>5349</v>
      </c>
      <c r="B138" s="54" t="s">
        <v>7548</v>
      </c>
      <c r="C138" s="55" t="s">
        <v>2768</v>
      </c>
      <c r="D138" s="61" t="s">
        <v>1669</v>
      </c>
      <c r="E138" s="200" cm="1">
        <f t="array" ref="E138">MIN(IFERROR(--_xlfn.TEXTSPLIT(SUBSTITUTE(SUBSTITUTE(G138,"|",",")," ",""),","),0))</f>
        <v>3</v>
      </c>
      <c r="F138" s="200" cm="1">
        <f t="array" ref="F138">MAX(IFERROR(--_xlfn.TEXTSPLIT(SUBSTITUTE(SUBSTITUTE(G138,"|",",")," ",""),","),0))</f>
        <v>3</v>
      </c>
      <c r="G138" s="201" t="s">
        <v>7872</v>
      </c>
      <c r="H138" s="61"/>
    </row>
    <row r="139" spans="1:8">
      <c r="A139" s="198" t="s">
        <v>5349</v>
      </c>
      <c r="B139" s="54" t="s">
        <v>7548</v>
      </c>
      <c r="C139" s="55" t="s">
        <v>2769</v>
      </c>
      <c r="D139" s="61" t="s">
        <v>1671</v>
      </c>
      <c r="E139" s="200" cm="1">
        <f t="array" ref="E139">MIN(IFERROR(--_xlfn.TEXTSPLIT(SUBSTITUTE(SUBSTITUTE(G139,"|",",")," ",""),","),0))</f>
        <v>3</v>
      </c>
      <c r="F139" s="200" cm="1">
        <f t="array" ref="F139">MAX(IFERROR(--_xlfn.TEXTSPLIT(SUBSTITUTE(SUBSTITUTE(G139,"|",",")," ",""),","),0))</f>
        <v>3</v>
      </c>
      <c r="G139" s="201" t="s">
        <v>7872</v>
      </c>
      <c r="H139" s="61"/>
    </row>
    <row r="140" spans="1:8">
      <c r="A140" s="198" t="s">
        <v>5349</v>
      </c>
      <c r="B140" s="54" t="s">
        <v>7548</v>
      </c>
      <c r="C140" s="55" t="s">
        <v>2770</v>
      </c>
      <c r="D140" s="61" t="s">
        <v>1673</v>
      </c>
      <c r="E140" s="200" cm="1">
        <f t="array" ref="E140">MIN(IFERROR(--_xlfn.TEXTSPLIT(SUBSTITUTE(SUBSTITUTE(G140,"|",",")," ",""),","),0))</f>
        <v>3</v>
      </c>
      <c r="F140" s="200" cm="1">
        <f t="array" ref="F140">MAX(IFERROR(--_xlfn.TEXTSPLIT(SUBSTITUTE(SUBSTITUTE(G140,"|",",")," ",""),","),0))</f>
        <v>3</v>
      </c>
      <c r="G140" s="201" t="s">
        <v>7872</v>
      </c>
      <c r="H140" s="61"/>
    </row>
    <row r="141" spans="1:8">
      <c r="A141" s="198" t="s">
        <v>5349</v>
      </c>
      <c r="B141" s="54" t="s">
        <v>7548</v>
      </c>
      <c r="C141" s="55" t="s">
        <v>2771</v>
      </c>
      <c r="D141" s="61" t="s">
        <v>1674</v>
      </c>
      <c r="E141" s="200" cm="1">
        <f t="array" ref="E141">MIN(IFERROR(--_xlfn.TEXTSPLIT(SUBSTITUTE(SUBSTITUTE(G141,"|",",")," ",""),","),0))</f>
        <v>3</v>
      </c>
      <c r="F141" s="200" cm="1">
        <f t="array" ref="F141">MAX(IFERROR(--_xlfn.TEXTSPLIT(SUBSTITUTE(SUBSTITUTE(G141,"|",",")," ",""),","),0))</f>
        <v>3</v>
      </c>
      <c r="G141" s="201" t="s">
        <v>7872</v>
      </c>
      <c r="H141" s="61"/>
    </row>
    <row r="142" spans="1:8">
      <c r="A142" s="198" t="s">
        <v>5349</v>
      </c>
      <c r="B142" s="54" t="s">
        <v>7548</v>
      </c>
      <c r="C142" s="55" t="s">
        <v>2772</v>
      </c>
      <c r="D142" s="61" t="s">
        <v>1676</v>
      </c>
      <c r="E142" s="200" cm="1">
        <f t="array" ref="E142">MIN(IFERROR(--_xlfn.TEXTSPLIT(SUBSTITUTE(SUBSTITUTE(G142,"|",",")," ",""),","),0))</f>
        <v>3</v>
      </c>
      <c r="F142" s="200" cm="1">
        <f t="array" ref="F142">MAX(IFERROR(--_xlfn.TEXTSPLIT(SUBSTITUTE(SUBSTITUTE(G142,"|",",")," ",""),","),0))</f>
        <v>3</v>
      </c>
      <c r="G142" s="201" t="s">
        <v>7872</v>
      </c>
      <c r="H142" s="61"/>
    </row>
    <row r="143" spans="1:8">
      <c r="A143" s="198" t="s">
        <v>5349</v>
      </c>
      <c r="B143" s="54" t="s">
        <v>7548</v>
      </c>
      <c r="C143" s="55" t="s">
        <v>2773</v>
      </c>
      <c r="D143" s="61" t="s">
        <v>1677</v>
      </c>
      <c r="E143" s="200" cm="1">
        <f t="array" ref="E143">MIN(IFERROR(--_xlfn.TEXTSPLIT(SUBSTITUTE(SUBSTITUTE(G143,"|",",")," ",""),","),0))</f>
        <v>3</v>
      </c>
      <c r="F143" s="200" cm="1">
        <f t="array" ref="F143">MAX(IFERROR(--_xlfn.TEXTSPLIT(SUBSTITUTE(SUBSTITUTE(G143,"|",",")," ",""),","),0))</f>
        <v>3</v>
      </c>
      <c r="G143" s="201" t="s">
        <v>7872</v>
      </c>
      <c r="H143" s="61"/>
    </row>
    <row r="144" spans="1:8">
      <c r="A144" s="198" t="s">
        <v>5349</v>
      </c>
      <c r="B144" s="54" t="s">
        <v>7548</v>
      </c>
      <c r="C144" s="55" t="s">
        <v>2774</v>
      </c>
      <c r="D144" s="61" t="s">
        <v>1679</v>
      </c>
      <c r="E144" s="200" cm="1">
        <f t="array" ref="E144">MIN(IFERROR(--_xlfn.TEXTSPLIT(SUBSTITUTE(SUBSTITUTE(G144,"|",",")," ",""),","),0))</f>
        <v>3</v>
      </c>
      <c r="F144" s="200" cm="1">
        <f t="array" ref="F144">MAX(IFERROR(--_xlfn.TEXTSPLIT(SUBSTITUTE(SUBSTITUTE(G144,"|",",")," ",""),","),0))</f>
        <v>3</v>
      </c>
      <c r="G144" s="201" t="s">
        <v>7872</v>
      </c>
      <c r="H144" s="61"/>
    </row>
    <row r="145" spans="1:8">
      <c r="A145" s="198" t="s">
        <v>5349</v>
      </c>
      <c r="B145" s="54" t="s">
        <v>7548</v>
      </c>
      <c r="C145" s="55" t="s">
        <v>2775</v>
      </c>
      <c r="D145" s="61" t="s">
        <v>1681</v>
      </c>
      <c r="E145" s="200" cm="1">
        <f t="array" ref="E145">MIN(IFERROR(--_xlfn.TEXTSPLIT(SUBSTITUTE(SUBSTITUTE(G145,"|",",")," ",""),","),0))</f>
        <v>3</v>
      </c>
      <c r="F145" s="200" cm="1">
        <f t="array" ref="F145">MAX(IFERROR(--_xlfn.TEXTSPLIT(SUBSTITUTE(SUBSTITUTE(G145,"|",",")," ",""),","),0))</f>
        <v>3</v>
      </c>
      <c r="G145" s="201" t="s">
        <v>7872</v>
      </c>
      <c r="H145" s="61"/>
    </row>
    <row r="146" spans="1:8">
      <c r="A146" s="198" t="s">
        <v>5349</v>
      </c>
      <c r="B146" s="54" t="s">
        <v>7548</v>
      </c>
      <c r="C146" s="55" t="s">
        <v>2776</v>
      </c>
      <c r="D146" s="61" t="s">
        <v>1683</v>
      </c>
      <c r="E146" s="200" cm="1">
        <f t="array" ref="E146">MIN(IFERROR(--_xlfn.TEXTSPLIT(SUBSTITUTE(SUBSTITUTE(G146,"|",",")," ",""),","),0))</f>
        <v>3</v>
      </c>
      <c r="F146" s="200" cm="1">
        <f t="array" ref="F146">MAX(IFERROR(--_xlfn.TEXTSPLIT(SUBSTITUTE(SUBSTITUTE(G146,"|",",")," ",""),","),0))</f>
        <v>3</v>
      </c>
      <c r="G146" s="201" t="s">
        <v>7872</v>
      </c>
      <c r="H146" s="61"/>
    </row>
    <row r="147" spans="1:8">
      <c r="A147" s="198" t="s">
        <v>5349</v>
      </c>
      <c r="B147" s="54" t="s">
        <v>7548</v>
      </c>
      <c r="C147" s="55" t="s">
        <v>2777</v>
      </c>
      <c r="D147" s="61" t="s">
        <v>1685</v>
      </c>
      <c r="E147" s="200" cm="1">
        <f t="array" ref="E147">MIN(IFERROR(--_xlfn.TEXTSPLIT(SUBSTITUTE(SUBSTITUTE(G147,"|",",")," ",""),","),0))</f>
        <v>3</v>
      </c>
      <c r="F147" s="200" cm="1">
        <f t="array" ref="F147">MAX(IFERROR(--_xlfn.TEXTSPLIT(SUBSTITUTE(SUBSTITUTE(G147,"|",",")," ",""),","),0))</f>
        <v>3</v>
      </c>
      <c r="G147" s="201" t="s">
        <v>7872</v>
      </c>
      <c r="H147" s="61"/>
    </row>
    <row r="148" spans="1:8">
      <c r="A148" s="198" t="s">
        <v>5349</v>
      </c>
      <c r="B148" s="54" t="s">
        <v>7548</v>
      </c>
      <c r="C148" s="55" t="s">
        <v>2778</v>
      </c>
      <c r="D148" s="61" t="s">
        <v>284</v>
      </c>
      <c r="E148" s="200" cm="1">
        <f t="array" ref="E148">MIN(IFERROR(--_xlfn.TEXTSPLIT(SUBSTITUTE(SUBSTITUTE(G148,"|",",")," ",""),","),0))</f>
        <v>7</v>
      </c>
      <c r="F148" s="200" cm="1">
        <f t="array" ref="F148">MAX(IFERROR(--_xlfn.TEXTSPLIT(SUBSTITUTE(SUBSTITUTE(G148,"|",",")," ",""),","),0))</f>
        <v>7</v>
      </c>
      <c r="G148" s="201" t="s">
        <v>7866</v>
      </c>
      <c r="H148" s="61"/>
    </row>
    <row r="149" spans="1:8">
      <c r="A149" s="198" t="s">
        <v>5349</v>
      </c>
      <c r="B149" s="54" t="s">
        <v>7548</v>
      </c>
      <c r="C149" s="55" t="s">
        <v>2779</v>
      </c>
      <c r="D149" s="61" t="s">
        <v>288</v>
      </c>
      <c r="E149" s="200" cm="1">
        <f t="array" ref="E149">MIN(IFERROR(--_xlfn.TEXTSPLIT(SUBSTITUTE(SUBSTITUTE(G149,"|",",")," ",""),","),0))</f>
        <v>8</v>
      </c>
      <c r="F149" s="200" cm="1">
        <f t="array" ref="F149">MAX(IFERROR(--_xlfn.TEXTSPLIT(SUBSTITUTE(SUBSTITUTE(G149,"|",",")," ",""),","),0))</f>
        <v>8</v>
      </c>
      <c r="G149" s="201" t="s">
        <v>7764</v>
      </c>
      <c r="H149" s="61"/>
    </row>
    <row r="150" spans="1:8">
      <c r="A150" s="198" t="s">
        <v>5349</v>
      </c>
      <c r="B150" s="54" t="s">
        <v>7548</v>
      </c>
      <c r="C150" s="55" t="s">
        <v>2780</v>
      </c>
      <c r="D150" s="61" t="s">
        <v>292</v>
      </c>
      <c r="E150" s="200" cm="1">
        <f t="array" ref="E150">MIN(IFERROR(--_xlfn.TEXTSPLIT(SUBSTITUTE(SUBSTITUTE(G150,"|",",")," ",""),","),0))</f>
        <v>8</v>
      </c>
      <c r="F150" s="200" cm="1">
        <f t="array" ref="F150">MAX(IFERROR(--_xlfn.TEXTSPLIT(SUBSTITUTE(SUBSTITUTE(G150,"|",",")," ",""),","),0))</f>
        <v>8</v>
      </c>
      <c r="G150" s="201" t="s">
        <v>7764</v>
      </c>
      <c r="H150" s="61"/>
    </row>
    <row r="151" spans="1:8">
      <c r="A151" s="198" t="s">
        <v>5349</v>
      </c>
      <c r="B151" s="54" t="s">
        <v>7548</v>
      </c>
      <c r="C151" s="55" t="s">
        <v>2781</v>
      </c>
      <c r="D151" s="61" t="s">
        <v>2782</v>
      </c>
      <c r="E151" s="200" cm="1">
        <f t="array" ref="E151">MIN(IFERROR(--_xlfn.TEXTSPLIT(SUBSTITUTE(SUBSTITUTE(G151,"|",",")," ",""),","),0))</f>
        <v>3</v>
      </c>
      <c r="F151" s="200" cm="1">
        <f t="array" ref="F151">MAX(IFERROR(--_xlfn.TEXTSPLIT(SUBSTITUTE(SUBSTITUTE(G151,"|",",")," ",""),","),0))</f>
        <v>3</v>
      </c>
      <c r="G151" s="201" t="s">
        <v>7872</v>
      </c>
      <c r="H151" s="61"/>
    </row>
    <row r="152" spans="1:8">
      <c r="A152" s="198" t="s">
        <v>5349</v>
      </c>
      <c r="B152" s="54" t="s">
        <v>7548</v>
      </c>
      <c r="C152" s="55" t="s">
        <v>2783</v>
      </c>
      <c r="D152" s="61" t="s">
        <v>304</v>
      </c>
      <c r="E152" s="200" cm="1">
        <f t="array" ref="E152">MIN(IFERROR(--_xlfn.TEXTSPLIT(SUBSTITUTE(SUBSTITUTE(G152,"|",",")," ",""),","),0))</f>
        <v>4</v>
      </c>
      <c r="F152" s="200" cm="1">
        <f t="array" ref="F152">MAX(IFERROR(--_xlfn.TEXTSPLIT(SUBSTITUTE(SUBSTITUTE(G152,"|",",")," ",""),","),0))</f>
        <v>4</v>
      </c>
      <c r="G152" s="201" t="s">
        <v>7617</v>
      </c>
      <c r="H152" s="61"/>
    </row>
    <row r="153" spans="1:8">
      <c r="A153" s="198" t="s">
        <v>5349</v>
      </c>
      <c r="B153" s="54" t="s">
        <v>7548</v>
      </c>
      <c r="C153" s="55" t="s">
        <v>2784</v>
      </c>
      <c r="D153" s="61" t="s">
        <v>2785</v>
      </c>
      <c r="E153" s="200" cm="1">
        <f t="array" ref="E153">MIN(IFERROR(--_xlfn.TEXTSPLIT(SUBSTITUTE(SUBSTITUTE(G153,"|",",")," ",""),","),0))</f>
        <v>6</v>
      </c>
      <c r="F153" s="200" cm="1">
        <f t="array" ref="F153">MAX(IFERROR(--_xlfn.TEXTSPLIT(SUBSTITUTE(SUBSTITUTE(G153,"|",",")," ",""),","),0))</f>
        <v>6</v>
      </c>
      <c r="G153" s="201" t="s">
        <v>7623</v>
      </c>
      <c r="H153" s="61"/>
    </row>
    <row r="154" spans="1:8">
      <c r="A154" s="198" t="s">
        <v>5349</v>
      </c>
      <c r="B154" s="54" t="s">
        <v>7548</v>
      </c>
      <c r="C154" s="55" t="s">
        <v>2786</v>
      </c>
      <c r="D154" s="61" t="s">
        <v>2787</v>
      </c>
      <c r="E154" s="200" cm="1">
        <f t="array" ref="E154">MIN(IFERROR(--_xlfn.TEXTSPLIT(SUBSTITUTE(SUBSTITUTE(G154,"|",",")," ",""),","),0))</f>
        <v>5</v>
      </c>
      <c r="F154" s="200" cm="1">
        <f t="array" ref="F154">MAX(IFERROR(--_xlfn.TEXTSPLIT(SUBSTITUTE(SUBSTITUTE(G154,"|",",")," ",""),","),0))</f>
        <v>5</v>
      </c>
      <c r="G154" s="201" t="s">
        <v>7620</v>
      </c>
      <c r="H154" s="61"/>
    </row>
    <row r="155" spans="1:8">
      <c r="A155" s="198" t="s">
        <v>5349</v>
      </c>
      <c r="B155" s="54" t="s">
        <v>7548</v>
      </c>
      <c r="C155" s="55" t="s">
        <v>2788</v>
      </c>
      <c r="D155" s="61" t="s">
        <v>314</v>
      </c>
      <c r="E155" s="200" cm="1">
        <f t="array" ref="E155">MIN(IFERROR(--_xlfn.TEXTSPLIT(SUBSTITUTE(SUBSTITUTE(G155,"|",",")," ",""),","),0))</f>
        <v>25</v>
      </c>
      <c r="F155" s="200" cm="1">
        <f t="array" ref="F155">MAX(IFERROR(--_xlfn.TEXTSPLIT(SUBSTITUTE(SUBSTITUTE(G155,"|",",")," ",""),","),0))</f>
        <v>25</v>
      </c>
      <c r="G155" s="201" t="s">
        <v>7840</v>
      </c>
      <c r="H155" s="61"/>
    </row>
    <row r="156" spans="1:8">
      <c r="A156" s="198" t="s">
        <v>5349</v>
      </c>
      <c r="B156" s="54" t="s">
        <v>7548</v>
      </c>
      <c r="C156" s="55" t="s">
        <v>2789</v>
      </c>
      <c r="D156" s="61" t="s">
        <v>316</v>
      </c>
      <c r="E156" s="200" cm="1">
        <f t="array" ref="E156">MIN(IFERROR(--_xlfn.TEXTSPLIT(SUBSTITUTE(SUBSTITUTE(G156,"|",",")," ",""),","),0))</f>
        <v>5</v>
      </c>
      <c r="F156" s="200" cm="1">
        <f t="array" ref="F156">MAX(IFERROR(--_xlfn.TEXTSPLIT(SUBSTITUTE(SUBSTITUTE(G156,"|",",")," ",""),","),0))</f>
        <v>5</v>
      </c>
      <c r="G156" s="201" t="s">
        <v>7620</v>
      </c>
      <c r="H156" s="61"/>
    </row>
    <row r="157" spans="1:8">
      <c r="A157" s="198" t="s">
        <v>5349</v>
      </c>
      <c r="B157" s="54" t="s">
        <v>7548</v>
      </c>
      <c r="C157" s="55" t="s">
        <v>2790</v>
      </c>
      <c r="D157" s="61" t="s">
        <v>318</v>
      </c>
      <c r="E157" s="200" cm="1">
        <f t="array" ref="E157">MIN(IFERROR(--_xlfn.TEXTSPLIT(SUBSTITUTE(SUBSTITUTE(G157,"|",",")," ",""),","),0))</f>
        <v>5</v>
      </c>
      <c r="F157" s="200" cm="1">
        <f t="array" ref="F157">MAX(IFERROR(--_xlfn.TEXTSPLIT(SUBSTITUTE(SUBSTITUTE(G157,"|",",")," ",""),","),0))</f>
        <v>5</v>
      </c>
      <c r="G157" s="201" t="s">
        <v>7620</v>
      </c>
      <c r="H157" s="61"/>
    </row>
    <row r="158" spans="1:8">
      <c r="A158" s="198" t="s">
        <v>5349</v>
      </c>
      <c r="B158" s="54" t="s">
        <v>7548</v>
      </c>
      <c r="C158" s="55" t="s">
        <v>2791</v>
      </c>
      <c r="D158" s="61" t="s">
        <v>320</v>
      </c>
      <c r="E158" s="200" cm="1">
        <f t="array" ref="E158">MIN(IFERROR(--_xlfn.TEXTSPLIT(SUBSTITUTE(SUBSTITUTE(G158,"|",",")," ",""),","),0))</f>
        <v>5</v>
      </c>
      <c r="F158" s="200" cm="1">
        <f t="array" ref="F158">MAX(IFERROR(--_xlfn.TEXTSPLIT(SUBSTITUTE(SUBSTITUTE(G158,"|",",")," ",""),","),0))</f>
        <v>5</v>
      </c>
      <c r="G158" s="201" t="s">
        <v>7620</v>
      </c>
      <c r="H158" s="61"/>
    </row>
    <row r="159" spans="1:8">
      <c r="A159" s="198" t="s">
        <v>5349</v>
      </c>
      <c r="B159" s="54" t="s">
        <v>7548</v>
      </c>
      <c r="C159" s="55" t="s">
        <v>2792</v>
      </c>
      <c r="D159" s="61" t="s">
        <v>322</v>
      </c>
      <c r="E159" s="200" cm="1">
        <f t="array" ref="E159">MIN(IFERROR(--_xlfn.TEXTSPLIT(SUBSTITUTE(SUBSTITUTE(G159,"|",",")," ",""),","),0))</f>
        <v>5</v>
      </c>
      <c r="F159" s="200" cm="1">
        <f t="array" ref="F159">MAX(IFERROR(--_xlfn.TEXTSPLIT(SUBSTITUTE(SUBSTITUTE(G159,"|",",")," ",""),","),0))</f>
        <v>5</v>
      </c>
      <c r="G159" s="201" t="s">
        <v>7620</v>
      </c>
      <c r="H159" s="61"/>
    </row>
    <row r="160" spans="1:8">
      <c r="A160" s="198" t="s">
        <v>5349</v>
      </c>
      <c r="B160" s="54" t="s">
        <v>7548</v>
      </c>
      <c r="C160" s="55" t="s">
        <v>2793</v>
      </c>
      <c r="D160" s="61" t="s">
        <v>324</v>
      </c>
      <c r="E160" s="200" cm="1">
        <f t="array" ref="E160">MIN(IFERROR(--_xlfn.TEXTSPLIT(SUBSTITUTE(SUBSTITUTE(G160,"|",",")," ",""),","),0))</f>
        <v>5</v>
      </c>
      <c r="F160" s="200" cm="1">
        <f t="array" ref="F160">MAX(IFERROR(--_xlfn.TEXTSPLIT(SUBSTITUTE(SUBSTITUTE(G160,"|",",")," ",""),","),0))</f>
        <v>5</v>
      </c>
      <c r="G160" s="201" t="s">
        <v>7620</v>
      </c>
      <c r="H160" s="61"/>
    </row>
    <row r="161" spans="1:8">
      <c r="A161" s="198" t="s">
        <v>5349</v>
      </c>
      <c r="B161" s="54" t="s">
        <v>7548</v>
      </c>
      <c r="C161" s="55" t="s">
        <v>2794</v>
      </c>
      <c r="D161" s="61" t="s">
        <v>2795</v>
      </c>
      <c r="E161" s="200" cm="1">
        <f t="array" ref="E161">MIN(IFERROR(--_xlfn.TEXTSPLIT(SUBSTITUTE(SUBSTITUTE(G161,"|",",")," ",""),","),0))</f>
        <v>5</v>
      </c>
      <c r="F161" s="200" cm="1">
        <f t="array" ref="F161">MAX(IFERROR(--_xlfn.TEXTSPLIT(SUBSTITUTE(SUBSTITUTE(G161,"|",",")," ",""),","),0))</f>
        <v>5</v>
      </c>
      <c r="G161" s="201" t="s">
        <v>7620</v>
      </c>
      <c r="H161" s="61"/>
    </row>
    <row r="162" spans="1:8">
      <c r="A162" s="198" t="s">
        <v>5349</v>
      </c>
      <c r="B162" s="54" t="s">
        <v>7548</v>
      </c>
      <c r="C162" s="55" t="s">
        <v>2796</v>
      </c>
      <c r="D162" s="61" t="s">
        <v>330</v>
      </c>
      <c r="E162" s="200" cm="1">
        <f t="array" ref="E162">MIN(IFERROR(--_xlfn.TEXTSPLIT(SUBSTITUTE(SUBSTITUTE(G162,"|",",")," ",""),","),0))</f>
        <v>7</v>
      </c>
      <c r="F162" s="200" cm="1">
        <f t="array" ref="F162">MAX(IFERROR(--_xlfn.TEXTSPLIT(SUBSTITUTE(SUBSTITUTE(G162,"|",",")," ",""),","),0))</f>
        <v>7</v>
      </c>
      <c r="G162" s="201" t="s">
        <v>7866</v>
      </c>
      <c r="H162" s="61"/>
    </row>
    <row r="163" spans="1:8">
      <c r="A163" s="198" t="s">
        <v>5349</v>
      </c>
      <c r="B163" s="54" t="s">
        <v>7548</v>
      </c>
      <c r="C163" s="55" t="s">
        <v>2797</v>
      </c>
      <c r="D163" s="61" t="s">
        <v>2798</v>
      </c>
      <c r="E163" s="200" cm="1">
        <f t="array" ref="E163">MIN(IFERROR(--_xlfn.TEXTSPLIT(SUBSTITUTE(SUBSTITUTE(G163,"|",",")," ",""),","),0))</f>
        <v>21</v>
      </c>
      <c r="F163" s="200" cm="1">
        <f t="array" ref="F163">MAX(IFERROR(--_xlfn.TEXTSPLIT(SUBSTITUTE(SUBSTITUTE(G163,"|",",")," ",""),","),0))</f>
        <v>21</v>
      </c>
      <c r="G163" s="201" t="s">
        <v>7842</v>
      </c>
      <c r="H163" s="61"/>
    </row>
    <row r="164" spans="1:8">
      <c r="A164" s="198" t="s">
        <v>5349</v>
      </c>
      <c r="B164" s="54" t="s">
        <v>7548</v>
      </c>
      <c r="C164" s="55" t="s">
        <v>2799</v>
      </c>
      <c r="D164" s="61" t="s">
        <v>2800</v>
      </c>
      <c r="E164" s="200" cm="1">
        <f t="array" ref="E164">MIN(IFERROR(--_xlfn.TEXTSPLIT(SUBSTITUTE(SUBSTITUTE(G164,"|",",")," ",""),","),0))</f>
        <v>9</v>
      </c>
      <c r="F164" s="200" cm="1">
        <f t="array" ref="F164">MAX(IFERROR(--_xlfn.TEXTSPLIT(SUBSTITUTE(SUBSTITUTE(G164,"|",",")," ",""),","),0))</f>
        <v>9</v>
      </c>
      <c r="G164" s="201" t="s">
        <v>7766</v>
      </c>
      <c r="H164" s="61"/>
    </row>
    <row r="165" spans="1:8">
      <c r="A165" s="198" t="s">
        <v>5349</v>
      </c>
      <c r="B165" s="54" t="s">
        <v>7548</v>
      </c>
      <c r="C165" s="55" t="s">
        <v>2801</v>
      </c>
      <c r="D165" s="61" t="s">
        <v>2802</v>
      </c>
      <c r="E165" s="200" cm="1">
        <f t="array" ref="E165">MIN(IFERROR(--_xlfn.TEXTSPLIT(SUBSTITUTE(SUBSTITUTE(G165,"|",",")," ",""),","),0))</f>
        <v>9</v>
      </c>
      <c r="F165" s="200" cm="1">
        <f t="array" ref="F165">MAX(IFERROR(--_xlfn.TEXTSPLIT(SUBSTITUTE(SUBSTITUTE(G165,"|",",")," ",""),","),0))</f>
        <v>9</v>
      </c>
      <c r="G165" s="201" t="s">
        <v>7766</v>
      </c>
      <c r="H165" s="61"/>
    </row>
    <row r="166" spans="1:8">
      <c r="A166" s="198" t="s">
        <v>5349</v>
      </c>
      <c r="B166" s="54" t="s">
        <v>7548</v>
      </c>
      <c r="C166" s="55" t="s">
        <v>2803</v>
      </c>
      <c r="D166" s="61" t="s">
        <v>2804</v>
      </c>
      <c r="E166" s="200" cm="1">
        <f t="array" ref="E166">MIN(IFERROR(--_xlfn.TEXTSPLIT(SUBSTITUTE(SUBSTITUTE(G166,"|",",")," ",""),","),0))</f>
        <v>9</v>
      </c>
      <c r="F166" s="200" cm="1">
        <f t="array" ref="F166">MAX(IFERROR(--_xlfn.TEXTSPLIT(SUBSTITUTE(SUBSTITUTE(G166,"|",",")," ",""),","),0))</f>
        <v>9</v>
      </c>
      <c r="G166" s="201" t="s">
        <v>7766</v>
      </c>
      <c r="H166" s="61"/>
    </row>
    <row r="167" spans="1:8">
      <c r="A167" s="198" t="s">
        <v>5349</v>
      </c>
      <c r="B167" s="54" t="s">
        <v>7548</v>
      </c>
      <c r="C167" s="55" t="s">
        <v>2805</v>
      </c>
      <c r="D167" s="61" t="s">
        <v>2806</v>
      </c>
      <c r="E167" s="200" cm="1">
        <f t="array" ref="E167">MIN(IFERROR(--_xlfn.TEXTSPLIT(SUBSTITUTE(SUBSTITUTE(G167,"|",",")," ",""),","),0))</f>
        <v>8</v>
      </c>
      <c r="F167" s="200" cm="1">
        <f t="array" ref="F167">MAX(IFERROR(--_xlfn.TEXTSPLIT(SUBSTITUTE(SUBSTITUTE(G167,"|",",")," ",""),","),0))</f>
        <v>8</v>
      </c>
      <c r="G167" s="201" t="s">
        <v>7764</v>
      </c>
      <c r="H167" s="61"/>
    </row>
    <row r="168" spans="1:8">
      <c r="A168" s="198" t="s">
        <v>5349</v>
      </c>
      <c r="B168" s="54" t="s">
        <v>7548</v>
      </c>
      <c r="C168" s="55" t="s">
        <v>2807</v>
      </c>
      <c r="D168" s="61" t="s">
        <v>1133</v>
      </c>
      <c r="E168" s="200" cm="1">
        <f t="array" ref="E168">MIN(IFERROR(--_xlfn.TEXTSPLIT(SUBSTITUTE(SUBSTITUTE(G168,"|",",")," ",""),","),0))</f>
        <v>4</v>
      </c>
      <c r="F168" s="200" cm="1">
        <f t="array" ref="F168">MAX(IFERROR(--_xlfn.TEXTSPLIT(SUBSTITUTE(SUBSTITUTE(G168,"|",",")," ",""),","),0))</f>
        <v>4</v>
      </c>
      <c r="G168" s="201" t="s">
        <v>7617</v>
      </c>
      <c r="H168" s="61"/>
    </row>
    <row r="169" spans="1:8">
      <c r="A169" s="198" t="s">
        <v>5349</v>
      </c>
      <c r="B169" s="54" t="s">
        <v>7548</v>
      </c>
      <c r="C169" s="55" t="s">
        <v>2808</v>
      </c>
      <c r="D169" s="61" t="s">
        <v>1734</v>
      </c>
      <c r="E169" s="200" cm="1">
        <f t="array" ref="E169">MIN(IFERROR(--_xlfn.TEXTSPLIT(SUBSTITUTE(SUBSTITUTE(G169,"|",",")," ",""),","),0))</f>
        <v>9</v>
      </c>
      <c r="F169" s="200" cm="1">
        <f t="array" ref="F169">MAX(IFERROR(--_xlfn.TEXTSPLIT(SUBSTITUTE(SUBSTITUTE(G169,"|",",")," ",""),","),0))</f>
        <v>9</v>
      </c>
      <c r="G169" s="201" t="s">
        <v>7766</v>
      </c>
      <c r="H169" s="61"/>
    </row>
    <row r="170" spans="1:8">
      <c r="A170" s="198" t="s">
        <v>5349</v>
      </c>
      <c r="B170" s="54" t="s">
        <v>7548</v>
      </c>
      <c r="C170" s="55" t="s">
        <v>2809</v>
      </c>
      <c r="D170" s="61" t="s">
        <v>2810</v>
      </c>
      <c r="E170" s="200" cm="1">
        <f t="array" ref="E170">MIN(IFERROR(--_xlfn.TEXTSPLIT(SUBSTITUTE(SUBSTITUTE(G170,"|",",")," ",""),","),0))</f>
        <v>8</v>
      </c>
      <c r="F170" s="200" cm="1">
        <f t="array" ref="F170">MAX(IFERROR(--_xlfn.TEXTSPLIT(SUBSTITUTE(SUBSTITUTE(G170,"|",",")," ",""),","),0))</f>
        <v>8</v>
      </c>
      <c r="G170" s="201" t="s">
        <v>7764</v>
      </c>
      <c r="H170" s="61"/>
    </row>
    <row r="171" spans="1:8">
      <c r="A171" s="198" t="s">
        <v>5349</v>
      </c>
      <c r="B171" s="54" t="s">
        <v>7548</v>
      </c>
      <c r="C171" s="55" t="s">
        <v>2811</v>
      </c>
      <c r="D171" s="61" t="s">
        <v>2812</v>
      </c>
      <c r="E171" s="200" cm="1">
        <f t="array" ref="E171">MIN(IFERROR(--_xlfn.TEXTSPLIT(SUBSTITUTE(SUBSTITUTE(G171,"|",",")," ",""),","),0))</f>
        <v>8</v>
      </c>
      <c r="F171" s="200" cm="1">
        <f t="array" ref="F171">MAX(IFERROR(--_xlfn.TEXTSPLIT(SUBSTITUTE(SUBSTITUTE(G171,"|",",")," ",""),","),0))</f>
        <v>8</v>
      </c>
      <c r="G171" s="201" t="s">
        <v>7764</v>
      </c>
      <c r="H171" s="61"/>
    </row>
    <row r="172" spans="1:8">
      <c r="A172" s="198" t="s">
        <v>5349</v>
      </c>
      <c r="B172" s="54" t="s">
        <v>7548</v>
      </c>
      <c r="C172" s="55" t="s">
        <v>2813</v>
      </c>
      <c r="D172" s="61" t="s">
        <v>2814</v>
      </c>
      <c r="E172" s="200" cm="1">
        <f t="array" ref="E172">MIN(IFERROR(--_xlfn.TEXTSPLIT(SUBSTITUTE(SUBSTITUTE(G172,"|",",")," ",""),","),0))</f>
        <v>7</v>
      </c>
      <c r="F172" s="200" cm="1">
        <f t="array" ref="F172">MAX(IFERROR(--_xlfn.TEXTSPLIT(SUBSTITUTE(SUBSTITUTE(G172,"|",",")," ",""),","),0))</f>
        <v>7</v>
      </c>
      <c r="G172" s="201" t="s">
        <v>7866</v>
      </c>
      <c r="H172" s="61"/>
    </row>
    <row r="173" spans="1:8">
      <c r="A173" s="198" t="s">
        <v>5349</v>
      </c>
      <c r="B173" s="54" t="s">
        <v>7548</v>
      </c>
      <c r="C173" s="55" t="s">
        <v>2815</v>
      </c>
      <c r="D173" s="56" t="s">
        <v>2816</v>
      </c>
      <c r="E173" s="200" cm="1">
        <f t="array" ref="E173">MIN(IFERROR(--_xlfn.TEXTSPLIT(SUBSTITUTE(SUBSTITUTE(G173,"|",",")," ",""),","),0))</f>
        <v>20</v>
      </c>
      <c r="F173" s="200" cm="1">
        <f t="array" ref="F173">MAX(IFERROR(--_xlfn.TEXTSPLIT(SUBSTITUTE(SUBSTITUTE(G173,"|",",")," ",""),","),0))</f>
        <v>20</v>
      </c>
      <c r="G173" s="201" t="s">
        <v>7851</v>
      </c>
      <c r="H173" s="61"/>
    </row>
    <row r="174" spans="1:8">
      <c r="A174" s="198" t="s">
        <v>5349</v>
      </c>
      <c r="B174" s="54" t="s">
        <v>7548</v>
      </c>
      <c r="C174" s="55" t="s">
        <v>2817</v>
      </c>
      <c r="D174" s="56" t="s">
        <v>2818</v>
      </c>
      <c r="E174" s="200" cm="1">
        <f t="array" ref="E174">MIN(IFERROR(--_xlfn.TEXTSPLIT(SUBSTITUTE(SUBSTITUTE(G174,"|",",")," ",""),","),0))</f>
        <v>38</v>
      </c>
      <c r="F174" s="200" cm="1">
        <f t="array" ref="F174">MAX(IFERROR(--_xlfn.TEXTSPLIT(SUBSTITUTE(SUBSTITUTE(G174,"|",",")," ",""),","),0))</f>
        <v>38</v>
      </c>
      <c r="G174" s="201" t="s">
        <v>7847</v>
      </c>
      <c r="H174" s="61"/>
    </row>
    <row r="175" spans="1:8">
      <c r="A175" s="198" t="s">
        <v>5349</v>
      </c>
      <c r="B175" s="54" t="s">
        <v>7548</v>
      </c>
      <c r="C175" s="55" t="s">
        <v>2819</v>
      </c>
      <c r="D175" s="56" t="s">
        <v>2820</v>
      </c>
      <c r="E175" s="200" cm="1">
        <f t="array" ref="E175">MIN(IFERROR(--_xlfn.TEXTSPLIT(SUBSTITUTE(SUBSTITUTE(G175,"|",",")," ",""),","),0))</f>
        <v>28</v>
      </c>
      <c r="F175" s="200" cm="1">
        <f t="array" ref="F175">MAX(IFERROR(--_xlfn.TEXTSPLIT(SUBSTITUTE(SUBSTITUTE(G175,"|",",")," ",""),","),0))</f>
        <v>28</v>
      </c>
      <c r="G175" s="201" t="s">
        <v>7844</v>
      </c>
      <c r="H175" s="61"/>
    </row>
    <row r="176" spans="1:8">
      <c r="A176" s="198" t="s">
        <v>5349</v>
      </c>
      <c r="B176" s="54" t="s">
        <v>7548</v>
      </c>
      <c r="C176" s="55" t="s">
        <v>2821</v>
      </c>
      <c r="D176" s="56" t="s">
        <v>2822</v>
      </c>
      <c r="E176" s="200" cm="1">
        <f t="array" ref="E176">MIN(IFERROR(--_xlfn.TEXTSPLIT(SUBSTITUTE(SUBSTITUTE(G176,"|",",")," ",""),","),0))</f>
        <v>14</v>
      </c>
      <c r="F176" s="200" cm="1">
        <f t="array" ref="F176">MAX(IFERROR(--_xlfn.TEXTSPLIT(SUBSTITUTE(SUBSTITUTE(G176,"|",",")," ",""),","),0))</f>
        <v>20</v>
      </c>
      <c r="G176" s="201" t="s">
        <v>7873</v>
      </c>
      <c r="H176" s="61"/>
    </row>
    <row r="177" spans="1:8">
      <c r="A177" s="198" t="s">
        <v>5349</v>
      </c>
      <c r="B177" s="54" t="s">
        <v>7548</v>
      </c>
      <c r="C177" s="55" t="s">
        <v>2823</v>
      </c>
      <c r="D177" s="56" t="s">
        <v>2824</v>
      </c>
      <c r="E177" s="200" cm="1">
        <f t="array" ref="E177">MIN(IFERROR(--_xlfn.TEXTSPLIT(SUBSTITUTE(SUBSTITUTE(G177,"|",",")," ",""),","),0))</f>
        <v>14</v>
      </c>
      <c r="F177" s="200" cm="1">
        <f t="array" ref="F177">MAX(IFERROR(--_xlfn.TEXTSPLIT(SUBSTITUTE(SUBSTITUTE(G177,"|",",")," ",""),","),0))</f>
        <v>20</v>
      </c>
      <c r="G177" s="201" t="s">
        <v>7873</v>
      </c>
      <c r="H177" s="61"/>
    </row>
    <row r="178" spans="1:8">
      <c r="A178" s="198" t="s">
        <v>5349</v>
      </c>
      <c r="B178" s="54" t="s">
        <v>7548</v>
      </c>
      <c r="C178" s="55" t="s">
        <v>2825</v>
      </c>
      <c r="D178" s="56" t="s">
        <v>2826</v>
      </c>
      <c r="E178" s="200" cm="1">
        <f t="array" ref="E178">MIN(IFERROR(--_xlfn.TEXTSPLIT(SUBSTITUTE(SUBSTITUTE(G178,"|",",")," ",""),","),0))</f>
        <v>14</v>
      </c>
      <c r="F178" s="200" cm="1">
        <f t="array" ref="F178">MAX(IFERROR(--_xlfn.TEXTSPLIT(SUBSTITUTE(SUBSTITUTE(G178,"|",",")," ",""),","),0))</f>
        <v>20</v>
      </c>
      <c r="G178" s="201" t="s">
        <v>7873</v>
      </c>
      <c r="H178" s="61"/>
    </row>
    <row r="179" spans="1:8">
      <c r="A179" s="198" t="s">
        <v>5349</v>
      </c>
      <c r="B179" s="54" t="s">
        <v>7548</v>
      </c>
      <c r="C179" s="55" t="s">
        <v>2827</v>
      </c>
      <c r="D179" s="56" t="s">
        <v>2828</v>
      </c>
      <c r="E179" s="200" cm="1">
        <f t="array" ref="E179">MIN(IFERROR(--_xlfn.TEXTSPLIT(SUBSTITUTE(SUBSTITUTE(G179,"|",",")," ",""),","),0))</f>
        <v>14</v>
      </c>
      <c r="F179" s="200" cm="1">
        <f t="array" ref="F179">MAX(IFERROR(--_xlfn.TEXTSPLIT(SUBSTITUTE(SUBSTITUTE(G179,"|",",")," ",""),","),0))</f>
        <v>20</v>
      </c>
      <c r="G179" s="201" t="s">
        <v>7873</v>
      </c>
      <c r="H179" s="61"/>
    </row>
    <row r="180" spans="1:8">
      <c r="A180" s="198" t="s">
        <v>5349</v>
      </c>
      <c r="B180" s="54" t="s">
        <v>7548</v>
      </c>
      <c r="C180" s="55" t="s">
        <v>2829</v>
      </c>
      <c r="D180" s="56" t="s">
        <v>2830</v>
      </c>
      <c r="E180" s="200" cm="1">
        <f t="array" ref="E180">MIN(IFERROR(--_xlfn.TEXTSPLIT(SUBSTITUTE(SUBSTITUTE(G180,"|",",")," ",""),","),0))</f>
        <v>4</v>
      </c>
      <c r="F180" s="200" cm="1">
        <f t="array" ref="F180">MAX(IFERROR(--_xlfn.TEXTSPLIT(SUBSTITUTE(SUBSTITUTE(G180,"|",",")," ",""),","),0))</f>
        <v>4</v>
      </c>
      <c r="G180" s="201" t="s">
        <v>7617</v>
      </c>
      <c r="H180" s="61"/>
    </row>
    <row r="181" spans="1:8">
      <c r="A181" s="198" t="s">
        <v>5349</v>
      </c>
      <c r="B181" s="54" t="s">
        <v>7548</v>
      </c>
      <c r="C181" s="55" t="s">
        <v>2831</v>
      </c>
      <c r="D181" s="56" t="s">
        <v>2832</v>
      </c>
      <c r="E181" s="200" cm="1">
        <f t="array" ref="E181">MIN(IFERROR(--_xlfn.TEXTSPLIT(SUBSTITUTE(SUBSTITUTE(G181,"|",",")," ",""),","),0))</f>
        <v>4</v>
      </c>
      <c r="F181" s="200" cm="1">
        <f t="array" ref="F181">MAX(IFERROR(--_xlfn.TEXTSPLIT(SUBSTITUTE(SUBSTITUTE(G181,"|",",")," ",""),","),0))</f>
        <v>4</v>
      </c>
      <c r="G181" s="201" t="s">
        <v>7617</v>
      </c>
      <c r="H181" s="61"/>
    </row>
    <row r="182" spans="1:8">
      <c r="A182" s="198" t="s">
        <v>5349</v>
      </c>
      <c r="B182" s="54" t="s">
        <v>7548</v>
      </c>
      <c r="C182" s="55" t="s">
        <v>2833</v>
      </c>
      <c r="D182" s="56" t="s">
        <v>2834</v>
      </c>
      <c r="E182" s="200" cm="1">
        <f t="array" ref="E182">MIN(IFERROR(--_xlfn.TEXTSPLIT(SUBSTITUTE(SUBSTITUTE(G182,"|",",")," ",""),","),0))</f>
        <v>4</v>
      </c>
      <c r="F182" s="200" cm="1">
        <f t="array" ref="F182">MAX(IFERROR(--_xlfn.TEXTSPLIT(SUBSTITUTE(SUBSTITUTE(G182,"|",",")," ",""),","),0))</f>
        <v>4</v>
      </c>
      <c r="G182" s="201" t="s">
        <v>7617</v>
      </c>
      <c r="H182" s="61"/>
    </row>
    <row r="183" spans="1:8">
      <c r="A183" s="198" t="s">
        <v>5349</v>
      </c>
      <c r="B183" s="54" t="s">
        <v>7548</v>
      </c>
      <c r="C183" s="55" t="s">
        <v>2835</v>
      </c>
      <c r="D183" s="56" t="s">
        <v>2836</v>
      </c>
      <c r="E183" s="200" cm="1">
        <f t="array" ref="E183">MIN(IFERROR(--_xlfn.TEXTSPLIT(SUBSTITUTE(SUBSTITUTE(G183,"|",",")," ",""),","),0))</f>
        <v>4</v>
      </c>
      <c r="F183" s="200" cm="1">
        <f t="array" ref="F183">MAX(IFERROR(--_xlfn.TEXTSPLIT(SUBSTITUTE(SUBSTITUTE(G183,"|",",")," ",""),","),0))</f>
        <v>4</v>
      </c>
      <c r="G183" s="201" t="s">
        <v>7617</v>
      </c>
      <c r="H183" s="61"/>
    </row>
    <row r="184" spans="1:8">
      <c r="A184" s="198" t="s">
        <v>5349</v>
      </c>
      <c r="B184" s="54" t="s">
        <v>7548</v>
      </c>
      <c r="C184" s="55" t="s">
        <v>2837</v>
      </c>
      <c r="D184" s="56" t="s">
        <v>2838</v>
      </c>
      <c r="E184" s="200" cm="1">
        <f t="array" ref="E184">MIN(IFERROR(--_xlfn.TEXTSPLIT(SUBSTITUTE(SUBSTITUTE(G184,"|",",")," ",""),","),0))</f>
        <v>4</v>
      </c>
      <c r="F184" s="200" cm="1">
        <f t="array" ref="F184">MAX(IFERROR(--_xlfn.TEXTSPLIT(SUBSTITUTE(SUBSTITUTE(G184,"|",",")," ",""),","),0))</f>
        <v>4</v>
      </c>
      <c r="G184" s="201" t="s">
        <v>7617</v>
      </c>
      <c r="H184" s="61"/>
    </row>
    <row r="185" spans="1:8">
      <c r="A185" s="198" t="s">
        <v>5349</v>
      </c>
      <c r="B185" s="54" t="s">
        <v>7548</v>
      </c>
      <c r="C185" s="55" t="s">
        <v>2839</v>
      </c>
      <c r="D185" s="56" t="s">
        <v>2840</v>
      </c>
      <c r="E185" s="200" cm="1">
        <f t="array" ref="E185">MIN(IFERROR(--_xlfn.TEXTSPLIT(SUBSTITUTE(SUBSTITUTE(G185,"|",",")," ",""),","),0))</f>
        <v>4</v>
      </c>
      <c r="F185" s="200" cm="1">
        <f t="array" ref="F185">MAX(IFERROR(--_xlfn.TEXTSPLIT(SUBSTITUTE(SUBSTITUTE(G185,"|",",")," ",""),","),0))</f>
        <v>4</v>
      </c>
      <c r="G185" s="201" t="s">
        <v>7617</v>
      </c>
      <c r="H185" s="61"/>
    </row>
    <row r="186" spans="1:8">
      <c r="A186" s="198" t="s">
        <v>5349</v>
      </c>
      <c r="B186" s="54" t="s">
        <v>7548</v>
      </c>
      <c r="C186" s="55" t="s">
        <v>2841</v>
      </c>
      <c r="D186" s="56" t="s">
        <v>2842</v>
      </c>
      <c r="E186" s="200" cm="1">
        <f t="array" ref="E186">MIN(IFERROR(--_xlfn.TEXTSPLIT(SUBSTITUTE(SUBSTITUTE(G186,"|",",")," ",""),","),0))</f>
        <v>3</v>
      </c>
      <c r="F186" s="200" cm="1">
        <f t="array" ref="F186">MAX(IFERROR(--_xlfn.TEXTSPLIT(SUBSTITUTE(SUBSTITUTE(G186,"|",",")," ",""),","),0))</f>
        <v>3</v>
      </c>
      <c r="G186" s="201" t="s">
        <v>7872</v>
      </c>
      <c r="H186" s="61"/>
    </row>
    <row r="187" spans="1:8">
      <c r="A187" s="198" t="s">
        <v>5349</v>
      </c>
      <c r="B187" s="54" t="s">
        <v>7548</v>
      </c>
      <c r="C187" s="55" t="s">
        <v>2843</v>
      </c>
      <c r="D187" s="56" t="s">
        <v>2844</v>
      </c>
      <c r="E187" s="200" cm="1">
        <f t="array" ref="E187">MIN(IFERROR(--_xlfn.TEXTSPLIT(SUBSTITUTE(SUBSTITUTE(G187,"|",",")," ",""),","),0))</f>
        <v>5</v>
      </c>
      <c r="F187" s="200" cm="1">
        <f t="array" ref="F187">MAX(IFERROR(--_xlfn.TEXTSPLIT(SUBSTITUTE(SUBSTITUTE(G187,"|",",")," ",""),","),0))</f>
        <v>6</v>
      </c>
      <c r="G187" s="201" t="s">
        <v>7874</v>
      </c>
      <c r="H187" s="61"/>
    </row>
    <row r="188" spans="1:8">
      <c r="A188" s="198" t="s">
        <v>5349</v>
      </c>
      <c r="B188" s="54" t="s">
        <v>7548</v>
      </c>
      <c r="C188" s="55" t="s">
        <v>2845</v>
      </c>
      <c r="D188" s="56" t="s">
        <v>302</v>
      </c>
      <c r="E188" s="200" cm="1">
        <f t="array" ref="E188">MIN(IFERROR(--_xlfn.TEXTSPLIT(SUBSTITUTE(SUBSTITUTE(G188,"|",",")," ",""),","),0))</f>
        <v>4</v>
      </c>
      <c r="F188" s="200" cm="1">
        <f t="array" ref="F188">MAX(IFERROR(--_xlfn.TEXTSPLIT(SUBSTITUTE(SUBSTITUTE(G188,"|",",")," ",""),","),0))</f>
        <v>4</v>
      </c>
      <c r="G188" s="201" t="s">
        <v>7617</v>
      </c>
      <c r="H188" s="61"/>
    </row>
    <row r="189" spans="1:8">
      <c r="A189" s="198" t="s">
        <v>5349</v>
      </c>
      <c r="B189" s="54" t="s">
        <v>7548</v>
      </c>
      <c r="C189" s="55" t="s">
        <v>2846</v>
      </c>
      <c r="D189" s="56" t="s">
        <v>2847</v>
      </c>
      <c r="E189" s="200" cm="1">
        <f t="array" ref="E189">MIN(IFERROR(--_xlfn.TEXTSPLIT(SUBSTITUTE(SUBSTITUTE(G189,"|",",")," ",""),","),0))</f>
        <v>14</v>
      </c>
      <c r="F189" s="200" cm="1">
        <f t="array" ref="F189">MAX(IFERROR(--_xlfn.TEXTSPLIT(SUBSTITUTE(SUBSTITUTE(G189,"|",",")," ",""),","),0))</f>
        <v>20</v>
      </c>
      <c r="G189" s="201" t="s">
        <v>7873</v>
      </c>
      <c r="H189" s="61"/>
    </row>
    <row r="190" spans="1:8">
      <c r="A190" s="198" t="s">
        <v>5349</v>
      </c>
      <c r="B190" s="54" t="s">
        <v>7548</v>
      </c>
      <c r="C190" s="55" t="s">
        <v>2848</v>
      </c>
      <c r="D190" s="56" t="s">
        <v>2849</v>
      </c>
      <c r="E190" s="200" cm="1">
        <f t="array" ref="E190">MIN(IFERROR(--_xlfn.TEXTSPLIT(SUBSTITUTE(SUBSTITUTE(G190,"|",",")," ",""),","),0))</f>
        <v>14</v>
      </c>
      <c r="F190" s="200" cm="1">
        <f t="array" ref="F190">MAX(IFERROR(--_xlfn.TEXTSPLIT(SUBSTITUTE(SUBSTITUTE(G190,"|",",")," ",""),","),0))</f>
        <v>20</v>
      </c>
      <c r="G190" s="201" t="s">
        <v>7873</v>
      </c>
      <c r="H190" s="61"/>
    </row>
    <row r="191" spans="1:8">
      <c r="A191" s="198" t="s">
        <v>5349</v>
      </c>
      <c r="B191" s="54" t="s">
        <v>7548</v>
      </c>
      <c r="C191" s="55" t="s">
        <v>2850</v>
      </c>
      <c r="D191" s="56" t="s">
        <v>2851</v>
      </c>
      <c r="E191" s="200" cm="1">
        <f t="array" ref="E191">MIN(IFERROR(--_xlfn.TEXTSPLIT(SUBSTITUTE(SUBSTITUTE(G191,"|",",")," ",""),","),0))</f>
        <v>14</v>
      </c>
      <c r="F191" s="200" cm="1">
        <f t="array" ref="F191">MAX(IFERROR(--_xlfn.TEXTSPLIT(SUBSTITUTE(SUBSTITUTE(G191,"|",",")," ",""),","),0))</f>
        <v>20</v>
      </c>
      <c r="G191" s="201" t="s">
        <v>7873</v>
      </c>
      <c r="H191" s="61"/>
    </row>
    <row r="192" spans="1:8">
      <c r="A192" s="198" t="s">
        <v>5349</v>
      </c>
      <c r="B192" s="54" t="s">
        <v>7548</v>
      </c>
      <c r="C192" s="55" t="s">
        <v>2852</v>
      </c>
      <c r="D192" s="56" t="s">
        <v>2853</v>
      </c>
      <c r="E192" s="200" cm="1">
        <f t="array" ref="E192">MIN(IFERROR(--_xlfn.TEXTSPLIT(SUBSTITUTE(SUBSTITUTE(G192,"|",",")," ",""),","),0))</f>
        <v>14</v>
      </c>
      <c r="F192" s="200" cm="1">
        <f t="array" ref="F192">MAX(IFERROR(--_xlfn.TEXTSPLIT(SUBSTITUTE(SUBSTITUTE(G192,"|",",")," ",""),","),0))</f>
        <v>20</v>
      </c>
      <c r="G192" s="201" t="s">
        <v>7873</v>
      </c>
      <c r="H192" s="61"/>
    </row>
    <row r="193" spans="1:8">
      <c r="A193" s="198" t="s">
        <v>5349</v>
      </c>
      <c r="B193" s="54" t="s">
        <v>7548</v>
      </c>
      <c r="C193" s="55" t="s">
        <v>2854</v>
      </c>
      <c r="D193" s="56" t="s">
        <v>2855</v>
      </c>
      <c r="E193" s="200" cm="1">
        <f t="array" ref="E193">MIN(IFERROR(--_xlfn.TEXTSPLIT(SUBSTITUTE(SUBSTITUTE(G193,"|",",")," ",""),","),0))</f>
        <v>4</v>
      </c>
      <c r="F193" s="200" cm="1">
        <f t="array" ref="F193">MAX(IFERROR(--_xlfn.TEXTSPLIT(SUBSTITUTE(SUBSTITUTE(G193,"|",",")," ",""),","),0))</f>
        <v>4</v>
      </c>
      <c r="G193" s="201" t="s">
        <v>7617</v>
      </c>
      <c r="H193" s="61"/>
    </row>
    <row r="194" spans="1:8">
      <c r="A194" s="198" t="s">
        <v>5349</v>
      </c>
      <c r="B194" s="54" t="s">
        <v>7548</v>
      </c>
      <c r="C194" s="55" t="s">
        <v>2856</v>
      </c>
      <c r="D194" s="56" t="s">
        <v>2857</v>
      </c>
      <c r="E194" s="200" cm="1">
        <f t="array" ref="E194">MIN(IFERROR(--_xlfn.TEXTSPLIT(SUBSTITUTE(SUBSTITUTE(G194,"|",",")," ",""),","),0))</f>
        <v>20</v>
      </c>
      <c r="F194" s="200" cm="1">
        <f t="array" ref="F194">MAX(IFERROR(--_xlfn.TEXTSPLIT(SUBSTITUTE(SUBSTITUTE(G194,"|",",")," ",""),","),0))</f>
        <v>20</v>
      </c>
      <c r="G194" s="201" t="s">
        <v>7851</v>
      </c>
      <c r="H194" s="61"/>
    </row>
    <row r="195" spans="1:8">
      <c r="A195" s="198" t="s">
        <v>5349</v>
      </c>
      <c r="B195" s="54" t="s">
        <v>7548</v>
      </c>
      <c r="C195" s="55" t="s">
        <v>2858</v>
      </c>
      <c r="D195" s="56" t="s">
        <v>2859</v>
      </c>
      <c r="E195" s="200" cm="1">
        <f t="array" ref="E195">MIN(IFERROR(--_xlfn.TEXTSPLIT(SUBSTITUTE(SUBSTITUTE(G195,"|",",")," ",""),","),0))</f>
        <v>3</v>
      </c>
      <c r="F195" s="200" cm="1">
        <f t="array" ref="F195">MAX(IFERROR(--_xlfn.TEXTSPLIT(SUBSTITUTE(SUBSTITUTE(G195,"|",",")," ",""),","),0))</f>
        <v>3</v>
      </c>
      <c r="G195" s="201" t="s">
        <v>7872</v>
      </c>
      <c r="H195" s="61"/>
    </row>
    <row r="196" spans="1:8">
      <c r="A196" s="198" t="s">
        <v>5349</v>
      </c>
      <c r="B196" s="54" t="s">
        <v>7548</v>
      </c>
      <c r="C196" s="55" t="s">
        <v>2860</v>
      </c>
      <c r="D196" s="56" t="s">
        <v>2861</v>
      </c>
      <c r="E196" s="200" cm="1">
        <f t="array" ref="E196">MIN(IFERROR(--_xlfn.TEXTSPLIT(SUBSTITUTE(SUBSTITUTE(G196,"|",",")," ",""),","),0))</f>
        <v>4</v>
      </c>
      <c r="F196" s="200" cm="1">
        <f t="array" ref="F196">MAX(IFERROR(--_xlfn.TEXTSPLIT(SUBSTITUTE(SUBSTITUTE(G196,"|",",")," ",""),","),0))</f>
        <v>4</v>
      </c>
      <c r="G196" s="201" t="s">
        <v>7617</v>
      </c>
      <c r="H196" s="61"/>
    </row>
    <row r="197" spans="1:8">
      <c r="A197" s="198" t="s">
        <v>5349</v>
      </c>
      <c r="B197" s="54" t="s">
        <v>7548</v>
      </c>
      <c r="C197" s="55" t="s">
        <v>2862</v>
      </c>
      <c r="D197" s="56" t="s">
        <v>2863</v>
      </c>
      <c r="E197" s="200" cm="1">
        <f t="array" ref="E197">MIN(IFERROR(--_xlfn.TEXTSPLIT(SUBSTITUTE(SUBSTITUTE(G197,"|",",")," ",""),","),0))</f>
        <v>4</v>
      </c>
      <c r="F197" s="200" cm="1">
        <f t="array" ref="F197">MAX(IFERROR(--_xlfn.TEXTSPLIT(SUBSTITUTE(SUBSTITUTE(G197,"|",",")," ",""),","),0))</f>
        <v>4</v>
      </c>
      <c r="G197" s="201" t="s">
        <v>7617</v>
      </c>
      <c r="H197" s="61"/>
    </row>
    <row r="198" spans="1:8">
      <c r="A198" s="198" t="s">
        <v>5349</v>
      </c>
      <c r="B198" s="54" t="s">
        <v>7548</v>
      </c>
      <c r="C198" s="55" t="s">
        <v>2864</v>
      </c>
      <c r="D198" s="56" t="s">
        <v>2865</v>
      </c>
      <c r="E198" s="200" cm="1">
        <f t="array" ref="E198">MIN(IFERROR(--_xlfn.TEXTSPLIT(SUBSTITUTE(SUBSTITUTE(G198,"|",",")," ",""),","),0))</f>
        <v>5</v>
      </c>
      <c r="F198" s="200" cm="1">
        <f t="array" ref="F198">MAX(IFERROR(--_xlfn.TEXTSPLIT(SUBSTITUTE(SUBSTITUTE(G198,"|",",")," ",""),","),0))</f>
        <v>7</v>
      </c>
      <c r="G198" s="201" t="s">
        <v>7875</v>
      </c>
      <c r="H198" s="61"/>
    </row>
    <row r="199" spans="1:8">
      <c r="A199" s="198" t="s">
        <v>5349</v>
      </c>
      <c r="B199" s="54" t="s">
        <v>7549</v>
      </c>
      <c r="C199" s="55" t="s">
        <v>2866</v>
      </c>
      <c r="D199" s="61" t="s">
        <v>2867</v>
      </c>
      <c r="E199" s="200" cm="1">
        <f t="array" ref="E199">MIN(IFERROR(--_xlfn.TEXTSPLIT(SUBSTITUTE(SUBSTITUTE(G199,"|",",")," ",""),","),0))</f>
        <v>17</v>
      </c>
      <c r="F199" s="200" cm="1">
        <f t="array" ref="F199">MAX(IFERROR(--_xlfn.TEXTSPLIT(SUBSTITUTE(SUBSTITUTE(G199,"|",",")," ",""),","),0))</f>
        <v>17</v>
      </c>
      <c r="G199" s="201" t="s">
        <v>7850</v>
      </c>
      <c r="H199" s="61"/>
    </row>
    <row r="200" spans="1:8">
      <c r="A200" s="198" t="s">
        <v>5349</v>
      </c>
      <c r="B200" s="54" t="s">
        <v>7549</v>
      </c>
      <c r="C200" s="55" t="s">
        <v>2868</v>
      </c>
      <c r="D200" s="61" t="s">
        <v>2869</v>
      </c>
      <c r="E200" s="200" cm="1">
        <f t="array" ref="E200">MIN(IFERROR(--_xlfn.TEXTSPLIT(SUBSTITUTE(SUBSTITUTE(G200,"|",",")," ",""),","),0))</f>
        <v>38</v>
      </c>
      <c r="F200" s="200" cm="1">
        <f t="array" ref="F200">MAX(IFERROR(--_xlfn.TEXTSPLIT(SUBSTITUTE(SUBSTITUTE(G200,"|",",")," ",""),","),0))</f>
        <v>38</v>
      </c>
      <c r="G200" s="201" t="s">
        <v>7847</v>
      </c>
      <c r="H200" s="61"/>
    </row>
    <row r="201" spans="1:8">
      <c r="A201" s="198" t="s">
        <v>5349</v>
      </c>
      <c r="B201" s="54" t="s">
        <v>7549</v>
      </c>
      <c r="C201" s="55" t="s">
        <v>2870</v>
      </c>
      <c r="D201" s="56" t="s">
        <v>2871</v>
      </c>
      <c r="E201" s="200" cm="1">
        <f t="array" ref="E201">MIN(IFERROR(--_xlfn.TEXTSPLIT(SUBSTITUTE(SUBSTITUTE(G201,"|",",")," ",""),","),0))</f>
        <v>17</v>
      </c>
      <c r="F201" s="200" cm="1">
        <f t="array" ref="F201">MAX(IFERROR(--_xlfn.TEXTSPLIT(SUBSTITUTE(SUBSTITUTE(G201,"|",",")," ",""),","),0))</f>
        <v>17</v>
      </c>
      <c r="G201" s="201" t="s">
        <v>7850</v>
      </c>
      <c r="H201" s="61"/>
    </row>
    <row r="202" spans="1:8">
      <c r="A202" s="198" t="s">
        <v>5349</v>
      </c>
      <c r="B202" s="54" t="s">
        <v>7549</v>
      </c>
      <c r="C202" s="55" t="s">
        <v>2872</v>
      </c>
      <c r="D202" s="56" t="s">
        <v>2873</v>
      </c>
      <c r="E202" s="200" cm="1">
        <f t="array" ref="E202">MIN(IFERROR(--_xlfn.TEXTSPLIT(SUBSTITUTE(SUBSTITUTE(G202,"|",",")," ",""),","),0))</f>
        <v>500</v>
      </c>
      <c r="F202" s="200" cm="1">
        <f t="array" ref="F202">MAX(IFERROR(--_xlfn.TEXTSPLIT(SUBSTITUTE(SUBSTITUTE(G202,"|",",")," ",""),","),0))</f>
        <v>500</v>
      </c>
      <c r="G202" s="201" t="s">
        <v>7876</v>
      </c>
      <c r="H202" s="61"/>
    </row>
    <row r="203" spans="1:8">
      <c r="A203" s="198" t="s">
        <v>5349</v>
      </c>
      <c r="B203" s="54" t="s">
        <v>7549</v>
      </c>
      <c r="C203" s="55" t="s">
        <v>2874</v>
      </c>
      <c r="D203" s="56" t="s">
        <v>2875</v>
      </c>
      <c r="E203" s="200" cm="1">
        <f t="array" ref="E203">MIN(IFERROR(--_xlfn.TEXTSPLIT(SUBSTITUTE(SUBSTITUTE(G203,"|",",")," ",""),","),0))</f>
        <v>170</v>
      </c>
      <c r="F203" s="200" cm="1">
        <f t="array" ref="F203">MAX(IFERROR(--_xlfn.TEXTSPLIT(SUBSTITUTE(SUBSTITUTE(G203,"|",",")," ",""),","),0))</f>
        <v>170</v>
      </c>
      <c r="G203" s="201" t="s">
        <v>7877</v>
      </c>
      <c r="H203" s="61"/>
    </row>
    <row r="204" spans="1:8">
      <c r="A204" s="198" t="s">
        <v>5349</v>
      </c>
      <c r="B204" s="54" t="s">
        <v>7549</v>
      </c>
      <c r="C204" s="55" t="s">
        <v>2876</v>
      </c>
      <c r="D204" s="56" t="s">
        <v>2877</v>
      </c>
      <c r="E204" s="200" cm="1">
        <f t="array" ref="E204">MIN(IFERROR(--_xlfn.TEXTSPLIT(SUBSTITUTE(SUBSTITUTE(G204,"|",",")," ",""),","),0))</f>
        <v>100</v>
      </c>
      <c r="F204" s="200" cm="1">
        <f t="array" ref="F204">MAX(IFERROR(--_xlfn.TEXTSPLIT(SUBSTITUTE(SUBSTITUTE(G204,"|",",")," ",""),","),0))</f>
        <v>100</v>
      </c>
      <c r="G204" s="201" t="s">
        <v>7878</v>
      </c>
      <c r="H204" s="61"/>
    </row>
    <row r="205" spans="1:8">
      <c r="A205" s="198" t="s">
        <v>5349</v>
      </c>
      <c r="B205" s="54" t="s">
        <v>7549</v>
      </c>
      <c r="C205" s="55" t="s">
        <v>2878</v>
      </c>
      <c r="D205" s="56" t="s">
        <v>2879</v>
      </c>
      <c r="E205" s="200" cm="1">
        <f t="array" ref="E205">MIN(IFERROR(--_xlfn.TEXTSPLIT(SUBSTITUTE(SUBSTITUTE(G205,"|",",")," ",""),","),0))</f>
        <v>500</v>
      </c>
      <c r="F205" s="200" cm="1">
        <f t="array" ref="F205">MAX(IFERROR(--_xlfn.TEXTSPLIT(SUBSTITUTE(SUBSTITUTE(G205,"|",",")," ",""),","),0))</f>
        <v>500</v>
      </c>
      <c r="G205" s="201" t="s">
        <v>7876</v>
      </c>
      <c r="H205" s="61"/>
    </row>
    <row r="206" spans="1:8">
      <c r="A206" s="198" t="s">
        <v>5349</v>
      </c>
      <c r="B206" s="54" t="s">
        <v>7573</v>
      </c>
      <c r="C206" s="55" t="s">
        <v>2880</v>
      </c>
      <c r="D206" s="56" t="s">
        <v>2881</v>
      </c>
      <c r="E206" s="200" cm="1">
        <f t="array" ref="E206">MIN(IFERROR(--_xlfn.TEXTSPLIT(SUBSTITUTE(SUBSTITUTE(G206,"|",",")," ",""),","),0))</f>
        <v>0</v>
      </c>
      <c r="F206" s="200" cm="1">
        <f t="array" ref="F206">MAX(IFERROR(--_xlfn.TEXTSPLIT(SUBSTITUTE(SUBSTITUTE(G206,"|",",")," ",""),","),0))</f>
        <v>0</v>
      </c>
      <c r="G206" s="201" t="s">
        <v>7838</v>
      </c>
      <c r="H206" s="61"/>
    </row>
    <row r="207" spans="1:8">
      <c r="A207" s="198" t="s">
        <v>5349</v>
      </c>
      <c r="B207" s="54" t="s">
        <v>7573</v>
      </c>
      <c r="C207" s="55" t="s">
        <v>2882</v>
      </c>
      <c r="D207" s="56" t="s">
        <v>2883</v>
      </c>
      <c r="E207" s="200" cm="1">
        <f t="array" ref="E207">MIN(IFERROR(--_xlfn.TEXTSPLIT(SUBSTITUTE(SUBSTITUTE(G207,"|",",")," ",""),","),0))</f>
        <v>0</v>
      </c>
      <c r="F207" s="200" cm="1">
        <f t="array" ref="F207">MAX(IFERROR(--_xlfn.TEXTSPLIT(SUBSTITUTE(SUBSTITUTE(G207,"|",",")," ",""),","),0))</f>
        <v>0</v>
      </c>
      <c r="G207" s="201" t="s">
        <v>7838</v>
      </c>
      <c r="H207" s="61"/>
    </row>
    <row r="208" spans="1:8">
      <c r="A208" s="198" t="s">
        <v>5349</v>
      </c>
      <c r="B208" s="54" t="s">
        <v>7573</v>
      </c>
      <c r="C208" s="55" t="s">
        <v>2884</v>
      </c>
      <c r="D208" s="56" t="s">
        <v>2885</v>
      </c>
      <c r="E208" s="200" cm="1">
        <f t="array" ref="E208">MIN(IFERROR(--_xlfn.TEXTSPLIT(SUBSTITUTE(SUBSTITUTE(G208,"|",",")," ",""),","),0))</f>
        <v>0</v>
      </c>
      <c r="F208" s="200" cm="1">
        <f t="array" ref="F208">MAX(IFERROR(--_xlfn.TEXTSPLIT(SUBSTITUTE(SUBSTITUTE(G208,"|",",")," ",""),","),0))</f>
        <v>0</v>
      </c>
      <c r="G208" s="201" t="s">
        <v>7838</v>
      </c>
      <c r="H208" s="61"/>
    </row>
    <row r="209" spans="1:8">
      <c r="A209" s="198" t="s">
        <v>5349</v>
      </c>
      <c r="B209" s="54" t="s">
        <v>7573</v>
      </c>
      <c r="C209" s="55" t="s">
        <v>2886</v>
      </c>
      <c r="D209" s="56" t="s">
        <v>1759</v>
      </c>
      <c r="E209" s="200" cm="1">
        <f t="array" ref="E209">MIN(IFERROR(--_xlfn.TEXTSPLIT(SUBSTITUTE(SUBSTITUTE(G209,"|",",")," ",""),","),0))</f>
        <v>10</v>
      </c>
      <c r="F209" s="200" cm="1">
        <f t="array" ref="F209">MAX(IFERROR(--_xlfn.TEXTSPLIT(SUBSTITUTE(SUBSTITUTE(G209,"|",",")," ",""),","),0))</f>
        <v>10</v>
      </c>
      <c r="G209" s="201" t="s">
        <v>7768</v>
      </c>
      <c r="H209" s="61"/>
    </row>
    <row r="210" spans="1:8">
      <c r="A210" s="198" t="s">
        <v>5349</v>
      </c>
      <c r="B210" s="54" t="s">
        <v>7573</v>
      </c>
      <c r="C210" s="55" t="s">
        <v>2887</v>
      </c>
      <c r="D210" s="56" t="s">
        <v>2888</v>
      </c>
      <c r="E210" s="200" cm="1">
        <f t="array" ref="E210">MIN(IFERROR(--_xlfn.TEXTSPLIT(SUBSTITUTE(SUBSTITUTE(G210,"|",",")," ",""),","),0))</f>
        <v>35</v>
      </c>
      <c r="F210" s="200" cm="1">
        <f t="array" ref="F210">MAX(IFERROR(--_xlfn.TEXTSPLIT(SUBSTITUTE(SUBSTITUTE(G210,"|",",")," ",""),","),0))</f>
        <v>35</v>
      </c>
      <c r="G210" s="201" t="s">
        <v>7868</v>
      </c>
      <c r="H210" s="61"/>
    </row>
    <row r="211" spans="1:8">
      <c r="A211" s="198" t="s">
        <v>5349</v>
      </c>
      <c r="B211" s="54" t="s">
        <v>7573</v>
      </c>
      <c r="C211" s="55" t="s">
        <v>2889</v>
      </c>
      <c r="D211" s="56" t="s">
        <v>2890</v>
      </c>
      <c r="E211" s="200" cm="1">
        <f t="array" ref="E211">MIN(IFERROR(--_xlfn.TEXTSPLIT(SUBSTITUTE(SUBSTITUTE(G211,"|",",")," ",""),","),0))</f>
        <v>30</v>
      </c>
      <c r="F211" s="200" cm="1">
        <f t="array" ref="F211">MAX(IFERROR(--_xlfn.TEXTSPLIT(SUBSTITUTE(SUBSTITUTE(G211,"|",",")," ",""),","),0))</f>
        <v>30</v>
      </c>
      <c r="G211" s="201" t="s">
        <v>7855</v>
      </c>
      <c r="H211" s="61"/>
    </row>
    <row r="212" spans="1:8">
      <c r="A212" s="198" t="s">
        <v>5349</v>
      </c>
      <c r="B212" s="54" t="s">
        <v>7573</v>
      </c>
      <c r="C212" s="55" t="s">
        <v>2891</v>
      </c>
      <c r="D212" s="56" t="s">
        <v>2892</v>
      </c>
      <c r="E212" s="200" cm="1">
        <f t="array" ref="E212">MIN(IFERROR(--_xlfn.TEXTSPLIT(SUBSTITUTE(SUBSTITUTE(G212,"|",",")," ",""),","),0))</f>
        <v>20</v>
      </c>
      <c r="F212" s="200" cm="1">
        <f t="array" ref="F212">MAX(IFERROR(--_xlfn.TEXTSPLIT(SUBSTITUTE(SUBSTITUTE(G212,"|",",")," ",""),","),0))</f>
        <v>20</v>
      </c>
      <c r="G212" s="201" t="s">
        <v>7851</v>
      </c>
      <c r="H212" s="61"/>
    </row>
    <row r="213" spans="1:8">
      <c r="A213" s="198" t="s">
        <v>5349</v>
      </c>
      <c r="B213" s="54" t="s">
        <v>7573</v>
      </c>
      <c r="C213" s="55" t="s">
        <v>2893</v>
      </c>
      <c r="D213" s="56" t="s">
        <v>2894</v>
      </c>
      <c r="E213" s="200" cm="1">
        <f t="array" ref="E213">MIN(IFERROR(--_xlfn.TEXTSPLIT(SUBSTITUTE(SUBSTITUTE(G213,"|",",")," ",""),","),0))</f>
        <v>15</v>
      </c>
      <c r="F213" s="200" cm="1">
        <f t="array" ref="F213">MAX(IFERROR(--_xlfn.TEXTSPLIT(SUBSTITUTE(SUBSTITUTE(G213,"|",",")," ",""),","),0))</f>
        <v>15</v>
      </c>
      <c r="G213" s="201" t="s">
        <v>7862</v>
      </c>
      <c r="H213" s="61"/>
    </row>
    <row r="214" spans="1:8">
      <c r="A214" s="198" t="s">
        <v>5349</v>
      </c>
      <c r="B214" s="54" t="s">
        <v>7573</v>
      </c>
      <c r="C214" s="55" t="s">
        <v>2895</v>
      </c>
      <c r="D214" s="56" t="s">
        <v>2896</v>
      </c>
      <c r="E214" s="200" cm="1">
        <f t="array" ref="E214">MIN(IFERROR(--_xlfn.TEXTSPLIT(SUBSTITUTE(SUBSTITUTE(G214,"|",",")," ",""),","),0))</f>
        <v>55</v>
      </c>
      <c r="F214" s="200" cm="1">
        <f t="array" ref="F214">MAX(IFERROR(--_xlfn.TEXTSPLIT(SUBSTITUTE(SUBSTITUTE(G214,"|",",")," ",""),","),0))</f>
        <v>55</v>
      </c>
      <c r="G214" s="201" t="s">
        <v>7858</v>
      </c>
      <c r="H214" s="61"/>
    </row>
    <row r="215" spans="1:8">
      <c r="A215" s="198" t="s">
        <v>5349</v>
      </c>
      <c r="B215" s="54" t="s">
        <v>7550</v>
      </c>
      <c r="C215" s="55" t="s">
        <v>2897</v>
      </c>
      <c r="D215" s="61" t="s">
        <v>2898</v>
      </c>
      <c r="E215" s="200" cm="1">
        <f t="array" ref="E215">MIN(IFERROR(--_xlfn.TEXTSPLIT(SUBSTITUTE(SUBSTITUTE(G215,"|",",")," ",""),","),0))</f>
        <v>9</v>
      </c>
      <c r="F215" s="200" cm="1">
        <f t="array" ref="F215">MAX(IFERROR(--_xlfn.TEXTSPLIT(SUBSTITUTE(SUBSTITUTE(G215,"|",",")," ",""),","),0))</f>
        <v>9</v>
      </c>
      <c r="G215" s="201" t="s">
        <v>7766</v>
      </c>
      <c r="H215" s="61"/>
    </row>
    <row r="216" spans="1:8">
      <c r="A216" s="198" t="s">
        <v>5349</v>
      </c>
      <c r="B216" s="54" t="s">
        <v>7550</v>
      </c>
      <c r="C216" s="55" t="s">
        <v>2899</v>
      </c>
      <c r="D216" s="61" t="s">
        <v>2900</v>
      </c>
      <c r="E216" s="200" cm="1">
        <f t="array" ref="E216">MIN(IFERROR(--_xlfn.TEXTSPLIT(SUBSTITUTE(SUBSTITUTE(G216,"|",",")," ",""),","),0))</f>
        <v>8</v>
      </c>
      <c r="F216" s="200" cm="1">
        <f t="array" ref="F216">MAX(IFERROR(--_xlfn.TEXTSPLIT(SUBSTITUTE(SUBSTITUTE(G216,"|",",")," ",""),","),0))</f>
        <v>8</v>
      </c>
      <c r="G216" s="201" t="s">
        <v>7764</v>
      </c>
      <c r="H216" s="61"/>
    </row>
    <row r="217" spans="1:8">
      <c r="A217" s="198" t="s">
        <v>5349</v>
      </c>
      <c r="B217" s="54" t="s">
        <v>7550</v>
      </c>
      <c r="C217" s="55" t="s">
        <v>2901</v>
      </c>
      <c r="D217" s="61" t="s">
        <v>2902</v>
      </c>
      <c r="E217" s="200" cm="1">
        <f t="array" ref="E217">MIN(IFERROR(--_xlfn.TEXTSPLIT(SUBSTITUTE(SUBSTITUTE(G217,"|",",")," ",""),","),0))</f>
        <v>8</v>
      </c>
      <c r="F217" s="200" cm="1">
        <f t="array" ref="F217">MAX(IFERROR(--_xlfn.TEXTSPLIT(SUBSTITUTE(SUBSTITUTE(G217,"|",",")," ",""),","),0))</f>
        <v>8</v>
      </c>
      <c r="G217" s="201" t="s">
        <v>7764</v>
      </c>
      <c r="H217" s="61"/>
    </row>
    <row r="218" spans="1:8">
      <c r="A218" s="198" t="s">
        <v>5349</v>
      </c>
      <c r="B218" s="54" t="s">
        <v>7550</v>
      </c>
      <c r="C218" s="55" t="s">
        <v>2903</v>
      </c>
      <c r="D218" s="61" t="s">
        <v>2904</v>
      </c>
      <c r="E218" s="200" cm="1">
        <f t="array" ref="E218">MIN(IFERROR(--_xlfn.TEXTSPLIT(SUBSTITUTE(SUBSTITUTE(G218,"|",",")," ",""),","),0))</f>
        <v>8</v>
      </c>
      <c r="F218" s="200" cm="1">
        <f t="array" ref="F218">MAX(IFERROR(--_xlfn.TEXTSPLIT(SUBSTITUTE(SUBSTITUTE(G218,"|",",")," ",""),","),0))</f>
        <v>8</v>
      </c>
      <c r="G218" s="201" t="s">
        <v>7764</v>
      </c>
      <c r="H218" s="61"/>
    </row>
    <row r="219" spans="1:8">
      <c r="A219" s="198" t="s">
        <v>5349</v>
      </c>
      <c r="B219" s="54" t="s">
        <v>7550</v>
      </c>
      <c r="C219" s="55" t="s">
        <v>2905</v>
      </c>
      <c r="D219" s="61" t="s">
        <v>2906</v>
      </c>
      <c r="E219" s="200" cm="1">
        <f t="array" ref="E219">MIN(IFERROR(--_xlfn.TEXTSPLIT(SUBSTITUTE(SUBSTITUTE(G219,"|",",")," ",""),","),0))</f>
        <v>8</v>
      </c>
      <c r="F219" s="200" cm="1">
        <f t="array" ref="F219">MAX(IFERROR(--_xlfn.TEXTSPLIT(SUBSTITUTE(SUBSTITUTE(G219,"|",",")," ",""),","),0))</f>
        <v>8</v>
      </c>
      <c r="G219" s="201" t="s">
        <v>7764</v>
      </c>
      <c r="H219" s="61"/>
    </row>
    <row r="220" spans="1:8">
      <c r="A220" s="198" t="s">
        <v>5349</v>
      </c>
      <c r="B220" s="54" t="s">
        <v>7550</v>
      </c>
      <c r="C220" s="55" t="s">
        <v>2907</v>
      </c>
      <c r="D220" s="61" t="s">
        <v>2908</v>
      </c>
      <c r="E220" s="200" cm="1">
        <f t="array" ref="E220">MIN(IFERROR(--_xlfn.TEXTSPLIT(SUBSTITUTE(SUBSTITUTE(G220,"|",",")," ",""),","),0))</f>
        <v>9</v>
      </c>
      <c r="F220" s="200" cm="1">
        <f t="array" ref="F220">MAX(IFERROR(--_xlfn.TEXTSPLIT(SUBSTITUTE(SUBSTITUTE(G220,"|",",")," ",""),","),0))</f>
        <v>9</v>
      </c>
      <c r="G220" s="201" t="s">
        <v>7766</v>
      </c>
      <c r="H220" s="61"/>
    </row>
    <row r="221" spans="1:8">
      <c r="A221" s="198" t="s">
        <v>5349</v>
      </c>
      <c r="B221" s="54" t="s">
        <v>7550</v>
      </c>
      <c r="C221" s="55" t="s">
        <v>2909</v>
      </c>
      <c r="D221" s="61" t="s">
        <v>2910</v>
      </c>
      <c r="E221" s="200" cm="1">
        <f t="array" ref="E221">MIN(IFERROR(--_xlfn.TEXTSPLIT(SUBSTITUTE(SUBSTITUTE(G221,"|",",")," ",""),","),0))</f>
        <v>11</v>
      </c>
      <c r="F221" s="200" cm="1">
        <f t="array" ref="F221">MAX(IFERROR(--_xlfn.TEXTSPLIT(SUBSTITUTE(SUBSTITUTE(G221,"|",",")," ",""),","),0))</f>
        <v>11</v>
      </c>
      <c r="G221" s="201" t="s">
        <v>7865</v>
      </c>
      <c r="H221" s="61"/>
    </row>
    <row r="222" spans="1:8">
      <c r="A222" s="198" t="s">
        <v>5349</v>
      </c>
      <c r="B222" s="54" t="s">
        <v>7550</v>
      </c>
      <c r="C222" s="55" t="s">
        <v>2911</v>
      </c>
      <c r="D222" s="61" t="s">
        <v>2912</v>
      </c>
      <c r="E222" s="200" cm="1">
        <f t="array" ref="E222">MIN(IFERROR(--_xlfn.TEXTSPLIT(SUBSTITUTE(SUBSTITUTE(G222,"|",",")," ",""),","),0))</f>
        <v>11</v>
      </c>
      <c r="F222" s="200" cm="1">
        <f t="array" ref="F222">MAX(IFERROR(--_xlfn.TEXTSPLIT(SUBSTITUTE(SUBSTITUTE(G222,"|",",")," ",""),","),0))</f>
        <v>11</v>
      </c>
      <c r="G222" s="201" t="s">
        <v>7865</v>
      </c>
      <c r="H222" s="61"/>
    </row>
    <row r="223" spans="1:8">
      <c r="A223" s="198" t="s">
        <v>5349</v>
      </c>
      <c r="B223" s="54" t="s">
        <v>7550</v>
      </c>
      <c r="C223" s="55" t="s">
        <v>2913</v>
      </c>
      <c r="D223" s="61" t="s">
        <v>2914</v>
      </c>
      <c r="E223" s="200" cm="1">
        <f t="array" ref="E223">MIN(IFERROR(--_xlfn.TEXTSPLIT(SUBSTITUTE(SUBSTITUTE(G223,"|",",")," ",""),","),0))</f>
        <v>11</v>
      </c>
      <c r="F223" s="200" cm="1">
        <f t="array" ref="F223">MAX(IFERROR(--_xlfn.TEXTSPLIT(SUBSTITUTE(SUBSTITUTE(G223,"|",",")," ",""),","),0))</f>
        <v>11</v>
      </c>
      <c r="G223" s="201" t="s">
        <v>7865</v>
      </c>
      <c r="H223" s="61"/>
    </row>
    <row r="224" spans="1:8">
      <c r="A224" s="198" t="s">
        <v>5349</v>
      </c>
      <c r="B224" s="54" t="s">
        <v>7550</v>
      </c>
      <c r="C224" s="55" t="s">
        <v>2915</v>
      </c>
      <c r="D224" s="61" t="s">
        <v>2916</v>
      </c>
      <c r="E224" s="200" cm="1">
        <f t="array" ref="E224">MIN(IFERROR(--_xlfn.TEXTSPLIT(SUBSTITUTE(SUBSTITUTE(G224,"|",",")," ",""),","),0))</f>
        <v>11</v>
      </c>
      <c r="F224" s="200" cm="1">
        <f t="array" ref="F224">MAX(IFERROR(--_xlfn.TEXTSPLIT(SUBSTITUTE(SUBSTITUTE(G224,"|",",")," ",""),","),0))</f>
        <v>11</v>
      </c>
      <c r="G224" s="201" t="s">
        <v>7865</v>
      </c>
      <c r="H224" s="61"/>
    </row>
    <row r="225" spans="1:8">
      <c r="A225" s="198" t="s">
        <v>5349</v>
      </c>
      <c r="B225" s="54" t="s">
        <v>7550</v>
      </c>
      <c r="C225" s="55" t="s">
        <v>2917</v>
      </c>
      <c r="D225" s="61" t="s">
        <v>2918</v>
      </c>
      <c r="E225" s="200" cm="1">
        <f t="array" ref="E225">MIN(IFERROR(--_xlfn.TEXTSPLIT(SUBSTITUTE(SUBSTITUTE(G225,"|",",")," ",""),","),0))</f>
        <v>22</v>
      </c>
      <c r="F225" s="200" cm="1">
        <f t="array" ref="F225">MAX(IFERROR(--_xlfn.TEXTSPLIT(SUBSTITUTE(SUBSTITUTE(G225,"|",",")," ",""),","),0))</f>
        <v>22</v>
      </c>
      <c r="G225" s="201" t="s">
        <v>7879</v>
      </c>
      <c r="H225" s="61"/>
    </row>
    <row r="226" spans="1:8">
      <c r="A226" s="198" t="s">
        <v>5349</v>
      </c>
      <c r="B226" s="54" t="s">
        <v>7550</v>
      </c>
      <c r="C226" s="55" t="s">
        <v>2919</v>
      </c>
      <c r="D226" s="56" t="s">
        <v>2920</v>
      </c>
      <c r="E226" s="200" cm="1">
        <f t="array" ref="E226">MIN(IFERROR(--_xlfn.TEXTSPLIT(SUBSTITUTE(SUBSTITUTE(G226,"|",",")," ",""),","),0))</f>
        <v>45</v>
      </c>
      <c r="F226" s="200" cm="1">
        <f t="array" ref="F226">MAX(IFERROR(--_xlfn.TEXTSPLIT(SUBSTITUTE(SUBSTITUTE(G226,"|",",")," ",""),","),0))</f>
        <v>45</v>
      </c>
      <c r="G226" s="201" t="s">
        <v>7880</v>
      </c>
      <c r="H226" s="61"/>
    </row>
    <row r="227" spans="1:8">
      <c r="A227" s="198" t="s">
        <v>5349</v>
      </c>
      <c r="B227" s="54" t="s">
        <v>7550</v>
      </c>
      <c r="C227" s="55" t="s">
        <v>2921</v>
      </c>
      <c r="D227" s="56" t="s">
        <v>2922</v>
      </c>
      <c r="E227" s="200" cm="1">
        <f t="array" ref="E227">MIN(IFERROR(--_xlfn.TEXTSPLIT(SUBSTITUTE(SUBSTITUTE(G227,"|",",")," ",""),","),0))</f>
        <v>25</v>
      </c>
      <c r="F227" s="200" cm="1">
        <f t="array" ref="F227">MAX(IFERROR(--_xlfn.TEXTSPLIT(SUBSTITUTE(SUBSTITUTE(G227,"|",",")," ",""),","),0))</f>
        <v>25</v>
      </c>
      <c r="G227" s="201" t="s">
        <v>7840</v>
      </c>
      <c r="H227" s="61"/>
    </row>
    <row r="228" spans="1:8">
      <c r="A228" s="198" t="s">
        <v>5349</v>
      </c>
      <c r="B228" s="54" t="s">
        <v>7550</v>
      </c>
      <c r="C228" s="55" t="s">
        <v>2923</v>
      </c>
      <c r="D228" s="56" t="s">
        <v>2924</v>
      </c>
      <c r="E228" s="200" cm="1">
        <f t="array" ref="E228">MIN(IFERROR(--_xlfn.TEXTSPLIT(SUBSTITUTE(SUBSTITUTE(G228,"|",",")," ",""),","),0))</f>
        <v>35</v>
      </c>
      <c r="F228" s="200" cm="1">
        <f t="array" ref="F228">MAX(IFERROR(--_xlfn.TEXTSPLIT(SUBSTITUTE(SUBSTITUTE(G228,"|",",")," ",""),","),0))</f>
        <v>35</v>
      </c>
      <c r="G228" s="201" t="s">
        <v>7868</v>
      </c>
      <c r="H228" s="61"/>
    </row>
    <row r="229" spans="1:8">
      <c r="A229" s="198" t="s">
        <v>5349</v>
      </c>
      <c r="B229" s="54" t="s">
        <v>7550</v>
      </c>
      <c r="C229" s="55" t="s">
        <v>2925</v>
      </c>
      <c r="D229" s="56" t="s">
        <v>2926</v>
      </c>
      <c r="E229" s="200" cm="1">
        <f t="array" ref="E229">MIN(IFERROR(--_xlfn.TEXTSPLIT(SUBSTITUTE(SUBSTITUTE(G229,"|",",")," ",""),","),0))</f>
        <v>50</v>
      </c>
      <c r="F229" s="200" cm="1">
        <f t="array" ref="F229">MAX(IFERROR(--_xlfn.TEXTSPLIT(SUBSTITUTE(SUBSTITUTE(G229,"|",",")," ",""),","),0))</f>
        <v>50</v>
      </c>
      <c r="G229" s="201" t="s">
        <v>7881</v>
      </c>
      <c r="H229" s="61"/>
    </row>
    <row r="230" spans="1:8">
      <c r="A230" s="198" t="s">
        <v>5349</v>
      </c>
      <c r="B230" s="54" t="s">
        <v>7550</v>
      </c>
      <c r="C230" s="55" t="s">
        <v>2927</v>
      </c>
      <c r="D230" s="56" t="s">
        <v>2928</v>
      </c>
      <c r="E230" s="200" cm="1">
        <f t="array" ref="E230">MIN(IFERROR(--_xlfn.TEXTSPLIT(SUBSTITUTE(SUBSTITUTE(G230,"|",",")," ",""),","),0))</f>
        <v>10</v>
      </c>
      <c r="F230" s="200" cm="1">
        <f t="array" ref="F230">MAX(IFERROR(--_xlfn.TEXTSPLIT(SUBSTITUTE(SUBSTITUTE(G230,"|",",")," ",""),","),0))</f>
        <v>10</v>
      </c>
      <c r="G230" s="201" t="s">
        <v>7768</v>
      </c>
      <c r="H230" s="61"/>
    </row>
    <row r="231" spans="1:8">
      <c r="A231" s="198" t="s">
        <v>5349</v>
      </c>
      <c r="B231" s="54" t="s">
        <v>7550</v>
      </c>
      <c r="C231" s="55" t="s">
        <v>2929</v>
      </c>
      <c r="D231" s="56" t="s">
        <v>2930</v>
      </c>
      <c r="E231" s="200" cm="1">
        <f t="array" ref="E231">MIN(IFERROR(--_xlfn.TEXTSPLIT(SUBSTITUTE(SUBSTITUTE(G231,"|",",")," ",""),","),0))</f>
        <v>15</v>
      </c>
      <c r="F231" s="200" cm="1">
        <f t="array" ref="F231">MAX(IFERROR(--_xlfn.TEXTSPLIT(SUBSTITUTE(SUBSTITUTE(G231,"|",",")," ",""),","),0))</f>
        <v>15</v>
      </c>
      <c r="G231" s="201" t="s">
        <v>7862</v>
      </c>
      <c r="H231" s="61"/>
    </row>
    <row r="232" spans="1:8">
      <c r="A232" s="198" t="s">
        <v>5349</v>
      </c>
      <c r="B232" s="54" t="s">
        <v>7551</v>
      </c>
      <c r="C232" s="55" t="s">
        <v>2931</v>
      </c>
      <c r="D232" s="61" t="s">
        <v>2932</v>
      </c>
      <c r="E232" s="200" cm="1">
        <f t="array" ref="E232">MIN(IFERROR(--_xlfn.TEXTSPLIT(SUBSTITUTE(SUBSTITUTE(G232,"|",",")," ",""),","),0))</f>
        <v>15</v>
      </c>
      <c r="F232" s="200" cm="1">
        <f t="array" ref="F232">MAX(IFERROR(--_xlfn.TEXTSPLIT(SUBSTITUTE(SUBSTITUTE(G232,"|",",")," ",""),","),0))</f>
        <v>15</v>
      </c>
      <c r="G232" s="201" t="s">
        <v>7862</v>
      </c>
      <c r="H232" s="61"/>
    </row>
    <row r="233" spans="1:8">
      <c r="A233" s="198" t="s">
        <v>5349</v>
      </c>
      <c r="B233" s="54" t="s">
        <v>7551</v>
      </c>
      <c r="C233" s="55" t="s">
        <v>2933</v>
      </c>
      <c r="D233" s="61" t="s">
        <v>2934</v>
      </c>
      <c r="E233" s="200" cm="1">
        <f t="array" ref="E233">MIN(IFERROR(--_xlfn.TEXTSPLIT(SUBSTITUTE(SUBSTITUTE(G233,"|",",")," ",""),","),0))</f>
        <v>17</v>
      </c>
      <c r="F233" s="200" cm="1">
        <f t="array" ref="F233">MAX(IFERROR(--_xlfn.TEXTSPLIT(SUBSTITUTE(SUBSTITUTE(G233,"|",",")," ",""),","),0))</f>
        <v>17</v>
      </c>
      <c r="G233" s="201" t="s">
        <v>7850</v>
      </c>
      <c r="H233" s="61"/>
    </row>
    <row r="234" spans="1:8">
      <c r="A234" s="198" t="s">
        <v>5349</v>
      </c>
      <c r="B234" s="54" t="s">
        <v>7551</v>
      </c>
      <c r="C234" s="55" t="s">
        <v>2935</v>
      </c>
      <c r="D234" s="61" t="s">
        <v>422</v>
      </c>
      <c r="E234" s="200" cm="1">
        <f t="array" ref="E234">MIN(IFERROR(--_xlfn.TEXTSPLIT(SUBSTITUTE(SUBSTITUTE(G234,"|",",")," ",""),","),0))</f>
        <v>4</v>
      </c>
      <c r="F234" s="200" cm="1">
        <f t="array" ref="F234">MAX(IFERROR(--_xlfn.TEXTSPLIT(SUBSTITUTE(SUBSTITUTE(G234,"|",",")," ",""),","),0))</f>
        <v>4</v>
      </c>
      <c r="G234" s="201" t="s">
        <v>7617</v>
      </c>
      <c r="H234" s="61"/>
    </row>
    <row r="235" spans="1:8">
      <c r="A235" s="198" t="s">
        <v>5349</v>
      </c>
      <c r="B235" s="54" t="s">
        <v>7551</v>
      </c>
      <c r="C235" s="55" t="s">
        <v>2936</v>
      </c>
      <c r="D235" s="61" t="s">
        <v>426</v>
      </c>
      <c r="E235" s="200" cm="1">
        <f t="array" ref="E235">MIN(IFERROR(--_xlfn.TEXTSPLIT(SUBSTITUTE(SUBSTITUTE(G235,"|",",")," ",""),","),0))</f>
        <v>4</v>
      </c>
      <c r="F235" s="200" cm="1">
        <f t="array" ref="F235">MAX(IFERROR(--_xlfn.TEXTSPLIT(SUBSTITUTE(SUBSTITUTE(G235,"|",",")," ",""),","),0))</f>
        <v>4</v>
      </c>
      <c r="G235" s="201" t="s">
        <v>7617</v>
      </c>
      <c r="H235" s="61"/>
    </row>
    <row r="236" spans="1:8">
      <c r="A236" s="198" t="s">
        <v>5349</v>
      </c>
      <c r="B236" s="54" t="s">
        <v>7551</v>
      </c>
      <c r="C236" s="55" t="s">
        <v>2937</v>
      </c>
      <c r="D236" s="61" t="s">
        <v>428</v>
      </c>
      <c r="E236" s="200" cm="1">
        <f t="array" ref="E236">MIN(IFERROR(--_xlfn.TEXTSPLIT(SUBSTITUTE(SUBSTITUTE(G236,"|",",")," ",""),","),0))</f>
        <v>4</v>
      </c>
      <c r="F236" s="200" cm="1">
        <f t="array" ref="F236">MAX(IFERROR(--_xlfn.TEXTSPLIT(SUBSTITUTE(SUBSTITUTE(G236,"|",",")," ",""),","),0))</f>
        <v>4</v>
      </c>
      <c r="G236" s="201" t="s">
        <v>7617</v>
      </c>
      <c r="H236" s="61"/>
    </row>
    <row r="237" spans="1:8">
      <c r="A237" s="198" t="s">
        <v>5349</v>
      </c>
      <c r="B237" s="54" t="s">
        <v>7551</v>
      </c>
      <c r="C237" s="55" t="s">
        <v>2938</v>
      </c>
      <c r="D237" s="61" t="s">
        <v>430</v>
      </c>
      <c r="E237" s="200" cm="1">
        <f t="array" ref="E237">MIN(IFERROR(--_xlfn.TEXTSPLIT(SUBSTITUTE(SUBSTITUTE(G237,"|",",")," ",""),","),0))</f>
        <v>4</v>
      </c>
      <c r="F237" s="200" cm="1">
        <f t="array" ref="F237">MAX(IFERROR(--_xlfn.TEXTSPLIT(SUBSTITUTE(SUBSTITUTE(G237,"|",",")," ",""),","),0))</f>
        <v>4</v>
      </c>
      <c r="G237" s="201" t="s">
        <v>7617</v>
      </c>
      <c r="H237" s="61"/>
    </row>
    <row r="238" spans="1:8">
      <c r="A238" s="198" t="s">
        <v>5349</v>
      </c>
      <c r="B238" s="54" t="s">
        <v>7551</v>
      </c>
      <c r="C238" s="55" t="s">
        <v>2939</v>
      </c>
      <c r="D238" s="61" t="s">
        <v>434</v>
      </c>
      <c r="E238" s="200" cm="1">
        <f t="array" ref="E238">MIN(IFERROR(--_xlfn.TEXTSPLIT(SUBSTITUTE(SUBSTITUTE(G238,"|",",")," ",""),","),0))</f>
        <v>2</v>
      </c>
      <c r="F238" s="200" cm="1">
        <f t="array" ref="F238">MAX(IFERROR(--_xlfn.TEXTSPLIT(SUBSTITUTE(SUBSTITUTE(G238,"|",",")," ",""),","),0))</f>
        <v>2</v>
      </c>
      <c r="G238" s="201" t="s">
        <v>7861</v>
      </c>
      <c r="H238" s="61"/>
    </row>
    <row r="239" spans="1:8">
      <c r="A239" s="198" t="s">
        <v>5349</v>
      </c>
      <c r="B239" s="54" t="s">
        <v>7551</v>
      </c>
      <c r="C239" s="55" t="s">
        <v>2940</v>
      </c>
      <c r="D239" s="61" t="s">
        <v>1313</v>
      </c>
      <c r="E239" s="200" cm="1">
        <f t="array" ref="E239">MIN(IFERROR(--_xlfn.TEXTSPLIT(SUBSTITUTE(SUBSTITUTE(G239,"|",",")," ",""),","),0))</f>
        <v>16</v>
      </c>
      <c r="F239" s="200" cm="1">
        <f t="array" ref="F239">MAX(IFERROR(--_xlfn.TEXTSPLIT(SUBSTITUTE(SUBSTITUTE(G239,"|",",")," ",""),","),0))</f>
        <v>16</v>
      </c>
      <c r="G239" s="201" t="s">
        <v>7882</v>
      </c>
      <c r="H239" s="61"/>
    </row>
    <row r="240" spans="1:8">
      <c r="A240" s="198" t="s">
        <v>5349</v>
      </c>
      <c r="B240" s="54" t="s">
        <v>7551</v>
      </c>
      <c r="C240" s="55" t="s">
        <v>2941</v>
      </c>
      <c r="D240" s="61" t="s">
        <v>1318</v>
      </c>
      <c r="E240" s="200" cm="1">
        <f t="array" ref="E240">MIN(IFERROR(--_xlfn.TEXTSPLIT(SUBSTITUTE(SUBSTITUTE(G240,"|",",")," ",""),","),0))</f>
        <v>16</v>
      </c>
      <c r="F240" s="200" cm="1">
        <f t="array" ref="F240">MAX(IFERROR(--_xlfn.TEXTSPLIT(SUBSTITUTE(SUBSTITUTE(G240,"|",",")," ",""),","),0))</f>
        <v>16</v>
      </c>
      <c r="G240" s="201" t="s">
        <v>7882</v>
      </c>
      <c r="H240" s="61"/>
    </row>
    <row r="241" spans="1:8">
      <c r="A241" s="198" t="s">
        <v>5349</v>
      </c>
      <c r="B241" s="54" t="s">
        <v>7551</v>
      </c>
      <c r="C241" s="55" t="s">
        <v>2942</v>
      </c>
      <c r="D241" s="61" t="s">
        <v>2943</v>
      </c>
      <c r="E241" s="200" cm="1">
        <f t="array" ref="E241">MIN(IFERROR(--_xlfn.TEXTSPLIT(SUBSTITUTE(SUBSTITUTE(G241,"|",",")," ",""),","),0))</f>
        <v>15</v>
      </c>
      <c r="F241" s="200" cm="1">
        <f t="array" ref="F241">MAX(IFERROR(--_xlfn.TEXTSPLIT(SUBSTITUTE(SUBSTITUTE(G241,"|",",")," ",""),","),0))</f>
        <v>15</v>
      </c>
      <c r="G241" s="201" t="s">
        <v>7862</v>
      </c>
      <c r="H241" s="61"/>
    </row>
    <row r="242" spans="1:8">
      <c r="A242" s="198" t="s">
        <v>5349</v>
      </c>
      <c r="B242" s="54" t="s">
        <v>7551</v>
      </c>
      <c r="C242" s="55" t="s">
        <v>2944</v>
      </c>
      <c r="D242" s="61" t="s">
        <v>2945</v>
      </c>
      <c r="E242" s="200" cm="1">
        <f t="array" ref="E242">MIN(IFERROR(--_xlfn.TEXTSPLIT(SUBSTITUTE(SUBSTITUTE(G242,"|",",")," ",""),","),0))</f>
        <v>158</v>
      </c>
      <c r="F242" s="200" cm="1">
        <f t="array" ref="F242">MAX(IFERROR(--_xlfn.TEXTSPLIT(SUBSTITUTE(SUBSTITUTE(G242,"|",",")," ",""),","),0))</f>
        <v>230</v>
      </c>
      <c r="G242" s="201" t="s">
        <v>7883</v>
      </c>
      <c r="H242" s="61"/>
    </row>
    <row r="243" spans="1:8">
      <c r="A243" s="198" t="s">
        <v>5349</v>
      </c>
      <c r="B243" s="54" t="s">
        <v>7551</v>
      </c>
      <c r="C243" s="55" t="s">
        <v>2946</v>
      </c>
      <c r="D243" s="61" t="s">
        <v>2947</v>
      </c>
      <c r="E243" s="200" cm="1">
        <f t="array" ref="E243">MIN(IFERROR(--_xlfn.TEXTSPLIT(SUBSTITUTE(SUBSTITUTE(G243,"|",",")," ",""),","),0))</f>
        <v>158</v>
      </c>
      <c r="F243" s="200" cm="1">
        <f t="array" ref="F243">MAX(IFERROR(--_xlfn.TEXTSPLIT(SUBSTITUTE(SUBSTITUTE(G243,"|",",")," ",""),","),0))</f>
        <v>230</v>
      </c>
      <c r="G243" s="201" t="s">
        <v>7883</v>
      </c>
      <c r="H243" s="61"/>
    </row>
    <row r="244" spans="1:8">
      <c r="A244" s="198" t="s">
        <v>5349</v>
      </c>
      <c r="B244" s="54" t="s">
        <v>7551</v>
      </c>
      <c r="C244" s="55" t="s">
        <v>2948</v>
      </c>
      <c r="D244" s="61" t="s">
        <v>1325</v>
      </c>
      <c r="E244" s="200" cm="1">
        <f t="array" ref="E244">MIN(IFERROR(--_xlfn.TEXTSPLIT(SUBSTITUTE(SUBSTITUTE(G244,"|",",")," ",""),","),0))</f>
        <v>17</v>
      </c>
      <c r="F244" s="200" cm="1">
        <f t="array" ref="F244">MAX(IFERROR(--_xlfn.TEXTSPLIT(SUBSTITUTE(SUBSTITUTE(G244,"|",",")," ",""),","),0))</f>
        <v>17</v>
      </c>
      <c r="G244" s="201" t="s">
        <v>7850</v>
      </c>
      <c r="H244" s="61"/>
    </row>
    <row r="245" spans="1:8">
      <c r="A245" s="198" t="s">
        <v>5349</v>
      </c>
      <c r="B245" s="54" t="s">
        <v>7551</v>
      </c>
      <c r="C245" s="55" t="s">
        <v>2949</v>
      </c>
      <c r="D245" s="61" t="s">
        <v>2950</v>
      </c>
      <c r="E245" s="200" cm="1">
        <f t="array" ref="E245">MIN(IFERROR(--_xlfn.TEXTSPLIT(SUBSTITUTE(SUBSTITUTE(G245,"|",",")," ",""),","),0))</f>
        <v>21</v>
      </c>
      <c r="F245" s="200" cm="1">
        <f t="array" ref="F245">MAX(IFERROR(--_xlfn.TEXTSPLIT(SUBSTITUTE(SUBSTITUTE(G245,"|",",")," ",""),","),0))</f>
        <v>21</v>
      </c>
      <c r="G245" s="201" t="s">
        <v>7842</v>
      </c>
      <c r="H245" s="61"/>
    </row>
    <row r="246" spans="1:8">
      <c r="A246" s="198" t="s">
        <v>5349</v>
      </c>
      <c r="B246" s="54" t="s">
        <v>7551</v>
      </c>
      <c r="C246" s="55" t="s">
        <v>2951</v>
      </c>
      <c r="D246" s="61" t="s">
        <v>2952</v>
      </c>
      <c r="E246" s="200" cm="1">
        <f t="array" ref="E246">MIN(IFERROR(--_xlfn.TEXTSPLIT(SUBSTITUTE(SUBSTITUTE(G246,"|",",")," ",""),","),0))</f>
        <v>3</v>
      </c>
      <c r="F246" s="200" cm="1">
        <f t="array" ref="F246">MAX(IFERROR(--_xlfn.TEXTSPLIT(SUBSTITUTE(SUBSTITUTE(G246,"|",",")," ",""),","),0))</f>
        <v>3</v>
      </c>
      <c r="G246" s="201" t="s">
        <v>7872</v>
      </c>
      <c r="H246" s="61"/>
    </row>
    <row r="247" spans="1:8">
      <c r="A247" s="198" t="s">
        <v>5349</v>
      </c>
      <c r="B247" s="54" t="s">
        <v>7551</v>
      </c>
      <c r="C247" s="55" t="s">
        <v>2953</v>
      </c>
      <c r="D247" s="61" t="s">
        <v>2954</v>
      </c>
      <c r="E247" s="200" cm="1">
        <f t="array" ref="E247">MIN(IFERROR(--_xlfn.TEXTSPLIT(SUBSTITUTE(SUBSTITUTE(G247,"|",",")," ",""),","),0))</f>
        <v>15</v>
      </c>
      <c r="F247" s="200" cm="1">
        <f t="array" ref="F247">MAX(IFERROR(--_xlfn.TEXTSPLIT(SUBSTITUTE(SUBSTITUTE(G247,"|",",")," ",""),","),0))</f>
        <v>15</v>
      </c>
      <c r="G247" s="201" t="s">
        <v>7862</v>
      </c>
      <c r="H247" s="61"/>
    </row>
    <row r="248" spans="1:8">
      <c r="A248" s="198" t="s">
        <v>5349</v>
      </c>
      <c r="B248" s="54" t="s">
        <v>7551</v>
      </c>
      <c r="C248" s="55" t="s">
        <v>2955</v>
      </c>
      <c r="D248" s="61" t="s">
        <v>2956</v>
      </c>
      <c r="E248" s="200" cm="1">
        <f t="array" ref="E248">MIN(IFERROR(--_xlfn.TEXTSPLIT(SUBSTITUTE(SUBSTITUTE(G248,"|",",")," ",""),","),0))</f>
        <v>6</v>
      </c>
      <c r="F248" s="200" cm="1">
        <f t="array" ref="F248">MAX(IFERROR(--_xlfn.TEXTSPLIT(SUBSTITUTE(SUBSTITUTE(G248,"|",",")," ",""),","),0))</f>
        <v>6</v>
      </c>
      <c r="G248" s="201" t="s">
        <v>7623</v>
      </c>
      <c r="H248" s="61"/>
    </row>
    <row r="249" spans="1:8">
      <c r="A249" s="198" t="s">
        <v>5349</v>
      </c>
      <c r="B249" s="54" t="s">
        <v>7551</v>
      </c>
      <c r="C249" s="55" t="s">
        <v>2957</v>
      </c>
      <c r="D249" s="61" t="s">
        <v>1785</v>
      </c>
      <c r="E249" s="200" cm="1">
        <f t="array" ref="E249">MIN(IFERROR(--_xlfn.TEXTSPLIT(SUBSTITUTE(SUBSTITUTE(G249,"|",",")," ",""),","),0))</f>
        <v>6</v>
      </c>
      <c r="F249" s="200" cm="1">
        <f t="array" ref="F249">MAX(IFERROR(--_xlfn.TEXTSPLIT(SUBSTITUTE(SUBSTITUTE(G249,"|",",")," ",""),","),0))</f>
        <v>6</v>
      </c>
      <c r="G249" s="201" t="s">
        <v>7623</v>
      </c>
      <c r="H249" s="61"/>
    </row>
    <row r="250" spans="1:8">
      <c r="A250" s="198" t="s">
        <v>5349</v>
      </c>
      <c r="B250" s="54" t="s">
        <v>7551</v>
      </c>
      <c r="C250" s="55" t="s">
        <v>2958</v>
      </c>
      <c r="D250" s="61" t="s">
        <v>1347</v>
      </c>
      <c r="E250" s="200" cm="1">
        <f t="array" ref="E250">MIN(IFERROR(--_xlfn.TEXTSPLIT(SUBSTITUTE(SUBSTITUTE(G250,"|",",")," ",""),","),0))</f>
        <v>25</v>
      </c>
      <c r="F250" s="200" cm="1">
        <f t="array" ref="F250">MAX(IFERROR(--_xlfn.TEXTSPLIT(SUBSTITUTE(SUBSTITUTE(G250,"|",",")," ",""),","),0))</f>
        <v>25</v>
      </c>
      <c r="G250" s="201" t="s">
        <v>7840</v>
      </c>
      <c r="H250" s="61"/>
    </row>
    <row r="251" spans="1:8">
      <c r="A251" s="198" t="s">
        <v>5349</v>
      </c>
      <c r="B251" s="54" t="s">
        <v>7551</v>
      </c>
      <c r="C251" s="55" t="s">
        <v>2959</v>
      </c>
      <c r="D251" s="56" t="s">
        <v>2960</v>
      </c>
      <c r="E251" s="200" cm="1">
        <f t="array" ref="E251">MIN(IFERROR(--_xlfn.TEXTSPLIT(SUBSTITUTE(SUBSTITUTE(G251,"|",",")," ",""),","),0))</f>
        <v>6</v>
      </c>
      <c r="F251" s="200" cm="1">
        <f t="array" ref="F251">MAX(IFERROR(--_xlfn.TEXTSPLIT(SUBSTITUTE(SUBSTITUTE(G251,"|",",")," ",""),","),0))</f>
        <v>8</v>
      </c>
      <c r="G251" s="201" t="s">
        <v>7823</v>
      </c>
      <c r="H251" s="61"/>
    </row>
    <row r="252" spans="1:8">
      <c r="A252" s="198" t="s">
        <v>5349</v>
      </c>
      <c r="B252" s="54" t="s">
        <v>7551</v>
      </c>
      <c r="C252" s="55" t="s">
        <v>2961</v>
      </c>
      <c r="D252" s="56" t="s">
        <v>2962</v>
      </c>
      <c r="E252" s="200" cm="1">
        <f t="array" ref="E252">MIN(IFERROR(--_xlfn.TEXTSPLIT(SUBSTITUTE(SUBSTITUTE(G252,"|",",")," ",""),","),0))</f>
        <v>6</v>
      </c>
      <c r="F252" s="200" cm="1">
        <f t="array" ref="F252">MAX(IFERROR(--_xlfn.TEXTSPLIT(SUBSTITUTE(SUBSTITUTE(G252,"|",",")," ",""),","),0))</f>
        <v>8</v>
      </c>
      <c r="G252" s="201" t="s">
        <v>7823</v>
      </c>
      <c r="H252" s="61"/>
    </row>
    <row r="253" spans="1:8">
      <c r="A253" s="198" t="s">
        <v>5349</v>
      </c>
      <c r="B253" s="54" t="s">
        <v>7551</v>
      </c>
      <c r="C253" s="55" t="s">
        <v>2963</v>
      </c>
      <c r="D253" s="56" t="s">
        <v>2964</v>
      </c>
      <c r="E253" s="200" cm="1">
        <f t="array" ref="E253">MIN(IFERROR(--_xlfn.TEXTSPLIT(SUBSTITUTE(SUBSTITUTE(G253,"|",",")," ",""),","),0))</f>
        <v>6</v>
      </c>
      <c r="F253" s="200" cm="1">
        <f t="array" ref="F253">MAX(IFERROR(--_xlfn.TEXTSPLIT(SUBSTITUTE(SUBSTITUTE(G253,"|",",")," ",""),","),0))</f>
        <v>8</v>
      </c>
      <c r="G253" s="201" t="s">
        <v>7823</v>
      </c>
      <c r="H253" s="61"/>
    </row>
    <row r="254" spans="1:8">
      <c r="A254" s="198" t="s">
        <v>5349</v>
      </c>
      <c r="B254" s="54" t="s">
        <v>7551</v>
      </c>
      <c r="C254" s="55" t="s">
        <v>2965</v>
      </c>
      <c r="D254" s="56" t="s">
        <v>2966</v>
      </c>
      <c r="E254" s="200" cm="1">
        <f t="array" ref="E254">MIN(IFERROR(--_xlfn.TEXTSPLIT(SUBSTITUTE(SUBSTITUTE(G254,"|",",")," ",""),","),0))</f>
        <v>6</v>
      </c>
      <c r="F254" s="200" cm="1">
        <f t="array" ref="F254">MAX(IFERROR(--_xlfn.TEXTSPLIT(SUBSTITUTE(SUBSTITUTE(G254,"|",",")," ",""),","),0))</f>
        <v>8</v>
      </c>
      <c r="G254" s="201" t="s">
        <v>7823</v>
      </c>
      <c r="H254" s="61"/>
    </row>
    <row r="255" spans="1:8">
      <c r="A255" s="198" t="s">
        <v>5349</v>
      </c>
      <c r="B255" s="54" t="s">
        <v>7551</v>
      </c>
      <c r="C255" s="55" t="s">
        <v>2967</v>
      </c>
      <c r="D255" s="56" t="s">
        <v>2968</v>
      </c>
      <c r="E255" s="200" cm="1">
        <f t="array" ref="E255">MIN(IFERROR(--_xlfn.TEXTSPLIT(SUBSTITUTE(SUBSTITUTE(G255,"|",",")," ",""),","),0))</f>
        <v>8</v>
      </c>
      <c r="F255" s="200" cm="1">
        <f t="array" ref="F255">MAX(IFERROR(--_xlfn.TEXTSPLIT(SUBSTITUTE(SUBSTITUTE(G255,"|",",")," ",""),","),0))</f>
        <v>10</v>
      </c>
      <c r="G255" s="201" t="s">
        <v>7718</v>
      </c>
      <c r="H255" s="61"/>
    </row>
    <row r="256" spans="1:8">
      <c r="A256" s="198" t="s">
        <v>5349</v>
      </c>
      <c r="B256" s="54" t="s">
        <v>7551</v>
      </c>
      <c r="C256" s="55" t="s">
        <v>2969</v>
      </c>
      <c r="D256" s="56" t="s">
        <v>2970</v>
      </c>
      <c r="E256" s="200" cm="1">
        <f t="array" ref="E256">MIN(IFERROR(--_xlfn.TEXTSPLIT(SUBSTITUTE(SUBSTITUTE(G256,"|",",")," ",""),","),0))</f>
        <v>12</v>
      </c>
      <c r="F256" s="200" cm="1">
        <f t="array" ref="F256">MAX(IFERROR(--_xlfn.TEXTSPLIT(SUBSTITUTE(SUBSTITUTE(G256,"|",",")," ",""),","),0))</f>
        <v>12</v>
      </c>
      <c r="G256" s="201" t="s">
        <v>7864</v>
      </c>
      <c r="H256" s="61"/>
    </row>
    <row r="257" spans="1:8">
      <c r="A257" s="198" t="s">
        <v>5349</v>
      </c>
      <c r="B257" s="54" t="s">
        <v>7551</v>
      </c>
      <c r="C257" s="55" t="s">
        <v>2971</v>
      </c>
      <c r="D257" s="56" t="s">
        <v>2972</v>
      </c>
      <c r="E257" s="200" cm="1">
        <f t="array" ref="E257">MIN(IFERROR(--_xlfn.TEXTSPLIT(SUBSTITUTE(SUBSTITUTE(G257,"|",",")," ",""),","),0))</f>
        <v>80</v>
      </c>
      <c r="F257" s="200" cm="1">
        <f t="array" ref="F257">MAX(IFERROR(--_xlfn.TEXTSPLIT(SUBSTITUTE(SUBSTITUTE(G257,"|",",")," ",""),","),0))</f>
        <v>80</v>
      </c>
      <c r="G257" s="201" t="s">
        <v>7867</v>
      </c>
      <c r="H257" s="61"/>
    </row>
    <row r="258" spans="1:8">
      <c r="A258" s="198" t="s">
        <v>5349</v>
      </c>
      <c r="B258" s="54" t="s">
        <v>7551</v>
      </c>
      <c r="C258" s="55" t="s">
        <v>2973</v>
      </c>
      <c r="D258" s="56" t="s">
        <v>2974</v>
      </c>
      <c r="E258" s="200" cm="1">
        <f t="array" ref="E258">MIN(IFERROR(--_xlfn.TEXTSPLIT(SUBSTITUTE(SUBSTITUTE(G258,"|",",")," ",""),","),0))</f>
        <v>100</v>
      </c>
      <c r="F258" s="200" cm="1">
        <f t="array" ref="F258">MAX(IFERROR(--_xlfn.TEXTSPLIT(SUBSTITUTE(SUBSTITUTE(G258,"|",",")," ",""),","),0))</f>
        <v>100</v>
      </c>
      <c r="G258" s="201" t="s">
        <v>7878</v>
      </c>
      <c r="H258" s="61"/>
    </row>
    <row r="259" spans="1:8">
      <c r="A259" s="198" t="s">
        <v>5349</v>
      </c>
      <c r="B259" s="54" t="s">
        <v>7552</v>
      </c>
      <c r="C259" s="55" t="s">
        <v>2975</v>
      </c>
      <c r="D259" s="61" t="s">
        <v>2976</v>
      </c>
      <c r="E259" s="200" cm="1">
        <f t="array" ref="E259">MIN(IFERROR(--_xlfn.TEXTSPLIT(SUBSTITUTE(SUBSTITUTE(G259,"|",",")," ",""),","),0))</f>
        <v>15</v>
      </c>
      <c r="F259" s="200" cm="1">
        <f t="array" ref="F259">MAX(IFERROR(--_xlfn.TEXTSPLIT(SUBSTITUTE(SUBSTITUTE(G259,"|",",")," ",""),","),0))</f>
        <v>15</v>
      </c>
      <c r="G259" s="201" t="s">
        <v>7862</v>
      </c>
      <c r="H259" s="61"/>
    </row>
    <row r="260" spans="1:8">
      <c r="A260" s="198" t="s">
        <v>5349</v>
      </c>
      <c r="B260" s="54" t="s">
        <v>7552</v>
      </c>
      <c r="C260" s="55" t="s">
        <v>2977</v>
      </c>
      <c r="D260" s="61" t="s">
        <v>2978</v>
      </c>
      <c r="E260" s="200" cm="1">
        <f t="array" ref="E260">MIN(IFERROR(--_xlfn.TEXTSPLIT(SUBSTITUTE(SUBSTITUTE(G260,"|",",")," ",""),","),0))</f>
        <v>7</v>
      </c>
      <c r="F260" s="200" cm="1">
        <f t="array" ref="F260">MAX(IFERROR(--_xlfn.TEXTSPLIT(SUBSTITUTE(SUBSTITUTE(G260,"|",",")," ",""),","),0))</f>
        <v>7</v>
      </c>
      <c r="G260" s="201" t="s">
        <v>7866</v>
      </c>
      <c r="H260" s="61"/>
    </row>
    <row r="261" spans="1:8">
      <c r="A261" s="198" t="s">
        <v>5349</v>
      </c>
      <c r="B261" s="54" t="s">
        <v>7552</v>
      </c>
      <c r="C261" s="55" t="s">
        <v>2979</v>
      </c>
      <c r="D261" s="61" t="s">
        <v>2980</v>
      </c>
      <c r="E261" s="200" cm="1">
        <f t="array" ref="E261">MIN(IFERROR(--_xlfn.TEXTSPLIT(SUBSTITUTE(SUBSTITUTE(G261,"|",",")," ",""),","),0))</f>
        <v>15</v>
      </c>
      <c r="F261" s="200" cm="1">
        <f t="array" ref="F261">MAX(IFERROR(--_xlfn.TEXTSPLIT(SUBSTITUTE(SUBSTITUTE(G261,"|",",")," ",""),","),0))</f>
        <v>15</v>
      </c>
      <c r="G261" s="201" t="s">
        <v>7862</v>
      </c>
      <c r="H261" s="61"/>
    </row>
    <row r="262" spans="1:8">
      <c r="A262" s="198" t="s">
        <v>5349</v>
      </c>
      <c r="B262" s="54" t="s">
        <v>7552</v>
      </c>
      <c r="C262" s="55" t="s">
        <v>2981</v>
      </c>
      <c r="D262" s="61" t="s">
        <v>2982</v>
      </c>
      <c r="E262" s="200" cm="1">
        <f t="array" ref="E262">MIN(IFERROR(--_xlfn.TEXTSPLIT(SUBSTITUTE(SUBSTITUTE(G262,"|",",")," ",""),","),0))</f>
        <v>49</v>
      </c>
      <c r="F262" s="200" cm="1">
        <f t="array" ref="F262">MAX(IFERROR(--_xlfn.TEXTSPLIT(SUBSTITUTE(SUBSTITUTE(G262,"|",",")," ",""),","),0))</f>
        <v>49</v>
      </c>
      <c r="G262" s="201" t="s">
        <v>7884</v>
      </c>
      <c r="H262" s="61"/>
    </row>
    <row r="263" spans="1:8">
      <c r="A263" s="198" t="s">
        <v>5349</v>
      </c>
      <c r="B263" s="54" t="s">
        <v>7552</v>
      </c>
      <c r="C263" s="55" t="s">
        <v>2983</v>
      </c>
      <c r="D263" s="61" t="s">
        <v>2984</v>
      </c>
      <c r="E263" s="200" cm="1">
        <f t="array" ref="E263">MIN(IFERROR(--_xlfn.TEXTSPLIT(SUBSTITUTE(SUBSTITUTE(G263,"|",",")," ",""),","),0))</f>
        <v>18</v>
      </c>
      <c r="F263" s="200" cm="1">
        <f t="array" ref="F263">MAX(IFERROR(--_xlfn.TEXTSPLIT(SUBSTITUTE(SUBSTITUTE(G263,"|",",")," ",""),","),0))</f>
        <v>18</v>
      </c>
      <c r="G263" s="201" t="s">
        <v>7885</v>
      </c>
      <c r="H263" s="61"/>
    </row>
    <row r="264" spans="1:8">
      <c r="A264" s="198" t="s">
        <v>5349</v>
      </c>
      <c r="B264" s="54" t="s">
        <v>7552</v>
      </c>
      <c r="C264" s="55" t="s">
        <v>2985</v>
      </c>
      <c r="D264" s="61" t="s">
        <v>2986</v>
      </c>
      <c r="E264" s="200" cm="1">
        <f t="array" ref="E264">MIN(IFERROR(--_xlfn.TEXTSPLIT(SUBSTITUTE(SUBSTITUTE(G264,"|",",")," ",""),","),0))</f>
        <v>45</v>
      </c>
      <c r="F264" s="200" cm="1">
        <f t="array" ref="F264">MAX(IFERROR(--_xlfn.TEXTSPLIT(SUBSTITUTE(SUBSTITUTE(G264,"|",",")," ",""),","),0))</f>
        <v>45</v>
      </c>
      <c r="G264" s="201" t="s">
        <v>7880</v>
      </c>
      <c r="H264" s="61"/>
    </row>
    <row r="265" spans="1:8">
      <c r="A265" s="198" t="s">
        <v>5349</v>
      </c>
      <c r="B265" s="54" t="s">
        <v>7552</v>
      </c>
      <c r="C265" s="55" t="s">
        <v>2987</v>
      </c>
      <c r="D265" s="61" t="s">
        <v>2988</v>
      </c>
      <c r="E265" s="200" cm="1">
        <f t="array" ref="E265">MIN(IFERROR(--_xlfn.TEXTSPLIT(SUBSTITUTE(SUBSTITUTE(G265,"|",",")," ",""),","),0))</f>
        <v>6</v>
      </c>
      <c r="F265" s="200" cm="1">
        <f t="array" ref="F265">MAX(IFERROR(--_xlfn.TEXTSPLIT(SUBSTITUTE(SUBSTITUTE(G265,"|",",")," ",""),","),0))</f>
        <v>6</v>
      </c>
      <c r="G265" s="201" t="s">
        <v>7623</v>
      </c>
      <c r="H265" s="61"/>
    </row>
    <row r="266" spans="1:8">
      <c r="A266" s="198" t="s">
        <v>5349</v>
      </c>
      <c r="B266" s="54" t="s">
        <v>7552</v>
      </c>
      <c r="C266" s="55" t="s">
        <v>2989</v>
      </c>
      <c r="D266" s="61" t="s">
        <v>2990</v>
      </c>
      <c r="E266" s="200" cm="1">
        <f t="array" ref="E266">MIN(IFERROR(--_xlfn.TEXTSPLIT(SUBSTITUTE(SUBSTITUTE(G266,"|",",")," ",""),","),0))</f>
        <v>3</v>
      </c>
      <c r="F266" s="200" cm="1">
        <f t="array" ref="F266">MAX(IFERROR(--_xlfn.TEXTSPLIT(SUBSTITUTE(SUBSTITUTE(G266,"|",",")," ",""),","),0))</f>
        <v>3</v>
      </c>
      <c r="G266" s="201" t="s">
        <v>7872</v>
      </c>
      <c r="H266" s="61"/>
    </row>
    <row r="267" spans="1:8">
      <c r="A267" s="198" t="s">
        <v>5349</v>
      </c>
      <c r="B267" s="54" t="s">
        <v>7552</v>
      </c>
      <c r="C267" s="55" t="s">
        <v>2991</v>
      </c>
      <c r="D267" s="56" t="s">
        <v>2992</v>
      </c>
      <c r="E267" s="200" cm="1">
        <f t="array" ref="E267">MIN(IFERROR(--_xlfn.TEXTSPLIT(SUBSTITUTE(SUBSTITUTE(G267,"|",",")," ",""),","),0))</f>
        <v>25</v>
      </c>
      <c r="F267" s="200" cm="1">
        <f t="array" ref="F267">MAX(IFERROR(--_xlfn.TEXTSPLIT(SUBSTITUTE(SUBSTITUTE(G267,"|",",")," ",""),","),0))</f>
        <v>25</v>
      </c>
      <c r="G267" s="201" t="s">
        <v>7840</v>
      </c>
      <c r="H267" s="61"/>
    </row>
    <row r="268" spans="1:8">
      <c r="A268" s="198" t="s">
        <v>5349</v>
      </c>
      <c r="B268" s="54" t="s">
        <v>7552</v>
      </c>
      <c r="C268" s="55" t="s">
        <v>2993</v>
      </c>
      <c r="D268" s="56" t="s">
        <v>2994</v>
      </c>
      <c r="E268" s="200" cm="1">
        <f t="array" ref="E268">MIN(IFERROR(--_xlfn.TEXTSPLIT(SUBSTITUTE(SUBSTITUTE(G268,"|",",")," ",""),","),0))</f>
        <v>35</v>
      </c>
      <c r="F268" s="200" cm="1">
        <f t="array" ref="F268">MAX(IFERROR(--_xlfn.TEXTSPLIT(SUBSTITUTE(SUBSTITUTE(G268,"|",",")," ",""),","),0))</f>
        <v>35</v>
      </c>
      <c r="G268" s="201" t="s">
        <v>7868</v>
      </c>
      <c r="H268" s="61"/>
    </row>
    <row r="269" spans="1:8">
      <c r="A269" s="198" t="s">
        <v>5349</v>
      </c>
      <c r="B269" s="54" t="s">
        <v>7552</v>
      </c>
      <c r="C269" s="55" t="s">
        <v>2995</v>
      </c>
      <c r="D269" s="56" t="s">
        <v>2996</v>
      </c>
      <c r="E269" s="200" cm="1">
        <f t="array" ref="E269">MIN(IFERROR(--_xlfn.TEXTSPLIT(SUBSTITUTE(SUBSTITUTE(G269,"|",",")," ",""),","),0))</f>
        <v>50</v>
      </c>
      <c r="F269" s="200" cm="1">
        <f t="array" ref="F269">MAX(IFERROR(--_xlfn.TEXTSPLIT(SUBSTITUTE(SUBSTITUTE(G269,"|",",")," ",""),","),0))</f>
        <v>50</v>
      </c>
      <c r="G269" s="201" t="s">
        <v>7881</v>
      </c>
      <c r="H269" s="61"/>
    </row>
    <row r="270" spans="1:8">
      <c r="A270" s="198" t="s">
        <v>5349</v>
      </c>
      <c r="B270" s="54" t="s">
        <v>7552</v>
      </c>
      <c r="C270" s="55" t="s">
        <v>2997</v>
      </c>
      <c r="D270" s="56" t="s">
        <v>2998</v>
      </c>
      <c r="E270" s="200" cm="1">
        <f t="array" ref="E270">MIN(IFERROR(--_xlfn.TEXTSPLIT(SUBSTITUTE(SUBSTITUTE(G270,"|",",")," ",""),","),0))</f>
        <v>15</v>
      </c>
      <c r="F270" s="200" cm="1">
        <f t="array" ref="F270">MAX(IFERROR(--_xlfn.TEXTSPLIT(SUBSTITUTE(SUBSTITUTE(G270,"|",",")," ",""),","),0))</f>
        <v>15</v>
      </c>
      <c r="G270" s="201" t="s">
        <v>7862</v>
      </c>
      <c r="H270" s="61"/>
    </row>
    <row r="271" spans="1:8">
      <c r="A271" s="198" t="s">
        <v>5349</v>
      </c>
      <c r="B271" s="54" t="s">
        <v>7553</v>
      </c>
      <c r="C271" s="55" t="s">
        <v>2999</v>
      </c>
      <c r="D271" s="61" t="s">
        <v>482</v>
      </c>
      <c r="E271" s="200" cm="1">
        <f t="array" ref="E271">MIN(IFERROR(--_xlfn.TEXTSPLIT(SUBSTITUTE(SUBSTITUTE(G271,"|",",")," ",""),","),0))</f>
        <v>3</v>
      </c>
      <c r="F271" s="200" cm="1">
        <f t="array" ref="F271">MAX(IFERROR(--_xlfn.TEXTSPLIT(SUBSTITUTE(SUBSTITUTE(G271,"|",",")," ",""),","),0))</f>
        <v>3</v>
      </c>
      <c r="G271" s="201" t="s">
        <v>7872</v>
      </c>
      <c r="H271" s="61"/>
    </row>
    <row r="272" spans="1:8">
      <c r="A272" s="198" t="s">
        <v>5349</v>
      </c>
      <c r="B272" s="54" t="s">
        <v>7553</v>
      </c>
      <c r="C272" s="55" t="s">
        <v>3000</v>
      </c>
      <c r="D272" s="61" t="s">
        <v>1416</v>
      </c>
      <c r="E272" s="200" cm="1">
        <f t="array" ref="E272">MIN(IFERROR(--_xlfn.TEXTSPLIT(SUBSTITUTE(SUBSTITUTE(G272,"|",",")," ",""),","),0))</f>
        <v>4</v>
      </c>
      <c r="F272" s="200" cm="1">
        <f t="array" ref="F272">MAX(IFERROR(--_xlfn.TEXTSPLIT(SUBSTITUTE(SUBSTITUTE(G272,"|",",")," ",""),","),0))</f>
        <v>4</v>
      </c>
      <c r="G272" s="201" t="s">
        <v>7617</v>
      </c>
      <c r="H272" s="61"/>
    </row>
    <row r="273" spans="1:8">
      <c r="A273" s="198" t="s">
        <v>5349</v>
      </c>
      <c r="B273" s="54" t="s">
        <v>7553</v>
      </c>
      <c r="C273" s="55" t="s">
        <v>3001</v>
      </c>
      <c r="D273" s="61" t="s">
        <v>1422</v>
      </c>
      <c r="E273" s="200" cm="1">
        <f t="array" ref="E273">MIN(IFERROR(--_xlfn.TEXTSPLIT(SUBSTITUTE(SUBSTITUTE(G273,"|",",")," ",""),","),0))</f>
        <v>4</v>
      </c>
      <c r="F273" s="200" cm="1">
        <f t="array" ref="F273">MAX(IFERROR(--_xlfn.TEXTSPLIT(SUBSTITUTE(SUBSTITUTE(G273,"|",",")," ",""),","),0))</f>
        <v>4</v>
      </c>
      <c r="G273" s="201" t="s">
        <v>7617</v>
      </c>
      <c r="H273" s="61"/>
    </row>
    <row r="274" spans="1:8">
      <c r="A274" s="198" t="s">
        <v>5349</v>
      </c>
      <c r="B274" s="54" t="s">
        <v>7553</v>
      </c>
      <c r="C274" s="55" t="s">
        <v>3002</v>
      </c>
      <c r="D274" s="61" t="s">
        <v>1428</v>
      </c>
      <c r="E274" s="200" cm="1">
        <f t="array" ref="E274">MIN(IFERROR(--_xlfn.TEXTSPLIT(SUBSTITUTE(SUBSTITUTE(G274,"|",",")," ",""),","),0))</f>
        <v>4</v>
      </c>
      <c r="F274" s="200" cm="1">
        <f t="array" ref="F274">MAX(IFERROR(--_xlfn.TEXTSPLIT(SUBSTITUTE(SUBSTITUTE(G274,"|",",")," ",""),","),0))</f>
        <v>4</v>
      </c>
      <c r="G274" s="201" t="s">
        <v>7617</v>
      </c>
      <c r="H274" s="61"/>
    </row>
    <row r="275" spans="1:8">
      <c r="A275" s="198" t="s">
        <v>5349</v>
      </c>
      <c r="B275" s="54" t="s">
        <v>7553</v>
      </c>
      <c r="C275" s="55" t="s">
        <v>3003</v>
      </c>
      <c r="D275" s="61" t="s">
        <v>3004</v>
      </c>
      <c r="E275" s="200" cm="1">
        <f t="array" ref="E275">MIN(IFERROR(--_xlfn.TEXTSPLIT(SUBSTITUTE(SUBSTITUTE(G275,"|",",")," ",""),","),0))</f>
        <v>6</v>
      </c>
      <c r="F275" s="200" cm="1">
        <f t="array" ref="F275">MAX(IFERROR(--_xlfn.TEXTSPLIT(SUBSTITUTE(SUBSTITUTE(G275,"|",",")," ",""),","),0))</f>
        <v>6</v>
      </c>
      <c r="G275" s="201" t="s">
        <v>7623</v>
      </c>
      <c r="H275" s="61"/>
    </row>
    <row r="276" spans="1:8">
      <c r="A276" s="198" t="s">
        <v>5349</v>
      </c>
      <c r="B276" s="54" t="s">
        <v>7553</v>
      </c>
      <c r="C276" s="55" t="s">
        <v>3005</v>
      </c>
      <c r="D276" s="61" t="s">
        <v>1438</v>
      </c>
      <c r="E276" s="200" cm="1">
        <f t="array" ref="E276">MIN(IFERROR(--_xlfn.TEXTSPLIT(SUBSTITUTE(SUBSTITUTE(G276,"|",",")," ",""),","),0))</f>
        <v>6</v>
      </c>
      <c r="F276" s="200" cm="1">
        <f t="array" ref="F276">MAX(IFERROR(--_xlfn.TEXTSPLIT(SUBSTITUTE(SUBSTITUTE(G276,"|",",")," ",""),","),0))</f>
        <v>6</v>
      </c>
      <c r="G276" s="201" t="s">
        <v>7623</v>
      </c>
      <c r="H276" s="61"/>
    </row>
    <row r="277" spans="1:8">
      <c r="A277" s="198" t="s">
        <v>5349</v>
      </c>
      <c r="B277" s="54" t="s">
        <v>7553</v>
      </c>
      <c r="C277" s="55" t="s">
        <v>3006</v>
      </c>
      <c r="D277" s="61" t="s">
        <v>480</v>
      </c>
      <c r="E277" s="200" cm="1">
        <f t="array" ref="E277">MIN(IFERROR(--_xlfn.TEXTSPLIT(SUBSTITUTE(SUBSTITUTE(G277,"|",",")," ",""),","),0))</f>
        <v>9</v>
      </c>
      <c r="F277" s="200" cm="1">
        <f t="array" ref="F277">MAX(IFERROR(--_xlfn.TEXTSPLIT(SUBSTITUTE(SUBSTITUTE(G277,"|",",")," ",""),","),0))</f>
        <v>9</v>
      </c>
      <c r="G277" s="201" t="s">
        <v>7766</v>
      </c>
      <c r="H277" s="61"/>
    </row>
    <row r="278" spans="1:8">
      <c r="A278" s="198" t="s">
        <v>5349</v>
      </c>
      <c r="B278" s="54" t="s">
        <v>7553</v>
      </c>
      <c r="C278" s="55" t="s">
        <v>3007</v>
      </c>
      <c r="D278" s="61" t="s">
        <v>484</v>
      </c>
      <c r="E278" s="200" cm="1">
        <f t="array" ref="E278">MIN(IFERROR(--_xlfn.TEXTSPLIT(SUBSTITUTE(SUBSTITUTE(G278,"|",",")," ",""),","),0))</f>
        <v>7</v>
      </c>
      <c r="F278" s="200" cm="1">
        <f t="array" ref="F278">MAX(IFERROR(--_xlfn.TEXTSPLIT(SUBSTITUTE(SUBSTITUTE(G278,"|",",")," ",""),","),0))</f>
        <v>7</v>
      </c>
      <c r="G278" s="201" t="s">
        <v>7866</v>
      </c>
      <c r="H278" s="61"/>
    </row>
    <row r="279" spans="1:8">
      <c r="A279" s="198" t="s">
        <v>5349</v>
      </c>
      <c r="B279" s="54" t="s">
        <v>7553</v>
      </c>
      <c r="C279" s="55" t="s">
        <v>3008</v>
      </c>
      <c r="D279" s="61" t="s">
        <v>3009</v>
      </c>
      <c r="E279" s="200" cm="1">
        <f t="array" ref="E279">MIN(IFERROR(--_xlfn.TEXTSPLIT(SUBSTITUTE(SUBSTITUTE(G279,"|",",")," ",""),","),0))</f>
        <v>3</v>
      </c>
      <c r="F279" s="200" cm="1">
        <f t="array" ref="F279">MAX(IFERROR(--_xlfn.TEXTSPLIT(SUBSTITUTE(SUBSTITUTE(G279,"|",",")," ",""),","),0))</f>
        <v>3</v>
      </c>
      <c r="G279" s="201" t="s">
        <v>7872</v>
      </c>
      <c r="H279" s="61"/>
    </row>
    <row r="280" spans="1:8">
      <c r="A280" s="198" t="s">
        <v>5349</v>
      </c>
      <c r="B280" s="54" t="s">
        <v>7553</v>
      </c>
      <c r="C280" s="55" t="s">
        <v>3010</v>
      </c>
      <c r="D280" s="61" t="s">
        <v>3011</v>
      </c>
      <c r="E280" s="200" cm="1">
        <f t="array" ref="E280">MIN(IFERROR(--_xlfn.TEXTSPLIT(SUBSTITUTE(SUBSTITUTE(G280,"|",",")," ",""),","),0))</f>
        <v>3</v>
      </c>
      <c r="F280" s="200" cm="1">
        <f t="array" ref="F280">MAX(IFERROR(--_xlfn.TEXTSPLIT(SUBSTITUTE(SUBSTITUTE(G280,"|",",")," ",""),","),0))</f>
        <v>3</v>
      </c>
      <c r="G280" s="201" t="s">
        <v>7872</v>
      </c>
      <c r="H280" s="61"/>
    </row>
    <row r="281" spans="1:8">
      <c r="A281" s="198" t="s">
        <v>5349</v>
      </c>
      <c r="B281" s="54" t="s">
        <v>7553</v>
      </c>
      <c r="C281" s="55" t="s">
        <v>3012</v>
      </c>
      <c r="D281" s="61" t="s">
        <v>488</v>
      </c>
      <c r="E281" s="200" cm="1">
        <f t="array" ref="E281">MIN(IFERROR(--_xlfn.TEXTSPLIT(SUBSTITUTE(SUBSTITUTE(G281,"|",",")," ",""),","),0))</f>
        <v>2</v>
      </c>
      <c r="F281" s="200" cm="1">
        <f t="array" ref="F281">MAX(IFERROR(--_xlfn.TEXTSPLIT(SUBSTITUTE(SUBSTITUTE(G281,"|",",")," ",""),","),0))</f>
        <v>2</v>
      </c>
      <c r="G281" s="201" t="s">
        <v>7861</v>
      </c>
      <c r="H281" s="61"/>
    </row>
    <row r="282" spans="1:8">
      <c r="A282" s="198" t="s">
        <v>5349</v>
      </c>
      <c r="B282" s="54" t="s">
        <v>7553</v>
      </c>
      <c r="C282" s="55" t="s">
        <v>3013</v>
      </c>
      <c r="D282" s="61" t="s">
        <v>490</v>
      </c>
      <c r="E282" s="200" cm="1">
        <f t="array" ref="E282">MIN(IFERROR(--_xlfn.TEXTSPLIT(SUBSTITUTE(SUBSTITUTE(G282,"|",",")," ",""),","),0))</f>
        <v>2</v>
      </c>
      <c r="F282" s="200" cm="1">
        <f t="array" ref="F282">MAX(IFERROR(--_xlfn.TEXTSPLIT(SUBSTITUTE(SUBSTITUTE(G282,"|",",")," ",""),","),0))</f>
        <v>2</v>
      </c>
      <c r="G282" s="201" t="s">
        <v>7861</v>
      </c>
      <c r="H282" s="61"/>
    </row>
    <row r="283" spans="1:8">
      <c r="A283" s="198" t="s">
        <v>5349</v>
      </c>
      <c r="B283" s="54" t="s">
        <v>7553</v>
      </c>
      <c r="C283" s="55" t="s">
        <v>3014</v>
      </c>
      <c r="D283" s="61" t="s">
        <v>492</v>
      </c>
      <c r="E283" s="200" cm="1">
        <f t="array" ref="E283">MIN(IFERROR(--_xlfn.TEXTSPLIT(SUBSTITUTE(SUBSTITUTE(G283,"|",",")," ",""),","),0))</f>
        <v>2</v>
      </c>
      <c r="F283" s="200" cm="1">
        <f t="array" ref="F283">MAX(IFERROR(--_xlfn.TEXTSPLIT(SUBSTITUTE(SUBSTITUTE(G283,"|",",")," ",""),","),0))</f>
        <v>2</v>
      </c>
      <c r="G283" s="201" t="s">
        <v>7861</v>
      </c>
      <c r="H283" s="61"/>
    </row>
    <row r="284" spans="1:8">
      <c r="A284" s="198" t="s">
        <v>5349</v>
      </c>
      <c r="B284" s="54" t="s">
        <v>7553</v>
      </c>
      <c r="C284" s="55" t="s">
        <v>3015</v>
      </c>
      <c r="D284" s="61" t="s">
        <v>494</v>
      </c>
      <c r="E284" s="200" cm="1">
        <f t="array" ref="E284">MIN(IFERROR(--_xlfn.TEXTSPLIT(SUBSTITUTE(SUBSTITUTE(G284,"|",",")," ",""),","),0))</f>
        <v>2</v>
      </c>
      <c r="F284" s="200" cm="1">
        <f t="array" ref="F284">MAX(IFERROR(--_xlfn.TEXTSPLIT(SUBSTITUTE(SUBSTITUTE(G284,"|",",")," ",""),","),0))</f>
        <v>2</v>
      </c>
      <c r="G284" s="201" t="s">
        <v>7861</v>
      </c>
      <c r="H284" s="61"/>
    </row>
    <row r="285" spans="1:8">
      <c r="A285" s="198" t="s">
        <v>5349</v>
      </c>
      <c r="B285" s="54" t="s">
        <v>7553</v>
      </c>
      <c r="C285" s="55" t="s">
        <v>3016</v>
      </c>
      <c r="D285" s="56" t="s">
        <v>3017</v>
      </c>
      <c r="E285" s="200" cm="1">
        <f t="array" ref="E285">MIN(IFERROR(--_xlfn.TEXTSPLIT(SUBSTITUTE(SUBSTITUTE(G285,"|",",")," ",""),","),0))</f>
        <v>75</v>
      </c>
      <c r="F285" s="200" cm="1">
        <f t="array" ref="F285">MAX(IFERROR(--_xlfn.TEXTSPLIT(SUBSTITUTE(SUBSTITUTE(G285,"|",",")," ",""),","),0))</f>
        <v>75</v>
      </c>
      <c r="G285" s="201" t="s">
        <v>7859</v>
      </c>
      <c r="H285" s="61"/>
    </row>
    <row r="286" spans="1:8">
      <c r="A286" s="198" t="s">
        <v>5349</v>
      </c>
      <c r="B286" s="54" t="s">
        <v>7555</v>
      </c>
      <c r="C286" s="55" t="s">
        <v>3018</v>
      </c>
      <c r="D286" s="56" t="s">
        <v>3019</v>
      </c>
      <c r="E286" s="200" cm="1">
        <f t="array" ref="E286">MIN(IFERROR(--_xlfn.TEXTSPLIT(SUBSTITUTE(SUBSTITUTE(G286,"|",",")," ",""),","),0))</f>
        <v>75</v>
      </c>
      <c r="F286" s="200" cm="1">
        <f t="array" ref="F286">MAX(IFERROR(--_xlfn.TEXTSPLIT(SUBSTITUTE(SUBSTITUTE(G286,"|",",")," ",""),","),0))</f>
        <v>75</v>
      </c>
      <c r="G286" s="201" t="s">
        <v>7859</v>
      </c>
      <c r="H286" s="61"/>
    </row>
    <row r="287" spans="1:8">
      <c r="A287" s="198" t="s">
        <v>5349</v>
      </c>
      <c r="B287" s="54" t="s">
        <v>7555</v>
      </c>
      <c r="C287" s="55" t="s">
        <v>3020</v>
      </c>
      <c r="D287" s="56" t="s">
        <v>3021</v>
      </c>
      <c r="E287" s="200" cm="1">
        <f t="array" ref="E287">MIN(IFERROR(--_xlfn.TEXTSPLIT(SUBSTITUTE(SUBSTITUTE(G287,"|",",")," ",""),","),0))</f>
        <v>85</v>
      </c>
      <c r="F287" s="200" cm="1">
        <f t="array" ref="F287">MAX(IFERROR(--_xlfn.TEXTSPLIT(SUBSTITUTE(SUBSTITUTE(G287,"|",",")," ",""),","),0))</f>
        <v>85</v>
      </c>
      <c r="G287" s="201" t="s">
        <v>7857</v>
      </c>
      <c r="H287" s="61"/>
    </row>
    <row r="288" spans="1:8">
      <c r="A288" s="198" t="s">
        <v>5349</v>
      </c>
      <c r="B288" s="54" t="s">
        <v>7555</v>
      </c>
      <c r="C288" s="55" t="s">
        <v>3022</v>
      </c>
      <c r="D288" s="56" t="s">
        <v>3023</v>
      </c>
      <c r="E288" s="200" cm="1">
        <f t="array" ref="E288">MIN(IFERROR(--_xlfn.TEXTSPLIT(SUBSTITUTE(SUBSTITUTE(G288,"|",",")," ",""),","),0))</f>
        <v>300</v>
      </c>
      <c r="F288" s="200" cm="1">
        <f t="array" ref="F288">MAX(IFERROR(--_xlfn.TEXTSPLIT(SUBSTITUTE(SUBSTITUTE(G288,"|",",")," ",""),","),0))</f>
        <v>300</v>
      </c>
      <c r="G288" s="201" t="s">
        <v>7886</v>
      </c>
      <c r="H288" s="61"/>
    </row>
    <row r="289" spans="1:8">
      <c r="A289" s="198" t="s">
        <v>5349</v>
      </c>
      <c r="B289" s="54" t="s">
        <v>7555</v>
      </c>
      <c r="C289" s="55" t="s">
        <v>3024</v>
      </c>
      <c r="D289" s="56" t="s">
        <v>1468</v>
      </c>
      <c r="E289" s="200" cm="1">
        <f t="array" ref="E289">MIN(IFERROR(--_xlfn.TEXTSPLIT(SUBSTITUTE(SUBSTITUTE(G289,"|",",")," ",""),","),0))</f>
        <v>2</v>
      </c>
      <c r="F289" s="200" cm="1">
        <f t="array" ref="F289">MAX(IFERROR(--_xlfn.TEXTSPLIT(SUBSTITUTE(SUBSTITUTE(G289,"|",",")," ",""),","),0))</f>
        <v>2</v>
      </c>
      <c r="G289" s="201" t="s">
        <v>7861</v>
      </c>
      <c r="H289" s="61"/>
    </row>
    <row r="290" spans="1:8">
      <c r="A290" s="198" t="s">
        <v>5349</v>
      </c>
      <c r="B290" s="54" t="s">
        <v>7581</v>
      </c>
      <c r="C290" s="55" t="s">
        <v>3025</v>
      </c>
      <c r="D290" s="61" t="s">
        <v>3026</v>
      </c>
      <c r="E290" s="200" cm="1">
        <f t="array" ref="E290">MIN(IFERROR(--_xlfn.TEXTSPLIT(SUBSTITUTE(SUBSTITUTE(G290,"|",",")," ",""),","),0))</f>
        <v>11</v>
      </c>
      <c r="F290" s="200" cm="1">
        <f t="array" ref="F290">MAX(IFERROR(--_xlfn.TEXTSPLIT(SUBSTITUTE(SUBSTITUTE(G290,"|",",")," ",""),","),0))</f>
        <v>11</v>
      </c>
      <c r="G290" s="201" t="s">
        <v>7865</v>
      </c>
      <c r="H290" s="61"/>
    </row>
    <row r="291" spans="1:8">
      <c r="A291" s="198" t="s">
        <v>5349</v>
      </c>
      <c r="B291" s="54" t="s">
        <v>7581</v>
      </c>
      <c r="C291" s="55" t="s">
        <v>3027</v>
      </c>
      <c r="D291" s="61" t="s">
        <v>3028</v>
      </c>
      <c r="E291" s="200" cm="1">
        <f t="array" ref="E291">MIN(IFERROR(--_xlfn.TEXTSPLIT(SUBSTITUTE(SUBSTITUTE(G291,"|",",")," ",""),","),0))</f>
        <v>11</v>
      </c>
      <c r="F291" s="200" cm="1">
        <f t="array" ref="F291">MAX(IFERROR(--_xlfn.TEXTSPLIT(SUBSTITUTE(SUBSTITUTE(G291,"|",",")," ",""),","),0))</f>
        <v>11</v>
      </c>
      <c r="G291" s="201" t="s">
        <v>7865</v>
      </c>
      <c r="H291" s="61"/>
    </row>
    <row r="292" spans="1:8">
      <c r="A292" s="198" t="s">
        <v>5349</v>
      </c>
      <c r="B292" s="54" t="s">
        <v>7581</v>
      </c>
      <c r="C292" s="55" t="s">
        <v>3029</v>
      </c>
      <c r="D292" s="61" t="s">
        <v>1492</v>
      </c>
      <c r="E292" s="200" cm="1">
        <f t="array" ref="E292">MIN(IFERROR(--_xlfn.TEXTSPLIT(SUBSTITUTE(SUBSTITUTE(G292,"|",",")," ",""),","),0))</f>
        <v>10</v>
      </c>
      <c r="F292" s="200" cm="1">
        <f t="array" ref="F292">MAX(IFERROR(--_xlfn.TEXTSPLIT(SUBSTITUTE(SUBSTITUTE(G292,"|",",")," ",""),","),0))</f>
        <v>10</v>
      </c>
      <c r="G292" s="201" t="s">
        <v>7768</v>
      </c>
      <c r="H292" s="61"/>
    </row>
    <row r="293" spans="1:8">
      <c r="A293" s="198" t="s">
        <v>5349</v>
      </c>
      <c r="B293" s="54" t="s">
        <v>7581</v>
      </c>
      <c r="C293" s="55" t="s">
        <v>3030</v>
      </c>
      <c r="D293" s="61" t="s">
        <v>3031</v>
      </c>
      <c r="E293" s="200" cm="1">
        <f t="array" ref="E293">MIN(IFERROR(--_xlfn.TEXTSPLIT(SUBSTITUTE(SUBSTITUTE(G293,"|",",")," ",""),","),0))</f>
        <v>30</v>
      </c>
      <c r="F293" s="200" cm="1">
        <f t="array" ref="F293">MAX(IFERROR(--_xlfn.TEXTSPLIT(SUBSTITUTE(SUBSTITUTE(G293,"|",",")," ",""),","),0))</f>
        <v>30</v>
      </c>
      <c r="G293" s="201" t="s">
        <v>7855</v>
      </c>
      <c r="H293" s="61"/>
    </row>
    <row r="294" spans="1:8">
      <c r="A294" s="198" t="s">
        <v>5349</v>
      </c>
      <c r="B294" s="54" t="s">
        <v>7581</v>
      </c>
      <c r="C294" s="55" t="s">
        <v>3032</v>
      </c>
      <c r="D294" s="61" t="s">
        <v>3033</v>
      </c>
      <c r="E294" s="200" cm="1">
        <f t="array" ref="E294">MIN(IFERROR(--_xlfn.TEXTSPLIT(SUBSTITUTE(SUBSTITUTE(G294,"|",",")," ",""),","),0))</f>
        <v>33</v>
      </c>
      <c r="F294" s="200" cm="1">
        <f t="array" ref="F294">MAX(IFERROR(--_xlfn.TEXTSPLIT(SUBSTITUTE(SUBSTITUTE(G294,"|",",")," ",""),","),0))</f>
        <v>33</v>
      </c>
      <c r="G294" s="201" t="s">
        <v>7887</v>
      </c>
      <c r="H294" s="61"/>
    </row>
    <row r="295" spans="1:8">
      <c r="A295" s="198" t="s">
        <v>5349</v>
      </c>
      <c r="B295" s="54" t="s">
        <v>7581</v>
      </c>
      <c r="C295" s="55" t="s">
        <v>3034</v>
      </c>
      <c r="D295" s="61" t="s">
        <v>3035</v>
      </c>
      <c r="E295" s="200" cm="1">
        <f t="array" ref="E295">MIN(IFERROR(--_xlfn.TEXTSPLIT(SUBSTITUTE(SUBSTITUTE(G295,"|",",")," ",""),","),0))</f>
        <v>14</v>
      </c>
      <c r="F295" s="200" cm="1">
        <f t="array" ref="F295">MAX(IFERROR(--_xlfn.TEXTSPLIT(SUBSTITUTE(SUBSTITUTE(G295,"|",",")," ",""),","),0))</f>
        <v>14</v>
      </c>
      <c r="G295" s="201" t="s">
        <v>7888</v>
      </c>
      <c r="H295" s="61"/>
    </row>
    <row r="296" spans="1:8">
      <c r="A296" s="198" t="s">
        <v>5349</v>
      </c>
      <c r="B296" s="54" t="s">
        <v>7581</v>
      </c>
      <c r="C296" s="55" t="s">
        <v>3036</v>
      </c>
      <c r="D296" s="61" t="s">
        <v>3037</v>
      </c>
      <c r="E296" s="200" cm="1">
        <f t="array" ref="E296">MIN(IFERROR(--_xlfn.TEXTSPLIT(SUBSTITUTE(SUBSTITUTE(G296,"|",",")," ",""),","),0))</f>
        <v>15</v>
      </c>
      <c r="F296" s="200" cm="1">
        <f t="array" ref="F296">MAX(IFERROR(--_xlfn.TEXTSPLIT(SUBSTITUTE(SUBSTITUTE(G296,"|",",")," ",""),","),0))</f>
        <v>15</v>
      </c>
      <c r="G296" s="201" t="s">
        <v>7862</v>
      </c>
      <c r="H296" s="61"/>
    </row>
    <row r="297" spans="1:8">
      <c r="A297" s="198" t="s">
        <v>5349</v>
      </c>
      <c r="B297" s="54" t="s">
        <v>7581</v>
      </c>
      <c r="C297" s="55" t="s">
        <v>3038</v>
      </c>
      <c r="D297" s="61" t="s">
        <v>3039</v>
      </c>
      <c r="E297" s="200" cm="1">
        <f t="array" ref="E297">MIN(IFERROR(--_xlfn.TEXTSPLIT(SUBSTITUTE(SUBSTITUTE(G297,"|",",")," ",""),","),0))</f>
        <v>16</v>
      </c>
      <c r="F297" s="200" cm="1">
        <f t="array" ref="F297">MAX(IFERROR(--_xlfn.TEXTSPLIT(SUBSTITUTE(SUBSTITUTE(G297,"|",",")," ",""),","),0))</f>
        <v>16</v>
      </c>
      <c r="G297" s="201" t="s">
        <v>7882</v>
      </c>
      <c r="H297" s="61"/>
    </row>
    <row r="298" spans="1:8">
      <c r="A298" s="198" t="s">
        <v>5349</v>
      </c>
      <c r="B298" s="54" t="s">
        <v>7581</v>
      </c>
      <c r="C298" s="55" t="s">
        <v>3040</v>
      </c>
      <c r="D298" s="61" t="s">
        <v>3041</v>
      </c>
      <c r="E298" s="200" cm="1">
        <f t="array" ref="E298">MIN(IFERROR(--_xlfn.TEXTSPLIT(SUBSTITUTE(SUBSTITUTE(G298,"|",",")," ",""),","),0))</f>
        <v>11</v>
      </c>
      <c r="F298" s="200" cm="1">
        <f t="array" ref="F298">MAX(IFERROR(--_xlfn.TEXTSPLIT(SUBSTITUTE(SUBSTITUTE(G298,"|",",")," ",""),","),0))</f>
        <v>11</v>
      </c>
      <c r="G298" s="201" t="s">
        <v>7865</v>
      </c>
      <c r="H298" s="61"/>
    </row>
    <row r="299" spans="1:8">
      <c r="A299" s="198" t="s">
        <v>5349</v>
      </c>
      <c r="B299" s="54" t="s">
        <v>7581</v>
      </c>
      <c r="C299" s="55" t="s">
        <v>3042</v>
      </c>
      <c r="D299" s="61" t="s">
        <v>3043</v>
      </c>
      <c r="E299" s="200" cm="1">
        <f t="array" ref="E299">MIN(IFERROR(--_xlfn.TEXTSPLIT(SUBSTITUTE(SUBSTITUTE(G299,"|",",")," ",""),","),0))</f>
        <v>14</v>
      </c>
      <c r="F299" s="200" cm="1">
        <f t="array" ref="F299">MAX(IFERROR(--_xlfn.TEXTSPLIT(SUBSTITUTE(SUBSTITUTE(G299,"|",",")," ",""),","),0))</f>
        <v>14</v>
      </c>
      <c r="G299" s="201" t="s">
        <v>7888</v>
      </c>
      <c r="H299" s="61"/>
    </row>
    <row r="300" spans="1:8">
      <c r="A300" s="198" t="s">
        <v>5349</v>
      </c>
      <c r="B300" s="54" t="s">
        <v>7581</v>
      </c>
      <c r="C300" s="55" t="s">
        <v>3044</v>
      </c>
      <c r="D300" s="61" t="s">
        <v>3045</v>
      </c>
      <c r="E300" s="200" cm="1">
        <f t="array" ref="E300">MIN(IFERROR(--_xlfn.TEXTSPLIT(SUBSTITUTE(SUBSTITUTE(G300,"|",",")," ",""),","),0))</f>
        <v>14</v>
      </c>
      <c r="F300" s="200" cm="1">
        <f t="array" ref="F300">MAX(IFERROR(--_xlfn.TEXTSPLIT(SUBSTITUTE(SUBSTITUTE(G300,"|",",")," ",""),","),0))</f>
        <v>14</v>
      </c>
      <c r="G300" s="201" t="s">
        <v>7888</v>
      </c>
      <c r="H300" s="61"/>
    </row>
    <row r="301" spans="1:8">
      <c r="A301" s="198" t="s">
        <v>5349</v>
      </c>
      <c r="B301" s="54" t="s">
        <v>7581</v>
      </c>
      <c r="C301" s="55" t="s">
        <v>3046</v>
      </c>
      <c r="D301" s="61" t="s">
        <v>3047</v>
      </c>
      <c r="E301" s="200" cm="1">
        <f t="array" ref="E301">MIN(IFERROR(--_xlfn.TEXTSPLIT(SUBSTITUTE(SUBSTITUTE(G301,"|",",")," ",""),","),0))</f>
        <v>14</v>
      </c>
      <c r="F301" s="200" cm="1">
        <f t="array" ref="F301">MAX(IFERROR(--_xlfn.TEXTSPLIT(SUBSTITUTE(SUBSTITUTE(G301,"|",",")," ",""),","),0))</f>
        <v>14</v>
      </c>
      <c r="G301" s="201" t="s">
        <v>7888</v>
      </c>
      <c r="H301" s="61"/>
    </row>
    <row r="302" spans="1:8">
      <c r="A302" s="198" t="s">
        <v>5349</v>
      </c>
      <c r="B302" s="54" t="s">
        <v>7581</v>
      </c>
      <c r="C302" s="55" t="s">
        <v>3048</v>
      </c>
      <c r="D302" s="61" t="s">
        <v>3049</v>
      </c>
      <c r="E302" s="200" cm="1">
        <f t="array" ref="E302">MIN(IFERROR(--_xlfn.TEXTSPLIT(SUBSTITUTE(SUBSTITUTE(G302,"|",",")," ",""),","),0))</f>
        <v>14</v>
      </c>
      <c r="F302" s="200" cm="1">
        <f t="array" ref="F302">MAX(IFERROR(--_xlfn.TEXTSPLIT(SUBSTITUTE(SUBSTITUTE(G302,"|",",")," ",""),","),0))</f>
        <v>14</v>
      </c>
      <c r="G302" s="201" t="s">
        <v>7888</v>
      </c>
      <c r="H302" s="61"/>
    </row>
    <row r="303" spans="1:8">
      <c r="A303" s="198" t="s">
        <v>5349</v>
      </c>
      <c r="B303" s="54" t="s">
        <v>7581</v>
      </c>
      <c r="C303" s="55" t="s">
        <v>3050</v>
      </c>
      <c r="D303" s="56" t="s">
        <v>3051</v>
      </c>
      <c r="E303" s="200" cm="1">
        <f t="array" ref="E303">MIN(IFERROR(--_xlfn.TEXTSPLIT(SUBSTITUTE(SUBSTITUTE(G303,"|",",")," ",""),","),0))</f>
        <v>80</v>
      </c>
      <c r="F303" s="200" cm="1">
        <f t="array" ref="F303">MAX(IFERROR(--_xlfn.TEXTSPLIT(SUBSTITUTE(SUBSTITUTE(G303,"|",",")," ",""),","),0))</f>
        <v>80</v>
      </c>
      <c r="G303" s="201" t="s">
        <v>7867</v>
      </c>
      <c r="H303" s="61"/>
    </row>
    <row r="304" spans="1:8">
      <c r="A304" s="198" t="s">
        <v>5349</v>
      </c>
      <c r="B304" s="54" t="s">
        <v>7581</v>
      </c>
      <c r="C304" s="55" t="s">
        <v>3052</v>
      </c>
      <c r="D304" s="56" t="s">
        <v>3053</v>
      </c>
      <c r="E304" s="200" cm="1">
        <f t="array" ref="E304">MIN(IFERROR(--_xlfn.TEXTSPLIT(SUBSTITUTE(SUBSTITUTE(G304,"|",",")," ",""),","),0))</f>
        <v>33</v>
      </c>
      <c r="F304" s="200" cm="1">
        <f t="array" ref="F304">MAX(IFERROR(--_xlfn.TEXTSPLIT(SUBSTITUTE(SUBSTITUTE(G304,"|",",")," ",""),","),0))</f>
        <v>33</v>
      </c>
      <c r="G304" s="201" t="s">
        <v>7887</v>
      </c>
      <c r="H304" s="61"/>
    </row>
    <row r="305" spans="1:8">
      <c r="A305" s="198" t="s">
        <v>5349</v>
      </c>
      <c r="B305" s="54" t="s">
        <v>7581</v>
      </c>
      <c r="C305" s="55" t="s">
        <v>3054</v>
      </c>
      <c r="D305" s="56" t="s">
        <v>3055</v>
      </c>
      <c r="E305" s="200" cm="1">
        <f t="array" ref="E305">MIN(IFERROR(--_xlfn.TEXTSPLIT(SUBSTITUTE(SUBSTITUTE(G305,"|",",")," ",""),","),0))</f>
        <v>100</v>
      </c>
      <c r="F305" s="200" cm="1">
        <f t="array" ref="F305">MAX(IFERROR(--_xlfn.TEXTSPLIT(SUBSTITUTE(SUBSTITUTE(G305,"|",",")," ",""),","),0))</f>
        <v>100</v>
      </c>
      <c r="G305" s="201" t="s">
        <v>7878</v>
      </c>
      <c r="H305" s="61"/>
    </row>
    <row r="306" spans="1:8">
      <c r="A306" s="198" t="s">
        <v>5349</v>
      </c>
      <c r="B306" s="54" t="s">
        <v>7581</v>
      </c>
      <c r="C306" s="55" t="s">
        <v>3056</v>
      </c>
      <c r="D306" s="56" t="s">
        <v>3057</v>
      </c>
      <c r="E306" s="200" cm="1">
        <f t="array" ref="E306">MIN(IFERROR(--_xlfn.TEXTSPLIT(SUBSTITUTE(SUBSTITUTE(G306,"|",",")," ",""),","),0))</f>
        <v>16</v>
      </c>
      <c r="F306" s="200" cm="1">
        <f t="array" ref="F306">MAX(IFERROR(--_xlfn.TEXTSPLIT(SUBSTITUTE(SUBSTITUTE(G306,"|",",")," ",""),","),0))</f>
        <v>16</v>
      </c>
      <c r="G306" s="201" t="s">
        <v>7882</v>
      </c>
      <c r="H306" s="61"/>
    </row>
    <row r="307" spans="1:8">
      <c r="A307" s="198" t="s">
        <v>5349</v>
      </c>
      <c r="B307" s="54" t="s">
        <v>7581</v>
      </c>
      <c r="C307" s="55" t="s">
        <v>3058</v>
      </c>
      <c r="D307" s="56" t="s">
        <v>3059</v>
      </c>
      <c r="E307" s="200" cm="1">
        <f t="array" ref="E307">MIN(IFERROR(--_xlfn.TEXTSPLIT(SUBSTITUTE(SUBSTITUTE(G307,"|",",")," ",""),","),0))</f>
        <v>11</v>
      </c>
      <c r="F307" s="200" cm="1">
        <f t="array" ref="F307">MAX(IFERROR(--_xlfn.TEXTSPLIT(SUBSTITUTE(SUBSTITUTE(G307,"|",",")," ",""),","),0))</f>
        <v>11</v>
      </c>
      <c r="G307" s="201" t="s">
        <v>7865</v>
      </c>
      <c r="H307" s="61"/>
    </row>
    <row r="308" spans="1:8">
      <c r="A308" s="198" t="s">
        <v>5349</v>
      </c>
      <c r="B308" s="54" t="s">
        <v>7556</v>
      </c>
      <c r="C308" s="55" t="s">
        <v>3060</v>
      </c>
      <c r="D308" s="61" t="s">
        <v>3061</v>
      </c>
      <c r="E308" s="200" cm="1">
        <f t="array" ref="E308">MIN(IFERROR(--_xlfn.TEXTSPLIT(SUBSTITUTE(SUBSTITUTE(G308,"|",",")," ",""),","),0))</f>
        <v>24</v>
      </c>
      <c r="F308" s="200" cm="1">
        <f t="array" ref="F308">MAX(IFERROR(--_xlfn.TEXTSPLIT(SUBSTITUTE(SUBSTITUTE(G308,"|",",")," ",""),","),0))</f>
        <v>24</v>
      </c>
      <c r="G308" s="201" t="s">
        <v>7871</v>
      </c>
      <c r="H308" s="61"/>
    </row>
    <row r="309" spans="1:8">
      <c r="A309" s="198" t="s">
        <v>5349</v>
      </c>
      <c r="B309" s="54" t="s">
        <v>7556</v>
      </c>
      <c r="C309" s="55" t="s">
        <v>3062</v>
      </c>
      <c r="D309" s="61" t="s">
        <v>3063</v>
      </c>
      <c r="E309" s="200" cm="1">
        <f t="array" ref="E309">MIN(IFERROR(--_xlfn.TEXTSPLIT(SUBSTITUTE(SUBSTITUTE(G309,"|",",")," ",""),","),0))</f>
        <v>24</v>
      </c>
      <c r="F309" s="200" cm="1">
        <f t="array" ref="F309">MAX(IFERROR(--_xlfn.TEXTSPLIT(SUBSTITUTE(SUBSTITUTE(G309,"|",",")," ",""),","),0))</f>
        <v>24</v>
      </c>
      <c r="G309" s="201" t="s">
        <v>7871</v>
      </c>
      <c r="H309" s="61"/>
    </row>
    <row r="310" spans="1:8">
      <c r="A310" s="198" t="s">
        <v>5349</v>
      </c>
      <c r="B310" s="54" t="s">
        <v>7556</v>
      </c>
      <c r="C310" s="55" t="s">
        <v>3064</v>
      </c>
      <c r="D310" s="61" t="s">
        <v>3065</v>
      </c>
      <c r="E310" s="200" cm="1">
        <f t="array" ref="E310">MIN(IFERROR(--_xlfn.TEXTSPLIT(SUBSTITUTE(SUBSTITUTE(G310,"|",",")," ",""),","),0))</f>
        <v>24</v>
      </c>
      <c r="F310" s="200" cm="1">
        <f t="array" ref="F310">MAX(IFERROR(--_xlfn.TEXTSPLIT(SUBSTITUTE(SUBSTITUTE(G310,"|",",")," ",""),","),0))</f>
        <v>24</v>
      </c>
      <c r="G310" s="201" t="s">
        <v>7871</v>
      </c>
      <c r="H310" s="61"/>
    </row>
    <row r="311" spans="1:8">
      <c r="A311" s="198" t="s">
        <v>5349</v>
      </c>
      <c r="B311" s="54" t="s">
        <v>7556</v>
      </c>
      <c r="C311" s="55" t="s">
        <v>3066</v>
      </c>
      <c r="D311" s="61" t="s">
        <v>3067</v>
      </c>
      <c r="E311" s="200" cm="1">
        <f t="array" ref="E311">MIN(IFERROR(--_xlfn.TEXTSPLIT(SUBSTITUTE(SUBSTITUTE(G311,"|",",")," ",""),","),0))</f>
        <v>24</v>
      </c>
      <c r="F311" s="200" cm="1">
        <f t="array" ref="F311">MAX(IFERROR(--_xlfn.TEXTSPLIT(SUBSTITUTE(SUBSTITUTE(G311,"|",",")," ",""),","),0))</f>
        <v>24</v>
      </c>
      <c r="G311" s="201" t="s">
        <v>7871</v>
      </c>
      <c r="H311" s="61"/>
    </row>
    <row r="312" spans="1:8">
      <c r="A312" s="198" t="s">
        <v>5349</v>
      </c>
      <c r="B312" s="54" t="s">
        <v>7556</v>
      </c>
      <c r="C312" s="55" t="s">
        <v>3068</v>
      </c>
      <c r="D312" s="61" t="s">
        <v>3069</v>
      </c>
      <c r="E312" s="200" cm="1">
        <f t="array" ref="E312">MIN(IFERROR(--_xlfn.TEXTSPLIT(SUBSTITUTE(SUBSTITUTE(G312,"|",",")," ",""),","),0))</f>
        <v>100</v>
      </c>
      <c r="F312" s="200" cm="1">
        <f t="array" ref="F312">MAX(IFERROR(--_xlfn.TEXTSPLIT(SUBSTITUTE(SUBSTITUTE(G312,"|",",")," ",""),","),0))</f>
        <v>100</v>
      </c>
      <c r="G312" s="201" t="s">
        <v>7878</v>
      </c>
      <c r="H312" s="61"/>
    </row>
    <row r="313" spans="1:8">
      <c r="A313" s="198" t="s">
        <v>5349</v>
      </c>
      <c r="B313" s="54" t="s">
        <v>7556</v>
      </c>
      <c r="C313" s="55" t="s">
        <v>3070</v>
      </c>
      <c r="D313" s="61" t="s">
        <v>3071</v>
      </c>
      <c r="E313" s="200" cm="1">
        <f t="array" ref="E313">MIN(IFERROR(--_xlfn.TEXTSPLIT(SUBSTITUTE(SUBSTITUTE(G313,"|",",")," ",""),","),0))</f>
        <v>19</v>
      </c>
      <c r="F313" s="200" cm="1">
        <f t="array" ref="F313">MAX(IFERROR(--_xlfn.TEXTSPLIT(SUBSTITUTE(SUBSTITUTE(G313,"|",",")," ",""),","),0))</f>
        <v>19</v>
      </c>
      <c r="G313" s="201" t="s">
        <v>7841</v>
      </c>
      <c r="H313" s="61"/>
    </row>
    <row r="314" spans="1:8">
      <c r="A314" s="198" t="s">
        <v>5349</v>
      </c>
      <c r="B314" s="54" t="s">
        <v>7556</v>
      </c>
      <c r="C314" s="55" t="s">
        <v>3072</v>
      </c>
      <c r="D314" s="61" t="s">
        <v>3073</v>
      </c>
      <c r="E314" s="200" cm="1">
        <f t="array" ref="E314">MIN(IFERROR(--_xlfn.TEXTSPLIT(SUBSTITUTE(SUBSTITUTE(G314,"|",",")," ",""),","),0))</f>
        <v>40</v>
      </c>
      <c r="F314" s="200" cm="1">
        <f t="array" ref="F314">MAX(IFERROR(--_xlfn.TEXTSPLIT(SUBSTITUTE(SUBSTITUTE(G314,"|",",")," ",""),","),0))</f>
        <v>40</v>
      </c>
      <c r="G314" s="201" t="s">
        <v>7860</v>
      </c>
      <c r="H314" s="61"/>
    </row>
    <row r="315" spans="1:8">
      <c r="A315" s="198" t="s">
        <v>5349</v>
      </c>
      <c r="B315" s="54" t="s">
        <v>7556</v>
      </c>
      <c r="C315" s="55" t="s">
        <v>3074</v>
      </c>
      <c r="D315" s="61" t="s">
        <v>3075</v>
      </c>
      <c r="E315" s="200" cm="1">
        <f t="array" ref="E315">MIN(IFERROR(--_xlfn.TEXTSPLIT(SUBSTITUTE(SUBSTITUTE(G315,"|",",")," ",""),","),0))</f>
        <v>40</v>
      </c>
      <c r="F315" s="200" cm="1">
        <f t="array" ref="F315">MAX(IFERROR(--_xlfn.TEXTSPLIT(SUBSTITUTE(SUBSTITUTE(G315,"|",",")," ",""),","),0))</f>
        <v>40</v>
      </c>
      <c r="G315" s="201" t="s">
        <v>7860</v>
      </c>
      <c r="H315" s="61"/>
    </row>
    <row r="316" spans="1:8">
      <c r="A316" s="198" t="s">
        <v>5349</v>
      </c>
      <c r="B316" s="54" t="s">
        <v>7556</v>
      </c>
      <c r="C316" s="55" t="s">
        <v>3076</v>
      </c>
      <c r="D316" s="61" t="s">
        <v>3077</v>
      </c>
      <c r="E316" s="200" cm="1">
        <f t="array" ref="E316">MIN(IFERROR(--_xlfn.TEXTSPLIT(SUBSTITUTE(SUBSTITUTE(G316,"|",",")," ",""),","),0))</f>
        <v>40</v>
      </c>
      <c r="F316" s="200" cm="1">
        <f t="array" ref="F316">MAX(IFERROR(--_xlfn.TEXTSPLIT(SUBSTITUTE(SUBSTITUTE(G316,"|",",")," ",""),","),0))</f>
        <v>40</v>
      </c>
      <c r="G316" s="201" t="s">
        <v>7860</v>
      </c>
      <c r="H316" s="61"/>
    </row>
    <row r="317" spans="1:8">
      <c r="A317" s="198" t="s">
        <v>5349</v>
      </c>
      <c r="B317" s="54" t="s">
        <v>7556</v>
      </c>
      <c r="C317" s="55" t="s">
        <v>3078</v>
      </c>
      <c r="D317" s="61" t="s">
        <v>3079</v>
      </c>
      <c r="E317" s="200" cm="1">
        <f t="array" ref="E317">MIN(IFERROR(--_xlfn.TEXTSPLIT(SUBSTITUTE(SUBSTITUTE(G317,"|",",")," ",""),","),0))</f>
        <v>40</v>
      </c>
      <c r="F317" s="200" cm="1">
        <f t="array" ref="F317">MAX(IFERROR(--_xlfn.TEXTSPLIT(SUBSTITUTE(SUBSTITUTE(G317,"|",",")," ",""),","),0))</f>
        <v>40</v>
      </c>
      <c r="G317" s="201" t="s">
        <v>7860</v>
      </c>
      <c r="H317" s="61"/>
    </row>
    <row r="318" spans="1:8">
      <c r="A318" s="198" t="s">
        <v>5349</v>
      </c>
      <c r="B318" s="54" t="s">
        <v>7556</v>
      </c>
      <c r="C318" s="55" t="s">
        <v>3080</v>
      </c>
      <c r="D318" s="61" t="s">
        <v>3081</v>
      </c>
      <c r="E318" s="200" cm="1">
        <f t="array" ref="E318">MIN(IFERROR(--_xlfn.TEXTSPLIT(SUBSTITUTE(SUBSTITUTE(G318,"|",",")," ",""),","),0))</f>
        <v>40</v>
      </c>
      <c r="F318" s="200" cm="1">
        <f t="array" ref="F318">MAX(IFERROR(--_xlfn.TEXTSPLIT(SUBSTITUTE(SUBSTITUTE(G318,"|",",")," ",""),","),0))</f>
        <v>40</v>
      </c>
      <c r="G318" s="201" t="s">
        <v>7860</v>
      </c>
      <c r="H318" s="61" t="s">
        <v>7889</v>
      </c>
    </row>
    <row r="319" spans="1:8">
      <c r="A319" s="198" t="s">
        <v>5349</v>
      </c>
      <c r="B319" s="54" t="s">
        <v>7556</v>
      </c>
      <c r="C319" s="55" t="s">
        <v>3082</v>
      </c>
      <c r="D319" s="61" t="s">
        <v>3083</v>
      </c>
      <c r="E319" s="200" cm="1">
        <f t="array" ref="E319">MIN(IFERROR(--_xlfn.TEXTSPLIT(SUBSTITUTE(SUBSTITUTE(G319,"|",",")," ",""),","),0))</f>
        <v>40</v>
      </c>
      <c r="F319" s="200" cm="1">
        <f t="array" ref="F319">MAX(IFERROR(--_xlfn.TEXTSPLIT(SUBSTITUTE(SUBSTITUTE(G319,"|",",")," ",""),","),0))</f>
        <v>40</v>
      </c>
      <c r="G319" s="201" t="s">
        <v>7860</v>
      </c>
      <c r="H319" s="61"/>
    </row>
    <row r="320" spans="1:8">
      <c r="A320" s="198" t="s">
        <v>5349</v>
      </c>
      <c r="B320" s="54" t="s">
        <v>7556</v>
      </c>
      <c r="C320" s="55" t="s">
        <v>3084</v>
      </c>
      <c r="D320" s="61" t="s">
        <v>3085</v>
      </c>
      <c r="E320" s="200" cm="1">
        <f t="array" ref="E320">MIN(IFERROR(--_xlfn.TEXTSPLIT(SUBSTITUTE(SUBSTITUTE(G320,"|",",")," ",""),","),0))</f>
        <v>25</v>
      </c>
      <c r="F320" s="200" cm="1">
        <f t="array" ref="F320">MAX(IFERROR(--_xlfn.TEXTSPLIT(SUBSTITUTE(SUBSTITUTE(G320,"|",",")," ",""),","),0))</f>
        <v>25</v>
      </c>
      <c r="G320" s="201" t="s">
        <v>7840</v>
      </c>
      <c r="H320" s="61"/>
    </row>
    <row r="321" spans="1:8">
      <c r="A321" s="198" t="s">
        <v>5349</v>
      </c>
      <c r="B321" s="54" t="s">
        <v>7556</v>
      </c>
      <c r="C321" s="55" t="s">
        <v>3086</v>
      </c>
      <c r="D321" s="61" t="s">
        <v>3087</v>
      </c>
      <c r="E321" s="200" cm="1">
        <f t="array" ref="E321">MIN(IFERROR(--_xlfn.TEXTSPLIT(SUBSTITUTE(SUBSTITUTE(G321,"|",",")," ",""),","),0))</f>
        <v>90</v>
      </c>
      <c r="F321" s="200" cm="1">
        <f t="array" ref="F321">MAX(IFERROR(--_xlfn.TEXTSPLIT(SUBSTITUTE(SUBSTITUTE(G321,"|",",")," ",""),","),0))</f>
        <v>90</v>
      </c>
      <c r="G321" s="201" t="s">
        <v>7869</v>
      </c>
      <c r="H321" s="61"/>
    </row>
    <row r="322" spans="1:8">
      <c r="A322" s="198" t="s">
        <v>5349</v>
      </c>
      <c r="B322" s="54" t="s">
        <v>7556</v>
      </c>
      <c r="C322" s="55" t="s">
        <v>3088</v>
      </c>
      <c r="D322" s="56" t="s">
        <v>3089</v>
      </c>
      <c r="E322" s="200" cm="1">
        <f t="array" ref="E322">MIN(IFERROR(--_xlfn.TEXTSPLIT(SUBSTITUTE(SUBSTITUTE(G322,"|",",")," ",""),","),0))</f>
        <v>44</v>
      </c>
      <c r="F322" s="200" cm="1">
        <f t="array" ref="F322">MAX(IFERROR(--_xlfn.TEXTSPLIT(SUBSTITUTE(SUBSTITUTE(G322,"|",",")," ",""),","),0))</f>
        <v>44</v>
      </c>
      <c r="G322" s="201" t="s">
        <v>7890</v>
      </c>
      <c r="H322" s="61"/>
    </row>
    <row r="323" spans="1:8">
      <c r="A323" s="198" t="s">
        <v>5349</v>
      </c>
      <c r="B323" s="54" t="s">
        <v>7556</v>
      </c>
      <c r="C323" s="55" t="s">
        <v>1565</v>
      </c>
      <c r="D323" s="56" t="s">
        <v>1566</v>
      </c>
      <c r="E323" s="200" cm="1">
        <f t="array" ref="E323">MIN(IFERROR(--_xlfn.TEXTSPLIT(SUBSTITUTE(SUBSTITUTE(G323,"|",",")," ",""),","),0))</f>
        <v>44</v>
      </c>
      <c r="F323" s="200" cm="1">
        <f t="array" ref="F323">MAX(IFERROR(--_xlfn.TEXTSPLIT(SUBSTITUTE(SUBSTITUTE(G323,"|",",")," ",""),","),0))</f>
        <v>44</v>
      </c>
      <c r="G323" s="201" t="s">
        <v>7890</v>
      </c>
      <c r="H323" s="61"/>
    </row>
    <row r="324" spans="1:8">
      <c r="A324" s="198" t="s">
        <v>5349</v>
      </c>
      <c r="B324" s="54" t="s">
        <v>7556</v>
      </c>
      <c r="C324" s="55" t="s">
        <v>3090</v>
      </c>
      <c r="D324" s="56" t="s">
        <v>3091</v>
      </c>
      <c r="E324" s="200" cm="1">
        <f t="array" ref="E324">MIN(IFERROR(--_xlfn.TEXTSPLIT(SUBSTITUTE(SUBSTITUTE(G324,"|",",")," ",""),","),0))</f>
        <v>44</v>
      </c>
      <c r="F324" s="200" cm="1">
        <f t="array" ref="F324">MAX(IFERROR(--_xlfn.TEXTSPLIT(SUBSTITUTE(SUBSTITUTE(G324,"|",",")," ",""),","),0))</f>
        <v>44</v>
      </c>
      <c r="G324" s="201" t="s">
        <v>7890</v>
      </c>
      <c r="H324" s="61"/>
    </row>
    <row r="325" spans="1:8">
      <c r="A325" s="198" t="s">
        <v>5349</v>
      </c>
      <c r="B325" s="54" t="s">
        <v>7556</v>
      </c>
      <c r="C325" s="55" t="s">
        <v>3092</v>
      </c>
      <c r="D325" s="56" t="s">
        <v>3093</v>
      </c>
      <c r="E325" s="200" cm="1">
        <f t="array" ref="E325">MIN(IFERROR(--_xlfn.TEXTSPLIT(SUBSTITUTE(SUBSTITUTE(G325,"|",",")," ",""),","),0))</f>
        <v>44</v>
      </c>
      <c r="F325" s="200" cm="1">
        <f t="array" ref="F325">MAX(IFERROR(--_xlfn.TEXTSPLIT(SUBSTITUTE(SUBSTITUTE(G325,"|",",")," ",""),","),0))</f>
        <v>44</v>
      </c>
      <c r="G325" s="201" t="s">
        <v>7890</v>
      </c>
      <c r="H325" s="61"/>
    </row>
    <row r="326" spans="1:8">
      <c r="A326" s="198" t="s">
        <v>5349</v>
      </c>
      <c r="B326" s="54" t="s">
        <v>7556</v>
      </c>
      <c r="C326" s="55" t="s">
        <v>3094</v>
      </c>
      <c r="D326" s="56" t="s">
        <v>3095</v>
      </c>
      <c r="E326" s="200" cm="1">
        <f t="array" ref="E326">MIN(IFERROR(--_xlfn.TEXTSPLIT(SUBSTITUTE(SUBSTITUTE(G326,"|",",")," ",""),","),0))</f>
        <v>35</v>
      </c>
      <c r="F326" s="200" cm="1">
        <f t="array" ref="F326">MAX(IFERROR(--_xlfn.TEXTSPLIT(SUBSTITUTE(SUBSTITUTE(G326,"|",",")," ",""),","),0))</f>
        <v>35</v>
      </c>
      <c r="G326" s="201" t="s">
        <v>7868</v>
      </c>
      <c r="H326" s="61"/>
    </row>
    <row r="327" spans="1:8">
      <c r="A327" s="198" t="s">
        <v>5349</v>
      </c>
      <c r="B327" s="54" t="s">
        <v>7556</v>
      </c>
      <c r="C327" s="55" t="s">
        <v>1567</v>
      </c>
      <c r="D327" s="56" t="s">
        <v>3096</v>
      </c>
      <c r="E327" s="200" cm="1">
        <f t="array" ref="E327">MIN(IFERROR(--_xlfn.TEXTSPLIT(SUBSTITUTE(SUBSTITUTE(G327,"|",",")," ",""),","),0))</f>
        <v>35</v>
      </c>
      <c r="F327" s="200" cm="1">
        <f t="array" ref="F327">MAX(IFERROR(--_xlfn.TEXTSPLIT(SUBSTITUTE(SUBSTITUTE(G327,"|",",")," ",""),","),0))</f>
        <v>35</v>
      </c>
      <c r="G327" s="201" t="s">
        <v>7868</v>
      </c>
      <c r="H327" s="61"/>
    </row>
    <row r="328" spans="1:8">
      <c r="A328" s="198" t="s">
        <v>5349</v>
      </c>
      <c r="B328" s="54" t="s">
        <v>7556</v>
      </c>
      <c r="C328" s="55" t="s">
        <v>3097</v>
      </c>
      <c r="D328" s="56" t="s">
        <v>3098</v>
      </c>
      <c r="E328" s="200" cm="1">
        <f t="array" ref="E328">MIN(IFERROR(--_xlfn.TEXTSPLIT(SUBSTITUTE(SUBSTITUTE(G328,"|",",")," ",""),","),0))</f>
        <v>35</v>
      </c>
      <c r="F328" s="200" cm="1">
        <f t="array" ref="F328">MAX(IFERROR(--_xlfn.TEXTSPLIT(SUBSTITUTE(SUBSTITUTE(G328,"|",",")," ",""),","),0))</f>
        <v>35</v>
      </c>
      <c r="G328" s="201" t="s">
        <v>7868</v>
      </c>
      <c r="H328" s="61"/>
    </row>
    <row r="329" spans="1:8">
      <c r="A329" s="198" t="s">
        <v>5349</v>
      </c>
      <c r="B329" s="54" t="s">
        <v>7556</v>
      </c>
      <c r="C329" s="55" t="s">
        <v>3099</v>
      </c>
      <c r="D329" s="56" t="s">
        <v>3100</v>
      </c>
      <c r="E329" s="200" cm="1">
        <f t="array" ref="E329">MIN(IFERROR(--_xlfn.TEXTSPLIT(SUBSTITUTE(SUBSTITUTE(G329,"|",",")," ",""),","),0))</f>
        <v>35</v>
      </c>
      <c r="F329" s="200" cm="1">
        <f t="array" ref="F329">MAX(IFERROR(--_xlfn.TEXTSPLIT(SUBSTITUTE(SUBSTITUTE(G329,"|",",")," ",""),","),0))</f>
        <v>35</v>
      </c>
      <c r="G329" s="201" t="s">
        <v>7868</v>
      </c>
      <c r="H329" s="61"/>
    </row>
    <row r="330" spans="1:8">
      <c r="A330" s="198" t="s">
        <v>5349</v>
      </c>
      <c r="B330" s="54" t="s">
        <v>7556</v>
      </c>
      <c r="C330" s="55" t="s">
        <v>3101</v>
      </c>
      <c r="D330" s="56" t="s">
        <v>3102</v>
      </c>
      <c r="E330" s="200" cm="1">
        <f t="array" ref="E330">MIN(IFERROR(--_xlfn.TEXTSPLIT(SUBSTITUTE(SUBSTITUTE(G330,"|",",")," ",""),","),0))</f>
        <v>35</v>
      </c>
      <c r="F330" s="200" cm="1">
        <f t="array" ref="F330">MAX(IFERROR(--_xlfn.TEXTSPLIT(SUBSTITUTE(SUBSTITUTE(G330,"|",",")," ",""),","),0))</f>
        <v>35</v>
      </c>
      <c r="G330" s="201" t="s">
        <v>7868</v>
      </c>
      <c r="H330" s="61"/>
    </row>
    <row r="331" spans="1:8">
      <c r="A331" s="198" t="s">
        <v>5349</v>
      </c>
      <c r="B331" s="54" t="s">
        <v>7556</v>
      </c>
      <c r="C331" s="55" t="s">
        <v>3103</v>
      </c>
      <c r="D331" s="56" t="s">
        <v>3104</v>
      </c>
      <c r="E331" s="200" cm="1">
        <f t="array" ref="E331">MIN(IFERROR(--_xlfn.TEXTSPLIT(SUBSTITUTE(SUBSTITUTE(G331,"|",",")," ",""),","),0))</f>
        <v>35</v>
      </c>
      <c r="F331" s="200" cm="1">
        <f t="array" ref="F331">MAX(IFERROR(--_xlfn.TEXTSPLIT(SUBSTITUTE(SUBSTITUTE(G331,"|",",")," ",""),","),0))</f>
        <v>35</v>
      </c>
      <c r="G331" s="201" t="s">
        <v>7868</v>
      </c>
      <c r="H331" s="61"/>
    </row>
    <row r="332" spans="1:8">
      <c r="A332" s="198" t="s">
        <v>5349</v>
      </c>
      <c r="B332" s="54" t="s">
        <v>7556</v>
      </c>
      <c r="C332" s="55" t="s">
        <v>3105</v>
      </c>
      <c r="D332" s="56" t="s">
        <v>3106</v>
      </c>
      <c r="E332" s="200" cm="1">
        <f t="array" ref="E332">MIN(IFERROR(--_xlfn.TEXTSPLIT(SUBSTITUTE(SUBSTITUTE(G332,"|",",")," ",""),","),0))</f>
        <v>15</v>
      </c>
      <c r="F332" s="200" cm="1">
        <f t="array" ref="F332">MAX(IFERROR(--_xlfn.TEXTSPLIT(SUBSTITUTE(SUBSTITUTE(G332,"|",",")," ",""),","),0))</f>
        <v>15</v>
      </c>
      <c r="G332" s="201" t="s">
        <v>7862</v>
      </c>
      <c r="H332" s="61"/>
    </row>
    <row r="333" spans="1:8">
      <c r="A333" s="198" t="s">
        <v>5349</v>
      </c>
      <c r="B333" s="54" t="s">
        <v>7556</v>
      </c>
      <c r="C333" s="55" t="s">
        <v>3107</v>
      </c>
      <c r="D333" s="56" t="s">
        <v>3108</v>
      </c>
      <c r="E333" s="200" cm="1">
        <f t="array" ref="E333">MIN(IFERROR(--_xlfn.TEXTSPLIT(SUBSTITUTE(SUBSTITUTE(G333,"|",",")," ",""),","),0))</f>
        <v>12</v>
      </c>
      <c r="F333" s="200" cm="1">
        <f t="array" ref="F333">MAX(IFERROR(--_xlfn.TEXTSPLIT(SUBSTITUTE(SUBSTITUTE(G333,"|",",")," ",""),","),0))</f>
        <v>12</v>
      </c>
      <c r="G333" s="201" t="s">
        <v>7864</v>
      </c>
      <c r="H333" s="61"/>
    </row>
    <row r="334" spans="1:8">
      <c r="A334" s="198" t="s">
        <v>5349</v>
      </c>
      <c r="B334" s="54" t="s">
        <v>7556</v>
      </c>
      <c r="C334" s="55" t="s">
        <v>3109</v>
      </c>
      <c r="D334" s="56" t="s">
        <v>3110</v>
      </c>
      <c r="E334" s="200" cm="1">
        <f t="array" ref="E334">MIN(IFERROR(--_xlfn.TEXTSPLIT(SUBSTITUTE(SUBSTITUTE(G334,"|",",")," ",""),","),0))</f>
        <v>60</v>
      </c>
      <c r="F334" s="200" cm="1">
        <f t="array" ref="F334">MAX(IFERROR(--_xlfn.TEXTSPLIT(SUBSTITUTE(SUBSTITUTE(G334,"|",",")," ",""),","),0))</f>
        <v>60</v>
      </c>
      <c r="G334" s="201" t="s">
        <v>7870</v>
      </c>
      <c r="H334" s="61"/>
    </row>
    <row r="335" spans="1:8">
      <c r="A335" s="198" t="s">
        <v>5349</v>
      </c>
      <c r="B335" s="54" t="s">
        <v>7556</v>
      </c>
      <c r="C335" s="55" t="s">
        <v>3111</v>
      </c>
      <c r="D335" s="56" t="s">
        <v>3112</v>
      </c>
      <c r="E335" s="200" cm="1">
        <f t="array" ref="E335">MIN(IFERROR(--_xlfn.TEXTSPLIT(SUBSTITUTE(SUBSTITUTE(G335,"|",",")," ",""),","),0))</f>
        <v>60</v>
      </c>
      <c r="F335" s="200" cm="1">
        <f t="array" ref="F335">MAX(IFERROR(--_xlfn.TEXTSPLIT(SUBSTITUTE(SUBSTITUTE(G335,"|",",")," ",""),","),0))</f>
        <v>60</v>
      </c>
      <c r="G335" s="201" t="s">
        <v>7870</v>
      </c>
      <c r="H335" s="61"/>
    </row>
    <row r="336" spans="1:8">
      <c r="A336" s="198" t="s">
        <v>5349</v>
      </c>
      <c r="B336" s="54" t="s">
        <v>7556</v>
      </c>
      <c r="C336" s="55" t="s">
        <v>3113</v>
      </c>
      <c r="D336" s="56" t="s">
        <v>3114</v>
      </c>
      <c r="E336" s="200" cm="1">
        <f t="array" ref="E336">MIN(IFERROR(--_xlfn.TEXTSPLIT(SUBSTITUTE(SUBSTITUTE(G336,"|",",")," ",""),","),0))</f>
        <v>60</v>
      </c>
      <c r="F336" s="200" cm="1">
        <f t="array" ref="F336">MAX(IFERROR(--_xlfn.TEXTSPLIT(SUBSTITUTE(SUBSTITUTE(G336,"|",",")," ",""),","),0))</f>
        <v>60</v>
      </c>
      <c r="G336" s="201" t="s">
        <v>7870</v>
      </c>
      <c r="H336" s="61"/>
    </row>
    <row r="337" spans="1:8">
      <c r="A337" s="198" t="s">
        <v>5349</v>
      </c>
      <c r="B337" s="54" t="s">
        <v>7556</v>
      </c>
      <c r="C337" s="55" t="s">
        <v>3115</v>
      </c>
      <c r="D337" s="56" t="s">
        <v>3116</v>
      </c>
      <c r="E337" s="200" cm="1">
        <f t="array" ref="E337">MIN(IFERROR(--_xlfn.TEXTSPLIT(SUBSTITUTE(SUBSTITUTE(G337,"|",",")," ",""),","),0))</f>
        <v>60</v>
      </c>
      <c r="F337" s="200" cm="1">
        <f t="array" ref="F337">MAX(IFERROR(--_xlfn.TEXTSPLIT(SUBSTITUTE(SUBSTITUTE(G337,"|",",")," ",""),","),0))</f>
        <v>60</v>
      </c>
      <c r="G337" s="201" t="s">
        <v>7870</v>
      </c>
      <c r="H337" s="61"/>
    </row>
    <row r="338" spans="1:8">
      <c r="A338" s="198" t="s">
        <v>5349</v>
      </c>
      <c r="B338" s="54" t="s">
        <v>7556</v>
      </c>
      <c r="C338" s="55" t="s">
        <v>3117</v>
      </c>
      <c r="D338" s="56" t="s">
        <v>3118</v>
      </c>
      <c r="E338" s="200" cm="1">
        <f t="array" ref="E338">MIN(IFERROR(--_xlfn.TEXTSPLIT(SUBSTITUTE(SUBSTITUTE(G338,"|",",")," ",""),","),0))</f>
        <v>60</v>
      </c>
      <c r="F338" s="200" cm="1">
        <f t="array" ref="F338">MAX(IFERROR(--_xlfn.TEXTSPLIT(SUBSTITUTE(SUBSTITUTE(G338,"|",",")," ",""),","),0))</f>
        <v>60</v>
      </c>
      <c r="G338" s="201" t="s">
        <v>7870</v>
      </c>
      <c r="H338" s="61"/>
    </row>
    <row r="339" spans="1:8">
      <c r="A339" s="198" t="s">
        <v>5349</v>
      </c>
      <c r="B339" s="54" t="s">
        <v>7556</v>
      </c>
      <c r="C339" s="55" t="s">
        <v>3119</v>
      </c>
      <c r="D339" s="56" t="s">
        <v>3120</v>
      </c>
      <c r="E339" s="200" cm="1">
        <f t="array" ref="E339">MIN(IFERROR(--_xlfn.TEXTSPLIT(SUBSTITUTE(SUBSTITUTE(G339,"|",",")," ",""),","),0))</f>
        <v>0</v>
      </c>
      <c r="F339" s="200" cm="1">
        <f t="array" ref="F339">MAX(IFERROR(--_xlfn.TEXTSPLIT(SUBSTITUTE(SUBSTITUTE(G339,"|",",")," ",""),","),0))</f>
        <v>0</v>
      </c>
      <c r="G339" s="201" t="s">
        <v>7838</v>
      </c>
      <c r="H339" s="61"/>
    </row>
  </sheetData>
  <autoFilter xmlns:etc="http://www.wps.cn/officeDocument/2017/etCustomData" ref="A1:H293" etc:filterBottomFollowUsedRange="0">
    <extLst/>
  </autoFilter>
  <mergeCells count="1">
    <mergeCell ref="E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8"/>
  <sheetViews>
    <sheetView workbookViewId="0">
      <pane ySplit="1" topLeftCell="A2" activePane="bottomLeft" state="frozen"/>
      <selection/>
      <selection pane="bottomLeft" activeCell="G41" sqref="G41"/>
    </sheetView>
  </sheetViews>
  <sheetFormatPr defaultColWidth="9" defaultRowHeight="13.5"/>
  <cols>
    <col min="1" max="1" width="11.875" style="14" customWidth="1"/>
    <col min="2" max="2" width="9" style="14" customWidth="1"/>
    <col min="3" max="3" width="14.5" style="14" customWidth="1"/>
    <col min="4" max="4" width="25.375" style="14" customWidth="1"/>
    <col min="5" max="5" width="42.25" style="14" customWidth="1"/>
    <col min="6" max="7" width="11.875" style="14" customWidth="1"/>
    <col min="8" max="8" width="20.75" style="14" customWidth="1"/>
    <col min="9" max="9" width="38.625" style="14" customWidth="1"/>
    <col min="10" max="10" width="58.375" style="14" customWidth="1"/>
    <col min="11" max="11" width="11.5" style="14" customWidth="1"/>
    <col min="12" max="12" width="11.875" customWidth="1"/>
    <col min="13" max="13" width="24.5" customWidth="1"/>
  </cols>
  <sheetData>
    <row r="1" ht="18.75" spans="1:10">
      <c r="A1" s="186" t="s">
        <v>7891</v>
      </c>
      <c r="B1" s="186" t="s">
        <v>7819</v>
      </c>
      <c r="C1" s="186" t="s">
        <v>3282</v>
      </c>
      <c r="D1" s="186" t="s">
        <v>3283</v>
      </c>
      <c r="E1" s="187" t="s">
        <v>7892</v>
      </c>
      <c r="F1" s="187" t="s">
        <v>7893</v>
      </c>
      <c r="G1" s="187" t="s">
        <v>7894</v>
      </c>
      <c r="H1" s="187" t="s">
        <v>7895</v>
      </c>
      <c r="I1" s="187" t="s">
        <v>6575</v>
      </c>
      <c r="J1" s="187" t="s">
        <v>3284</v>
      </c>
    </row>
    <row r="2" spans="1:10">
      <c r="A2" s="188" t="s">
        <v>7896</v>
      </c>
      <c r="B2" s="188" t="s">
        <v>3288</v>
      </c>
      <c r="C2" s="188" t="s">
        <v>3289</v>
      </c>
      <c r="D2" s="188" t="s">
        <v>3290</v>
      </c>
      <c r="E2" s="188"/>
      <c r="F2" s="188">
        <v>50</v>
      </c>
      <c r="G2" s="188">
        <v>28</v>
      </c>
      <c r="H2" s="188" t="s">
        <v>7897</v>
      </c>
      <c r="I2" s="188"/>
      <c r="J2" s="188"/>
    </row>
    <row r="3" spans="1:10">
      <c r="A3" s="188" t="s">
        <v>7896</v>
      </c>
      <c r="B3" s="188" t="s">
        <v>3288</v>
      </c>
      <c r="C3" s="188" t="s">
        <v>3291</v>
      </c>
      <c r="D3" s="188" t="s">
        <v>3292</v>
      </c>
      <c r="E3" s="188" t="s">
        <v>160</v>
      </c>
      <c r="F3" s="188">
        <v>69</v>
      </c>
      <c r="G3" s="188">
        <v>38</v>
      </c>
      <c r="H3" s="188" t="s">
        <v>7897</v>
      </c>
      <c r="I3" s="188"/>
      <c r="J3" s="188"/>
    </row>
    <row r="4" spans="1:10">
      <c r="A4" s="188" t="s">
        <v>7896</v>
      </c>
      <c r="B4" s="188" t="s">
        <v>3288</v>
      </c>
      <c r="C4" s="188" t="s">
        <v>3293</v>
      </c>
      <c r="D4" s="188" t="s">
        <v>3294</v>
      </c>
      <c r="E4" s="188" t="s">
        <v>194</v>
      </c>
      <c r="F4" s="188">
        <v>69</v>
      </c>
      <c r="G4" s="188">
        <v>38</v>
      </c>
      <c r="H4" s="188" t="s">
        <v>7897</v>
      </c>
      <c r="I4" s="188"/>
      <c r="J4" s="188"/>
    </row>
    <row r="5" spans="1:10">
      <c r="A5" s="188" t="s">
        <v>7896</v>
      </c>
      <c r="B5" s="188" t="s">
        <v>3288</v>
      </c>
      <c r="C5" s="188" t="s">
        <v>3295</v>
      </c>
      <c r="D5" s="188" t="s">
        <v>3296</v>
      </c>
      <c r="E5" s="188" t="s">
        <v>176</v>
      </c>
      <c r="F5" s="188">
        <v>69</v>
      </c>
      <c r="G5" s="188">
        <v>38</v>
      </c>
      <c r="H5" s="188" t="s">
        <v>7897</v>
      </c>
      <c r="I5" s="188"/>
      <c r="J5" s="188"/>
    </row>
    <row r="6" spans="1:10">
      <c r="A6" s="188" t="s">
        <v>7896</v>
      </c>
      <c r="B6" s="188" t="s">
        <v>3288</v>
      </c>
      <c r="C6" s="188" t="s">
        <v>3297</v>
      </c>
      <c r="D6" s="188" t="s">
        <v>3298</v>
      </c>
      <c r="E6" s="188" t="s">
        <v>40</v>
      </c>
      <c r="F6" s="188">
        <v>69</v>
      </c>
      <c r="G6" s="188">
        <v>38</v>
      </c>
      <c r="H6" s="188" t="s">
        <v>7897</v>
      </c>
      <c r="I6" s="188"/>
      <c r="J6" s="188"/>
    </row>
    <row r="7" customHeight="1" spans="1:10">
      <c r="A7" s="188" t="s">
        <v>7896</v>
      </c>
      <c r="B7" s="188" t="s">
        <v>3288</v>
      </c>
      <c r="C7" s="188" t="s">
        <v>3299</v>
      </c>
      <c r="D7" s="188" t="s">
        <v>3300</v>
      </c>
      <c r="E7" s="188" t="s">
        <v>52</v>
      </c>
      <c r="F7" s="188">
        <v>69</v>
      </c>
      <c r="G7" s="188">
        <v>38</v>
      </c>
      <c r="H7" s="188" t="s">
        <v>7897</v>
      </c>
      <c r="I7" s="188"/>
      <c r="J7" s="188"/>
    </row>
    <row r="8" spans="1:10">
      <c r="A8" s="188" t="s">
        <v>7896</v>
      </c>
      <c r="B8" s="188" t="s">
        <v>3288</v>
      </c>
      <c r="C8" s="188" t="s">
        <v>3301</v>
      </c>
      <c r="D8" s="188" t="s">
        <v>3302</v>
      </c>
      <c r="E8" s="188" t="s">
        <v>366</v>
      </c>
      <c r="F8" s="188">
        <v>69</v>
      </c>
      <c r="G8" s="188">
        <v>38</v>
      </c>
      <c r="H8" s="188" t="s">
        <v>7897</v>
      </c>
      <c r="I8" s="188"/>
      <c r="J8" s="188"/>
    </row>
    <row r="9" spans="1:10">
      <c r="A9" s="188" t="s">
        <v>7896</v>
      </c>
      <c r="B9" s="188" t="s">
        <v>3288</v>
      </c>
      <c r="C9" s="188" t="s">
        <v>3303</v>
      </c>
      <c r="D9" s="188" t="s">
        <v>3304</v>
      </c>
      <c r="E9" s="188" t="s">
        <v>3169</v>
      </c>
      <c r="F9" s="188">
        <v>69</v>
      </c>
      <c r="G9" s="188">
        <v>38</v>
      </c>
      <c r="H9" s="188" t="s">
        <v>7897</v>
      </c>
      <c r="I9" s="188"/>
      <c r="J9" s="188"/>
    </row>
    <row r="10" spans="1:10">
      <c r="A10" s="188" t="s">
        <v>7896</v>
      </c>
      <c r="B10" s="188" t="s">
        <v>3288</v>
      </c>
      <c r="C10" s="188" t="s">
        <v>3305</v>
      </c>
      <c r="D10" s="188" t="s">
        <v>3306</v>
      </c>
      <c r="E10" s="188" t="s">
        <v>3157</v>
      </c>
      <c r="F10" s="188">
        <v>69</v>
      </c>
      <c r="G10" s="188">
        <v>38</v>
      </c>
      <c r="H10" s="188" t="s">
        <v>7897</v>
      </c>
      <c r="I10" s="188"/>
      <c r="J10" s="188"/>
    </row>
    <row r="11" spans="1:10">
      <c r="A11" s="188" t="s">
        <v>7896</v>
      </c>
      <c r="B11" s="188" t="s">
        <v>3288</v>
      </c>
      <c r="C11" s="188" t="s">
        <v>3307</v>
      </c>
      <c r="D11" s="188" t="s">
        <v>3308</v>
      </c>
      <c r="E11" s="188" t="s">
        <v>3149</v>
      </c>
      <c r="F11" s="188">
        <v>69</v>
      </c>
      <c r="G11" s="188">
        <v>38</v>
      </c>
      <c r="H11" s="188" t="s">
        <v>7897</v>
      </c>
      <c r="I11" s="188"/>
      <c r="J11" s="188"/>
    </row>
    <row r="12" spans="1:10">
      <c r="A12" s="188" t="s">
        <v>7896</v>
      </c>
      <c r="B12" s="188" t="s">
        <v>3288</v>
      </c>
      <c r="C12" s="188" t="s">
        <v>3309</v>
      </c>
      <c r="D12" s="188" t="s">
        <v>3310</v>
      </c>
      <c r="E12" s="188" t="s">
        <v>3161</v>
      </c>
      <c r="F12" s="188">
        <v>69</v>
      </c>
      <c r="G12" s="188">
        <v>38</v>
      </c>
      <c r="H12" s="188" t="s">
        <v>7897</v>
      </c>
      <c r="I12" s="188"/>
      <c r="J12" s="188"/>
    </row>
    <row r="13" spans="1:10">
      <c r="A13" s="188" t="s">
        <v>7896</v>
      </c>
      <c r="B13" s="188" t="s">
        <v>3288</v>
      </c>
      <c r="C13" s="188" t="s">
        <v>3311</v>
      </c>
      <c r="D13" s="188" t="s">
        <v>3312</v>
      </c>
      <c r="E13" s="188" t="s">
        <v>3139</v>
      </c>
      <c r="F13" s="188">
        <v>69</v>
      </c>
      <c r="G13" s="188">
        <v>38</v>
      </c>
      <c r="H13" s="188" t="s">
        <v>7897</v>
      </c>
      <c r="I13" s="188"/>
      <c r="J13" s="188"/>
    </row>
    <row r="14" spans="1:10">
      <c r="A14" s="188" t="s">
        <v>7896</v>
      </c>
      <c r="B14" s="188" t="s">
        <v>3288</v>
      </c>
      <c r="C14" s="188" t="s">
        <v>3313</v>
      </c>
      <c r="D14" s="188" t="s">
        <v>3314</v>
      </c>
      <c r="E14" s="188" t="s">
        <v>58</v>
      </c>
      <c r="F14" s="188">
        <v>69</v>
      </c>
      <c r="G14" s="188">
        <v>38</v>
      </c>
      <c r="H14" s="188" t="s">
        <v>7897</v>
      </c>
      <c r="I14" s="188"/>
      <c r="J14" s="188"/>
    </row>
    <row r="15" spans="1:10">
      <c r="A15" s="188" t="s">
        <v>7896</v>
      </c>
      <c r="B15" s="188" t="s">
        <v>3288</v>
      </c>
      <c r="C15" s="188" t="s">
        <v>3315</v>
      </c>
      <c r="D15" s="188" t="s">
        <v>3316</v>
      </c>
      <c r="E15" s="188" t="s">
        <v>3173</v>
      </c>
      <c r="F15" s="188">
        <v>69</v>
      </c>
      <c r="G15" s="188">
        <v>38</v>
      </c>
      <c r="H15" s="188" t="s">
        <v>7897</v>
      </c>
      <c r="I15" s="188"/>
      <c r="J15" s="188"/>
    </row>
    <row r="16" spans="1:10">
      <c r="A16" s="188" t="s">
        <v>7896</v>
      </c>
      <c r="B16" s="188" t="s">
        <v>3288</v>
      </c>
      <c r="C16" s="188" t="s">
        <v>3317</v>
      </c>
      <c r="D16" s="188" t="s">
        <v>3318</v>
      </c>
      <c r="E16" s="188" t="s">
        <v>116</v>
      </c>
      <c r="F16" s="188">
        <v>69</v>
      </c>
      <c r="G16" s="188">
        <v>38</v>
      </c>
      <c r="H16" s="188" t="s">
        <v>7897</v>
      </c>
      <c r="I16" s="188"/>
      <c r="J16" s="188"/>
    </row>
    <row r="17" spans="1:10">
      <c r="A17" s="188" t="s">
        <v>7896</v>
      </c>
      <c r="B17" s="188" t="s">
        <v>3288</v>
      </c>
      <c r="C17" s="188" t="s">
        <v>3319</v>
      </c>
      <c r="D17" s="188" t="s">
        <v>3320</v>
      </c>
      <c r="E17" s="188" t="s">
        <v>36</v>
      </c>
      <c r="F17" s="188">
        <v>69</v>
      </c>
      <c r="G17" s="188">
        <v>38</v>
      </c>
      <c r="H17" s="188" t="s">
        <v>7897</v>
      </c>
      <c r="I17" s="188"/>
      <c r="J17" s="188"/>
    </row>
    <row r="18" spans="1:10">
      <c r="A18" s="188" t="s">
        <v>7896</v>
      </c>
      <c r="B18" s="188" t="s">
        <v>3288</v>
      </c>
      <c r="C18" s="188" t="s">
        <v>3321</v>
      </c>
      <c r="D18" s="188" t="s">
        <v>3322</v>
      </c>
      <c r="E18" s="188" t="s">
        <v>7898</v>
      </c>
      <c r="F18" s="188">
        <v>69</v>
      </c>
      <c r="G18" s="188">
        <v>38</v>
      </c>
      <c r="H18" s="188" t="s">
        <v>7897</v>
      </c>
      <c r="I18" s="188"/>
      <c r="J18" s="188"/>
    </row>
    <row r="19" spans="1:10">
      <c r="A19" s="188" t="s">
        <v>7896</v>
      </c>
      <c r="B19" s="188" t="s">
        <v>3288</v>
      </c>
      <c r="C19" s="188" t="s">
        <v>3323</v>
      </c>
      <c r="D19" s="188" t="s">
        <v>3324</v>
      </c>
      <c r="E19" s="188" t="s">
        <v>3175</v>
      </c>
      <c r="F19" s="188">
        <v>69</v>
      </c>
      <c r="G19" s="188">
        <v>38</v>
      </c>
      <c r="H19" s="188" t="s">
        <v>7897</v>
      </c>
      <c r="I19" s="188"/>
      <c r="J19" s="188"/>
    </row>
    <row r="20" spans="1:10">
      <c r="A20" s="188" t="s">
        <v>7896</v>
      </c>
      <c r="B20" s="188" t="s">
        <v>3288</v>
      </c>
      <c r="C20" s="188" t="s">
        <v>3325</v>
      </c>
      <c r="D20" s="188" t="s">
        <v>3326</v>
      </c>
      <c r="E20" s="188" t="s">
        <v>304</v>
      </c>
      <c r="F20" s="188">
        <v>69</v>
      </c>
      <c r="G20" s="188">
        <v>38</v>
      </c>
      <c r="H20" s="188" t="s">
        <v>7897</v>
      </c>
      <c r="I20" s="188"/>
      <c r="J20" s="188"/>
    </row>
    <row r="21" spans="1:10">
      <c r="A21" s="188" t="s">
        <v>7896</v>
      </c>
      <c r="B21" s="188" t="s">
        <v>3288</v>
      </c>
      <c r="C21" s="188" t="s">
        <v>3327</v>
      </c>
      <c r="D21" s="188" t="s">
        <v>3328</v>
      </c>
      <c r="E21" s="188" t="s">
        <v>7899</v>
      </c>
      <c r="F21" s="188">
        <v>69</v>
      </c>
      <c r="G21" s="188">
        <v>38</v>
      </c>
      <c r="H21" s="188" t="s">
        <v>7897</v>
      </c>
      <c r="I21" s="188"/>
      <c r="J21" s="188"/>
    </row>
    <row r="22" spans="1:10">
      <c r="A22" s="188" t="s">
        <v>7896</v>
      </c>
      <c r="B22" s="188" t="s">
        <v>3288</v>
      </c>
      <c r="C22" s="188" t="s">
        <v>3329</v>
      </c>
      <c r="D22" s="188" t="s">
        <v>3330</v>
      </c>
      <c r="E22" s="188" t="s">
        <v>7900</v>
      </c>
      <c r="F22" s="188">
        <v>69</v>
      </c>
      <c r="G22" s="188">
        <v>38</v>
      </c>
      <c r="H22" s="188" t="s">
        <v>7897</v>
      </c>
      <c r="I22" s="188"/>
      <c r="J22" s="188"/>
    </row>
    <row r="23" spans="1:10">
      <c r="A23" s="188" t="s">
        <v>7896</v>
      </c>
      <c r="B23" s="188" t="s">
        <v>3288</v>
      </c>
      <c r="C23" s="188" t="s">
        <v>3331</v>
      </c>
      <c r="D23" s="188" t="s">
        <v>3332</v>
      </c>
      <c r="E23" s="188" t="s">
        <v>330</v>
      </c>
      <c r="F23" s="188">
        <v>69</v>
      </c>
      <c r="G23" s="188">
        <v>38</v>
      </c>
      <c r="H23" s="188" t="s">
        <v>7897</v>
      </c>
      <c r="I23" s="188"/>
      <c r="J23" s="188"/>
    </row>
    <row r="24" spans="1:10">
      <c r="A24" s="188" t="s">
        <v>7896</v>
      </c>
      <c r="B24" s="188" t="s">
        <v>3288</v>
      </c>
      <c r="C24" s="188" t="s">
        <v>3333</v>
      </c>
      <c r="D24" s="188" t="s">
        <v>3334</v>
      </c>
      <c r="E24" s="188" t="s">
        <v>3159</v>
      </c>
      <c r="F24" s="188">
        <v>69</v>
      </c>
      <c r="G24" s="188">
        <v>38</v>
      </c>
      <c r="H24" s="188" t="s">
        <v>7897</v>
      </c>
      <c r="I24" s="188"/>
      <c r="J24" s="188"/>
    </row>
    <row r="25" spans="1:10">
      <c r="A25" s="188" t="s">
        <v>7896</v>
      </c>
      <c r="B25" s="188" t="s">
        <v>3288</v>
      </c>
      <c r="C25" s="188" t="s">
        <v>3335</v>
      </c>
      <c r="D25" s="188" t="s">
        <v>3336</v>
      </c>
      <c r="E25" s="188" t="s">
        <v>7901</v>
      </c>
      <c r="F25" s="188">
        <v>69</v>
      </c>
      <c r="G25" s="188">
        <v>38</v>
      </c>
      <c r="H25" s="188" t="s">
        <v>7897</v>
      </c>
      <c r="I25" s="188"/>
      <c r="J25" s="188"/>
    </row>
    <row r="26" spans="1:10">
      <c r="A26" s="188" t="s">
        <v>7896</v>
      </c>
      <c r="B26" s="188" t="s">
        <v>3288</v>
      </c>
      <c r="C26" s="188" t="s">
        <v>3337</v>
      </c>
      <c r="D26" s="188" t="s">
        <v>3338</v>
      </c>
      <c r="E26" s="188" t="s">
        <v>3181</v>
      </c>
      <c r="F26" s="188">
        <v>69</v>
      </c>
      <c r="G26" s="188">
        <v>38</v>
      </c>
      <c r="H26" s="188" t="s">
        <v>7897</v>
      </c>
      <c r="I26" s="188"/>
      <c r="J26" s="188"/>
    </row>
    <row r="27" spans="1:10">
      <c r="A27" s="188" t="s">
        <v>7896</v>
      </c>
      <c r="B27" s="188" t="s">
        <v>3339</v>
      </c>
      <c r="C27" s="188" t="s">
        <v>3340</v>
      </c>
      <c r="D27" s="188" t="s">
        <v>3341</v>
      </c>
      <c r="E27" s="188"/>
      <c r="F27" s="188">
        <v>43</v>
      </c>
      <c r="G27" s="188">
        <v>50</v>
      </c>
      <c r="H27" s="188" t="s">
        <v>7902</v>
      </c>
      <c r="I27" s="188"/>
      <c r="J27" s="188"/>
    </row>
    <row r="28" spans="1:10">
      <c r="A28" s="188" t="s">
        <v>7896</v>
      </c>
      <c r="B28" s="188" t="s">
        <v>3339</v>
      </c>
      <c r="C28" s="188" t="s">
        <v>3342</v>
      </c>
      <c r="D28" s="188" t="s">
        <v>3343</v>
      </c>
      <c r="E28" s="188" t="s">
        <v>36</v>
      </c>
      <c r="F28" s="188">
        <v>50</v>
      </c>
      <c r="G28" s="188">
        <v>40</v>
      </c>
      <c r="H28" s="188" t="s">
        <v>7902</v>
      </c>
      <c r="I28" s="188"/>
      <c r="J28" s="188"/>
    </row>
    <row r="29" spans="1:10">
      <c r="A29" s="188" t="s">
        <v>7896</v>
      </c>
      <c r="B29" s="188" t="s">
        <v>3339</v>
      </c>
      <c r="C29" s="188" t="s">
        <v>3344</v>
      </c>
      <c r="D29" s="188" t="s">
        <v>3345</v>
      </c>
      <c r="E29" s="188" t="s">
        <v>7903</v>
      </c>
      <c r="F29" s="188">
        <v>50</v>
      </c>
      <c r="G29" s="188">
        <v>40</v>
      </c>
      <c r="H29" s="188" t="s">
        <v>7902</v>
      </c>
      <c r="I29" s="188"/>
      <c r="J29" s="188"/>
    </row>
    <row r="30" spans="1:10">
      <c r="A30" s="188" t="s">
        <v>7896</v>
      </c>
      <c r="B30" s="188" t="s">
        <v>3339</v>
      </c>
      <c r="C30" s="188" t="s">
        <v>3346</v>
      </c>
      <c r="D30" s="188" t="s">
        <v>3347</v>
      </c>
      <c r="E30" s="188" t="s">
        <v>134</v>
      </c>
      <c r="F30" s="188">
        <v>50</v>
      </c>
      <c r="G30" s="188">
        <v>40</v>
      </c>
      <c r="H30" s="188" t="s">
        <v>7902</v>
      </c>
      <c r="I30" s="188"/>
      <c r="J30" s="188"/>
    </row>
    <row r="31" spans="1:10">
      <c r="A31" s="188" t="s">
        <v>7896</v>
      </c>
      <c r="B31" s="188" t="s">
        <v>3339</v>
      </c>
      <c r="C31" s="188" t="s">
        <v>3348</v>
      </c>
      <c r="D31" s="188" t="s">
        <v>3349</v>
      </c>
      <c r="E31" s="188" t="s">
        <v>304</v>
      </c>
      <c r="F31" s="188">
        <v>50</v>
      </c>
      <c r="G31" s="188">
        <v>40</v>
      </c>
      <c r="H31" s="188" t="s">
        <v>7902</v>
      </c>
      <c r="I31" s="188"/>
      <c r="J31" s="188"/>
    </row>
    <row r="32" spans="1:10">
      <c r="A32" s="188" t="s">
        <v>7896</v>
      </c>
      <c r="B32" s="188" t="s">
        <v>3339</v>
      </c>
      <c r="C32" s="188" t="s">
        <v>3350</v>
      </c>
      <c r="D32" s="188" t="s">
        <v>3351</v>
      </c>
      <c r="E32" s="188" t="s">
        <v>7904</v>
      </c>
      <c r="F32" s="188">
        <v>50</v>
      </c>
      <c r="G32" s="188">
        <v>40</v>
      </c>
      <c r="H32" s="188" t="s">
        <v>7902</v>
      </c>
      <c r="I32" s="188"/>
      <c r="J32" s="188"/>
    </row>
    <row r="33" spans="1:10">
      <c r="A33" s="188" t="s">
        <v>7896</v>
      </c>
      <c r="B33" s="188" t="s">
        <v>3339</v>
      </c>
      <c r="C33" s="188" t="s">
        <v>3352</v>
      </c>
      <c r="D33" s="188" t="s">
        <v>3353</v>
      </c>
      <c r="E33" s="188" t="s">
        <v>3165</v>
      </c>
      <c r="F33" s="188">
        <v>50</v>
      </c>
      <c r="G33" s="188">
        <v>40</v>
      </c>
      <c r="H33" s="188" t="s">
        <v>7902</v>
      </c>
      <c r="I33" s="188"/>
      <c r="J33" s="188"/>
    </row>
    <row r="34" spans="1:10">
      <c r="A34" s="188" t="s">
        <v>7896</v>
      </c>
      <c r="B34" s="188" t="s">
        <v>3339</v>
      </c>
      <c r="C34" s="188" t="s">
        <v>3354</v>
      </c>
      <c r="D34" s="188" t="s">
        <v>3355</v>
      </c>
      <c r="E34" s="188" t="s">
        <v>52</v>
      </c>
      <c r="F34" s="188">
        <v>50</v>
      </c>
      <c r="G34" s="188">
        <v>40</v>
      </c>
      <c r="H34" s="188" t="s">
        <v>7902</v>
      </c>
      <c r="I34" s="188"/>
      <c r="J34" s="188"/>
    </row>
    <row r="35" spans="1:10">
      <c r="A35" s="188" t="s">
        <v>7896</v>
      </c>
      <c r="B35" s="188" t="s">
        <v>3339</v>
      </c>
      <c r="C35" s="188" t="s">
        <v>3356</v>
      </c>
      <c r="D35" s="188" t="s">
        <v>3357</v>
      </c>
      <c r="E35" s="188" t="s">
        <v>304</v>
      </c>
      <c r="F35" s="188">
        <v>51</v>
      </c>
      <c r="G35" s="188">
        <v>37</v>
      </c>
      <c r="H35" s="188" t="s">
        <v>7902</v>
      </c>
      <c r="I35" s="188"/>
      <c r="J35" s="188"/>
    </row>
    <row r="36" spans="1:10">
      <c r="A36" s="188" t="s">
        <v>7896</v>
      </c>
      <c r="B36" s="188" t="s">
        <v>3339</v>
      </c>
      <c r="C36" s="188" t="s">
        <v>3358</v>
      </c>
      <c r="D36" s="188" t="s">
        <v>3359</v>
      </c>
      <c r="E36" s="188" t="s">
        <v>3135</v>
      </c>
      <c r="F36" s="188">
        <v>50</v>
      </c>
      <c r="G36" s="188">
        <v>40</v>
      </c>
      <c r="H36" s="188" t="s">
        <v>7902</v>
      </c>
      <c r="I36" s="188"/>
      <c r="J36" s="188"/>
    </row>
    <row r="37" spans="1:10">
      <c r="A37" s="188" t="s">
        <v>7896</v>
      </c>
      <c r="B37" s="188" t="s">
        <v>3339</v>
      </c>
      <c r="C37" s="188" t="s">
        <v>3360</v>
      </c>
      <c r="D37" s="188" t="s">
        <v>3361</v>
      </c>
      <c r="E37" s="188" t="s">
        <v>7905</v>
      </c>
      <c r="F37" s="188">
        <v>50</v>
      </c>
      <c r="G37" s="188">
        <v>40</v>
      </c>
      <c r="H37" s="188" t="s">
        <v>7902</v>
      </c>
      <c r="I37" s="188"/>
      <c r="J37" s="188"/>
    </row>
    <row r="38" spans="1:10">
      <c r="A38" s="188" t="s">
        <v>7896</v>
      </c>
      <c r="B38" s="188" t="s">
        <v>3339</v>
      </c>
      <c r="C38" s="188" t="s">
        <v>3362</v>
      </c>
      <c r="D38" s="188" t="s">
        <v>3363</v>
      </c>
      <c r="E38" s="188" t="s">
        <v>3159</v>
      </c>
      <c r="F38" s="188">
        <v>50</v>
      </c>
      <c r="G38" s="188">
        <v>40</v>
      </c>
      <c r="H38" s="188" t="s">
        <v>7902</v>
      </c>
      <c r="I38" s="188"/>
      <c r="J38" s="188"/>
    </row>
    <row r="39" spans="1:10">
      <c r="A39" s="188" t="s">
        <v>7896</v>
      </c>
      <c r="B39" s="188" t="s">
        <v>3339</v>
      </c>
      <c r="C39" s="188" t="s">
        <v>3364</v>
      </c>
      <c r="D39" s="188" t="s">
        <v>3365</v>
      </c>
      <c r="E39" s="188" t="s">
        <v>3131</v>
      </c>
      <c r="F39" s="188">
        <v>50</v>
      </c>
      <c r="G39" s="188">
        <v>40</v>
      </c>
      <c r="H39" s="188" t="s">
        <v>7902</v>
      </c>
      <c r="I39" s="188"/>
      <c r="J39" s="188"/>
    </row>
    <row r="40" spans="1:10">
      <c r="A40" s="188" t="s">
        <v>7896</v>
      </c>
      <c r="B40" s="188" t="s">
        <v>3339</v>
      </c>
      <c r="C40" s="188" t="s">
        <v>3366</v>
      </c>
      <c r="D40" s="188" t="s">
        <v>3367</v>
      </c>
      <c r="E40" s="188" t="s">
        <v>40</v>
      </c>
      <c r="F40" s="188">
        <v>50</v>
      </c>
      <c r="G40" s="188">
        <v>40</v>
      </c>
      <c r="H40" s="188" t="s">
        <v>7902</v>
      </c>
      <c r="I40" s="188"/>
      <c r="J40" s="188"/>
    </row>
    <row r="41" spans="1:10">
      <c r="A41" s="188" t="s">
        <v>7896</v>
      </c>
      <c r="B41" s="188" t="s">
        <v>3339</v>
      </c>
      <c r="C41" s="188" t="s">
        <v>3368</v>
      </c>
      <c r="D41" s="188" t="s">
        <v>3369</v>
      </c>
      <c r="E41" s="188" t="s">
        <v>90</v>
      </c>
      <c r="F41" s="188">
        <v>50</v>
      </c>
      <c r="G41" s="188">
        <v>40</v>
      </c>
      <c r="H41" s="188" t="s">
        <v>7902</v>
      </c>
      <c r="I41" s="188"/>
      <c r="J41" s="188"/>
    </row>
    <row r="42" spans="1:10">
      <c r="A42" s="188" t="s">
        <v>7896</v>
      </c>
      <c r="B42" s="188" t="s">
        <v>3339</v>
      </c>
      <c r="C42" s="188" t="s">
        <v>3370</v>
      </c>
      <c r="D42" s="188" t="s">
        <v>3371</v>
      </c>
      <c r="E42" s="188" t="s">
        <v>3163</v>
      </c>
      <c r="F42" s="188">
        <v>50</v>
      </c>
      <c r="G42" s="188">
        <v>40</v>
      </c>
      <c r="H42" s="188" t="s">
        <v>7902</v>
      </c>
      <c r="I42" s="188"/>
      <c r="J42" s="188"/>
    </row>
    <row r="43" spans="1:10">
      <c r="A43" s="188" t="s">
        <v>7896</v>
      </c>
      <c r="B43" s="188" t="s">
        <v>3339</v>
      </c>
      <c r="C43" s="188" t="s">
        <v>3372</v>
      </c>
      <c r="D43" s="188" t="s">
        <v>3373</v>
      </c>
      <c r="E43" s="188" t="s">
        <v>58</v>
      </c>
      <c r="F43" s="188">
        <v>50</v>
      </c>
      <c r="G43" s="188">
        <v>40</v>
      </c>
      <c r="H43" s="188" t="s">
        <v>7902</v>
      </c>
      <c r="I43" s="188"/>
      <c r="J43" s="188"/>
    </row>
    <row r="44" spans="1:10">
      <c r="A44" s="188" t="s">
        <v>7896</v>
      </c>
      <c r="B44" s="188" t="s">
        <v>3339</v>
      </c>
      <c r="C44" s="188" t="s">
        <v>3374</v>
      </c>
      <c r="D44" s="188" t="s">
        <v>3375</v>
      </c>
      <c r="E44" s="188" t="s">
        <v>7901</v>
      </c>
      <c r="F44" s="188">
        <v>50</v>
      </c>
      <c r="G44" s="188">
        <v>40</v>
      </c>
      <c r="H44" s="188" t="s">
        <v>7902</v>
      </c>
      <c r="I44" s="188"/>
      <c r="J44" s="188"/>
    </row>
    <row r="45" spans="1:10">
      <c r="A45" s="188" t="s">
        <v>7896</v>
      </c>
      <c r="B45" s="188" t="s">
        <v>3339</v>
      </c>
      <c r="C45" s="188" t="s">
        <v>3376</v>
      </c>
      <c r="D45" s="188" t="s">
        <v>3377</v>
      </c>
      <c r="E45" s="188" t="s">
        <v>3189</v>
      </c>
      <c r="F45" s="188">
        <v>50</v>
      </c>
      <c r="G45" s="188">
        <v>40</v>
      </c>
      <c r="H45" s="188" t="s">
        <v>7902</v>
      </c>
      <c r="I45" s="188"/>
      <c r="J45" s="188"/>
    </row>
    <row r="46" spans="1:10">
      <c r="A46" s="188" t="s">
        <v>7896</v>
      </c>
      <c r="B46" s="188" t="s">
        <v>3378</v>
      </c>
      <c r="C46" s="188" t="s">
        <v>3379</v>
      </c>
      <c r="D46" s="188" t="s">
        <v>3380</v>
      </c>
      <c r="E46" s="188"/>
      <c r="F46" s="188">
        <v>56</v>
      </c>
      <c r="G46" s="188">
        <v>37</v>
      </c>
      <c r="H46" s="188" t="s">
        <v>7906</v>
      </c>
      <c r="I46" s="188"/>
      <c r="J46" s="188"/>
    </row>
    <row r="47" spans="1:10">
      <c r="A47" s="188" t="s">
        <v>7896</v>
      </c>
      <c r="B47" s="188" t="s">
        <v>3378</v>
      </c>
      <c r="C47" s="188" t="s">
        <v>3381</v>
      </c>
      <c r="D47" s="188" t="s">
        <v>3382</v>
      </c>
      <c r="E47" s="188" t="s">
        <v>168</v>
      </c>
      <c r="F47" s="188">
        <v>60</v>
      </c>
      <c r="G47" s="188">
        <v>45</v>
      </c>
      <c r="H47" s="188" t="s">
        <v>7906</v>
      </c>
      <c r="I47" s="188"/>
      <c r="J47" s="188"/>
    </row>
    <row r="48" spans="1:10">
      <c r="A48" s="188" t="s">
        <v>7896</v>
      </c>
      <c r="B48" s="188" t="s">
        <v>3378</v>
      </c>
      <c r="C48" s="188" t="s">
        <v>3383</v>
      </c>
      <c r="D48" s="188" t="s">
        <v>3384</v>
      </c>
      <c r="E48" s="188" t="s">
        <v>36</v>
      </c>
      <c r="F48" s="188">
        <v>60</v>
      </c>
      <c r="G48" s="188">
        <v>45</v>
      </c>
      <c r="H48" s="188" t="s">
        <v>7906</v>
      </c>
      <c r="I48" s="188"/>
      <c r="J48" s="188"/>
    </row>
    <row r="49" spans="1:10">
      <c r="A49" s="188" t="s">
        <v>7896</v>
      </c>
      <c r="B49" s="188" t="s">
        <v>3378</v>
      </c>
      <c r="C49" s="188" t="s">
        <v>3385</v>
      </c>
      <c r="D49" s="188" t="s">
        <v>3386</v>
      </c>
      <c r="E49" s="188" t="s">
        <v>40</v>
      </c>
      <c r="F49" s="188">
        <v>60</v>
      </c>
      <c r="G49" s="188">
        <v>45</v>
      </c>
      <c r="H49" s="188" t="s">
        <v>7906</v>
      </c>
      <c r="I49" s="188"/>
      <c r="J49" s="188"/>
    </row>
    <row r="50" spans="1:10">
      <c r="A50" s="188" t="s">
        <v>7896</v>
      </c>
      <c r="B50" s="188" t="s">
        <v>3378</v>
      </c>
      <c r="C50" s="188" t="s">
        <v>3387</v>
      </c>
      <c r="D50" s="188" t="s">
        <v>3388</v>
      </c>
      <c r="E50" s="188" t="s">
        <v>330</v>
      </c>
      <c r="F50" s="188">
        <v>60</v>
      </c>
      <c r="G50" s="188">
        <v>45</v>
      </c>
      <c r="H50" s="188" t="s">
        <v>7906</v>
      </c>
      <c r="I50" s="188"/>
      <c r="J50" s="188"/>
    </row>
    <row r="51" spans="1:10">
      <c r="A51" s="188" t="s">
        <v>7896</v>
      </c>
      <c r="B51" s="188" t="s">
        <v>3378</v>
      </c>
      <c r="C51" s="188" t="s">
        <v>3389</v>
      </c>
      <c r="D51" s="188" t="s">
        <v>3390</v>
      </c>
      <c r="E51" s="188" t="s">
        <v>164</v>
      </c>
      <c r="F51" s="188">
        <v>60</v>
      </c>
      <c r="G51" s="188">
        <v>45</v>
      </c>
      <c r="H51" s="188" t="s">
        <v>7906</v>
      </c>
      <c r="I51" s="188"/>
      <c r="J51" s="188"/>
    </row>
    <row r="52" spans="1:10">
      <c r="A52" s="188" t="s">
        <v>7896</v>
      </c>
      <c r="B52" s="188" t="s">
        <v>3378</v>
      </c>
      <c r="C52" s="188" t="s">
        <v>3391</v>
      </c>
      <c r="D52" s="188" t="s">
        <v>3392</v>
      </c>
      <c r="E52" s="188" t="s">
        <v>134</v>
      </c>
      <c r="F52" s="188">
        <v>60</v>
      </c>
      <c r="G52" s="188">
        <v>45</v>
      </c>
      <c r="H52" s="188" t="s">
        <v>7906</v>
      </c>
      <c r="I52" s="188"/>
      <c r="J52" s="188"/>
    </row>
    <row r="53" spans="1:10">
      <c r="A53" s="188" t="s">
        <v>7896</v>
      </c>
      <c r="B53" s="188" t="s">
        <v>3378</v>
      </c>
      <c r="C53" s="188" t="s">
        <v>3393</v>
      </c>
      <c r="D53" s="188" t="s">
        <v>3394</v>
      </c>
      <c r="E53" s="188" t="s">
        <v>7907</v>
      </c>
      <c r="F53" s="188">
        <v>60</v>
      </c>
      <c r="G53" s="188">
        <v>45</v>
      </c>
      <c r="H53" s="188" t="s">
        <v>7906</v>
      </c>
      <c r="I53" s="188"/>
      <c r="J53" s="188"/>
    </row>
    <row r="54" spans="1:10">
      <c r="A54" s="188" t="s">
        <v>7896</v>
      </c>
      <c r="B54" s="188" t="s">
        <v>3378</v>
      </c>
      <c r="C54" s="188" t="s">
        <v>3395</v>
      </c>
      <c r="D54" s="188" t="s">
        <v>3396</v>
      </c>
      <c r="E54" s="188" t="s">
        <v>7899</v>
      </c>
      <c r="F54" s="188">
        <v>60</v>
      </c>
      <c r="G54" s="188">
        <v>45</v>
      </c>
      <c r="H54" s="188" t="s">
        <v>7906</v>
      </c>
      <c r="I54" s="188"/>
      <c r="J54" s="188"/>
    </row>
    <row r="55" spans="1:10">
      <c r="A55" s="188" t="s">
        <v>7896</v>
      </c>
      <c r="B55" s="188" t="s">
        <v>3378</v>
      </c>
      <c r="C55" s="188" t="s">
        <v>3397</v>
      </c>
      <c r="D55" s="188" t="s">
        <v>3398</v>
      </c>
      <c r="E55" s="188" t="s">
        <v>44</v>
      </c>
      <c r="F55" s="188">
        <v>60</v>
      </c>
      <c r="G55" s="188">
        <v>45</v>
      </c>
      <c r="H55" s="188" t="s">
        <v>7906</v>
      </c>
      <c r="I55" s="188"/>
      <c r="J55" s="188"/>
    </row>
    <row r="56" spans="1:10">
      <c r="A56" s="188" t="s">
        <v>7896</v>
      </c>
      <c r="B56" s="188" t="s">
        <v>3378</v>
      </c>
      <c r="C56" s="188" t="s">
        <v>3399</v>
      </c>
      <c r="D56" s="188" t="s">
        <v>3400</v>
      </c>
      <c r="E56" s="188" t="s">
        <v>7908</v>
      </c>
      <c r="F56" s="188">
        <v>60</v>
      </c>
      <c r="G56" s="188">
        <v>45</v>
      </c>
      <c r="H56" s="188" t="s">
        <v>7906</v>
      </c>
      <c r="I56" s="188"/>
      <c r="J56" s="188"/>
    </row>
    <row r="57" spans="1:10">
      <c r="A57" s="188" t="s">
        <v>7896</v>
      </c>
      <c r="B57" s="188" t="s">
        <v>3378</v>
      </c>
      <c r="C57" s="188" t="s">
        <v>3401</v>
      </c>
      <c r="D57" s="188" t="s">
        <v>3402</v>
      </c>
      <c r="E57" s="188" t="s">
        <v>176</v>
      </c>
      <c r="F57" s="188">
        <v>60</v>
      </c>
      <c r="G57" s="188">
        <v>45</v>
      </c>
      <c r="H57" s="188" t="s">
        <v>7906</v>
      </c>
      <c r="I57" s="188"/>
      <c r="J57" s="188"/>
    </row>
    <row r="58" spans="1:10">
      <c r="A58" s="188" t="s">
        <v>7896</v>
      </c>
      <c r="B58" s="188" t="s">
        <v>3378</v>
      </c>
      <c r="C58" s="188" t="s">
        <v>3403</v>
      </c>
      <c r="D58" s="188" t="s">
        <v>3404</v>
      </c>
      <c r="E58" s="188" t="s">
        <v>366</v>
      </c>
      <c r="F58" s="188">
        <v>60</v>
      </c>
      <c r="G58" s="188">
        <v>45</v>
      </c>
      <c r="H58" s="188" t="s">
        <v>7906</v>
      </c>
      <c r="I58" s="188"/>
      <c r="J58" s="188"/>
    </row>
    <row r="59" spans="1:10">
      <c r="A59" s="188" t="s">
        <v>7896</v>
      </c>
      <c r="B59" s="188" t="s">
        <v>3378</v>
      </c>
      <c r="C59" s="188" t="s">
        <v>3405</v>
      </c>
      <c r="D59" s="188" t="s">
        <v>3406</v>
      </c>
      <c r="E59" s="188" t="s">
        <v>3125</v>
      </c>
      <c r="F59" s="188">
        <v>60</v>
      </c>
      <c r="G59" s="188">
        <v>45</v>
      </c>
      <c r="H59" s="188" t="s">
        <v>7906</v>
      </c>
      <c r="I59" s="188"/>
      <c r="J59" s="188"/>
    </row>
    <row r="60" spans="1:10">
      <c r="A60" s="188" t="s">
        <v>7896</v>
      </c>
      <c r="B60" s="188" t="s">
        <v>3378</v>
      </c>
      <c r="C60" s="188" t="s">
        <v>3407</v>
      </c>
      <c r="D60" s="188" t="s">
        <v>3408</v>
      </c>
      <c r="E60" s="188" t="s">
        <v>96</v>
      </c>
      <c r="F60" s="188">
        <v>60</v>
      </c>
      <c r="G60" s="188">
        <v>45</v>
      </c>
      <c r="H60" s="188" t="s">
        <v>7906</v>
      </c>
      <c r="I60" s="188"/>
      <c r="J60" s="188"/>
    </row>
    <row r="61" spans="1:10">
      <c r="A61" s="188" t="s">
        <v>7896</v>
      </c>
      <c r="B61" s="188" t="s">
        <v>3378</v>
      </c>
      <c r="C61" s="188" t="s">
        <v>3409</v>
      </c>
      <c r="D61" s="188" t="s">
        <v>3410</v>
      </c>
      <c r="E61" s="188" t="s">
        <v>58</v>
      </c>
      <c r="F61" s="188">
        <v>60</v>
      </c>
      <c r="G61" s="188">
        <v>45</v>
      </c>
      <c r="H61" s="188" t="s">
        <v>7906</v>
      </c>
      <c r="I61" s="188"/>
      <c r="J61" s="188"/>
    </row>
    <row r="62" spans="1:10">
      <c r="A62" s="188" t="s">
        <v>7896</v>
      </c>
      <c r="B62" s="188" t="s">
        <v>3378</v>
      </c>
      <c r="C62" s="188" t="s">
        <v>3411</v>
      </c>
      <c r="D62" s="188" t="s">
        <v>3412</v>
      </c>
      <c r="E62" s="188" t="s">
        <v>154</v>
      </c>
      <c r="F62" s="188">
        <v>60</v>
      </c>
      <c r="G62" s="188">
        <v>45</v>
      </c>
      <c r="H62" s="188" t="s">
        <v>7906</v>
      </c>
      <c r="I62" s="188"/>
      <c r="J62" s="188"/>
    </row>
    <row r="63" spans="1:10">
      <c r="A63" s="188" t="s">
        <v>7896</v>
      </c>
      <c r="B63" s="188" t="s">
        <v>3378</v>
      </c>
      <c r="C63" s="188" t="s">
        <v>3413</v>
      </c>
      <c r="D63" s="188" t="s">
        <v>3414</v>
      </c>
      <c r="E63" s="188" t="s">
        <v>7900</v>
      </c>
      <c r="F63" s="188">
        <v>60</v>
      </c>
      <c r="G63" s="188">
        <v>45</v>
      </c>
      <c r="H63" s="188" t="s">
        <v>7906</v>
      </c>
      <c r="I63" s="188"/>
      <c r="J63" s="188"/>
    </row>
    <row r="64" spans="1:10">
      <c r="A64" s="188" t="s">
        <v>7896</v>
      </c>
      <c r="B64" s="188" t="s">
        <v>3378</v>
      </c>
      <c r="C64" s="188" t="s">
        <v>3415</v>
      </c>
      <c r="D64" s="188" t="s">
        <v>3416</v>
      </c>
      <c r="E64" s="188" t="s">
        <v>150</v>
      </c>
      <c r="F64" s="188">
        <v>60</v>
      </c>
      <c r="G64" s="188">
        <v>45</v>
      </c>
      <c r="H64" s="188" t="s">
        <v>7906</v>
      </c>
      <c r="I64" s="188"/>
      <c r="J64" s="188"/>
    </row>
    <row r="65" spans="1:10">
      <c r="A65" s="188" t="s">
        <v>7896</v>
      </c>
      <c r="B65" s="188" t="s">
        <v>3378</v>
      </c>
      <c r="C65" s="188" t="s">
        <v>3417</v>
      </c>
      <c r="D65" s="188" t="s">
        <v>3418</v>
      </c>
      <c r="E65" s="188" t="s">
        <v>7909</v>
      </c>
      <c r="F65" s="188">
        <v>60</v>
      </c>
      <c r="G65" s="188">
        <v>45</v>
      </c>
      <c r="H65" s="188" t="s">
        <v>7906</v>
      </c>
      <c r="I65" s="188"/>
      <c r="J65" s="188"/>
    </row>
    <row r="66" spans="1:10">
      <c r="A66" s="188" t="s">
        <v>7896</v>
      </c>
      <c r="B66" s="188" t="s">
        <v>3378</v>
      </c>
      <c r="C66" s="188" t="s">
        <v>3419</v>
      </c>
      <c r="D66" s="188" t="s">
        <v>3420</v>
      </c>
      <c r="E66" s="188" t="s">
        <v>3122</v>
      </c>
      <c r="F66" s="188">
        <v>60</v>
      </c>
      <c r="G66" s="188">
        <v>45</v>
      </c>
      <c r="H66" s="188" t="s">
        <v>7906</v>
      </c>
      <c r="I66" s="188"/>
      <c r="J66" s="188"/>
    </row>
    <row r="67" spans="1:10">
      <c r="A67" s="188" t="s">
        <v>7896</v>
      </c>
      <c r="B67" s="188" t="s">
        <v>3378</v>
      </c>
      <c r="C67" s="188" t="s">
        <v>3421</v>
      </c>
      <c r="D67" s="188" t="s">
        <v>3422</v>
      </c>
      <c r="E67" s="188" t="s">
        <v>7908</v>
      </c>
      <c r="F67" s="188">
        <v>60</v>
      </c>
      <c r="G67" s="188">
        <v>45</v>
      </c>
      <c r="H67" s="188" t="s">
        <v>7906</v>
      </c>
      <c r="I67" s="188"/>
      <c r="J67" s="188"/>
    </row>
    <row r="68" spans="1:10">
      <c r="A68" s="188" t="s">
        <v>7896</v>
      </c>
      <c r="B68" s="188" t="s">
        <v>3378</v>
      </c>
      <c r="C68" s="188" t="s">
        <v>3423</v>
      </c>
      <c r="D68" s="188" t="s">
        <v>3424</v>
      </c>
      <c r="E68" s="188" t="s">
        <v>200</v>
      </c>
      <c r="F68" s="188">
        <v>60</v>
      </c>
      <c r="G68" s="188">
        <v>45</v>
      </c>
      <c r="H68" s="188" t="s">
        <v>7906</v>
      </c>
      <c r="I68" s="188"/>
      <c r="J68" s="188"/>
    </row>
    <row r="69" spans="1:10">
      <c r="A69" s="188" t="s">
        <v>7896</v>
      </c>
      <c r="B69" s="188" t="s">
        <v>3378</v>
      </c>
      <c r="C69" s="188" t="s">
        <v>3425</v>
      </c>
      <c r="D69" s="188" t="s">
        <v>3426</v>
      </c>
      <c r="E69" s="188" t="s">
        <v>7904</v>
      </c>
      <c r="F69" s="188">
        <v>60</v>
      </c>
      <c r="G69" s="188">
        <v>45</v>
      </c>
      <c r="H69" s="188" t="s">
        <v>7906</v>
      </c>
      <c r="I69" s="188"/>
      <c r="J69" s="188"/>
    </row>
    <row r="70" spans="1:10">
      <c r="A70" s="188" t="s">
        <v>7896</v>
      </c>
      <c r="B70" s="188" t="s">
        <v>3378</v>
      </c>
      <c r="C70" s="188" t="s">
        <v>3427</v>
      </c>
      <c r="D70" s="188" t="s">
        <v>3428</v>
      </c>
      <c r="E70" s="188" t="s">
        <v>7910</v>
      </c>
      <c r="F70" s="188">
        <v>60</v>
      </c>
      <c r="G70" s="188">
        <v>45</v>
      </c>
      <c r="H70" s="188" t="s">
        <v>7906</v>
      </c>
      <c r="I70" s="188"/>
      <c r="J70" s="188"/>
    </row>
    <row r="71" spans="1:10">
      <c r="A71" s="188" t="s">
        <v>7896</v>
      </c>
      <c r="B71" s="188" t="s">
        <v>3378</v>
      </c>
      <c r="C71" s="188" t="s">
        <v>3429</v>
      </c>
      <c r="D71" s="188" t="s">
        <v>3430</v>
      </c>
      <c r="E71" s="188" t="s">
        <v>7901</v>
      </c>
      <c r="F71" s="188">
        <v>60</v>
      </c>
      <c r="G71" s="188">
        <v>45</v>
      </c>
      <c r="H71" s="188" t="s">
        <v>7906</v>
      </c>
      <c r="I71" s="188"/>
      <c r="J71" s="188"/>
    </row>
    <row r="72" spans="1:10">
      <c r="A72" s="188" t="s">
        <v>7896</v>
      </c>
      <c r="B72" s="188" t="s">
        <v>3378</v>
      </c>
      <c r="C72" s="188" t="s">
        <v>3431</v>
      </c>
      <c r="D72" s="188" t="s">
        <v>3432</v>
      </c>
      <c r="E72" s="188" t="s">
        <v>3183</v>
      </c>
      <c r="F72" s="188">
        <v>60</v>
      </c>
      <c r="G72" s="188">
        <v>45</v>
      </c>
      <c r="H72" s="188" t="s">
        <v>7906</v>
      </c>
      <c r="I72" s="188"/>
      <c r="J72" s="188"/>
    </row>
    <row r="73" spans="1:10">
      <c r="A73" s="188" t="s">
        <v>7896</v>
      </c>
      <c r="B73" s="188" t="s">
        <v>3378</v>
      </c>
      <c r="C73" s="188" t="s">
        <v>3433</v>
      </c>
      <c r="D73" s="188" t="s">
        <v>3434</v>
      </c>
      <c r="E73" s="188" t="s">
        <v>3187</v>
      </c>
      <c r="F73" s="188">
        <v>60</v>
      </c>
      <c r="G73" s="188">
        <v>45</v>
      </c>
      <c r="H73" s="188" t="s">
        <v>7906</v>
      </c>
      <c r="I73" s="188"/>
      <c r="J73" s="188"/>
    </row>
    <row r="74" spans="1:10">
      <c r="A74" s="188" t="s">
        <v>7896</v>
      </c>
      <c r="B74" s="188" t="s">
        <v>3378</v>
      </c>
      <c r="C74" s="188" t="s">
        <v>3435</v>
      </c>
      <c r="D74" s="188" t="s">
        <v>3436</v>
      </c>
      <c r="E74" s="188" t="s">
        <v>7911</v>
      </c>
      <c r="F74" s="188">
        <v>60</v>
      </c>
      <c r="G74" s="188">
        <v>45</v>
      </c>
      <c r="H74" s="188" t="s">
        <v>7906</v>
      </c>
      <c r="I74" s="188"/>
      <c r="J74" s="188"/>
    </row>
    <row r="75" spans="1:10">
      <c r="A75" s="188" t="s">
        <v>7896</v>
      </c>
      <c r="B75" s="188" t="s">
        <v>3378</v>
      </c>
      <c r="C75" s="188" t="s">
        <v>3437</v>
      </c>
      <c r="D75" s="188" t="s">
        <v>3438</v>
      </c>
      <c r="E75" s="188" t="s">
        <v>3143</v>
      </c>
      <c r="F75" s="188">
        <v>60</v>
      </c>
      <c r="G75" s="188">
        <v>45</v>
      </c>
      <c r="H75" s="188" t="s">
        <v>7906</v>
      </c>
      <c r="I75" s="188"/>
      <c r="J75" s="188"/>
    </row>
    <row r="76" spans="1:10">
      <c r="A76" s="188" t="s">
        <v>7896</v>
      </c>
      <c r="B76" s="188" t="s">
        <v>3378</v>
      </c>
      <c r="C76" s="188" t="s">
        <v>3439</v>
      </c>
      <c r="D76" s="188" t="s">
        <v>3440</v>
      </c>
      <c r="E76" s="188" t="s">
        <v>7912</v>
      </c>
      <c r="F76" s="188">
        <v>60</v>
      </c>
      <c r="G76" s="188">
        <v>45</v>
      </c>
      <c r="H76" s="188" t="s">
        <v>7913</v>
      </c>
      <c r="I76" s="188"/>
      <c r="J76" s="188"/>
    </row>
    <row r="77" spans="1:10">
      <c r="A77" s="188" t="s">
        <v>7896</v>
      </c>
      <c r="B77" s="188" t="s">
        <v>3441</v>
      </c>
      <c r="C77" s="188" t="s">
        <v>3442</v>
      </c>
      <c r="D77" s="188" t="s">
        <v>3443</v>
      </c>
      <c r="E77" s="188" t="s">
        <v>36</v>
      </c>
      <c r="F77" s="188">
        <v>105</v>
      </c>
      <c r="G77" s="188">
        <v>30</v>
      </c>
      <c r="H77" s="188" t="s">
        <v>7913</v>
      </c>
      <c r="I77" s="188"/>
      <c r="J77" s="188"/>
    </row>
    <row r="78" spans="1:10">
      <c r="A78" s="188" t="s">
        <v>7896</v>
      </c>
      <c r="B78" s="188" t="s">
        <v>3441</v>
      </c>
      <c r="C78" s="188" t="s">
        <v>3444</v>
      </c>
      <c r="D78" s="188" t="s">
        <v>3445</v>
      </c>
      <c r="E78" s="188" t="s">
        <v>200</v>
      </c>
      <c r="F78" s="188">
        <v>105</v>
      </c>
      <c r="G78" s="188">
        <v>30</v>
      </c>
      <c r="H78" s="188" t="s">
        <v>7913</v>
      </c>
      <c r="I78" s="188"/>
      <c r="J78" s="188"/>
    </row>
    <row r="79" spans="1:10">
      <c r="A79" s="188" t="s">
        <v>7896</v>
      </c>
      <c r="B79" s="188" t="s">
        <v>3441</v>
      </c>
      <c r="C79" s="188" t="s">
        <v>3446</v>
      </c>
      <c r="D79" s="188" t="s">
        <v>3447</v>
      </c>
      <c r="E79" s="188" t="s">
        <v>168</v>
      </c>
      <c r="F79" s="188">
        <v>105</v>
      </c>
      <c r="G79" s="188">
        <v>30</v>
      </c>
      <c r="H79" s="188" t="s">
        <v>7913</v>
      </c>
      <c r="I79" s="188"/>
      <c r="J79" s="188"/>
    </row>
    <row r="80" spans="1:10">
      <c r="A80" s="188" t="s">
        <v>7896</v>
      </c>
      <c r="B80" s="188" t="s">
        <v>3441</v>
      </c>
      <c r="C80" s="188" t="s">
        <v>3448</v>
      </c>
      <c r="D80" s="188" t="s">
        <v>3449</v>
      </c>
      <c r="E80" s="188" t="s">
        <v>7907</v>
      </c>
      <c r="F80" s="188">
        <v>105</v>
      </c>
      <c r="G80" s="188">
        <v>30</v>
      </c>
      <c r="H80" s="188" t="s">
        <v>7913</v>
      </c>
      <c r="I80" s="188"/>
      <c r="J80" s="188"/>
    </row>
    <row r="81" spans="1:10">
      <c r="A81" s="188" t="s">
        <v>7896</v>
      </c>
      <c r="B81" s="188" t="s">
        <v>3441</v>
      </c>
      <c r="C81" s="188" t="s">
        <v>3450</v>
      </c>
      <c r="D81" s="188" t="s">
        <v>3451</v>
      </c>
      <c r="E81" s="188" t="s">
        <v>44</v>
      </c>
      <c r="F81" s="188">
        <v>105</v>
      </c>
      <c r="G81" s="188">
        <v>30</v>
      </c>
      <c r="H81" s="188" t="s">
        <v>7913</v>
      </c>
      <c r="I81" s="188"/>
      <c r="J81" s="188"/>
    </row>
    <row r="82" spans="1:10">
      <c r="A82" s="188" t="s">
        <v>7896</v>
      </c>
      <c r="B82" s="188" t="s">
        <v>3441</v>
      </c>
      <c r="C82" s="188" t="s">
        <v>3452</v>
      </c>
      <c r="D82" s="188" t="s">
        <v>3453</v>
      </c>
      <c r="E82" s="188" t="s">
        <v>164</v>
      </c>
      <c r="F82" s="188">
        <v>105</v>
      </c>
      <c r="G82" s="188">
        <v>30</v>
      </c>
      <c r="H82" s="188" t="s">
        <v>7913</v>
      </c>
      <c r="I82" s="188"/>
      <c r="J82" s="188"/>
    </row>
    <row r="83" spans="1:10">
      <c r="A83" s="188" t="s">
        <v>7896</v>
      </c>
      <c r="B83" s="188" t="s">
        <v>3441</v>
      </c>
      <c r="C83" s="188" t="s">
        <v>3454</v>
      </c>
      <c r="D83" s="188" t="s">
        <v>3455</v>
      </c>
      <c r="E83" s="188" t="s">
        <v>134</v>
      </c>
      <c r="F83" s="188">
        <v>105</v>
      </c>
      <c r="G83" s="188">
        <v>30</v>
      </c>
      <c r="H83" s="188" t="s">
        <v>7913</v>
      </c>
      <c r="I83" s="188"/>
      <c r="J83" s="188"/>
    </row>
    <row r="84" spans="1:10">
      <c r="A84" s="188" t="s">
        <v>7896</v>
      </c>
      <c r="B84" s="188" t="s">
        <v>3441</v>
      </c>
      <c r="C84" s="188" t="s">
        <v>3456</v>
      </c>
      <c r="D84" s="188" t="s">
        <v>3457</v>
      </c>
      <c r="E84" s="188" t="s">
        <v>176</v>
      </c>
      <c r="F84" s="188">
        <v>105</v>
      </c>
      <c r="G84" s="188">
        <v>30</v>
      </c>
      <c r="H84" s="188" t="s">
        <v>7913</v>
      </c>
      <c r="I84" s="188"/>
      <c r="J84" s="188"/>
    </row>
    <row r="85" spans="1:10">
      <c r="A85" s="188" t="s">
        <v>7896</v>
      </c>
      <c r="B85" s="188" t="s">
        <v>3441</v>
      </c>
      <c r="C85" s="188" t="s">
        <v>3458</v>
      </c>
      <c r="D85" s="188" t="s">
        <v>3459</v>
      </c>
      <c r="E85" s="188" t="s">
        <v>40</v>
      </c>
      <c r="F85" s="188">
        <v>105</v>
      </c>
      <c r="G85" s="188">
        <v>30</v>
      </c>
      <c r="H85" s="188" t="s">
        <v>7913</v>
      </c>
      <c r="I85" s="188"/>
      <c r="J85" s="188"/>
    </row>
    <row r="86" spans="1:10">
      <c r="A86" s="188" t="s">
        <v>7896</v>
      </c>
      <c r="B86" s="188" t="s">
        <v>3441</v>
      </c>
      <c r="C86" s="188" t="s">
        <v>3460</v>
      </c>
      <c r="D86" s="188" t="s">
        <v>3461</v>
      </c>
      <c r="E86" s="188" t="s">
        <v>160</v>
      </c>
      <c r="F86" s="188">
        <v>105</v>
      </c>
      <c r="G86" s="188">
        <v>30</v>
      </c>
      <c r="H86" s="188" t="s">
        <v>7913</v>
      </c>
      <c r="I86" s="188"/>
      <c r="J86" s="188"/>
    </row>
    <row r="87" spans="1:10">
      <c r="A87" s="188" t="s">
        <v>7896</v>
      </c>
      <c r="B87" s="188" t="s">
        <v>3441</v>
      </c>
      <c r="C87" s="188" t="s">
        <v>3462</v>
      </c>
      <c r="D87" s="188" t="s">
        <v>3463</v>
      </c>
      <c r="E87" s="188" t="s">
        <v>194</v>
      </c>
      <c r="F87" s="188">
        <v>105</v>
      </c>
      <c r="G87" s="188">
        <v>30</v>
      </c>
      <c r="H87" s="188" t="s">
        <v>7913</v>
      </c>
      <c r="I87" s="188"/>
      <c r="J87" s="188"/>
    </row>
    <row r="88" spans="1:10">
      <c r="A88" s="188" t="s">
        <v>7896</v>
      </c>
      <c r="B88" s="188" t="s">
        <v>3441</v>
      </c>
      <c r="C88" s="188" t="s">
        <v>3464</v>
      </c>
      <c r="D88" s="188" t="s">
        <v>3465</v>
      </c>
      <c r="E88" s="188" t="s">
        <v>52</v>
      </c>
      <c r="F88" s="188">
        <v>105</v>
      </c>
      <c r="G88" s="188">
        <v>30</v>
      </c>
      <c r="H88" s="188" t="s">
        <v>7913</v>
      </c>
      <c r="I88" s="188"/>
      <c r="J88" s="188"/>
    </row>
    <row r="89" spans="1:10">
      <c r="A89" s="188" t="s">
        <v>7896</v>
      </c>
      <c r="B89" s="188" t="s">
        <v>3441</v>
      </c>
      <c r="C89" s="188" t="s">
        <v>3466</v>
      </c>
      <c r="D89" s="188" t="s">
        <v>3467</v>
      </c>
      <c r="E89" s="188" t="s">
        <v>366</v>
      </c>
      <c r="F89" s="188">
        <v>105</v>
      </c>
      <c r="G89" s="188">
        <v>30</v>
      </c>
      <c r="H89" s="188" t="s">
        <v>7913</v>
      </c>
      <c r="I89" s="188"/>
      <c r="J89" s="188"/>
    </row>
    <row r="90" spans="1:10">
      <c r="A90" s="188" t="s">
        <v>7896</v>
      </c>
      <c r="B90" s="188" t="s">
        <v>3441</v>
      </c>
      <c r="C90" s="188" t="s">
        <v>3468</v>
      </c>
      <c r="D90" s="188" t="s">
        <v>3469</v>
      </c>
      <c r="E90" s="188" t="s">
        <v>7910</v>
      </c>
      <c r="F90" s="188">
        <v>105</v>
      </c>
      <c r="G90" s="188">
        <v>30</v>
      </c>
      <c r="H90" s="188" t="s">
        <v>7913</v>
      </c>
      <c r="I90" s="188"/>
      <c r="J90" s="188"/>
    </row>
    <row r="91" spans="1:10">
      <c r="A91" s="188" t="s">
        <v>7896</v>
      </c>
      <c r="B91" s="188" t="s">
        <v>3441</v>
      </c>
      <c r="C91" s="188" t="s">
        <v>3470</v>
      </c>
      <c r="D91" s="188" t="s">
        <v>3471</v>
      </c>
      <c r="E91" s="188" t="s">
        <v>7899</v>
      </c>
      <c r="F91" s="188">
        <v>105</v>
      </c>
      <c r="G91" s="188">
        <v>30</v>
      </c>
      <c r="H91" s="188" t="s">
        <v>7913</v>
      </c>
      <c r="I91" s="188"/>
      <c r="J91" s="188"/>
    </row>
    <row r="92" spans="1:10">
      <c r="A92" s="188" t="s">
        <v>7896</v>
      </c>
      <c r="B92" s="188" t="s">
        <v>3441</v>
      </c>
      <c r="C92" s="188" t="s">
        <v>3472</v>
      </c>
      <c r="D92" s="188" t="s">
        <v>3473</v>
      </c>
      <c r="E92" s="188" t="s">
        <v>7903</v>
      </c>
      <c r="F92" s="188">
        <v>105</v>
      </c>
      <c r="G92" s="188">
        <v>30</v>
      </c>
      <c r="H92" s="188" t="s">
        <v>7913</v>
      </c>
      <c r="I92" s="188"/>
      <c r="J92" s="188"/>
    </row>
    <row r="93" spans="1:10">
      <c r="A93" s="188" t="s">
        <v>7896</v>
      </c>
      <c r="B93" s="188" t="s">
        <v>3441</v>
      </c>
      <c r="C93" s="188" t="s">
        <v>3474</v>
      </c>
      <c r="D93" s="188" t="s">
        <v>3475</v>
      </c>
      <c r="E93" s="188" t="s">
        <v>282</v>
      </c>
      <c r="F93" s="188">
        <v>105</v>
      </c>
      <c r="G93" s="188">
        <v>30</v>
      </c>
      <c r="H93" s="188" t="s">
        <v>7913</v>
      </c>
      <c r="I93" s="188"/>
      <c r="J93" s="188"/>
    </row>
    <row r="94" spans="1:10">
      <c r="A94" s="188" t="s">
        <v>7896</v>
      </c>
      <c r="B94" s="188" t="s">
        <v>3441</v>
      </c>
      <c r="C94" s="188" t="s">
        <v>3476</v>
      </c>
      <c r="D94" s="188" t="s">
        <v>3477</v>
      </c>
      <c r="E94" s="188" t="s">
        <v>116</v>
      </c>
      <c r="F94" s="188">
        <v>105</v>
      </c>
      <c r="G94" s="188">
        <v>30</v>
      </c>
      <c r="H94" s="188" t="s">
        <v>7913</v>
      </c>
      <c r="I94" s="188"/>
      <c r="J94" s="188"/>
    </row>
    <row r="95" spans="1:10">
      <c r="A95" s="188" t="s">
        <v>7896</v>
      </c>
      <c r="B95" s="188" t="s">
        <v>3441</v>
      </c>
      <c r="C95" s="188" t="s">
        <v>3478</v>
      </c>
      <c r="D95" s="188" t="s">
        <v>3479</v>
      </c>
      <c r="E95" s="188" t="s">
        <v>7900</v>
      </c>
      <c r="F95" s="188">
        <v>105</v>
      </c>
      <c r="G95" s="188">
        <v>30</v>
      </c>
      <c r="H95" s="188" t="s">
        <v>7913</v>
      </c>
      <c r="I95" s="188"/>
      <c r="J95" s="188"/>
    </row>
    <row r="96" spans="1:10">
      <c r="A96" s="188" t="s">
        <v>7896</v>
      </c>
      <c r="B96" s="188" t="s">
        <v>3441</v>
      </c>
      <c r="C96" s="188" t="s">
        <v>3480</v>
      </c>
      <c r="D96" s="188" t="s">
        <v>3481</v>
      </c>
      <c r="E96" s="188" t="s">
        <v>3127</v>
      </c>
      <c r="F96" s="188">
        <v>105</v>
      </c>
      <c r="G96" s="188">
        <v>30</v>
      </c>
      <c r="H96" s="188" t="s">
        <v>7913</v>
      </c>
      <c r="I96" s="188"/>
      <c r="J96" s="188"/>
    </row>
    <row r="97" spans="1:10">
      <c r="A97" s="188" t="s">
        <v>7896</v>
      </c>
      <c r="B97" s="188" t="s">
        <v>3441</v>
      </c>
      <c r="C97" s="188" t="s">
        <v>3482</v>
      </c>
      <c r="D97" s="188" t="s">
        <v>3483</v>
      </c>
      <c r="E97" s="188" t="s">
        <v>7898</v>
      </c>
      <c r="F97" s="188">
        <v>105</v>
      </c>
      <c r="G97" s="188">
        <v>30</v>
      </c>
      <c r="H97" s="188" t="s">
        <v>7913</v>
      </c>
      <c r="I97" s="188"/>
      <c r="J97" s="188"/>
    </row>
    <row r="98" spans="1:10">
      <c r="A98" s="188" t="s">
        <v>7896</v>
      </c>
      <c r="B98" s="188" t="s">
        <v>3441</v>
      </c>
      <c r="C98" s="188" t="s">
        <v>3484</v>
      </c>
      <c r="D98" s="188" t="s">
        <v>3485</v>
      </c>
      <c r="E98" s="188" t="s">
        <v>7908</v>
      </c>
      <c r="F98" s="188">
        <v>105</v>
      </c>
      <c r="G98" s="188">
        <v>30</v>
      </c>
      <c r="H98" s="188" t="s">
        <v>7913</v>
      </c>
      <c r="I98" s="188"/>
      <c r="J98" s="188"/>
    </row>
    <row r="99" spans="1:10">
      <c r="A99" s="188" t="s">
        <v>7896</v>
      </c>
      <c r="B99" s="188" t="s">
        <v>3441</v>
      </c>
      <c r="C99" s="188" t="s">
        <v>3486</v>
      </c>
      <c r="D99" s="188" t="s">
        <v>3487</v>
      </c>
      <c r="E99" s="188" t="s">
        <v>7908</v>
      </c>
      <c r="F99" s="188">
        <v>105</v>
      </c>
      <c r="G99" s="188">
        <v>30</v>
      </c>
      <c r="H99" s="188" t="s">
        <v>7913</v>
      </c>
      <c r="I99" s="188"/>
      <c r="J99" s="188"/>
    </row>
    <row r="100" spans="1:10">
      <c r="A100" s="188" t="s">
        <v>7896</v>
      </c>
      <c r="B100" s="188" t="s">
        <v>3441</v>
      </c>
      <c r="C100" s="188" t="s">
        <v>3488</v>
      </c>
      <c r="D100" s="188" t="s">
        <v>3489</v>
      </c>
      <c r="E100" s="188" t="s">
        <v>90</v>
      </c>
      <c r="F100" s="188">
        <v>105</v>
      </c>
      <c r="G100" s="188">
        <v>30</v>
      </c>
      <c r="H100" s="188" t="s">
        <v>7913</v>
      </c>
      <c r="I100" s="188"/>
      <c r="J100" s="188"/>
    </row>
    <row r="101" spans="1:10">
      <c r="A101" s="188" t="s">
        <v>7896</v>
      </c>
      <c r="B101" s="188" t="s">
        <v>3441</v>
      </c>
      <c r="C101" s="188" t="s">
        <v>3490</v>
      </c>
      <c r="D101" s="188" t="s">
        <v>3491</v>
      </c>
      <c r="E101" s="188" t="s">
        <v>7914</v>
      </c>
      <c r="F101" s="188">
        <v>105</v>
      </c>
      <c r="G101" s="188">
        <v>30</v>
      </c>
      <c r="H101" s="188" t="s">
        <v>7913</v>
      </c>
      <c r="I101" s="188"/>
      <c r="J101" s="188"/>
    </row>
    <row r="102" spans="1:10">
      <c r="A102" s="188" t="s">
        <v>7896</v>
      </c>
      <c r="B102" s="188" t="s">
        <v>3441</v>
      </c>
      <c r="C102" s="188" t="s">
        <v>3492</v>
      </c>
      <c r="D102" s="188" t="s">
        <v>3493</v>
      </c>
      <c r="E102" s="188" t="s">
        <v>154</v>
      </c>
      <c r="F102" s="188">
        <v>105</v>
      </c>
      <c r="G102" s="188">
        <v>30</v>
      </c>
      <c r="H102" s="188" t="s">
        <v>7913</v>
      </c>
      <c r="I102" s="188"/>
      <c r="J102" s="188"/>
    </row>
    <row r="103" spans="1:10">
      <c r="A103" s="188" t="s">
        <v>7896</v>
      </c>
      <c r="B103" s="188" t="s">
        <v>3441</v>
      </c>
      <c r="C103" s="188" t="s">
        <v>3494</v>
      </c>
      <c r="D103" s="188" t="s">
        <v>3495</v>
      </c>
      <c r="E103" s="188" t="s">
        <v>7904</v>
      </c>
      <c r="F103" s="188">
        <v>105</v>
      </c>
      <c r="G103" s="188">
        <v>30</v>
      </c>
      <c r="H103" s="188" t="s">
        <v>7913</v>
      </c>
      <c r="I103" s="188"/>
      <c r="J103" s="188"/>
    </row>
    <row r="104" spans="1:10">
      <c r="A104" s="188" t="s">
        <v>7896</v>
      </c>
      <c r="B104" s="188" t="s">
        <v>3441</v>
      </c>
      <c r="C104" s="188" t="s">
        <v>3496</v>
      </c>
      <c r="D104" s="188" t="s">
        <v>3497</v>
      </c>
      <c r="E104" s="188" t="s">
        <v>304</v>
      </c>
      <c r="F104" s="188">
        <v>105</v>
      </c>
      <c r="G104" s="188">
        <v>30</v>
      </c>
      <c r="H104" s="188" t="s">
        <v>7913</v>
      </c>
      <c r="I104" s="188"/>
      <c r="J104" s="188"/>
    </row>
    <row r="105" spans="1:10">
      <c r="A105" s="188" t="s">
        <v>7896</v>
      </c>
      <c r="B105" s="188" t="s">
        <v>3441</v>
      </c>
      <c r="C105" s="188" t="s">
        <v>3498</v>
      </c>
      <c r="D105" s="188" t="s">
        <v>3499</v>
      </c>
      <c r="E105" s="188" t="s">
        <v>3155</v>
      </c>
      <c r="F105" s="188">
        <v>105</v>
      </c>
      <c r="G105" s="188">
        <v>30</v>
      </c>
      <c r="H105" s="188" t="s">
        <v>7913</v>
      </c>
      <c r="I105" s="188"/>
      <c r="J105" s="188"/>
    </row>
    <row r="106" spans="1:10">
      <c r="A106" s="188" t="s">
        <v>7896</v>
      </c>
      <c r="B106" s="188" t="s">
        <v>3441</v>
      </c>
      <c r="C106" s="188" t="s">
        <v>3500</v>
      </c>
      <c r="D106" s="188" t="s">
        <v>3501</v>
      </c>
      <c r="E106" s="188" t="s">
        <v>3153</v>
      </c>
      <c r="F106" s="188">
        <v>105</v>
      </c>
      <c r="G106" s="188">
        <v>30</v>
      </c>
      <c r="H106" s="188" t="s">
        <v>7913</v>
      </c>
      <c r="I106" s="188"/>
      <c r="J106" s="188"/>
    </row>
    <row r="107" spans="1:10">
      <c r="A107" s="188" t="s">
        <v>7896</v>
      </c>
      <c r="B107" s="188" t="s">
        <v>3441</v>
      </c>
      <c r="C107" s="188" t="s">
        <v>3502</v>
      </c>
      <c r="D107" s="188" t="s">
        <v>3503</v>
      </c>
      <c r="E107" s="188" t="s">
        <v>7901</v>
      </c>
      <c r="F107" s="188">
        <v>105</v>
      </c>
      <c r="G107" s="188">
        <v>30</v>
      </c>
      <c r="H107" s="188" t="s">
        <v>7913</v>
      </c>
      <c r="I107" s="188"/>
      <c r="J107" s="188"/>
    </row>
    <row r="108" spans="1:10">
      <c r="A108" s="188" t="s">
        <v>7896</v>
      </c>
      <c r="B108" s="188" t="s">
        <v>3441</v>
      </c>
      <c r="C108" s="188" t="s">
        <v>3504</v>
      </c>
      <c r="D108" s="188" t="s">
        <v>3505</v>
      </c>
      <c r="E108" s="188" t="s">
        <v>7915</v>
      </c>
      <c r="F108" s="188">
        <v>105</v>
      </c>
      <c r="G108" s="188">
        <v>30</v>
      </c>
      <c r="H108" s="188" t="s">
        <v>7913</v>
      </c>
      <c r="I108" s="188"/>
      <c r="J108" s="188"/>
    </row>
    <row r="109" spans="1:10">
      <c r="A109" s="188" t="s">
        <v>7896</v>
      </c>
      <c r="B109" s="188" t="s">
        <v>3441</v>
      </c>
      <c r="C109" s="188" t="s">
        <v>3506</v>
      </c>
      <c r="D109" s="188" t="s">
        <v>3507</v>
      </c>
      <c r="E109" s="188" t="s">
        <v>330</v>
      </c>
      <c r="F109" s="188">
        <v>105</v>
      </c>
      <c r="G109" s="188">
        <v>30</v>
      </c>
      <c r="H109" s="188" t="s">
        <v>7913</v>
      </c>
      <c r="I109" s="188"/>
      <c r="J109" s="188"/>
    </row>
    <row r="110" spans="1:10">
      <c r="A110" s="188" t="s">
        <v>7896</v>
      </c>
      <c r="B110" s="188" t="s">
        <v>3441</v>
      </c>
      <c r="C110" s="188" t="s">
        <v>3508</v>
      </c>
      <c r="D110" s="188" t="s">
        <v>3509</v>
      </c>
      <c r="E110" s="188" t="s">
        <v>304</v>
      </c>
      <c r="F110" s="188">
        <v>105</v>
      </c>
      <c r="G110" s="188">
        <v>30</v>
      </c>
      <c r="H110" s="188" t="s">
        <v>7913</v>
      </c>
      <c r="I110" s="188"/>
      <c r="J110" s="188"/>
    </row>
    <row r="111" spans="1:10">
      <c r="A111" s="188" t="s">
        <v>7896</v>
      </c>
      <c r="B111" s="188" t="s">
        <v>3510</v>
      </c>
      <c r="C111" s="188" t="s">
        <v>3511</v>
      </c>
      <c r="D111" s="188" t="s">
        <v>3512</v>
      </c>
      <c r="E111" s="188"/>
      <c r="F111" s="188">
        <v>99</v>
      </c>
      <c r="G111" s="188">
        <v>29</v>
      </c>
      <c r="H111" s="188" t="s">
        <v>7916</v>
      </c>
      <c r="I111" s="188"/>
      <c r="J111" s="188"/>
    </row>
    <row r="112" spans="1:10">
      <c r="A112" s="188" t="s">
        <v>7896</v>
      </c>
      <c r="B112" s="188" t="s">
        <v>3510</v>
      </c>
      <c r="C112" s="188" t="s">
        <v>3513</v>
      </c>
      <c r="D112" s="188" t="s">
        <v>3514</v>
      </c>
      <c r="E112" s="188" t="s">
        <v>168</v>
      </c>
      <c r="F112" s="188">
        <v>100</v>
      </c>
      <c r="G112" s="188">
        <v>42</v>
      </c>
      <c r="H112" s="188" t="s">
        <v>7916</v>
      </c>
      <c r="I112" s="188"/>
      <c r="J112" s="188"/>
    </row>
    <row r="113" spans="1:10">
      <c r="A113" s="188" t="s">
        <v>7896</v>
      </c>
      <c r="B113" s="188" t="s">
        <v>3510</v>
      </c>
      <c r="C113" s="188" t="s">
        <v>3515</v>
      </c>
      <c r="D113" s="188" t="s">
        <v>3516</v>
      </c>
      <c r="E113" s="188" t="s">
        <v>36</v>
      </c>
      <c r="F113" s="188">
        <v>100</v>
      </c>
      <c r="G113" s="188">
        <v>42</v>
      </c>
      <c r="H113" s="188" t="s">
        <v>7916</v>
      </c>
      <c r="I113" s="188"/>
      <c r="J113" s="188"/>
    </row>
    <row r="114" spans="1:10">
      <c r="A114" s="188" t="s">
        <v>7896</v>
      </c>
      <c r="B114" s="188" t="s">
        <v>3510</v>
      </c>
      <c r="C114" s="188" t="s">
        <v>3517</v>
      </c>
      <c r="D114" s="188" t="s">
        <v>3518</v>
      </c>
      <c r="E114" s="188" t="s">
        <v>200</v>
      </c>
      <c r="F114" s="188">
        <v>100</v>
      </c>
      <c r="G114" s="188">
        <v>42</v>
      </c>
      <c r="H114" s="188" t="s">
        <v>7916</v>
      </c>
      <c r="I114" s="188"/>
      <c r="J114" s="188"/>
    </row>
    <row r="115" spans="1:10">
      <c r="A115" s="188" t="s">
        <v>7896</v>
      </c>
      <c r="B115" s="188" t="s">
        <v>3510</v>
      </c>
      <c r="C115" s="188" t="s">
        <v>3519</v>
      </c>
      <c r="D115" s="188" t="s">
        <v>3520</v>
      </c>
      <c r="E115" s="188" t="s">
        <v>7907</v>
      </c>
      <c r="F115" s="188">
        <v>100</v>
      </c>
      <c r="G115" s="188">
        <v>42</v>
      </c>
      <c r="H115" s="188" t="s">
        <v>7916</v>
      </c>
      <c r="I115" s="188"/>
      <c r="J115" s="188"/>
    </row>
    <row r="116" spans="1:10">
      <c r="A116" s="188" t="s">
        <v>7896</v>
      </c>
      <c r="B116" s="188" t="s">
        <v>3510</v>
      </c>
      <c r="C116" s="188" t="s">
        <v>3521</v>
      </c>
      <c r="D116" s="188" t="s">
        <v>3522</v>
      </c>
      <c r="E116" s="188" t="s">
        <v>7904</v>
      </c>
      <c r="F116" s="188">
        <v>100</v>
      </c>
      <c r="G116" s="188">
        <v>42</v>
      </c>
      <c r="H116" s="188" t="s">
        <v>7916</v>
      </c>
      <c r="I116" s="188"/>
      <c r="J116" s="188"/>
    </row>
    <row r="117" spans="1:10">
      <c r="A117" s="188" t="s">
        <v>7896</v>
      </c>
      <c r="B117" s="188" t="s">
        <v>3510</v>
      </c>
      <c r="C117" s="188" t="s">
        <v>3523</v>
      </c>
      <c r="D117" s="188" t="s">
        <v>3524</v>
      </c>
      <c r="E117" s="188" t="s">
        <v>7903</v>
      </c>
      <c r="F117" s="188">
        <v>100</v>
      </c>
      <c r="G117" s="188">
        <v>42</v>
      </c>
      <c r="H117" s="188" t="s">
        <v>7916</v>
      </c>
      <c r="I117" s="188"/>
      <c r="J117" s="188"/>
    </row>
    <row r="118" spans="1:10">
      <c r="A118" s="188" t="s">
        <v>7896</v>
      </c>
      <c r="B118" s="188" t="s">
        <v>3510</v>
      </c>
      <c r="C118" s="188" t="s">
        <v>3525</v>
      </c>
      <c r="D118" s="188" t="s">
        <v>3526</v>
      </c>
      <c r="E118" s="188" t="s">
        <v>330</v>
      </c>
      <c r="F118" s="188">
        <v>100</v>
      </c>
      <c r="G118" s="188">
        <v>42</v>
      </c>
      <c r="H118" s="188" t="s">
        <v>7916</v>
      </c>
      <c r="I118" s="188"/>
      <c r="J118" s="188"/>
    </row>
    <row r="119" spans="1:10">
      <c r="A119" s="188" t="s">
        <v>7896</v>
      </c>
      <c r="B119" s="188" t="s">
        <v>3510</v>
      </c>
      <c r="C119" s="188" t="s">
        <v>3527</v>
      </c>
      <c r="D119" s="188" t="s">
        <v>3528</v>
      </c>
      <c r="E119" s="188" t="s">
        <v>40</v>
      </c>
      <c r="F119" s="188">
        <v>100</v>
      </c>
      <c r="G119" s="188">
        <v>42</v>
      </c>
      <c r="H119" s="188" t="s">
        <v>7916</v>
      </c>
      <c r="I119" s="188"/>
      <c r="J119" s="188"/>
    </row>
    <row r="120" spans="1:10">
      <c r="A120" s="188" t="s">
        <v>7896</v>
      </c>
      <c r="B120" s="188" t="s">
        <v>3510</v>
      </c>
      <c r="C120" s="188" t="s">
        <v>3529</v>
      </c>
      <c r="D120" s="188" t="s">
        <v>3530</v>
      </c>
      <c r="E120" s="188" t="s">
        <v>194</v>
      </c>
      <c r="F120" s="188">
        <v>100</v>
      </c>
      <c r="G120" s="188">
        <v>42</v>
      </c>
      <c r="H120" s="188" t="s">
        <v>7916</v>
      </c>
      <c r="I120" s="188"/>
      <c r="J120" s="188"/>
    </row>
    <row r="121" spans="1:10">
      <c r="A121" s="188" t="s">
        <v>7896</v>
      </c>
      <c r="B121" s="188" t="s">
        <v>3510</v>
      </c>
      <c r="C121" s="188" t="s">
        <v>3531</v>
      </c>
      <c r="D121" s="188" t="s">
        <v>3532</v>
      </c>
      <c r="E121" s="188" t="s">
        <v>96</v>
      </c>
      <c r="F121" s="188">
        <v>100</v>
      </c>
      <c r="G121" s="188">
        <v>42</v>
      </c>
      <c r="H121" s="188" t="s">
        <v>7916</v>
      </c>
      <c r="I121" s="188"/>
      <c r="J121" s="188"/>
    </row>
    <row r="122" spans="1:10">
      <c r="A122" s="188" t="s">
        <v>7896</v>
      </c>
      <c r="B122" s="188" t="s">
        <v>3510</v>
      </c>
      <c r="C122" s="188" t="s">
        <v>3533</v>
      </c>
      <c r="D122" s="188" t="s">
        <v>3534</v>
      </c>
      <c r="E122" s="188" t="s">
        <v>7910</v>
      </c>
      <c r="F122" s="188">
        <v>100</v>
      </c>
      <c r="G122" s="188">
        <v>42</v>
      </c>
      <c r="H122" s="188" t="s">
        <v>7916</v>
      </c>
      <c r="I122" s="188"/>
      <c r="J122" s="188"/>
    </row>
    <row r="123" spans="1:10">
      <c r="A123" s="188" t="s">
        <v>7896</v>
      </c>
      <c r="B123" s="188" t="s">
        <v>3510</v>
      </c>
      <c r="C123" s="188" t="s">
        <v>3535</v>
      </c>
      <c r="D123" s="188" t="s">
        <v>3536</v>
      </c>
      <c r="E123" s="188" t="s">
        <v>176</v>
      </c>
      <c r="F123" s="188">
        <v>100</v>
      </c>
      <c r="G123" s="188">
        <v>42</v>
      </c>
      <c r="H123" s="188" t="s">
        <v>7916</v>
      </c>
      <c r="I123" s="188"/>
      <c r="J123" s="188"/>
    </row>
    <row r="124" spans="1:10">
      <c r="A124" s="188" t="s">
        <v>7896</v>
      </c>
      <c r="B124" s="188" t="s">
        <v>3510</v>
      </c>
      <c r="C124" s="188" t="s">
        <v>3537</v>
      </c>
      <c r="D124" s="188" t="s">
        <v>3538</v>
      </c>
      <c r="E124" s="188" t="s">
        <v>7915</v>
      </c>
      <c r="F124" s="188">
        <v>100</v>
      </c>
      <c r="G124" s="188">
        <v>42</v>
      </c>
      <c r="H124" s="188" t="s">
        <v>7916</v>
      </c>
      <c r="I124" s="188"/>
      <c r="J124" s="188"/>
    </row>
    <row r="125" spans="1:10">
      <c r="A125" s="188" t="s">
        <v>7896</v>
      </c>
      <c r="B125" s="188" t="s">
        <v>3510</v>
      </c>
      <c r="C125" s="188" t="s">
        <v>3539</v>
      </c>
      <c r="D125" s="188" t="s">
        <v>3540</v>
      </c>
      <c r="E125" s="188" t="s">
        <v>366</v>
      </c>
      <c r="F125" s="188">
        <v>100</v>
      </c>
      <c r="G125" s="188">
        <v>42</v>
      </c>
      <c r="H125" s="188" t="s">
        <v>7916</v>
      </c>
      <c r="I125" s="188"/>
      <c r="J125" s="188"/>
    </row>
    <row r="126" spans="1:10">
      <c r="A126" s="188" t="s">
        <v>7896</v>
      </c>
      <c r="B126" s="188" t="s">
        <v>3510</v>
      </c>
      <c r="C126" s="188" t="s">
        <v>3541</v>
      </c>
      <c r="D126" s="188" t="s">
        <v>3542</v>
      </c>
      <c r="E126" s="188" t="s">
        <v>7898</v>
      </c>
      <c r="F126" s="188">
        <v>100</v>
      </c>
      <c r="G126" s="188">
        <v>42</v>
      </c>
      <c r="H126" s="188" t="s">
        <v>7916</v>
      </c>
      <c r="I126" s="188"/>
      <c r="J126" s="188"/>
    </row>
    <row r="127" spans="1:10">
      <c r="A127" s="188" t="s">
        <v>7896</v>
      </c>
      <c r="B127" s="188" t="s">
        <v>3510</v>
      </c>
      <c r="C127" s="188" t="s">
        <v>3543</v>
      </c>
      <c r="D127" s="188" t="s">
        <v>3544</v>
      </c>
      <c r="E127" s="188" t="s">
        <v>52</v>
      </c>
      <c r="F127" s="188">
        <v>100</v>
      </c>
      <c r="G127" s="188">
        <v>42</v>
      </c>
      <c r="H127" s="188" t="s">
        <v>7916</v>
      </c>
      <c r="I127" s="188"/>
      <c r="J127" s="188"/>
    </row>
    <row r="128" spans="1:10">
      <c r="A128" s="188" t="s">
        <v>7896</v>
      </c>
      <c r="B128" s="188" t="s">
        <v>3510</v>
      </c>
      <c r="C128" s="188" t="s">
        <v>3545</v>
      </c>
      <c r="D128" s="188" t="s">
        <v>3546</v>
      </c>
      <c r="E128" s="188" t="s">
        <v>7908</v>
      </c>
      <c r="F128" s="188">
        <v>100</v>
      </c>
      <c r="G128" s="188">
        <v>42</v>
      </c>
      <c r="H128" s="188" t="s">
        <v>7916</v>
      </c>
      <c r="I128" s="188"/>
      <c r="J128" s="188"/>
    </row>
    <row r="129" spans="1:10">
      <c r="A129" s="188" t="s">
        <v>7896</v>
      </c>
      <c r="B129" s="188" t="s">
        <v>3510</v>
      </c>
      <c r="C129" s="188" t="s">
        <v>3547</v>
      </c>
      <c r="D129" s="188" t="s">
        <v>3548</v>
      </c>
      <c r="E129" s="188" t="s">
        <v>282</v>
      </c>
      <c r="F129" s="188">
        <v>100</v>
      </c>
      <c r="G129" s="188">
        <v>42</v>
      </c>
      <c r="H129" s="188" t="s">
        <v>7916</v>
      </c>
      <c r="I129" s="188"/>
      <c r="J129" s="188"/>
    </row>
    <row r="130" spans="1:10">
      <c r="A130" s="188" t="s">
        <v>7896</v>
      </c>
      <c r="B130" s="188" t="s">
        <v>3510</v>
      </c>
      <c r="C130" s="188" t="s">
        <v>3549</v>
      </c>
      <c r="D130" s="188" t="s">
        <v>3550</v>
      </c>
      <c r="E130" s="188" t="s">
        <v>154</v>
      </c>
      <c r="F130" s="188">
        <v>100</v>
      </c>
      <c r="G130" s="188">
        <v>42</v>
      </c>
      <c r="H130" s="188" t="s">
        <v>7916</v>
      </c>
      <c r="I130" s="188"/>
      <c r="J130" s="188"/>
    </row>
    <row r="131" spans="1:10">
      <c r="A131" s="188" t="s">
        <v>7896</v>
      </c>
      <c r="B131" s="188" t="s">
        <v>3510</v>
      </c>
      <c r="C131" s="188" t="s">
        <v>3551</v>
      </c>
      <c r="D131" s="188" t="s">
        <v>3552</v>
      </c>
      <c r="E131" s="188" t="s">
        <v>58</v>
      </c>
      <c r="F131" s="188">
        <v>100</v>
      </c>
      <c r="G131" s="188">
        <v>42</v>
      </c>
      <c r="H131" s="188" t="s">
        <v>7916</v>
      </c>
      <c r="I131" s="188"/>
      <c r="J131" s="188"/>
    </row>
    <row r="132" spans="1:10">
      <c r="A132" s="188" t="s">
        <v>7896</v>
      </c>
      <c r="B132" s="188" t="s">
        <v>3510</v>
      </c>
      <c r="C132" s="188" t="s">
        <v>3553</v>
      </c>
      <c r="D132" s="188" t="s">
        <v>3554</v>
      </c>
      <c r="E132" s="188" t="s">
        <v>3133</v>
      </c>
      <c r="F132" s="188">
        <v>100</v>
      </c>
      <c r="G132" s="188">
        <v>42</v>
      </c>
      <c r="H132" s="188" t="s">
        <v>7916</v>
      </c>
      <c r="I132" s="188"/>
      <c r="J132" s="188"/>
    </row>
    <row r="133" spans="1:10">
      <c r="A133" s="188" t="s">
        <v>7896</v>
      </c>
      <c r="B133" s="188" t="s">
        <v>3510</v>
      </c>
      <c r="C133" s="188" t="s">
        <v>3555</v>
      </c>
      <c r="D133" s="188" t="s">
        <v>3556</v>
      </c>
      <c r="E133" s="188" t="s">
        <v>7917</v>
      </c>
      <c r="F133" s="188">
        <v>100</v>
      </c>
      <c r="G133" s="188">
        <v>42</v>
      </c>
      <c r="H133" s="188" t="s">
        <v>7916</v>
      </c>
      <c r="I133" s="188"/>
      <c r="J133" s="188"/>
    </row>
    <row r="134" spans="1:10">
      <c r="A134" s="188" t="s">
        <v>7896</v>
      </c>
      <c r="B134" s="188" t="s">
        <v>3510</v>
      </c>
      <c r="C134" s="188" t="s">
        <v>3557</v>
      </c>
      <c r="D134" s="188" t="s">
        <v>3558</v>
      </c>
      <c r="E134" s="188" t="s">
        <v>7918</v>
      </c>
      <c r="F134" s="188">
        <v>100</v>
      </c>
      <c r="G134" s="188">
        <v>42</v>
      </c>
      <c r="H134" s="188" t="s">
        <v>7916</v>
      </c>
      <c r="I134" s="188"/>
      <c r="J134" s="188"/>
    </row>
    <row r="135" spans="1:10">
      <c r="A135" s="188" t="s">
        <v>7896</v>
      </c>
      <c r="B135" s="188" t="s">
        <v>3510</v>
      </c>
      <c r="C135" s="188" t="s">
        <v>3559</v>
      </c>
      <c r="D135" s="188" t="s">
        <v>3560</v>
      </c>
      <c r="E135" s="188" t="s">
        <v>3141</v>
      </c>
      <c r="F135" s="188">
        <v>100</v>
      </c>
      <c r="G135" s="188">
        <v>42</v>
      </c>
      <c r="H135" s="188" t="s">
        <v>7916</v>
      </c>
      <c r="I135" s="188"/>
      <c r="J135" s="188"/>
    </row>
    <row r="136" spans="1:10">
      <c r="A136" s="188" t="s">
        <v>7896</v>
      </c>
      <c r="B136" s="188" t="s">
        <v>3510</v>
      </c>
      <c r="C136" s="188" t="s">
        <v>3561</v>
      </c>
      <c r="D136" s="188" t="s">
        <v>3562</v>
      </c>
      <c r="E136" s="188" t="s">
        <v>3145</v>
      </c>
      <c r="F136" s="188">
        <v>100</v>
      </c>
      <c r="G136" s="188">
        <v>42</v>
      </c>
      <c r="H136" s="188" t="s">
        <v>7916</v>
      </c>
      <c r="I136" s="188"/>
      <c r="J136" s="188"/>
    </row>
    <row r="137" spans="1:10">
      <c r="A137" s="188" t="s">
        <v>7896</v>
      </c>
      <c r="B137" s="188" t="s">
        <v>3510</v>
      </c>
      <c r="C137" s="188" t="s">
        <v>3563</v>
      </c>
      <c r="D137" s="188" t="s">
        <v>3564</v>
      </c>
      <c r="E137" s="188" t="s">
        <v>1074</v>
      </c>
      <c r="F137" s="188">
        <v>100</v>
      </c>
      <c r="G137" s="188">
        <v>42</v>
      </c>
      <c r="H137" s="188" t="s">
        <v>7916</v>
      </c>
      <c r="I137" s="188"/>
      <c r="J137" s="188"/>
    </row>
    <row r="138" spans="1:10">
      <c r="A138" s="188" t="s">
        <v>7896</v>
      </c>
      <c r="B138" s="188" t="s">
        <v>3510</v>
      </c>
      <c r="C138" s="188" t="s">
        <v>3565</v>
      </c>
      <c r="D138" s="188" t="s">
        <v>3566</v>
      </c>
      <c r="E138" s="188" t="s">
        <v>7919</v>
      </c>
      <c r="F138" s="188">
        <v>100</v>
      </c>
      <c r="G138" s="188">
        <v>42</v>
      </c>
      <c r="H138" s="188" t="s">
        <v>7916</v>
      </c>
      <c r="I138" s="188"/>
      <c r="J138" s="188"/>
    </row>
    <row r="139" spans="1:10">
      <c r="A139" s="188" t="s">
        <v>7896</v>
      </c>
      <c r="B139" s="188" t="s">
        <v>3510</v>
      </c>
      <c r="C139" s="188" t="s">
        <v>3567</v>
      </c>
      <c r="D139" s="188" t="s">
        <v>3568</v>
      </c>
      <c r="E139" s="188" t="s">
        <v>3147</v>
      </c>
      <c r="F139" s="188">
        <v>100</v>
      </c>
      <c r="G139" s="188">
        <v>42</v>
      </c>
      <c r="H139" s="188" t="s">
        <v>7916</v>
      </c>
      <c r="I139" s="188"/>
      <c r="J139" s="188"/>
    </row>
    <row r="140" spans="1:10">
      <c r="A140" s="188" t="s">
        <v>7896</v>
      </c>
      <c r="B140" s="188" t="s">
        <v>3510</v>
      </c>
      <c r="C140" s="188" t="s">
        <v>3569</v>
      </c>
      <c r="D140" s="188" t="s">
        <v>3570</v>
      </c>
      <c r="E140" s="188" t="s">
        <v>164</v>
      </c>
      <c r="F140" s="188">
        <v>100</v>
      </c>
      <c r="G140" s="188">
        <v>42</v>
      </c>
      <c r="H140" s="188" t="s">
        <v>7916</v>
      </c>
      <c r="I140" s="188"/>
      <c r="J140" s="188"/>
    </row>
    <row r="141" spans="1:10">
      <c r="A141" s="188" t="s">
        <v>7896</v>
      </c>
      <c r="B141" s="188" t="s">
        <v>3510</v>
      </c>
      <c r="C141" s="188" t="s">
        <v>3571</v>
      </c>
      <c r="D141" s="188" t="s">
        <v>3572</v>
      </c>
      <c r="E141" s="188" t="s">
        <v>116</v>
      </c>
      <c r="F141" s="188">
        <v>100</v>
      </c>
      <c r="G141" s="188">
        <v>42</v>
      </c>
      <c r="H141" s="188" t="s">
        <v>7916</v>
      </c>
      <c r="I141" s="188"/>
      <c r="J141" s="188"/>
    </row>
    <row r="142" spans="1:10">
      <c r="A142" s="188" t="s">
        <v>7896</v>
      </c>
      <c r="B142" s="188" t="s">
        <v>3510</v>
      </c>
      <c r="C142" s="188" t="s">
        <v>3573</v>
      </c>
      <c r="D142" s="188" t="s">
        <v>3574</v>
      </c>
      <c r="E142" s="188" t="s">
        <v>7899</v>
      </c>
      <c r="F142" s="188">
        <v>100</v>
      </c>
      <c r="G142" s="188">
        <v>42</v>
      </c>
      <c r="H142" s="188" t="s">
        <v>7916</v>
      </c>
      <c r="I142" s="188"/>
      <c r="J142" s="188"/>
    </row>
    <row r="143" spans="1:10">
      <c r="A143" s="188" t="s">
        <v>7896</v>
      </c>
      <c r="B143" s="188" t="s">
        <v>3510</v>
      </c>
      <c r="C143" s="188" t="s">
        <v>3575</v>
      </c>
      <c r="D143" s="188" t="s">
        <v>3576</v>
      </c>
      <c r="E143" s="188" t="s">
        <v>7901</v>
      </c>
      <c r="F143" s="188">
        <v>100</v>
      </c>
      <c r="G143" s="188">
        <v>42</v>
      </c>
      <c r="H143" s="188" t="s">
        <v>7916</v>
      </c>
      <c r="I143" s="188"/>
      <c r="J143" s="188"/>
    </row>
    <row r="144" spans="1:10">
      <c r="A144" s="188" t="s">
        <v>7896</v>
      </c>
      <c r="B144" s="188" t="s">
        <v>3510</v>
      </c>
      <c r="C144" s="188" t="s">
        <v>3577</v>
      </c>
      <c r="D144" s="188" t="s">
        <v>3578</v>
      </c>
      <c r="E144" s="188" t="s">
        <v>7910</v>
      </c>
      <c r="F144" s="188">
        <v>100</v>
      </c>
      <c r="G144" s="188">
        <v>42</v>
      </c>
      <c r="H144" s="188" t="s">
        <v>7916</v>
      </c>
      <c r="I144" s="188"/>
      <c r="J144" s="188"/>
    </row>
    <row r="145" spans="1:10">
      <c r="A145" s="188" t="s">
        <v>7896</v>
      </c>
      <c r="B145" s="188" t="s">
        <v>3510</v>
      </c>
      <c r="C145" s="188" t="s">
        <v>3579</v>
      </c>
      <c r="D145" s="188" t="s">
        <v>3580</v>
      </c>
      <c r="E145" s="188" t="s">
        <v>7899</v>
      </c>
      <c r="F145" s="188">
        <v>100</v>
      </c>
      <c r="G145" s="188">
        <v>42</v>
      </c>
      <c r="H145" s="188" t="s">
        <v>7916</v>
      </c>
      <c r="I145" s="188"/>
      <c r="J145" s="188"/>
    </row>
    <row r="146" spans="1:10">
      <c r="A146" s="188" t="s">
        <v>7896</v>
      </c>
      <c r="B146" s="188" t="s">
        <v>3510</v>
      </c>
      <c r="C146" s="188" t="s">
        <v>3581</v>
      </c>
      <c r="D146" s="188" t="s">
        <v>3514</v>
      </c>
      <c r="E146" s="188" t="s">
        <v>168</v>
      </c>
      <c r="F146" s="188">
        <v>100</v>
      </c>
      <c r="G146" s="188">
        <v>42</v>
      </c>
      <c r="H146" s="188" t="s">
        <v>7916</v>
      </c>
      <c r="I146" s="188"/>
      <c r="J146" s="189" t="s">
        <v>7920</v>
      </c>
    </row>
    <row r="147" spans="1:10">
      <c r="A147" s="188" t="s">
        <v>7896</v>
      </c>
      <c r="B147" s="188" t="s">
        <v>3582</v>
      </c>
      <c r="C147" s="188" t="s">
        <v>3583</v>
      </c>
      <c r="D147" s="188" t="s">
        <v>3584</v>
      </c>
      <c r="E147" s="188" t="s">
        <v>44</v>
      </c>
      <c r="F147" s="188">
        <v>63</v>
      </c>
      <c r="G147" s="188">
        <v>40</v>
      </c>
      <c r="H147" s="188" t="s">
        <v>7921</v>
      </c>
      <c r="I147" s="188"/>
      <c r="J147" s="188"/>
    </row>
    <row r="148" spans="1:10">
      <c r="A148" s="188" t="s">
        <v>7896</v>
      </c>
      <c r="B148" s="188" t="s">
        <v>3582</v>
      </c>
      <c r="C148" s="188" t="s">
        <v>3585</v>
      </c>
      <c r="D148" s="188" t="s">
        <v>3586</v>
      </c>
      <c r="E148" s="188" t="s">
        <v>36</v>
      </c>
      <c r="F148" s="188">
        <v>63</v>
      </c>
      <c r="G148" s="188">
        <v>40</v>
      </c>
      <c r="H148" s="188" t="s">
        <v>7921</v>
      </c>
      <c r="I148" s="188"/>
      <c r="J148" s="188"/>
    </row>
    <row r="149" spans="1:10">
      <c r="A149" s="188" t="s">
        <v>7896</v>
      </c>
      <c r="B149" s="188" t="s">
        <v>3582</v>
      </c>
      <c r="C149" s="188" t="s">
        <v>3587</v>
      </c>
      <c r="D149" s="188" t="s">
        <v>3588</v>
      </c>
      <c r="E149" s="188" t="s">
        <v>200</v>
      </c>
      <c r="F149" s="188">
        <v>63</v>
      </c>
      <c r="G149" s="188">
        <v>40</v>
      </c>
      <c r="H149" s="188" t="s">
        <v>7921</v>
      </c>
      <c r="I149" s="188"/>
      <c r="J149" s="188"/>
    </row>
    <row r="150" spans="1:10">
      <c r="A150" s="188" t="s">
        <v>7896</v>
      </c>
      <c r="B150" s="188" t="s">
        <v>3582</v>
      </c>
      <c r="C150" s="188" t="s">
        <v>3589</v>
      </c>
      <c r="D150" s="188" t="s">
        <v>3590</v>
      </c>
      <c r="E150" s="188" t="s">
        <v>116</v>
      </c>
      <c r="F150" s="188">
        <v>63</v>
      </c>
      <c r="G150" s="188">
        <v>40</v>
      </c>
      <c r="H150" s="188" t="s">
        <v>7921</v>
      </c>
      <c r="I150" s="188"/>
      <c r="J150" s="188"/>
    </row>
    <row r="151" spans="1:10">
      <c r="A151" s="188" t="s">
        <v>7896</v>
      </c>
      <c r="B151" s="188" t="s">
        <v>3582</v>
      </c>
      <c r="C151" s="188" t="s">
        <v>3591</v>
      </c>
      <c r="D151" s="188" t="s">
        <v>3592</v>
      </c>
      <c r="E151" s="188" t="s">
        <v>7903</v>
      </c>
      <c r="F151" s="188">
        <v>63</v>
      </c>
      <c r="G151" s="188">
        <v>40</v>
      </c>
      <c r="H151" s="188" t="s">
        <v>7921</v>
      </c>
      <c r="I151" s="188"/>
      <c r="J151" s="188"/>
    </row>
    <row r="152" spans="1:10">
      <c r="A152" s="188" t="s">
        <v>7896</v>
      </c>
      <c r="B152" s="188" t="s">
        <v>3582</v>
      </c>
      <c r="C152" s="188" t="s">
        <v>3593</v>
      </c>
      <c r="D152" s="188" t="s">
        <v>3594</v>
      </c>
      <c r="E152" s="188" t="s">
        <v>40</v>
      </c>
      <c r="F152" s="188">
        <v>63</v>
      </c>
      <c r="G152" s="188">
        <v>40</v>
      </c>
      <c r="H152" s="188" t="s">
        <v>7921</v>
      </c>
      <c r="I152" s="188"/>
      <c r="J152" s="188"/>
    </row>
    <row r="153" spans="1:10">
      <c r="A153" s="188" t="s">
        <v>7896</v>
      </c>
      <c r="B153" s="188" t="s">
        <v>3582</v>
      </c>
      <c r="C153" s="188" t="s">
        <v>3595</v>
      </c>
      <c r="D153" s="188" t="s">
        <v>3596</v>
      </c>
      <c r="E153" s="188" t="s">
        <v>52</v>
      </c>
      <c r="F153" s="188">
        <v>63</v>
      </c>
      <c r="G153" s="188">
        <v>40</v>
      </c>
      <c r="H153" s="188" t="s">
        <v>7921</v>
      </c>
      <c r="I153" s="188"/>
      <c r="J153" s="188"/>
    </row>
    <row r="154" spans="1:10">
      <c r="A154" s="188" t="s">
        <v>7896</v>
      </c>
      <c r="B154" s="188" t="s">
        <v>3582</v>
      </c>
      <c r="C154" s="188" t="s">
        <v>3597</v>
      </c>
      <c r="D154" s="188" t="s">
        <v>3598</v>
      </c>
      <c r="E154" s="188" t="s">
        <v>7898</v>
      </c>
      <c r="F154" s="188">
        <v>63</v>
      </c>
      <c r="G154" s="188">
        <v>40</v>
      </c>
      <c r="H154" s="188" t="s">
        <v>7921</v>
      </c>
      <c r="I154" s="188"/>
      <c r="J154" s="188"/>
    </row>
    <row r="155" spans="1:10">
      <c r="A155" s="188" t="s">
        <v>7896</v>
      </c>
      <c r="B155" s="188" t="s">
        <v>3582</v>
      </c>
      <c r="C155" s="188" t="s">
        <v>3599</v>
      </c>
      <c r="D155" s="188" t="s">
        <v>3600</v>
      </c>
      <c r="E155" s="188" t="s">
        <v>7910</v>
      </c>
      <c r="F155" s="188">
        <v>63</v>
      </c>
      <c r="G155" s="188">
        <v>40</v>
      </c>
      <c r="H155" s="188" t="s">
        <v>7921</v>
      </c>
      <c r="I155" s="188"/>
      <c r="J155" s="188"/>
    </row>
    <row r="156" spans="1:10">
      <c r="A156" s="188" t="s">
        <v>7896</v>
      </c>
      <c r="B156" s="188" t="s">
        <v>3582</v>
      </c>
      <c r="C156" s="188" t="s">
        <v>3601</v>
      </c>
      <c r="D156" s="188" t="s">
        <v>3602</v>
      </c>
      <c r="E156" s="188" t="s">
        <v>90</v>
      </c>
      <c r="F156" s="188">
        <v>63</v>
      </c>
      <c r="G156" s="188">
        <v>40</v>
      </c>
      <c r="H156" s="188" t="s">
        <v>7921</v>
      </c>
      <c r="I156" s="188"/>
      <c r="J156" s="188"/>
    </row>
    <row r="157" spans="1:10">
      <c r="A157" s="188" t="s">
        <v>7896</v>
      </c>
      <c r="B157" s="188" t="s">
        <v>3582</v>
      </c>
      <c r="C157" s="188" t="s">
        <v>3603</v>
      </c>
      <c r="D157" s="188" t="s">
        <v>3604</v>
      </c>
      <c r="E157" s="188" t="s">
        <v>7908</v>
      </c>
      <c r="F157" s="188">
        <v>63</v>
      </c>
      <c r="G157" s="188">
        <v>40</v>
      </c>
      <c r="H157" s="188" t="s">
        <v>7921</v>
      </c>
      <c r="I157" s="188"/>
      <c r="J157" s="188"/>
    </row>
    <row r="158" spans="1:10">
      <c r="A158" s="188" t="s">
        <v>7896</v>
      </c>
      <c r="B158" s="188" t="s">
        <v>3582</v>
      </c>
      <c r="C158" s="188" t="s">
        <v>3605</v>
      </c>
      <c r="D158" s="188" t="s">
        <v>3606</v>
      </c>
      <c r="E158" s="188" t="s">
        <v>154</v>
      </c>
      <c r="F158" s="188">
        <v>63</v>
      </c>
      <c r="G158" s="188">
        <v>40</v>
      </c>
      <c r="H158" s="188" t="s">
        <v>7921</v>
      </c>
      <c r="I158" s="188"/>
      <c r="J158" s="188"/>
    </row>
    <row r="159" spans="1:10">
      <c r="A159" s="188" t="s">
        <v>7896</v>
      </c>
      <c r="B159" s="188" t="s">
        <v>3582</v>
      </c>
      <c r="C159" s="188" t="s">
        <v>3607</v>
      </c>
      <c r="D159" s="188" t="s">
        <v>3608</v>
      </c>
      <c r="E159" s="188" t="s">
        <v>58</v>
      </c>
      <c r="F159" s="188">
        <v>63</v>
      </c>
      <c r="G159" s="188">
        <v>40</v>
      </c>
      <c r="H159" s="188" t="s">
        <v>7921</v>
      </c>
      <c r="I159" s="188"/>
      <c r="J159" s="188"/>
    </row>
    <row r="160" spans="1:10">
      <c r="A160" s="188" t="s">
        <v>7896</v>
      </c>
      <c r="B160" s="188" t="s">
        <v>3582</v>
      </c>
      <c r="C160" s="188" t="s">
        <v>3609</v>
      </c>
      <c r="D160" s="188" t="s">
        <v>3610</v>
      </c>
      <c r="E160" s="188" t="s">
        <v>7900</v>
      </c>
      <c r="F160" s="188">
        <v>63</v>
      </c>
      <c r="G160" s="188">
        <v>40</v>
      </c>
      <c r="H160" s="188" t="s">
        <v>7921</v>
      </c>
      <c r="I160" s="188"/>
      <c r="J160" s="188"/>
    </row>
    <row r="161" spans="1:10">
      <c r="A161" s="188" t="s">
        <v>7896</v>
      </c>
      <c r="B161" s="188" t="s">
        <v>3582</v>
      </c>
      <c r="C161" s="188" t="s">
        <v>3611</v>
      </c>
      <c r="D161" s="188" t="s">
        <v>3612</v>
      </c>
      <c r="E161" s="188" t="s">
        <v>7918</v>
      </c>
      <c r="F161" s="188">
        <v>63</v>
      </c>
      <c r="G161" s="188">
        <v>40</v>
      </c>
      <c r="H161" s="188" t="s">
        <v>7921</v>
      </c>
      <c r="I161" s="188"/>
      <c r="J161" s="188"/>
    </row>
    <row r="162" spans="1:10">
      <c r="A162" s="188" t="s">
        <v>7896</v>
      </c>
      <c r="B162" s="188" t="s">
        <v>3582</v>
      </c>
      <c r="C162" s="188" t="s">
        <v>3613</v>
      </c>
      <c r="D162" s="188" t="s">
        <v>3614</v>
      </c>
      <c r="E162" s="188" t="s">
        <v>7898</v>
      </c>
      <c r="F162" s="188">
        <v>63</v>
      </c>
      <c r="G162" s="188">
        <v>40</v>
      </c>
      <c r="H162" s="188" t="s">
        <v>7921</v>
      </c>
      <c r="I162" s="188"/>
      <c r="J162" s="188"/>
    </row>
    <row r="163" spans="1:10">
      <c r="A163" s="188" t="s">
        <v>7896</v>
      </c>
      <c r="B163" s="188" t="s">
        <v>3582</v>
      </c>
      <c r="C163" s="188" t="s">
        <v>3615</v>
      </c>
      <c r="D163" s="188" t="s">
        <v>3616</v>
      </c>
      <c r="E163" s="188" t="s">
        <v>304</v>
      </c>
      <c r="F163" s="188">
        <v>63</v>
      </c>
      <c r="G163" s="188">
        <v>40</v>
      </c>
      <c r="H163" s="188" t="s">
        <v>7921</v>
      </c>
      <c r="I163" s="188"/>
      <c r="J163" s="188"/>
    </row>
    <row r="164" spans="1:10">
      <c r="A164" s="188" t="s">
        <v>7896</v>
      </c>
      <c r="B164" s="188" t="s">
        <v>3582</v>
      </c>
      <c r="C164" s="188" t="s">
        <v>3617</v>
      </c>
      <c r="D164" s="188" t="s">
        <v>3618</v>
      </c>
      <c r="E164" s="188" t="s">
        <v>538</v>
      </c>
      <c r="F164" s="188">
        <v>63</v>
      </c>
      <c r="G164" s="188">
        <v>40</v>
      </c>
      <c r="H164" s="188" t="s">
        <v>7921</v>
      </c>
      <c r="I164" s="188"/>
      <c r="J164" s="188"/>
    </row>
    <row r="165" spans="1:10">
      <c r="A165" s="188" t="s">
        <v>7896</v>
      </c>
      <c r="B165" s="188" t="s">
        <v>3582</v>
      </c>
      <c r="C165" s="188" t="s">
        <v>3619</v>
      </c>
      <c r="D165" s="188" t="s">
        <v>3620</v>
      </c>
      <c r="E165" s="188" t="s">
        <v>7899</v>
      </c>
      <c r="F165" s="188">
        <v>63</v>
      </c>
      <c r="G165" s="188">
        <v>40</v>
      </c>
      <c r="H165" s="188" t="s">
        <v>7921</v>
      </c>
      <c r="I165" s="188"/>
      <c r="J165" s="188"/>
    </row>
    <row r="166" spans="1:10">
      <c r="A166" s="188" t="s">
        <v>7896</v>
      </c>
      <c r="B166" s="188" t="s">
        <v>3582</v>
      </c>
      <c r="C166" s="188" t="s">
        <v>3621</v>
      </c>
      <c r="D166" s="188" t="s">
        <v>3622</v>
      </c>
      <c r="E166" s="188" t="s">
        <v>3141</v>
      </c>
      <c r="F166" s="188">
        <v>63</v>
      </c>
      <c r="G166" s="188">
        <v>40</v>
      </c>
      <c r="H166" s="188" t="s">
        <v>7921</v>
      </c>
      <c r="I166" s="188"/>
      <c r="J166" s="188"/>
    </row>
    <row r="167" spans="1:10">
      <c r="A167" s="188" t="s">
        <v>7896</v>
      </c>
      <c r="B167" s="188" t="s">
        <v>3582</v>
      </c>
      <c r="C167" s="188" t="s">
        <v>3623</v>
      </c>
      <c r="D167" s="188" t="s">
        <v>3624</v>
      </c>
      <c r="E167" s="188" t="s">
        <v>168</v>
      </c>
      <c r="F167" s="188">
        <v>63</v>
      </c>
      <c r="G167" s="188">
        <v>40</v>
      </c>
      <c r="H167" s="188" t="s">
        <v>7921</v>
      </c>
      <c r="I167" s="188"/>
      <c r="J167" s="188"/>
    </row>
    <row r="168" spans="1:10">
      <c r="A168" s="188" t="s">
        <v>7896</v>
      </c>
      <c r="B168" s="188" t="s">
        <v>3582</v>
      </c>
      <c r="C168" s="188" t="s">
        <v>3625</v>
      </c>
      <c r="D168" s="188" t="s">
        <v>3626</v>
      </c>
      <c r="E168" s="188" t="s">
        <v>3169</v>
      </c>
      <c r="F168" s="188">
        <v>63</v>
      </c>
      <c r="G168" s="188">
        <v>40</v>
      </c>
      <c r="H168" s="188" t="s">
        <v>7921</v>
      </c>
      <c r="I168" s="188"/>
      <c r="J168" s="188"/>
    </row>
    <row r="169" spans="1:10">
      <c r="A169" s="188" t="s">
        <v>7896</v>
      </c>
      <c r="B169" s="188" t="s">
        <v>3582</v>
      </c>
      <c r="C169" s="188" t="s">
        <v>3627</v>
      </c>
      <c r="D169" s="188" t="s">
        <v>3628</v>
      </c>
      <c r="E169" s="188" t="s">
        <v>3171</v>
      </c>
      <c r="F169" s="188">
        <v>63</v>
      </c>
      <c r="G169" s="188">
        <v>40</v>
      </c>
      <c r="H169" s="188" t="s">
        <v>7921</v>
      </c>
      <c r="I169" s="188"/>
      <c r="J169" s="188"/>
    </row>
    <row r="170" spans="1:10">
      <c r="A170" s="188" t="s">
        <v>7896</v>
      </c>
      <c r="B170" s="188" t="s">
        <v>3582</v>
      </c>
      <c r="C170" s="188" t="s">
        <v>3629</v>
      </c>
      <c r="D170" s="188" t="s">
        <v>3630</v>
      </c>
      <c r="E170" s="188" t="s">
        <v>7901</v>
      </c>
      <c r="F170" s="188">
        <v>63</v>
      </c>
      <c r="G170" s="188">
        <v>40</v>
      </c>
      <c r="H170" s="188" t="s">
        <v>7921</v>
      </c>
      <c r="I170" s="188"/>
      <c r="J170" s="188"/>
    </row>
    <row r="171" spans="1:10">
      <c r="A171" s="188" t="s">
        <v>7896</v>
      </c>
      <c r="B171" s="188" t="s">
        <v>3582</v>
      </c>
      <c r="C171" s="188" t="s">
        <v>3631</v>
      </c>
      <c r="D171" s="188" t="s">
        <v>3632</v>
      </c>
      <c r="E171" s="188" t="s">
        <v>208</v>
      </c>
      <c r="F171" s="188">
        <v>63</v>
      </c>
      <c r="G171" s="188">
        <v>40</v>
      </c>
      <c r="H171" s="188" t="s">
        <v>7921</v>
      </c>
      <c r="I171" s="188"/>
      <c r="J171" s="188"/>
    </row>
    <row r="172" spans="1:10">
      <c r="A172" s="188" t="s">
        <v>7896</v>
      </c>
      <c r="B172" s="188" t="s">
        <v>3633</v>
      </c>
      <c r="C172" s="188" t="s">
        <v>3634</v>
      </c>
      <c r="D172" s="188" t="s">
        <v>3635</v>
      </c>
      <c r="E172" s="188" t="s">
        <v>134</v>
      </c>
      <c r="F172" s="188">
        <v>52</v>
      </c>
      <c r="G172" s="188">
        <v>33</v>
      </c>
      <c r="H172" s="188" t="s">
        <v>7922</v>
      </c>
      <c r="I172" s="188"/>
      <c r="J172" s="188"/>
    </row>
    <row r="173" spans="1:10">
      <c r="A173" s="188" t="s">
        <v>7896</v>
      </c>
      <c r="B173" s="188" t="s">
        <v>3633</v>
      </c>
      <c r="C173" s="188" t="s">
        <v>3636</v>
      </c>
      <c r="D173" s="188" t="s">
        <v>3637</v>
      </c>
      <c r="E173" s="188" t="s">
        <v>200</v>
      </c>
      <c r="F173" s="188">
        <v>52</v>
      </c>
      <c r="G173" s="188">
        <v>33</v>
      </c>
      <c r="H173" s="188" t="s">
        <v>7922</v>
      </c>
      <c r="I173" s="188"/>
      <c r="J173" s="188"/>
    </row>
    <row r="174" spans="1:10">
      <c r="A174" s="188" t="s">
        <v>7896</v>
      </c>
      <c r="B174" s="188" t="s">
        <v>3633</v>
      </c>
      <c r="C174" s="188" t="s">
        <v>3638</v>
      </c>
      <c r="D174" s="188" t="s">
        <v>3639</v>
      </c>
      <c r="E174" s="188" t="s">
        <v>194</v>
      </c>
      <c r="F174" s="188">
        <v>52</v>
      </c>
      <c r="G174" s="188">
        <v>33</v>
      </c>
      <c r="H174" s="188" t="s">
        <v>7922</v>
      </c>
      <c r="I174" s="188"/>
      <c r="J174" s="188"/>
    </row>
    <row r="175" spans="1:10">
      <c r="A175" s="188" t="s">
        <v>7896</v>
      </c>
      <c r="B175" s="188" t="s">
        <v>3633</v>
      </c>
      <c r="C175" s="188" t="s">
        <v>3640</v>
      </c>
      <c r="D175" s="188" t="s">
        <v>3641</v>
      </c>
      <c r="E175" s="188" t="s">
        <v>7910</v>
      </c>
      <c r="F175" s="188">
        <v>52</v>
      </c>
      <c r="G175" s="188">
        <v>33</v>
      </c>
      <c r="H175" s="188" t="s">
        <v>7922</v>
      </c>
      <c r="I175" s="188"/>
      <c r="J175" s="188"/>
    </row>
    <row r="176" spans="1:10">
      <c r="A176" s="188" t="s">
        <v>7896</v>
      </c>
      <c r="B176" s="188" t="s">
        <v>3633</v>
      </c>
      <c r="C176" s="188" t="s">
        <v>3642</v>
      </c>
      <c r="D176" s="188" t="s">
        <v>3643</v>
      </c>
      <c r="E176" s="188" t="s">
        <v>40</v>
      </c>
      <c r="F176" s="188">
        <v>52</v>
      </c>
      <c r="G176" s="188">
        <v>33</v>
      </c>
      <c r="H176" s="188" t="s">
        <v>7922</v>
      </c>
      <c r="I176" s="188"/>
      <c r="J176" s="188"/>
    </row>
    <row r="177" spans="1:10">
      <c r="A177" s="188" t="s">
        <v>7896</v>
      </c>
      <c r="B177" s="188" t="s">
        <v>3633</v>
      </c>
      <c r="C177" s="188" t="s">
        <v>3644</v>
      </c>
      <c r="D177" s="188" t="s">
        <v>3645</v>
      </c>
      <c r="E177" s="188" t="s">
        <v>7907</v>
      </c>
      <c r="F177" s="188">
        <v>52</v>
      </c>
      <c r="G177" s="188">
        <v>33</v>
      </c>
      <c r="H177" s="188" t="s">
        <v>7922</v>
      </c>
      <c r="I177" s="188"/>
      <c r="J177" s="188"/>
    </row>
    <row r="178" spans="1:10">
      <c r="A178" s="188" t="s">
        <v>7896</v>
      </c>
      <c r="B178" s="188" t="s">
        <v>3633</v>
      </c>
      <c r="C178" s="188" t="s">
        <v>3646</v>
      </c>
      <c r="D178" s="188" t="s">
        <v>3647</v>
      </c>
      <c r="E178" s="188" t="s">
        <v>7917</v>
      </c>
      <c r="F178" s="188">
        <v>52</v>
      </c>
      <c r="G178" s="188">
        <v>33</v>
      </c>
      <c r="H178" s="188" t="s">
        <v>7922</v>
      </c>
      <c r="I178" s="188"/>
      <c r="J178" s="188"/>
    </row>
    <row r="179" spans="1:10">
      <c r="A179" s="188" t="s">
        <v>7896</v>
      </c>
      <c r="B179" s="188" t="s">
        <v>3633</v>
      </c>
      <c r="C179" s="188" t="s">
        <v>3648</v>
      </c>
      <c r="D179" s="188" t="s">
        <v>3649</v>
      </c>
      <c r="E179" s="188" t="s">
        <v>304</v>
      </c>
      <c r="F179" s="188">
        <v>52</v>
      </c>
      <c r="G179" s="188">
        <v>33</v>
      </c>
      <c r="H179" s="188" t="s">
        <v>7922</v>
      </c>
      <c r="I179" s="188"/>
      <c r="J179" s="188"/>
    </row>
    <row r="180" spans="1:10">
      <c r="A180" s="188" t="s">
        <v>7896</v>
      </c>
      <c r="B180" s="188" t="s">
        <v>3633</v>
      </c>
      <c r="C180" s="188" t="s">
        <v>3650</v>
      </c>
      <c r="D180" s="188" t="s">
        <v>3651</v>
      </c>
      <c r="E180" s="188" t="s">
        <v>7909</v>
      </c>
      <c r="F180" s="188">
        <v>52</v>
      </c>
      <c r="G180" s="188">
        <v>33</v>
      </c>
      <c r="H180" s="188" t="s">
        <v>7922</v>
      </c>
      <c r="I180" s="188"/>
      <c r="J180" s="188"/>
    </row>
    <row r="181" spans="1:10">
      <c r="A181" s="188" t="s">
        <v>7896</v>
      </c>
      <c r="B181" s="188" t="s">
        <v>3633</v>
      </c>
      <c r="C181" s="188" t="s">
        <v>3652</v>
      </c>
      <c r="D181" s="188" t="s">
        <v>3653</v>
      </c>
      <c r="E181" s="188" t="s">
        <v>3139</v>
      </c>
      <c r="F181" s="188">
        <v>52</v>
      </c>
      <c r="G181" s="188">
        <v>33</v>
      </c>
      <c r="H181" s="188" t="s">
        <v>7922</v>
      </c>
      <c r="I181" s="188"/>
      <c r="J181" s="188"/>
    </row>
    <row r="182" spans="1:10">
      <c r="A182" s="188" t="s">
        <v>7896</v>
      </c>
      <c r="B182" s="188" t="s">
        <v>3633</v>
      </c>
      <c r="C182" s="188" t="s">
        <v>3654</v>
      </c>
      <c r="D182" s="188" t="s">
        <v>3655</v>
      </c>
      <c r="E182" s="188" t="s">
        <v>52</v>
      </c>
      <c r="F182" s="188">
        <v>52</v>
      </c>
      <c r="G182" s="188">
        <v>33</v>
      </c>
      <c r="H182" s="188" t="s">
        <v>7922</v>
      </c>
      <c r="I182" s="188"/>
      <c r="J182" s="188"/>
    </row>
    <row r="183" spans="1:10">
      <c r="A183" s="188" t="s">
        <v>7896</v>
      </c>
      <c r="B183" s="188" t="s">
        <v>3633</v>
      </c>
      <c r="C183" s="188" t="s">
        <v>3656</v>
      </c>
      <c r="D183" s="188" t="s">
        <v>3657</v>
      </c>
      <c r="E183" s="188" t="s">
        <v>7899</v>
      </c>
      <c r="F183" s="188">
        <v>52</v>
      </c>
      <c r="G183" s="188">
        <v>33</v>
      </c>
      <c r="H183" s="188" t="s">
        <v>7922</v>
      </c>
      <c r="I183" s="188"/>
      <c r="J183" s="188"/>
    </row>
    <row r="184" spans="1:10">
      <c r="A184" s="188" t="s">
        <v>7896</v>
      </c>
      <c r="B184" s="188" t="s">
        <v>3633</v>
      </c>
      <c r="C184" s="188" t="s">
        <v>3658</v>
      </c>
      <c r="D184" s="188" t="s">
        <v>3659</v>
      </c>
      <c r="E184" s="188" t="s">
        <v>96</v>
      </c>
      <c r="F184" s="188">
        <v>52</v>
      </c>
      <c r="G184" s="188">
        <v>33</v>
      </c>
      <c r="H184" s="188" t="s">
        <v>7922</v>
      </c>
      <c r="I184" s="188"/>
      <c r="J184" s="188"/>
    </row>
    <row r="185" spans="1:10">
      <c r="A185" s="188" t="s">
        <v>7896</v>
      </c>
      <c r="B185" s="188" t="s">
        <v>3633</v>
      </c>
      <c r="C185" s="188" t="s">
        <v>3660</v>
      </c>
      <c r="D185" s="188" t="s">
        <v>3661</v>
      </c>
      <c r="E185" s="188" t="s">
        <v>58</v>
      </c>
      <c r="F185" s="188">
        <v>52</v>
      </c>
      <c r="G185" s="188">
        <v>33</v>
      </c>
      <c r="H185" s="188" t="s">
        <v>7922</v>
      </c>
      <c r="I185" s="188"/>
      <c r="J185" s="188"/>
    </row>
    <row r="186" spans="1:10">
      <c r="A186" s="188" t="s">
        <v>7896</v>
      </c>
      <c r="B186" s="188" t="s">
        <v>3633</v>
      </c>
      <c r="C186" s="188" t="s">
        <v>3662</v>
      </c>
      <c r="D186" s="188" t="s">
        <v>3663</v>
      </c>
      <c r="E186" s="188" t="s">
        <v>7900</v>
      </c>
      <c r="F186" s="188">
        <v>52</v>
      </c>
      <c r="G186" s="188">
        <v>33</v>
      </c>
      <c r="H186" s="188" t="s">
        <v>7922</v>
      </c>
      <c r="I186" s="188"/>
      <c r="J186" s="188"/>
    </row>
    <row r="187" spans="1:10">
      <c r="A187" s="188" t="s">
        <v>7896</v>
      </c>
      <c r="B187" s="188" t="s">
        <v>3633</v>
      </c>
      <c r="C187" s="188" t="s">
        <v>3664</v>
      </c>
      <c r="D187" s="188" t="s">
        <v>3665</v>
      </c>
      <c r="E187" s="188" t="s">
        <v>7905</v>
      </c>
      <c r="F187" s="188">
        <v>52</v>
      </c>
      <c r="G187" s="188">
        <v>33</v>
      </c>
      <c r="H187" s="188" t="s">
        <v>7922</v>
      </c>
      <c r="I187" s="188"/>
      <c r="J187" s="188"/>
    </row>
    <row r="188" spans="1:10">
      <c r="A188" s="188" t="s">
        <v>7896</v>
      </c>
      <c r="B188" s="188" t="s">
        <v>3633</v>
      </c>
      <c r="C188" s="188" t="s">
        <v>3666</v>
      </c>
      <c r="D188" s="188" t="s">
        <v>3667</v>
      </c>
      <c r="E188" s="188" t="s">
        <v>7898</v>
      </c>
      <c r="F188" s="188">
        <v>52</v>
      </c>
      <c r="G188" s="188">
        <v>33</v>
      </c>
      <c r="H188" s="188" t="s">
        <v>7922</v>
      </c>
      <c r="I188" s="188"/>
      <c r="J188" s="188"/>
    </row>
    <row r="189" spans="1:10">
      <c r="A189" s="188" t="s">
        <v>7896</v>
      </c>
      <c r="B189" s="188" t="s">
        <v>3633</v>
      </c>
      <c r="C189" s="188" t="s">
        <v>3668</v>
      </c>
      <c r="D189" s="188" t="s">
        <v>3669</v>
      </c>
      <c r="E189" s="188" t="s">
        <v>7918</v>
      </c>
      <c r="F189" s="188">
        <v>52</v>
      </c>
      <c r="G189" s="188">
        <v>33</v>
      </c>
      <c r="H189" s="188" t="s">
        <v>7922</v>
      </c>
      <c r="I189" s="188"/>
      <c r="J189" s="188"/>
    </row>
    <row r="190" spans="1:10">
      <c r="A190" s="188" t="s">
        <v>7896</v>
      </c>
      <c r="B190" s="188" t="s">
        <v>3633</v>
      </c>
      <c r="C190" s="188" t="s">
        <v>3670</v>
      </c>
      <c r="D190" s="188" t="s">
        <v>3671</v>
      </c>
      <c r="E190" s="188" t="s">
        <v>7908</v>
      </c>
      <c r="F190" s="188">
        <v>52</v>
      </c>
      <c r="G190" s="188">
        <v>33</v>
      </c>
      <c r="H190" s="188" t="s">
        <v>7922</v>
      </c>
      <c r="I190" s="188"/>
      <c r="J190" s="188"/>
    </row>
    <row r="191" spans="1:10">
      <c r="A191" s="188" t="s">
        <v>7896</v>
      </c>
      <c r="B191" s="188" t="s">
        <v>3633</v>
      </c>
      <c r="C191" s="188" t="s">
        <v>3672</v>
      </c>
      <c r="D191" s="188" t="s">
        <v>3673</v>
      </c>
      <c r="E191" s="188" t="s">
        <v>160</v>
      </c>
      <c r="F191" s="188">
        <v>52</v>
      </c>
      <c r="G191" s="188">
        <v>33</v>
      </c>
      <c r="H191" s="188" t="s">
        <v>7922</v>
      </c>
      <c r="I191" s="188"/>
      <c r="J191" s="188"/>
    </row>
    <row r="192" spans="1:10">
      <c r="A192" s="188" t="s">
        <v>7896</v>
      </c>
      <c r="B192" s="188" t="s">
        <v>3633</v>
      </c>
      <c r="C192" s="188" t="s">
        <v>3674</v>
      </c>
      <c r="D192" s="188" t="s">
        <v>3675</v>
      </c>
      <c r="E192" s="188" t="s">
        <v>3185</v>
      </c>
      <c r="F192" s="188">
        <v>52</v>
      </c>
      <c r="G192" s="188">
        <v>33</v>
      </c>
      <c r="H192" s="188" t="s">
        <v>7922</v>
      </c>
      <c r="I192" s="188"/>
      <c r="J192" s="188"/>
    </row>
    <row r="193" spans="1:10">
      <c r="A193" s="188" t="s">
        <v>7896</v>
      </c>
      <c r="B193" s="188" t="s">
        <v>3633</v>
      </c>
      <c r="C193" s="188" t="s">
        <v>3676</v>
      </c>
      <c r="D193" s="188" t="s">
        <v>3677</v>
      </c>
      <c r="E193" s="188" t="s">
        <v>7901</v>
      </c>
      <c r="F193" s="188">
        <v>56</v>
      </c>
      <c r="G193" s="188">
        <v>34</v>
      </c>
      <c r="H193" s="188" t="s">
        <v>7922</v>
      </c>
      <c r="I193" s="188"/>
      <c r="J193" s="188"/>
    </row>
    <row r="194" spans="1:10">
      <c r="A194" s="188" t="s">
        <v>7896</v>
      </c>
      <c r="B194" s="188" t="s">
        <v>3678</v>
      </c>
      <c r="C194" s="188" t="s">
        <v>3679</v>
      </c>
      <c r="D194" s="188" t="s">
        <v>3680</v>
      </c>
      <c r="E194" s="188" t="s">
        <v>366</v>
      </c>
      <c r="F194" s="188">
        <v>63</v>
      </c>
      <c r="G194" s="188">
        <v>50</v>
      </c>
      <c r="H194" s="188" t="s">
        <v>7923</v>
      </c>
      <c r="I194" s="188"/>
      <c r="J194" s="188"/>
    </row>
    <row r="195" spans="1:10">
      <c r="A195" s="188" t="s">
        <v>7896</v>
      </c>
      <c r="B195" s="188" t="s">
        <v>3678</v>
      </c>
      <c r="C195" s="188" t="s">
        <v>3681</v>
      </c>
      <c r="D195" s="188" t="s">
        <v>3682</v>
      </c>
      <c r="E195" s="188" t="s">
        <v>200</v>
      </c>
      <c r="F195" s="188">
        <v>63</v>
      </c>
      <c r="G195" s="188">
        <v>50</v>
      </c>
      <c r="H195" s="188" t="s">
        <v>7923</v>
      </c>
      <c r="I195" s="188"/>
      <c r="J195" s="188"/>
    </row>
    <row r="196" spans="1:10">
      <c r="A196" s="188" t="s">
        <v>7896</v>
      </c>
      <c r="B196" s="188" t="s">
        <v>3678</v>
      </c>
      <c r="C196" s="188" t="s">
        <v>3683</v>
      </c>
      <c r="D196" s="188" t="s">
        <v>3684</v>
      </c>
      <c r="E196" s="188" t="s">
        <v>160</v>
      </c>
      <c r="F196" s="188">
        <v>63</v>
      </c>
      <c r="G196" s="188">
        <v>50</v>
      </c>
      <c r="H196" s="188" t="s">
        <v>7923</v>
      </c>
      <c r="I196" s="188"/>
      <c r="J196" s="188"/>
    </row>
    <row r="197" spans="1:10">
      <c r="A197" s="188" t="s">
        <v>7896</v>
      </c>
      <c r="B197" s="188" t="s">
        <v>3678</v>
      </c>
      <c r="C197" s="188" t="s">
        <v>3685</v>
      </c>
      <c r="D197" s="188" t="s">
        <v>3686</v>
      </c>
      <c r="E197" s="188" t="s">
        <v>164</v>
      </c>
      <c r="F197" s="188">
        <v>63</v>
      </c>
      <c r="G197" s="188">
        <v>50</v>
      </c>
      <c r="H197" s="188" t="s">
        <v>7923</v>
      </c>
      <c r="I197" s="188"/>
      <c r="J197" s="188"/>
    </row>
    <row r="198" spans="1:10">
      <c r="A198" s="188" t="s">
        <v>7896</v>
      </c>
      <c r="B198" s="188" t="s">
        <v>3678</v>
      </c>
      <c r="C198" s="188" t="s">
        <v>3687</v>
      </c>
      <c r="D198" s="188" t="s">
        <v>3688</v>
      </c>
      <c r="E198" s="188" t="s">
        <v>7908</v>
      </c>
      <c r="F198" s="188">
        <v>63</v>
      </c>
      <c r="G198" s="188">
        <v>50</v>
      </c>
      <c r="H198" s="188" t="s">
        <v>7923</v>
      </c>
      <c r="I198" s="188"/>
      <c r="J198" s="188"/>
    </row>
    <row r="199" spans="1:10">
      <c r="A199" s="188" t="s">
        <v>7896</v>
      </c>
      <c r="B199" s="188" t="s">
        <v>3678</v>
      </c>
      <c r="C199" s="188" t="s">
        <v>3689</v>
      </c>
      <c r="D199" s="188" t="s">
        <v>3690</v>
      </c>
      <c r="E199" s="188" t="s">
        <v>7898</v>
      </c>
      <c r="F199" s="188">
        <v>63</v>
      </c>
      <c r="G199" s="188">
        <v>50</v>
      </c>
      <c r="H199" s="188" t="s">
        <v>7923</v>
      </c>
      <c r="I199" s="188"/>
      <c r="J199" s="188"/>
    </row>
    <row r="200" spans="1:10">
      <c r="A200" s="188" t="s">
        <v>7896</v>
      </c>
      <c r="B200" s="188" t="s">
        <v>3678</v>
      </c>
      <c r="C200" s="188" t="s">
        <v>3691</v>
      </c>
      <c r="D200" s="188" t="s">
        <v>3692</v>
      </c>
      <c r="E200" s="188" t="s">
        <v>7918</v>
      </c>
      <c r="F200" s="188">
        <v>63</v>
      </c>
      <c r="G200" s="188">
        <v>50</v>
      </c>
      <c r="H200" s="188" t="s">
        <v>7923</v>
      </c>
      <c r="I200" s="188"/>
      <c r="J200" s="188"/>
    </row>
    <row r="201" spans="1:10">
      <c r="A201" s="188" t="s">
        <v>7896</v>
      </c>
      <c r="B201" s="188" t="s">
        <v>3678</v>
      </c>
      <c r="C201" s="188" t="s">
        <v>3693</v>
      </c>
      <c r="D201" s="188" t="s">
        <v>3694</v>
      </c>
      <c r="E201" s="188" t="s">
        <v>7905</v>
      </c>
      <c r="F201" s="188">
        <v>63</v>
      </c>
      <c r="G201" s="188">
        <v>50</v>
      </c>
      <c r="H201" s="188" t="s">
        <v>7923</v>
      </c>
      <c r="I201" s="188"/>
      <c r="J201" s="188"/>
    </row>
    <row r="202" spans="1:10">
      <c r="A202" s="188" t="s">
        <v>7896</v>
      </c>
      <c r="B202" s="188" t="s">
        <v>3678</v>
      </c>
      <c r="C202" s="188" t="s">
        <v>3695</v>
      </c>
      <c r="D202" s="188" t="s">
        <v>3696</v>
      </c>
      <c r="E202" s="188" t="s">
        <v>7910</v>
      </c>
      <c r="F202" s="188">
        <v>63</v>
      </c>
      <c r="G202" s="188">
        <v>50</v>
      </c>
      <c r="H202" s="188" t="s">
        <v>7923</v>
      </c>
      <c r="I202" s="188"/>
      <c r="J202" s="188"/>
    </row>
    <row r="203" spans="1:10">
      <c r="A203" s="188" t="s">
        <v>7896</v>
      </c>
      <c r="B203" s="188" t="s">
        <v>3678</v>
      </c>
      <c r="C203" s="188" t="s">
        <v>3697</v>
      </c>
      <c r="D203" s="188" t="s">
        <v>3698</v>
      </c>
      <c r="E203" s="188" t="s">
        <v>52</v>
      </c>
      <c r="F203" s="188">
        <v>63</v>
      </c>
      <c r="G203" s="188">
        <v>50</v>
      </c>
      <c r="H203" s="188" t="s">
        <v>7923</v>
      </c>
      <c r="I203" s="188"/>
      <c r="J203" s="188"/>
    </row>
    <row r="204" spans="1:10">
      <c r="A204" s="188" t="s">
        <v>7896</v>
      </c>
      <c r="B204" s="188" t="s">
        <v>3678</v>
      </c>
      <c r="C204" s="188" t="s">
        <v>3699</v>
      </c>
      <c r="D204" s="188" t="s">
        <v>3700</v>
      </c>
      <c r="E204" s="188" t="s">
        <v>7899</v>
      </c>
      <c r="F204" s="188">
        <v>63</v>
      </c>
      <c r="G204" s="188">
        <v>50</v>
      </c>
      <c r="H204" s="188" t="s">
        <v>7923</v>
      </c>
      <c r="I204" s="188"/>
      <c r="J204" s="188"/>
    </row>
    <row r="205" spans="1:10">
      <c r="A205" s="188" t="s">
        <v>7896</v>
      </c>
      <c r="B205" s="188" t="s">
        <v>3678</v>
      </c>
      <c r="C205" s="188" t="s">
        <v>3701</v>
      </c>
      <c r="D205" s="188" t="s">
        <v>3702</v>
      </c>
      <c r="E205" s="188" t="s">
        <v>58</v>
      </c>
      <c r="F205" s="188">
        <v>63</v>
      </c>
      <c r="G205" s="188">
        <v>50</v>
      </c>
      <c r="H205" s="188" t="s">
        <v>7923</v>
      </c>
      <c r="I205" s="188"/>
      <c r="J205" s="188"/>
    </row>
    <row r="206" spans="1:10">
      <c r="A206" s="188" t="s">
        <v>7896</v>
      </c>
      <c r="B206" s="188" t="s">
        <v>3678</v>
      </c>
      <c r="C206" s="188" t="s">
        <v>3703</v>
      </c>
      <c r="D206" s="188" t="s">
        <v>3704</v>
      </c>
      <c r="E206" s="188" t="s">
        <v>7910</v>
      </c>
      <c r="F206" s="188">
        <v>63</v>
      </c>
      <c r="G206" s="188">
        <v>50</v>
      </c>
      <c r="H206" s="188" t="s">
        <v>7923</v>
      </c>
      <c r="I206" s="188"/>
      <c r="J206" s="188"/>
    </row>
    <row r="207" spans="1:10">
      <c r="A207" s="188" t="s">
        <v>7896</v>
      </c>
      <c r="B207" s="188" t="s">
        <v>3678</v>
      </c>
      <c r="C207" s="188" t="s">
        <v>3705</v>
      </c>
      <c r="D207" s="188" t="s">
        <v>3706</v>
      </c>
      <c r="E207" s="188" t="s">
        <v>7907</v>
      </c>
      <c r="F207" s="188">
        <v>63</v>
      </c>
      <c r="G207" s="188">
        <v>50</v>
      </c>
      <c r="H207" s="188" t="s">
        <v>7923</v>
      </c>
      <c r="I207" s="188"/>
      <c r="J207" s="188"/>
    </row>
    <row r="208" spans="1:10">
      <c r="A208" s="188" t="s">
        <v>7896</v>
      </c>
      <c r="B208" s="188" t="s">
        <v>3678</v>
      </c>
      <c r="C208" s="188" t="s">
        <v>3707</v>
      </c>
      <c r="D208" s="188" t="s">
        <v>3708</v>
      </c>
      <c r="E208" s="188" t="s">
        <v>3179</v>
      </c>
      <c r="F208" s="188">
        <v>63</v>
      </c>
      <c r="G208" s="188">
        <v>50</v>
      </c>
      <c r="H208" s="188" t="s">
        <v>7923</v>
      </c>
      <c r="I208" s="188" t="s">
        <v>7924</v>
      </c>
      <c r="J208" s="188"/>
    </row>
    <row r="209" spans="1:10">
      <c r="A209" s="188" t="s">
        <v>7896</v>
      </c>
      <c r="B209" s="188" t="s">
        <v>3678</v>
      </c>
      <c r="C209" s="188" t="s">
        <v>3709</v>
      </c>
      <c r="D209" s="188" t="s">
        <v>3710</v>
      </c>
      <c r="E209" s="188" t="s">
        <v>366</v>
      </c>
      <c r="F209" s="188">
        <v>63</v>
      </c>
      <c r="G209" s="188">
        <v>50</v>
      </c>
      <c r="H209" s="188" t="s">
        <v>7923</v>
      </c>
      <c r="I209" s="188"/>
      <c r="J209" s="188"/>
    </row>
    <row r="210" spans="1:10">
      <c r="A210" s="190" t="s">
        <v>7925</v>
      </c>
      <c r="B210" s="190" t="s">
        <v>3712</v>
      </c>
      <c r="C210" s="190" t="s">
        <v>3713</v>
      </c>
      <c r="D210" s="190" t="s">
        <v>3290</v>
      </c>
      <c r="E210" s="190"/>
      <c r="F210" s="190">
        <v>50</v>
      </c>
      <c r="G210" s="190">
        <v>28</v>
      </c>
      <c r="H210" s="190" t="s">
        <v>7926</v>
      </c>
      <c r="I210" s="190"/>
      <c r="J210" s="190"/>
    </row>
    <row r="211" spans="1:10">
      <c r="A211" s="190" t="s">
        <v>7925</v>
      </c>
      <c r="B211" s="190" t="s">
        <v>3712</v>
      </c>
      <c r="C211" s="190" t="s">
        <v>3714</v>
      </c>
      <c r="D211" s="190" t="s">
        <v>3715</v>
      </c>
      <c r="E211" s="190" t="s">
        <v>172</v>
      </c>
      <c r="F211" s="190">
        <v>67</v>
      </c>
      <c r="G211" s="190">
        <v>25</v>
      </c>
      <c r="H211" s="190" t="s">
        <v>7926</v>
      </c>
      <c r="I211" s="190"/>
      <c r="J211" s="190"/>
    </row>
    <row r="212" spans="1:10">
      <c r="A212" s="190" t="s">
        <v>7925</v>
      </c>
      <c r="B212" s="190" t="s">
        <v>3712</v>
      </c>
      <c r="C212" s="190" t="s">
        <v>3716</v>
      </c>
      <c r="D212" s="190" t="s">
        <v>3717</v>
      </c>
      <c r="E212" s="190" t="s">
        <v>7903</v>
      </c>
      <c r="F212" s="190">
        <v>67</v>
      </c>
      <c r="G212" s="190">
        <v>25</v>
      </c>
      <c r="H212" s="190" t="s">
        <v>7926</v>
      </c>
      <c r="I212" s="190"/>
      <c r="J212" s="190"/>
    </row>
    <row r="213" spans="1:10">
      <c r="A213" s="190" t="s">
        <v>7925</v>
      </c>
      <c r="B213" s="190" t="s">
        <v>3712</v>
      </c>
      <c r="C213" s="190" t="s">
        <v>3718</v>
      </c>
      <c r="D213" s="190" t="s">
        <v>3719</v>
      </c>
      <c r="E213" s="190" t="s">
        <v>7910</v>
      </c>
      <c r="F213" s="190">
        <v>67</v>
      </c>
      <c r="G213" s="190">
        <v>25</v>
      </c>
      <c r="H213" s="190" t="s">
        <v>7926</v>
      </c>
      <c r="I213" s="190"/>
      <c r="J213" s="190"/>
    </row>
    <row r="214" spans="1:10">
      <c r="A214" s="190" t="s">
        <v>7925</v>
      </c>
      <c r="B214" s="190" t="s">
        <v>3712</v>
      </c>
      <c r="C214" s="190" t="s">
        <v>3720</v>
      </c>
      <c r="D214" s="190" t="s">
        <v>3721</v>
      </c>
      <c r="E214" s="190" t="s">
        <v>366</v>
      </c>
      <c r="F214" s="190">
        <v>67</v>
      </c>
      <c r="G214" s="190">
        <v>25</v>
      </c>
      <c r="H214" s="190" t="s">
        <v>7926</v>
      </c>
      <c r="I214" s="190"/>
      <c r="J214" s="190"/>
    </row>
    <row r="215" spans="1:10">
      <c r="A215" s="190" t="s">
        <v>7925</v>
      </c>
      <c r="B215" s="190" t="s">
        <v>3712</v>
      </c>
      <c r="C215" s="190" t="s">
        <v>3722</v>
      </c>
      <c r="D215" s="190" t="s">
        <v>3723</v>
      </c>
      <c r="E215" s="190" t="s">
        <v>90</v>
      </c>
      <c r="F215" s="190">
        <v>67</v>
      </c>
      <c r="G215" s="190">
        <v>25</v>
      </c>
      <c r="H215" s="190" t="s">
        <v>7926</v>
      </c>
      <c r="I215" s="190"/>
      <c r="J215" s="190"/>
    </row>
    <row r="216" spans="1:10">
      <c r="A216" s="190" t="s">
        <v>7925</v>
      </c>
      <c r="B216" s="190" t="s">
        <v>3712</v>
      </c>
      <c r="C216" s="190" t="s">
        <v>3724</v>
      </c>
      <c r="D216" s="190" t="s">
        <v>3725</v>
      </c>
      <c r="E216" s="190" t="s">
        <v>154</v>
      </c>
      <c r="F216" s="190">
        <v>67</v>
      </c>
      <c r="G216" s="190">
        <v>25</v>
      </c>
      <c r="H216" s="190" t="s">
        <v>7926</v>
      </c>
      <c r="I216" s="190"/>
      <c r="J216" s="190"/>
    </row>
    <row r="217" spans="1:10">
      <c r="A217" s="190" t="s">
        <v>7925</v>
      </c>
      <c r="B217" s="190" t="s">
        <v>3712</v>
      </c>
      <c r="C217" s="190" t="s">
        <v>3726</v>
      </c>
      <c r="D217" s="190" t="s">
        <v>3727</v>
      </c>
      <c r="E217" s="190" t="s">
        <v>48</v>
      </c>
      <c r="F217" s="190">
        <v>67</v>
      </c>
      <c r="G217" s="190">
        <v>25</v>
      </c>
      <c r="H217" s="190" t="s">
        <v>7926</v>
      </c>
      <c r="I217" s="190"/>
      <c r="J217" s="190"/>
    </row>
    <row r="218" spans="1:10">
      <c r="A218" s="190" t="s">
        <v>7925</v>
      </c>
      <c r="B218" s="190" t="s">
        <v>3712</v>
      </c>
      <c r="C218" s="190" t="s">
        <v>3728</v>
      </c>
      <c r="D218" s="190" t="s">
        <v>3729</v>
      </c>
      <c r="E218" s="190" t="s">
        <v>330</v>
      </c>
      <c r="F218" s="190">
        <v>67</v>
      </c>
      <c r="G218" s="190">
        <v>25</v>
      </c>
      <c r="H218" s="190" t="s">
        <v>7926</v>
      </c>
      <c r="I218" s="190"/>
      <c r="J218" s="190"/>
    </row>
    <row r="219" spans="1:10">
      <c r="A219" s="190" t="s">
        <v>7925</v>
      </c>
      <c r="B219" s="190" t="s">
        <v>3712</v>
      </c>
      <c r="C219" s="190" t="s">
        <v>3730</v>
      </c>
      <c r="D219" s="190" t="s">
        <v>3731</v>
      </c>
      <c r="E219" s="190" t="s">
        <v>3198</v>
      </c>
      <c r="F219" s="190">
        <v>67</v>
      </c>
      <c r="G219" s="190">
        <v>25</v>
      </c>
      <c r="H219" s="190" t="s">
        <v>7926</v>
      </c>
      <c r="I219" s="190"/>
      <c r="J219" s="190"/>
    </row>
    <row r="220" spans="1:10">
      <c r="A220" s="190" t="s">
        <v>7925</v>
      </c>
      <c r="B220" s="190" t="s">
        <v>3712</v>
      </c>
      <c r="C220" s="190" t="s">
        <v>3732</v>
      </c>
      <c r="D220" s="190" t="s">
        <v>3310</v>
      </c>
      <c r="E220" s="190" t="s">
        <v>3206</v>
      </c>
      <c r="F220" s="190">
        <v>67</v>
      </c>
      <c r="G220" s="190">
        <v>25</v>
      </c>
      <c r="H220" s="190" t="s">
        <v>7926</v>
      </c>
      <c r="I220" s="190"/>
      <c r="J220" s="190"/>
    </row>
    <row r="221" spans="1:10">
      <c r="A221" s="190" t="s">
        <v>7925</v>
      </c>
      <c r="B221" s="190" t="s">
        <v>3712</v>
      </c>
      <c r="C221" s="190" t="s">
        <v>3733</v>
      </c>
      <c r="D221" s="190" t="s">
        <v>3734</v>
      </c>
      <c r="E221" s="190" t="s">
        <v>7900</v>
      </c>
      <c r="F221" s="190">
        <v>67</v>
      </c>
      <c r="G221" s="190">
        <v>25</v>
      </c>
      <c r="H221" s="190" t="s">
        <v>7926</v>
      </c>
      <c r="I221" s="190"/>
      <c r="J221" s="190"/>
    </row>
    <row r="222" spans="1:10">
      <c r="A222" s="190" t="s">
        <v>7925</v>
      </c>
      <c r="B222" s="190" t="s">
        <v>3712</v>
      </c>
      <c r="C222" s="190" t="s">
        <v>3735</v>
      </c>
      <c r="D222" s="190" t="s">
        <v>3736</v>
      </c>
      <c r="E222" s="190" t="s">
        <v>3200</v>
      </c>
      <c r="F222" s="190">
        <v>67</v>
      </c>
      <c r="G222" s="190">
        <v>25</v>
      </c>
      <c r="H222" s="190" t="s">
        <v>7926</v>
      </c>
      <c r="I222" s="190"/>
      <c r="J222" s="190"/>
    </row>
    <row r="223" spans="1:10">
      <c r="A223" s="190" t="s">
        <v>7925</v>
      </c>
      <c r="B223" s="190" t="s">
        <v>3712</v>
      </c>
      <c r="C223" s="190" t="s">
        <v>3737</v>
      </c>
      <c r="D223" s="190" t="s">
        <v>3738</v>
      </c>
      <c r="E223" s="190" t="s">
        <v>150</v>
      </c>
      <c r="F223" s="190">
        <v>67</v>
      </c>
      <c r="G223" s="190">
        <v>25</v>
      </c>
      <c r="H223" s="190" t="s">
        <v>7926</v>
      </c>
      <c r="I223" s="190"/>
      <c r="J223" s="190"/>
    </row>
    <row r="224" spans="1:10">
      <c r="A224" s="190" t="s">
        <v>7925</v>
      </c>
      <c r="B224" s="190" t="s">
        <v>3712</v>
      </c>
      <c r="C224" s="190" t="s">
        <v>3739</v>
      </c>
      <c r="D224" s="190" t="s">
        <v>3740</v>
      </c>
      <c r="E224" s="190" t="s">
        <v>58</v>
      </c>
      <c r="F224" s="190">
        <v>67</v>
      </c>
      <c r="G224" s="190">
        <v>25</v>
      </c>
      <c r="H224" s="190" t="s">
        <v>7926</v>
      </c>
      <c r="I224" s="190"/>
      <c r="J224" s="190"/>
    </row>
    <row r="225" spans="1:10">
      <c r="A225" s="190" t="s">
        <v>7925</v>
      </c>
      <c r="B225" s="190" t="s">
        <v>3712</v>
      </c>
      <c r="C225" s="190" t="s">
        <v>3741</v>
      </c>
      <c r="D225" s="190" t="s">
        <v>3742</v>
      </c>
      <c r="E225" s="190" t="s">
        <v>7918</v>
      </c>
      <c r="F225" s="190">
        <v>67</v>
      </c>
      <c r="G225" s="190">
        <v>25</v>
      </c>
      <c r="H225" s="190" t="s">
        <v>7926</v>
      </c>
      <c r="I225" s="190"/>
      <c r="J225" s="190"/>
    </row>
    <row r="226" spans="1:10">
      <c r="A226" s="190" t="s">
        <v>7925</v>
      </c>
      <c r="B226" s="190" t="s">
        <v>3712</v>
      </c>
      <c r="C226" s="190" t="s">
        <v>3743</v>
      </c>
      <c r="D226" s="190" t="s">
        <v>3326</v>
      </c>
      <c r="E226" s="190" t="s">
        <v>304</v>
      </c>
      <c r="F226" s="190">
        <v>67</v>
      </c>
      <c r="G226" s="190">
        <v>25</v>
      </c>
      <c r="H226" s="190" t="s">
        <v>7926</v>
      </c>
      <c r="I226" s="190"/>
      <c r="J226" s="190"/>
    </row>
    <row r="227" spans="1:10">
      <c r="A227" s="190" t="s">
        <v>7925</v>
      </c>
      <c r="B227" s="190" t="s">
        <v>3712</v>
      </c>
      <c r="C227" s="190" t="s">
        <v>3744</v>
      </c>
      <c r="D227" s="190" t="s">
        <v>3745</v>
      </c>
      <c r="E227" s="190" t="s">
        <v>7919</v>
      </c>
      <c r="F227" s="190">
        <v>67</v>
      </c>
      <c r="G227" s="190">
        <v>25</v>
      </c>
      <c r="H227" s="190" t="s">
        <v>7926</v>
      </c>
      <c r="I227" s="190"/>
      <c r="J227" s="190"/>
    </row>
    <row r="228" spans="1:10">
      <c r="A228" s="190" t="s">
        <v>7925</v>
      </c>
      <c r="B228" s="190" t="s">
        <v>3712</v>
      </c>
      <c r="C228" s="190" t="s">
        <v>3746</v>
      </c>
      <c r="D228" s="190" t="s">
        <v>3747</v>
      </c>
      <c r="E228" s="190" t="s">
        <v>3222</v>
      </c>
      <c r="F228" s="190">
        <v>67</v>
      </c>
      <c r="G228" s="190">
        <v>25</v>
      </c>
      <c r="H228" s="190" t="s">
        <v>7926</v>
      </c>
      <c r="I228" s="190"/>
      <c r="J228" s="190"/>
    </row>
    <row r="229" spans="1:10">
      <c r="A229" s="190" t="s">
        <v>7925</v>
      </c>
      <c r="B229" s="190" t="s">
        <v>3712</v>
      </c>
      <c r="C229" s="190" t="s">
        <v>3748</v>
      </c>
      <c r="D229" s="190" t="s">
        <v>3749</v>
      </c>
      <c r="E229" s="190" t="s">
        <v>3210</v>
      </c>
      <c r="F229" s="190">
        <v>67</v>
      </c>
      <c r="G229" s="190">
        <v>25</v>
      </c>
      <c r="H229" s="190" t="s">
        <v>7926</v>
      </c>
      <c r="I229" s="190"/>
      <c r="J229" s="190"/>
    </row>
    <row r="230" spans="1:10">
      <c r="A230" s="190" t="s">
        <v>7925</v>
      </c>
      <c r="B230" s="190" t="s">
        <v>3712</v>
      </c>
      <c r="C230" s="190" t="s">
        <v>3750</v>
      </c>
      <c r="D230" s="190" t="s">
        <v>3332</v>
      </c>
      <c r="E230" s="190" t="s">
        <v>7898</v>
      </c>
      <c r="F230" s="190">
        <v>67</v>
      </c>
      <c r="G230" s="190">
        <v>25</v>
      </c>
      <c r="H230" s="190" t="s">
        <v>7926</v>
      </c>
      <c r="I230" s="190"/>
      <c r="J230" s="190"/>
    </row>
    <row r="231" spans="1:10">
      <c r="A231" s="190" t="s">
        <v>7925</v>
      </c>
      <c r="B231" s="190" t="s">
        <v>3712</v>
      </c>
      <c r="C231" s="190" t="s">
        <v>3751</v>
      </c>
      <c r="D231" s="190" t="s">
        <v>3752</v>
      </c>
      <c r="E231" s="190" t="s">
        <v>7901</v>
      </c>
      <c r="F231" s="190">
        <v>67</v>
      </c>
      <c r="G231" s="190">
        <v>25</v>
      </c>
      <c r="H231" s="190" t="s">
        <v>7926</v>
      </c>
      <c r="I231" s="190"/>
      <c r="J231" s="190"/>
    </row>
    <row r="232" spans="1:10">
      <c r="A232" s="190" t="s">
        <v>7925</v>
      </c>
      <c r="B232" s="190" t="s">
        <v>3712</v>
      </c>
      <c r="C232" s="190" t="s">
        <v>3753</v>
      </c>
      <c r="D232" s="190" t="s">
        <v>3754</v>
      </c>
      <c r="E232" s="190" t="s">
        <v>3230</v>
      </c>
      <c r="F232" s="190">
        <v>67</v>
      </c>
      <c r="G232" s="190">
        <v>25</v>
      </c>
      <c r="H232" s="190" t="s">
        <v>7926</v>
      </c>
      <c r="I232" s="190" t="s">
        <v>7927</v>
      </c>
      <c r="J232" s="190"/>
    </row>
    <row r="233" spans="1:10">
      <c r="A233" s="190" t="s">
        <v>7925</v>
      </c>
      <c r="B233" s="190" t="s">
        <v>3755</v>
      </c>
      <c r="C233" s="190" t="s">
        <v>3756</v>
      </c>
      <c r="D233" s="191" t="s">
        <v>3341</v>
      </c>
      <c r="E233" s="190"/>
      <c r="F233" s="190">
        <v>43</v>
      </c>
      <c r="G233" s="190">
        <v>50</v>
      </c>
      <c r="H233" s="190" t="s">
        <v>7928</v>
      </c>
      <c r="I233" s="190"/>
      <c r="J233" s="190"/>
    </row>
    <row r="234" spans="1:10">
      <c r="A234" s="190" t="s">
        <v>7925</v>
      </c>
      <c r="B234" s="190" t="s">
        <v>3755</v>
      </c>
      <c r="C234" s="190" t="s">
        <v>3757</v>
      </c>
      <c r="D234" s="190" t="s">
        <v>3758</v>
      </c>
      <c r="E234" s="190" t="s">
        <v>172</v>
      </c>
      <c r="F234" s="190">
        <v>51</v>
      </c>
      <c r="G234" s="190">
        <v>37</v>
      </c>
      <c r="H234" s="190" t="s">
        <v>7928</v>
      </c>
      <c r="I234" s="190"/>
      <c r="J234" s="190"/>
    </row>
    <row r="235" spans="1:10">
      <c r="A235" s="190" t="s">
        <v>7925</v>
      </c>
      <c r="B235" s="190" t="s">
        <v>3755</v>
      </c>
      <c r="C235" s="190" t="s">
        <v>3759</v>
      </c>
      <c r="D235" s="190" t="s">
        <v>3760</v>
      </c>
      <c r="E235" s="190" t="s">
        <v>7903</v>
      </c>
      <c r="F235" s="190">
        <v>51</v>
      </c>
      <c r="G235" s="190">
        <v>37</v>
      </c>
      <c r="H235" s="190" t="s">
        <v>7928</v>
      </c>
      <c r="I235" s="190"/>
      <c r="J235" s="190"/>
    </row>
    <row r="236" spans="1:10">
      <c r="A236" s="190" t="s">
        <v>7925</v>
      </c>
      <c r="B236" s="190" t="s">
        <v>3755</v>
      </c>
      <c r="C236" s="190" t="s">
        <v>3761</v>
      </c>
      <c r="D236" s="190" t="s">
        <v>3762</v>
      </c>
      <c r="E236" s="190" t="s">
        <v>7910</v>
      </c>
      <c r="F236" s="190">
        <v>51</v>
      </c>
      <c r="G236" s="190">
        <v>37</v>
      </c>
      <c r="H236" s="190" t="s">
        <v>7928</v>
      </c>
      <c r="I236" s="190"/>
      <c r="J236" s="190"/>
    </row>
    <row r="237" spans="1:10">
      <c r="A237" s="190" t="s">
        <v>7925</v>
      </c>
      <c r="B237" s="190" t="s">
        <v>3755</v>
      </c>
      <c r="C237" s="190" t="s">
        <v>3763</v>
      </c>
      <c r="D237" s="190" t="s">
        <v>3349</v>
      </c>
      <c r="E237" s="190" t="s">
        <v>304</v>
      </c>
      <c r="F237" s="190">
        <v>51</v>
      </c>
      <c r="G237" s="190">
        <v>37</v>
      </c>
      <c r="H237" s="190" t="s">
        <v>7928</v>
      </c>
      <c r="I237" s="190"/>
      <c r="J237" s="190"/>
    </row>
    <row r="238" spans="1:10">
      <c r="A238" s="190" t="s">
        <v>7925</v>
      </c>
      <c r="B238" s="190" t="s">
        <v>3755</v>
      </c>
      <c r="C238" s="190" t="s">
        <v>3764</v>
      </c>
      <c r="D238" s="190" t="s">
        <v>3765</v>
      </c>
      <c r="E238" s="190" t="s">
        <v>150</v>
      </c>
      <c r="F238" s="190">
        <v>51</v>
      </c>
      <c r="G238" s="190">
        <v>37</v>
      </c>
      <c r="H238" s="190" t="s">
        <v>7928</v>
      </c>
      <c r="I238" s="190"/>
      <c r="J238" s="190"/>
    </row>
    <row r="239" spans="1:10">
      <c r="A239" s="190" t="s">
        <v>7925</v>
      </c>
      <c r="B239" s="190" t="s">
        <v>3755</v>
      </c>
      <c r="C239" s="190" t="s">
        <v>3766</v>
      </c>
      <c r="D239" s="190" t="s">
        <v>3767</v>
      </c>
      <c r="E239" s="190" t="s">
        <v>154</v>
      </c>
      <c r="F239" s="190">
        <v>51</v>
      </c>
      <c r="G239" s="190">
        <v>37</v>
      </c>
      <c r="H239" s="190" t="s">
        <v>7928</v>
      </c>
      <c r="I239" s="190"/>
      <c r="J239" s="190"/>
    </row>
    <row r="240" spans="1:10">
      <c r="A240" s="190" t="s">
        <v>7925</v>
      </c>
      <c r="B240" s="190" t="s">
        <v>3755</v>
      </c>
      <c r="C240" s="190" t="s">
        <v>3768</v>
      </c>
      <c r="D240" s="190" t="s">
        <v>3355</v>
      </c>
      <c r="E240" s="190" t="s">
        <v>52</v>
      </c>
      <c r="F240" s="190">
        <v>51</v>
      </c>
      <c r="G240" s="190">
        <v>37</v>
      </c>
      <c r="H240" s="190" t="s">
        <v>7928</v>
      </c>
      <c r="I240" s="190"/>
      <c r="J240" s="190"/>
    </row>
    <row r="241" spans="1:10">
      <c r="A241" s="190" t="s">
        <v>7925</v>
      </c>
      <c r="B241" s="190" t="s">
        <v>3755</v>
      </c>
      <c r="C241" s="190" t="s">
        <v>3769</v>
      </c>
      <c r="D241" s="190" t="s">
        <v>3357</v>
      </c>
      <c r="E241" s="190" t="s">
        <v>304</v>
      </c>
      <c r="F241" s="190">
        <v>51</v>
      </c>
      <c r="G241" s="190">
        <v>37</v>
      </c>
      <c r="H241" s="190" t="s">
        <v>7928</v>
      </c>
      <c r="I241" s="190"/>
      <c r="J241" s="190"/>
    </row>
    <row r="242" spans="1:10">
      <c r="A242" s="190" t="s">
        <v>7925</v>
      </c>
      <c r="B242" s="190" t="s">
        <v>3755</v>
      </c>
      <c r="C242" s="190" t="s">
        <v>3770</v>
      </c>
      <c r="D242" s="190" t="s">
        <v>3771</v>
      </c>
      <c r="E242" s="190" t="s">
        <v>330</v>
      </c>
      <c r="F242" s="190">
        <v>51</v>
      </c>
      <c r="G242" s="190">
        <v>37</v>
      </c>
      <c r="H242" s="190" t="s">
        <v>7928</v>
      </c>
      <c r="I242" s="190"/>
      <c r="J242" s="190"/>
    </row>
    <row r="243" spans="1:10">
      <c r="A243" s="190" t="s">
        <v>7925</v>
      </c>
      <c r="B243" s="190" t="s">
        <v>3755</v>
      </c>
      <c r="C243" s="190" t="s">
        <v>3772</v>
      </c>
      <c r="D243" s="190" t="s">
        <v>3773</v>
      </c>
      <c r="E243" s="190" t="s">
        <v>7899</v>
      </c>
      <c r="F243" s="190">
        <v>51</v>
      </c>
      <c r="G243" s="190">
        <v>37</v>
      </c>
      <c r="H243" s="190" t="s">
        <v>7928</v>
      </c>
      <c r="I243" s="190"/>
      <c r="J243" s="190"/>
    </row>
    <row r="244" spans="1:10">
      <c r="A244" s="190" t="s">
        <v>7925</v>
      </c>
      <c r="B244" s="190" t="s">
        <v>3755</v>
      </c>
      <c r="C244" s="190" t="s">
        <v>3774</v>
      </c>
      <c r="D244" s="190" t="s">
        <v>3775</v>
      </c>
      <c r="E244" s="190" t="s">
        <v>7900</v>
      </c>
      <c r="F244" s="190">
        <v>51</v>
      </c>
      <c r="G244" s="190">
        <v>37</v>
      </c>
      <c r="H244" s="190" t="s">
        <v>7928</v>
      </c>
      <c r="I244" s="190"/>
      <c r="J244" s="190"/>
    </row>
    <row r="245" spans="1:10">
      <c r="A245" s="190" t="s">
        <v>7925</v>
      </c>
      <c r="B245" s="190" t="s">
        <v>3755</v>
      </c>
      <c r="C245" s="190" t="s">
        <v>3776</v>
      </c>
      <c r="D245" s="190" t="s">
        <v>3777</v>
      </c>
      <c r="E245" s="190" t="s">
        <v>7905</v>
      </c>
      <c r="F245" s="190">
        <v>51</v>
      </c>
      <c r="G245" s="190">
        <v>37</v>
      </c>
      <c r="H245" s="190" t="s">
        <v>7928</v>
      </c>
      <c r="I245" s="190"/>
      <c r="J245" s="190"/>
    </row>
    <row r="246" spans="1:10">
      <c r="A246" s="190" t="s">
        <v>7925</v>
      </c>
      <c r="B246" s="190" t="s">
        <v>3755</v>
      </c>
      <c r="C246" s="190" t="s">
        <v>3778</v>
      </c>
      <c r="D246" s="190" t="s">
        <v>3779</v>
      </c>
      <c r="E246" s="190" t="s">
        <v>366</v>
      </c>
      <c r="F246" s="190">
        <v>51</v>
      </c>
      <c r="G246" s="190">
        <v>37</v>
      </c>
      <c r="H246" s="190" t="s">
        <v>7928</v>
      </c>
      <c r="I246" s="190"/>
      <c r="J246" s="190"/>
    </row>
    <row r="247" spans="1:10">
      <c r="A247" s="190" t="s">
        <v>7925</v>
      </c>
      <c r="B247" s="190" t="s">
        <v>3755</v>
      </c>
      <c r="C247" s="190" t="s">
        <v>3780</v>
      </c>
      <c r="D247" s="190" t="s">
        <v>3781</v>
      </c>
      <c r="E247" s="190" t="s">
        <v>144</v>
      </c>
      <c r="F247" s="190">
        <v>51</v>
      </c>
      <c r="G247" s="190">
        <v>37</v>
      </c>
      <c r="H247" s="190" t="s">
        <v>7928</v>
      </c>
      <c r="I247" s="190"/>
      <c r="J247" s="190"/>
    </row>
    <row r="248" spans="1:10">
      <c r="A248" s="190" t="s">
        <v>7925</v>
      </c>
      <c r="B248" s="190" t="s">
        <v>3755</v>
      </c>
      <c r="C248" s="190" t="s">
        <v>3782</v>
      </c>
      <c r="D248" s="190" t="s">
        <v>3783</v>
      </c>
      <c r="E248" s="190" t="s">
        <v>7898</v>
      </c>
      <c r="F248" s="190">
        <v>51</v>
      </c>
      <c r="G248" s="190">
        <v>37</v>
      </c>
      <c r="H248" s="190" t="s">
        <v>7928</v>
      </c>
      <c r="I248" s="190"/>
      <c r="J248" s="190"/>
    </row>
    <row r="249" spans="1:10">
      <c r="A249" s="190" t="s">
        <v>7925</v>
      </c>
      <c r="B249" s="190" t="s">
        <v>3755</v>
      </c>
      <c r="C249" s="190" t="s">
        <v>3784</v>
      </c>
      <c r="D249" s="190" t="s">
        <v>3785</v>
      </c>
      <c r="E249" s="190" t="s">
        <v>7918</v>
      </c>
      <c r="F249" s="190">
        <v>51</v>
      </c>
      <c r="G249" s="190">
        <v>37</v>
      </c>
      <c r="H249" s="190" t="s">
        <v>7928</v>
      </c>
      <c r="I249" s="190"/>
      <c r="J249" s="190"/>
    </row>
    <row r="250" spans="1:10">
      <c r="A250" s="190" t="s">
        <v>7925</v>
      </c>
      <c r="B250" s="190" t="s">
        <v>3755</v>
      </c>
      <c r="C250" s="190" t="s">
        <v>3786</v>
      </c>
      <c r="D250" s="190" t="s">
        <v>3787</v>
      </c>
      <c r="E250" s="190" t="s">
        <v>7901</v>
      </c>
      <c r="F250" s="190">
        <v>51</v>
      </c>
      <c r="G250" s="190">
        <v>37</v>
      </c>
      <c r="H250" s="190" t="s">
        <v>7928</v>
      </c>
      <c r="I250" s="190"/>
      <c r="J250" s="190"/>
    </row>
    <row r="251" spans="1:10">
      <c r="A251" s="190" t="s">
        <v>7925</v>
      </c>
      <c r="B251" s="190" t="s">
        <v>3755</v>
      </c>
      <c r="C251" s="190" t="s">
        <v>3788</v>
      </c>
      <c r="D251" s="190" t="s">
        <v>3789</v>
      </c>
      <c r="E251" s="190" t="s">
        <v>3232</v>
      </c>
      <c r="F251" s="190">
        <v>51</v>
      </c>
      <c r="G251" s="190">
        <v>37</v>
      </c>
      <c r="H251" s="190" t="s">
        <v>7928</v>
      </c>
      <c r="I251" s="190"/>
      <c r="J251" s="190"/>
    </row>
    <row r="252" spans="1:10">
      <c r="A252" s="190" t="s">
        <v>7925</v>
      </c>
      <c r="B252" s="190" t="s">
        <v>3790</v>
      </c>
      <c r="C252" s="190" t="s">
        <v>3791</v>
      </c>
      <c r="D252" s="190" t="s">
        <v>3792</v>
      </c>
      <c r="E252" s="190" t="s">
        <v>172</v>
      </c>
      <c r="F252" s="190">
        <v>60</v>
      </c>
      <c r="G252" s="190">
        <v>21</v>
      </c>
      <c r="H252" s="190" t="s">
        <v>7929</v>
      </c>
      <c r="I252" s="190"/>
      <c r="J252" s="190"/>
    </row>
    <row r="253" spans="1:10">
      <c r="A253" s="190" t="s">
        <v>7925</v>
      </c>
      <c r="B253" s="190" t="s">
        <v>3790</v>
      </c>
      <c r="C253" s="190" t="s">
        <v>3793</v>
      </c>
      <c r="D253" s="190" t="s">
        <v>3794</v>
      </c>
      <c r="E253" s="190" t="s">
        <v>330</v>
      </c>
      <c r="F253" s="190">
        <v>60</v>
      </c>
      <c r="G253" s="190">
        <v>21</v>
      </c>
      <c r="H253" s="190" t="s">
        <v>7929</v>
      </c>
      <c r="I253" s="190"/>
      <c r="J253" s="190"/>
    </row>
    <row r="254" spans="1:10">
      <c r="A254" s="190" t="s">
        <v>7925</v>
      </c>
      <c r="B254" s="190" t="s">
        <v>3790</v>
      </c>
      <c r="C254" s="190" t="s">
        <v>3795</v>
      </c>
      <c r="D254" s="190" t="s">
        <v>3796</v>
      </c>
      <c r="E254" s="190" t="s">
        <v>7930</v>
      </c>
      <c r="F254" s="190">
        <v>60</v>
      </c>
      <c r="G254" s="190">
        <v>21</v>
      </c>
      <c r="H254" s="190" t="s">
        <v>7929</v>
      </c>
      <c r="I254" s="190"/>
      <c r="J254" s="190"/>
    </row>
    <row r="255" spans="1:10">
      <c r="A255" s="190" t="s">
        <v>7925</v>
      </c>
      <c r="B255" s="190" t="s">
        <v>3790</v>
      </c>
      <c r="C255" s="190" t="s">
        <v>3797</v>
      </c>
      <c r="D255" s="190" t="s">
        <v>3798</v>
      </c>
      <c r="E255" s="190" t="s">
        <v>7903</v>
      </c>
      <c r="F255" s="190">
        <v>60</v>
      </c>
      <c r="G255" s="190">
        <v>21</v>
      </c>
      <c r="H255" s="190" t="s">
        <v>7929</v>
      </c>
      <c r="I255" s="190"/>
      <c r="J255" s="190"/>
    </row>
    <row r="256" spans="1:10">
      <c r="A256" s="190" t="s">
        <v>7925</v>
      </c>
      <c r="B256" s="190" t="s">
        <v>3790</v>
      </c>
      <c r="C256" s="190" t="s">
        <v>3799</v>
      </c>
      <c r="D256" s="190" t="s">
        <v>3800</v>
      </c>
      <c r="E256" s="190" t="s">
        <v>150</v>
      </c>
      <c r="F256" s="190">
        <v>60</v>
      </c>
      <c r="G256" s="190">
        <v>21</v>
      </c>
      <c r="H256" s="190" t="s">
        <v>7929</v>
      </c>
      <c r="I256" s="190"/>
      <c r="J256" s="190"/>
    </row>
    <row r="257" spans="1:10">
      <c r="A257" s="190" t="s">
        <v>7925</v>
      </c>
      <c r="B257" s="190" t="s">
        <v>3790</v>
      </c>
      <c r="C257" s="190" t="s">
        <v>3801</v>
      </c>
      <c r="D257" s="190" t="s">
        <v>3802</v>
      </c>
      <c r="E257" s="190" t="s">
        <v>7900</v>
      </c>
      <c r="F257" s="190">
        <v>60</v>
      </c>
      <c r="G257" s="190">
        <v>21</v>
      </c>
      <c r="H257" s="190" t="s">
        <v>7929</v>
      </c>
      <c r="I257" s="190"/>
      <c r="J257" s="190"/>
    </row>
    <row r="258" spans="1:10">
      <c r="A258" s="190" t="s">
        <v>7925</v>
      </c>
      <c r="B258" s="190" t="s">
        <v>3790</v>
      </c>
      <c r="C258" s="190" t="s">
        <v>3803</v>
      </c>
      <c r="D258" s="190" t="s">
        <v>3804</v>
      </c>
      <c r="E258" s="190" t="s">
        <v>7910</v>
      </c>
      <c r="F258" s="190">
        <v>60</v>
      </c>
      <c r="G258" s="190">
        <v>21</v>
      </c>
      <c r="H258" s="190" t="s">
        <v>7929</v>
      </c>
      <c r="I258" s="190"/>
      <c r="J258" s="190"/>
    </row>
    <row r="259" spans="1:10">
      <c r="A259" s="190" t="s">
        <v>7925</v>
      </c>
      <c r="B259" s="190" t="s">
        <v>3790</v>
      </c>
      <c r="C259" s="190" t="s">
        <v>3805</v>
      </c>
      <c r="D259" s="190" t="s">
        <v>3806</v>
      </c>
      <c r="E259" s="190" t="s">
        <v>144</v>
      </c>
      <c r="F259" s="190">
        <v>60</v>
      </c>
      <c r="G259" s="190">
        <v>21</v>
      </c>
      <c r="H259" s="190" t="s">
        <v>7929</v>
      </c>
      <c r="I259" s="190"/>
      <c r="J259" s="190"/>
    </row>
    <row r="260" spans="1:10">
      <c r="A260" s="190" t="s">
        <v>7925</v>
      </c>
      <c r="B260" s="190" t="s">
        <v>3790</v>
      </c>
      <c r="C260" s="190" t="s">
        <v>3807</v>
      </c>
      <c r="D260" s="190" t="s">
        <v>3808</v>
      </c>
      <c r="E260" s="190" t="s">
        <v>366</v>
      </c>
      <c r="F260" s="190">
        <v>60</v>
      </c>
      <c r="G260" s="190">
        <v>21</v>
      </c>
      <c r="H260" s="190" t="s">
        <v>7929</v>
      </c>
      <c r="I260" s="190"/>
      <c r="J260" s="190"/>
    </row>
    <row r="261" spans="1:10">
      <c r="A261" s="190" t="s">
        <v>7925</v>
      </c>
      <c r="B261" s="190" t="s">
        <v>3790</v>
      </c>
      <c r="C261" s="190" t="s">
        <v>3809</v>
      </c>
      <c r="D261" s="190" t="s">
        <v>3810</v>
      </c>
      <c r="E261" s="190" t="s">
        <v>52</v>
      </c>
      <c r="F261" s="190">
        <v>60</v>
      </c>
      <c r="G261" s="190">
        <v>21</v>
      </c>
      <c r="H261" s="190" t="s">
        <v>7929</v>
      </c>
      <c r="I261" s="190"/>
      <c r="J261" s="190"/>
    </row>
    <row r="262" spans="1:10">
      <c r="A262" s="190" t="s">
        <v>7925</v>
      </c>
      <c r="B262" s="190" t="s">
        <v>3790</v>
      </c>
      <c r="C262" s="190" t="s">
        <v>3811</v>
      </c>
      <c r="D262" s="190" t="s">
        <v>3812</v>
      </c>
      <c r="E262" s="190" t="s">
        <v>96</v>
      </c>
      <c r="F262" s="190">
        <v>60</v>
      </c>
      <c r="G262" s="190">
        <v>21</v>
      </c>
      <c r="H262" s="190" t="s">
        <v>7929</v>
      </c>
      <c r="I262" s="190"/>
      <c r="J262" s="190"/>
    </row>
    <row r="263" spans="1:10">
      <c r="A263" s="190" t="s">
        <v>7925</v>
      </c>
      <c r="B263" s="190" t="s">
        <v>3790</v>
      </c>
      <c r="C263" s="190" t="s">
        <v>3813</v>
      </c>
      <c r="D263" s="190" t="s">
        <v>3814</v>
      </c>
      <c r="E263" s="190" t="s">
        <v>7899</v>
      </c>
      <c r="F263" s="190">
        <v>60</v>
      </c>
      <c r="G263" s="190">
        <v>21</v>
      </c>
      <c r="H263" s="190" t="s">
        <v>7929</v>
      </c>
      <c r="I263" s="190"/>
      <c r="J263" s="190"/>
    </row>
    <row r="264" spans="1:10">
      <c r="A264" s="190" t="s">
        <v>7925</v>
      </c>
      <c r="B264" s="190" t="s">
        <v>3790</v>
      </c>
      <c r="C264" s="190" t="s">
        <v>3815</v>
      </c>
      <c r="D264" s="190" t="s">
        <v>3816</v>
      </c>
      <c r="E264" s="190" t="s">
        <v>3224</v>
      </c>
      <c r="F264" s="190">
        <v>60</v>
      </c>
      <c r="G264" s="190">
        <v>21</v>
      </c>
      <c r="H264" s="190" t="s">
        <v>7929</v>
      </c>
      <c r="I264" s="190"/>
      <c r="J264" s="190"/>
    </row>
    <row r="265" spans="1:10">
      <c r="A265" s="190" t="s">
        <v>7925</v>
      </c>
      <c r="B265" s="190" t="s">
        <v>3790</v>
      </c>
      <c r="C265" s="190" t="s">
        <v>3817</v>
      </c>
      <c r="D265" s="190" t="s">
        <v>3818</v>
      </c>
      <c r="E265" s="190" t="s">
        <v>304</v>
      </c>
      <c r="F265" s="190">
        <v>60</v>
      </c>
      <c r="G265" s="190">
        <v>21</v>
      </c>
      <c r="H265" s="190" t="s">
        <v>7929</v>
      </c>
      <c r="I265" s="190"/>
      <c r="J265" s="190"/>
    </row>
    <row r="266" spans="1:10">
      <c r="A266" s="190" t="s">
        <v>7925</v>
      </c>
      <c r="B266" s="190" t="s">
        <v>3790</v>
      </c>
      <c r="C266" s="190" t="s">
        <v>3819</v>
      </c>
      <c r="D266" s="190" t="s">
        <v>3820</v>
      </c>
      <c r="E266" s="190" t="s">
        <v>154</v>
      </c>
      <c r="F266" s="190">
        <v>60</v>
      </c>
      <c r="G266" s="190">
        <v>21</v>
      </c>
      <c r="H266" s="190" t="s">
        <v>7929</v>
      </c>
      <c r="I266" s="190"/>
      <c r="J266" s="190"/>
    </row>
    <row r="267" spans="1:10">
      <c r="A267" s="190" t="s">
        <v>7925</v>
      </c>
      <c r="B267" s="190" t="s">
        <v>3790</v>
      </c>
      <c r="C267" s="190" t="s">
        <v>3821</v>
      </c>
      <c r="D267" s="190" t="s">
        <v>3822</v>
      </c>
      <c r="E267" s="190" t="s">
        <v>7908</v>
      </c>
      <c r="F267" s="190">
        <v>60</v>
      </c>
      <c r="G267" s="190">
        <v>21</v>
      </c>
      <c r="H267" s="190" t="s">
        <v>7929</v>
      </c>
      <c r="I267" s="190"/>
      <c r="J267" s="190"/>
    </row>
    <row r="268" spans="1:10">
      <c r="A268" s="190" t="s">
        <v>7925</v>
      </c>
      <c r="B268" s="190" t="s">
        <v>3790</v>
      </c>
      <c r="C268" s="190" t="s">
        <v>3823</v>
      </c>
      <c r="D268" s="190" t="s">
        <v>3824</v>
      </c>
      <c r="E268" s="190" t="s">
        <v>7905</v>
      </c>
      <c r="F268" s="190">
        <v>60</v>
      </c>
      <c r="G268" s="190">
        <v>21</v>
      </c>
      <c r="H268" s="190" t="s">
        <v>7929</v>
      </c>
      <c r="I268" s="190"/>
      <c r="J268" s="190"/>
    </row>
    <row r="269" spans="1:10">
      <c r="A269" s="190" t="s">
        <v>7925</v>
      </c>
      <c r="B269" s="190" t="s">
        <v>3790</v>
      </c>
      <c r="C269" s="190" t="s">
        <v>3825</v>
      </c>
      <c r="D269" s="190" t="s">
        <v>3826</v>
      </c>
      <c r="E269" s="190" t="s">
        <v>3198</v>
      </c>
      <c r="F269" s="190">
        <v>60</v>
      </c>
      <c r="G269" s="190">
        <v>21</v>
      </c>
      <c r="H269" s="190" t="s">
        <v>7929</v>
      </c>
      <c r="I269" s="190"/>
      <c r="J269" s="190"/>
    </row>
    <row r="270" spans="1:10">
      <c r="A270" s="190" t="s">
        <v>7925</v>
      </c>
      <c r="B270" s="190" t="s">
        <v>3790</v>
      </c>
      <c r="C270" s="190" t="s">
        <v>3827</v>
      </c>
      <c r="D270" s="190" t="s">
        <v>3828</v>
      </c>
      <c r="E270" s="190" t="s">
        <v>7918</v>
      </c>
      <c r="F270" s="190">
        <v>60</v>
      </c>
      <c r="G270" s="190">
        <v>21</v>
      </c>
      <c r="H270" s="190" t="s">
        <v>7929</v>
      </c>
      <c r="I270" s="190"/>
      <c r="J270" s="190"/>
    </row>
    <row r="271" spans="1:10">
      <c r="A271" s="190" t="s">
        <v>7925</v>
      </c>
      <c r="B271" s="190" t="s">
        <v>3790</v>
      </c>
      <c r="C271" s="190" t="s">
        <v>3829</v>
      </c>
      <c r="D271" s="190" t="s">
        <v>3830</v>
      </c>
      <c r="E271" s="190" t="s">
        <v>7898</v>
      </c>
      <c r="F271" s="190">
        <v>60</v>
      </c>
      <c r="G271" s="190">
        <v>21</v>
      </c>
      <c r="H271" s="190" t="s">
        <v>7929</v>
      </c>
      <c r="I271" s="190"/>
      <c r="J271" s="190"/>
    </row>
    <row r="272" spans="1:10">
      <c r="A272" s="190" t="s">
        <v>7925</v>
      </c>
      <c r="B272" s="190" t="s">
        <v>3790</v>
      </c>
      <c r="C272" s="190" t="s">
        <v>3831</v>
      </c>
      <c r="D272" s="190" t="s">
        <v>3832</v>
      </c>
      <c r="E272" s="190" t="s">
        <v>3202</v>
      </c>
      <c r="F272" s="190">
        <v>60</v>
      </c>
      <c r="G272" s="190">
        <v>21</v>
      </c>
      <c r="H272" s="190" t="s">
        <v>7929</v>
      </c>
      <c r="I272" s="190"/>
      <c r="J272" s="190"/>
    </row>
    <row r="273" spans="1:10">
      <c r="A273" s="190" t="s">
        <v>7925</v>
      </c>
      <c r="B273" s="190" t="s">
        <v>3790</v>
      </c>
      <c r="C273" s="190" t="s">
        <v>3833</v>
      </c>
      <c r="D273" s="190" t="s">
        <v>3834</v>
      </c>
      <c r="E273" s="190" t="s">
        <v>7931</v>
      </c>
      <c r="F273" s="190">
        <v>60</v>
      </c>
      <c r="G273" s="190">
        <v>21</v>
      </c>
      <c r="H273" s="190" t="s">
        <v>7929</v>
      </c>
      <c r="I273" s="190"/>
      <c r="J273" s="190"/>
    </row>
    <row r="274" spans="1:10">
      <c r="A274" s="190" t="s">
        <v>7925</v>
      </c>
      <c r="B274" s="190" t="s">
        <v>3790</v>
      </c>
      <c r="C274" s="190" t="s">
        <v>3835</v>
      </c>
      <c r="D274" s="190" t="s">
        <v>3836</v>
      </c>
      <c r="E274" s="190" t="s">
        <v>7932</v>
      </c>
      <c r="F274" s="190">
        <v>60</v>
      </c>
      <c r="G274" s="190">
        <v>21</v>
      </c>
      <c r="H274" s="190" t="s">
        <v>7929</v>
      </c>
      <c r="I274" s="190"/>
      <c r="J274" s="190"/>
    </row>
    <row r="275" spans="1:10">
      <c r="A275" s="190" t="s">
        <v>7925</v>
      </c>
      <c r="B275" s="190" t="s">
        <v>3790</v>
      </c>
      <c r="C275" s="190" t="s">
        <v>3837</v>
      </c>
      <c r="D275" s="190" t="s">
        <v>3838</v>
      </c>
      <c r="E275" s="190" t="s">
        <v>7933</v>
      </c>
      <c r="F275" s="190">
        <v>60</v>
      </c>
      <c r="G275" s="190">
        <v>21</v>
      </c>
      <c r="H275" s="190" t="s">
        <v>7929</v>
      </c>
      <c r="I275" s="190"/>
      <c r="J275" s="190"/>
    </row>
    <row r="276" spans="1:10">
      <c r="A276" s="190" t="s">
        <v>7925</v>
      </c>
      <c r="B276" s="190" t="s">
        <v>3790</v>
      </c>
      <c r="C276" s="190" t="s">
        <v>3839</v>
      </c>
      <c r="D276" s="190" t="s">
        <v>3840</v>
      </c>
      <c r="E276" s="190" t="s">
        <v>7901</v>
      </c>
      <c r="F276" s="190">
        <v>60</v>
      </c>
      <c r="G276" s="190">
        <v>21</v>
      </c>
      <c r="H276" s="190" t="s">
        <v>7929</v>
      </c>
      <c r="I276" s="190"/>
      <c r="J276" s="190"/>
    </row>
    <row r="277" spans="1:10">
      <c r="A277" s="190" t="s">
        <v>7925</v>
      </c>
      <c r="B277" s="190" t="s">
        <v>3790</v>
      </c>
      <c r="C277" s="190" t="s">
        <v>3841</v>
      </c>
      <c r="D277" s="190" t="s">
        <v>3842</v>
      </c>
      <c r="E277" s="190" t="s">
        <v>7934</v>
      </c>
      <c r="F277" s="190">
        <v>60</v>
      </c>
      <c r="G277" s="190">
        <v>21</v>
      </c>
      <c r="H277" s="190" t="s">
        <v>7929</v>
      </c>
      <c r="I277" s="190"/>
      <c r="J277" s="190"/>
    </row>
    <row r="278" spans="1:10">
      <c r="A278" s="190" t="s">
        <v>7925</v>
      </c>
      <c r="B278" s="190" t="s">
        <v>3843</v>
      </c>
      <c r="C278" s="190" t="s">
        <v>3844</v>
      </c>
      <c r="D278" s="190" t="s">
        <v>3845</v>
      </c>
      <c r="E278" s="190" t="s">
        <v>172</v>
      </c>
      <c r="F278" s="190">
        <v>53</v>
      </c>
      <c r="G278" s="190">
        <v>33</v>
      </c>
      <c r="H278" s="190" t="s">
        <v>7935</v>
      </c>
      <c r="I278" s="190"/>
      <c r="J278" s="190"/>
    </row>
    <row r="279" spans="1:10">
      <c r="A279" s="190" t="s">
        <v>7925</v>
      </c>
      <c r="B279" s="190" t="s">
        <v>3843</v>
      </c>
      <c r="C279" s="190" t="s">
        <v>3846</v>
      </c>
      <c r="D279" s="190" t="s">
        <v>3847</v>
      </c>
      <c r="E279" s="190" t="s">
        <v>7915</v>
      </c>
      <c r="F279" s="190">
        <v>53</v>
      </c>
      <c r="G279" s="190">
        <v>33</v>
      </c>
      <c r="H279" s="190" t="s">
        <v>7935</v>
      </c>
      <c r="I279" s="190"/>
      <c r="J279" s="190"/>
    </row>
    <row r="280" spans="1:10">
      <c r="A280" s="190" t="s">
        <v>7925</v>
      </c>
      <c r="B280" s="190" t="s">
        <v>3843</v>
      </c>
      <c r="C280" s="190" t="s">
        <v>3848</v>
      </c>
      <c r="D280" s="190" t="s">
        <v>3849</v>
      </c>
      <c r="E280" s="190" t="s">
        <v>7903</v>
      </c>
      <c r="F280" s="190">
        <v>53</v>
      </c>
      <c r="G280" s="190">
        <v>33</v>
      </c>
      <c r="H280" s="190" t="s">
        <v>7935</v>
      </c>
      <c r="I280" s="190"/>
      <c r="J280" s="190"/>
    </row>
    <row r="281" spans="1:10">
      <c r="A281" s="190" t="s">
        <v>7925</v>
      </c>
      <c r="B281" s="190" t="s">
        <v>3843</v>
      </c>
      <c r="C281" s="190" t="s">
        <v>3850</v>
      </c>
      <c r="D281" s="190" t="s">
        <v>3851</v>
      </c>
      <c r="E281" s="190" t="s">
        <v>7898</v>
      </c>
      <c r="F281" s="190">
        <v>53</v>
      </c>
      <c r="G281" s="190">
        <v>33</v>
      </c>
      <c r="H281" s="190" t="s">
        <v>7935</v>
      </c>
      <c r="I281" s="190"/>
      <c r="J281" s="190"/>
    </row>
    <row r="282" spans="1:10">
      <c r="A282" s="190" t="s">
        <v>7925</v>
      </c>
      <c r="B282" s="190" t="s">
        <v>3843</v>
      </c>
      <c r="C282" s="190" t="s">
        <v>3852</v>
      </c>
      <c r="D282" s="190" t="s">
        <v>3853</v>
      </c>
      <c r="E282" s="190" t="s">
        <v>7910</v>
      </c>
      <c r="F282" s="190">
        <v>53</v>
      </c>
      <c r="G282" s="190">
        <v>33</v>
      </c>
      <c r="H282" s="190" t="s">
        <v>7935</v>
      </c>
      <c r="I282" s="190"/>
      <c r="J282" s="190"/>
    </row>
    <row r="283" spans="1:10">
      <c r="A283" s="190" t="s">
        <v>7925</v>
      </c>
      <c r="B283" s="190" t="s">
        <v>3843</v>
      </c>
      <c r="C283" s="190" t="s">
        <v>3854</v>
      </c>
      <c r="D283" s="190" t="s">
        <v>3855</v>
      </c>
      <c r="E283" s="190" t="s">
        <v>176</v>
      </c>
      <c r="F283" s="190">
        <v>53</v>
      </c>
      <c r="G283" s="190">
        <v>33</v>
      </c>
      <c r="H283" s="190" t="s">
        <v>7935</v>
      </c>
      <c r="I283" s="190"/>
      <c r="J283" s="190"/>
    </row>
    <row r="284" spans="1:10">
      <c r="A284" s="190" t="s">
        <v>7925</v>
      </c>
      <c r="B284" s="190" t="s">
        <v>3843</v>
      </c>
      <c r="C284" s="190" t="s">
        <v>3856</v>
      </c>
      <c r="D284" s="190" t="s">
        <v>3857</v>
      </c>
      <c r="E284" s="190" t="s">
        <v>330</v>
      </c>
      <c r="F284" s="190">
        <v>53</v>
      </c>
      <c r="G284" s="190">
        <v>33</v>
      </c>
      <c r="H284" s="190" t="s">
        <v>7935</v>
      </c>
      <c r="I284" s="190"/>
      <c r="J284" s="190"/>
    </row>
    <row r="285" spans="1:10">
      <c r="A285" s="190" t="s">
        <v>7925</v>
      </c>
      <c r="B285" s="190" t="s">
        <v>3843</v>
      </c>
      <c r="C285" s="190" t="s">
        <v>3858</v>
      </c>
      <c r="D285" s="190" t="s">
        <v>3859</v>
      </c>
      <c r="E285" s="190" t="s">
        <v>366</v>
      </c>
      <c r="F285" s="190">
        <v>53</v>
      </c>
      <c r="G285" s="190">
        <v>33</v>
      </c>
      <c r="H285" s="190" t="s">
        <v>7935</v>
      </c>
      <c r="I285" s="190"/>
      <c r="J285" s="190"/>
    </row>
    <row r="286" spans="1:10">
      <c r="A286" s="190" t="s">
        <v>7925</v>
      </c>
      <c r="B286" s="190" t="s">
        <v>3843</v>
      </c>
      <c r="C286" s="190" t="s">
        <v>3860</v>
      </c>
      <c r="D286" s="190" t="s">
        <v>3861</v>
      </c>
      <c r="E286" s="190" t="s">
        <v>150</v>
      </c>
      <c r="F286" s="190">
        <v>53</v>
      </c>
      <c r="G286" s="190">
        <v>33</v>
      </c>
      <c r="H286" s="190" t="s">
        <v>7935</v>
      </c>
      <c r="I286" s="190"/>
      <c r="J286" s="190"/>
    </row>
    <row r="287" spans="1:10">
      <c r="A287" s="190" t="s">
        <v>7925</v>
      </c>
      <c r="B287" s="190" t="s">
        <v>3843</v>
      </c>
      <c r="C287" s="190" t="s">
        <v>3862</v>
      </c>
      <c r="D287" s="190" t="s">
        <v>3863</v>
      </c>
      <c r="E287" s="190" t="s">
        <v>154</v>
      </c>
      <c r="F287" s="190">
        <v>53</v>
      </c>
      <c r="G287" s="190">
        <v>33</v>
      </c>
      <c r="H287" s="190" t="s">
        <v>7935</v>
      </c>
      <c r="I287" s="190"/>
      <c r="J287" s="190"/>
    </row>
    <row r="288" spans="1:10">
      <c r="A288" s="190" t="s">
        <v>7925</v>
      </c>
      <c r="B288" s="190" t="s">
        <v>3843</v>
      </c>
      <c r="C288" s="190" t="s">
        <v>3864</v>
      </c>
      <c r="D288" s="190" t="s">
        <v>3865</v>
      </c>
      <c r="E288" s="190" t="s">
        <v>7900</v>
      </c>
      <c r="F288" s="190">
        <v>53</v>
      </c>
      <c r="G288" s="190">
        <v>33</v>
      </c>
      <c r="H288" s="190" t="s">
        <v>7935</v>
      </c>
      <c r="I288" s="190"/>
      <c r="J288" s="190"/>
    </row>
    <row r="289" spans="1:10">
      <c r="A289" s="190" t="s">
        <v>7925</v>
      </c>
      <c r="B289" s="190" t="s">
        <v>3843</v>
      </c>
      <c r="C289" s="190" t="s">
        <v>3866</v>
      </c>
      <c r="D289" s="190" t="s">
        <v>3867</v>
      </c>
      <c r="E289" s="190" t="s">
        <v>144</v>
      </c>
      <c r="F289" s="190">
        <v>53</v>
      </c>
      <c r="G289" s="190">
        <v>33</v>
      </c>
      <c r="H289" s="190" t="s">
        <v>7935</v>
      </c>
      <c r="I289" s="190"/>
      <c r="J289" s="190"/>
    </row>
    <row r="290" spans="1:10">
      <c r="A290" s="190" t="s">
        <v>7925</v>
      </c>
      <c r="B290" s="190" t="s">
        <v>3843</v>
      </c>
      <c r="C290" s="190" t="s">
        <v>3868</v>
      </c>
      <c r="D290" s="190" t="s">
        <v>3869</v>
      </c>
      <c r="E290" s="190" t="s">
        <v>304</v>
      </c>
      <c r="F290" s="190">
        <v>53</v>
      </c>
      <c r="G290" s="190">
        <v>33</v>
      </c>
      <c r="H290" s="190" t="s">
        <v>7935</v>
      </c>
      <c r="I290" s="190"/>
      <c r="J290" s="190"/>
    </row>
    <row r="291" spans="1:10">
      <c r="A291" s="190" t="s">
        <v>7925</v>
      </c>
      <c r="B291" s="190" t="s">
        <v>3843</v>
      </c>
      <c r="C291" s="190" t="s">
        <v>3870</v>
      </c>
      <c r="D291" s="190" t="s">
        <v>3871</v>
      </c>
      <c r="E291" s="190" t="s">
        <v>7899</v>
      </c>
      <c r="F291" s="190">
        <v>53</v>
      </c>
      <c r="G291" s="190">
        <v>33</v>
      </c>
      <c r="H291" s="190" t="s">
        <v>7935</v>
      </c>
      <c r="I291" s="190"/>
      <c r="J291" s="190"/>
    </row>
    <row r="292" spans="1:10">
      <c r="A292" s="190" t="s">
        <v>7925</v>
      </c>
      <c r="B292" s="190" t="s">
        <v>3843</v>
      </c>
      <c r="C292" s="190" t="s">
        <v>3872</v>
      </c>
      <c r="D292" s="190" t="s">
        <v>3873</v>
      </c>
      <c r="E292" s="190" t="s">
        <v>52</v>
      </c>
      <c r="F292" s="190">
        <v>53</v>
      </c>
      <c r="G292" s="190">
        <v>33</v>
      </c>
      <c r="H292" s="190" t="s">
        <v>7935</v>
      </c>
      <c r="I292" s="190"/>
      <c r="J292" s="190"/>
    </row>
    <row r="293" spans="1:10">
      <c r="A293" s="190" t="s">
        <v>7925</v>
      </c>
      <c r="B293" s="190" t="s">
        <v>3843</v>
      </c>
      <c r="C293" s="190" t="s">
        <v>3874</v>
      </c>
      <c r="D293" s="190" t="s">
        <v>3875</v>
      </c>
      <c r="E293" s="190" t="s">
        <v>7919</v>
      </c>
      <c r="F293" s="190">
        <v>53</v>
      </c>
      <c r="G293" s="190">
        <v>33</v>
      </c>
      <c r="H293" s="190" t="s">
        <v>7935</v>
      </c>
      <c r="I293" s="190"/>
      <c r="J293" s="190"/>
    </row>
    <row r="294" spans="1:10">
      <c r="A294" s="190" t="s">
        <v>7925</v>
      </c>
      <c r="B294" s="190" t="s">
        <v>3843</v>
      </c>
      <c r="C294" s="190" t="s">
        <v>3876</v>
      </c>
      <c r="D294" s="190" t="s">
        <v>3877</v>
      </c>
      <c r="E294" s="190" t="s">
        <v>7905</v>
      </c>
      <c r="F294" s="190">
        <v>53</v>
      </c>
      <c r="G294" s="190">
        <v>33</v>
      </c>
      <c r="H294" s="190" t="s">
        <v>7935</v>
      </c>
      <c r="I294" s="190"/>
      <c r="J294" s="190"/>
    </row>
    <row r="295" spans="1:10">
      <c r="A295" s="190" t="s">
        <v>7925</v>
      </c>
      <c r="B295" s="190" t="s">
        <v>3843</v>
      </c>
      <c r="C295" s="190" t="s">
        <v>3878</v>
      </c>
      <c r="D295" s="190" t="s">
        <v>3879</v>
      </c>
      <c r="E295" s="190" t="s">
        <v>7936</v>
      </c>
      <c r="F295" s="190">
        <v>53</v>
      </c>
      <c r="G295" s="190">
        <v>33</v>
      </c>
      <c r="H295" s="190" t="s">
        <v>7935</v>
      </c>
      <c r="I295" s="190"/>
      <c r="J295" s="190"/>
    </row>
    <row r="296" spans="1:10">
      <c r="A296" s="190" t="s">
        <v>7925</v>
      </c>
      <c r="B296" s="190" t="s">
        <v>3843</v>
      </c>
      <c r="C296" s="190" t="s">
        <v>3880</v>
      </c>
      <c r="D296" s="190" t="s">
        <v>3881</v>
      </c>
      <c r="E296" s="190" t="s">
        <v>3220</v>
      </c>
      <c r="F296" s="190">
        <v>53</v>
      </c>
      <c r="G296" s="190">
        <v>33</v>
      </c>
      <c r="H296" s="190" t="s">
        <v>7935</v>
      </c>
      <c r="I296" s="190"/>
      <c r="J296" s="190"/>
    </row>
    <row r="297" spans="1:10">
      <c r="A297" s="190" t="s">
        <v>7925</v>
      </c>
      <c r="B297" s="190" t="s">
        <v>3843</v>
      </c>
      <c r="C297" s="190" t="s">
        <v>3882</v>
      </c>
      <c r="D297" s="190" t="s">
        <v>3883</v>
      </c>
      <c r="E297" s="190" t="s">
        <v>7901</v>
      </c>
      <c r="F297" s="190">
        <v>53</v>
      </c>
      <c r="G297" s="190">
        <v>33</v>
      </c>
      <c r="H297" s="190" t="s">
        <v>7935</v>
      </c>
      <c r="I297" s="190"/>
      <c r="J297" s="190"/>
    </row>
    <row r="298" spans="1:10">
      <c r="A298" s="190" t="s">
        <v>7925</v>
      </c>
      <c r="B298" s="190" t="s">
        <v>3843</v>
      </c>
      <c r="C298" s="190" t="s">
        <v>3884</v>
      </c>
      <c r="D298" s="190" t="s">
        <v>3885</v>
      </c>
      <c r="E298" s="190" t="s">
        <v>3230</v>
      </c>
      <c r="F298" s="190">
        <v>53</v>
      </c>
      <c r="G298" s="190">
        <v>33</v>
      </c>
      <c r="H298" s="190" t="s">
        <v>7935</v>
      </c>
      <c r="I298" s="190"/>
      <c r="J298" s="190"/>
    </row>
    <row r="299" spans="1:10">
      <c r="A299" s="190" t="s">
        <v>7925</v>
      </c>
      <c r="B299" s="190" t="s">
        <v>3886</v>
      </c>
      <c r="C299" s="190" t="s">
        <v>3887</v>
      </c>
      <c r="D299" s="190" t="s">
        <v>3888</v>
      </c>
      <c r="E299" s="190" t="s">
        <v>172</v>
      </c>
      <c r="F299" s="190">
        <v>44</v>
      </c>
      <c r="G299" s="190">
        <v>23</v>
      </c>
      <c r="H299" s="190" t="s">
        <v>7937</v>
      </c>
      <c r="I299" s="190"/>
      <c r="J299" s="190"/>
    </row>
    <row r="300" spans="1:10">
      <c r="A300" s="190" t="s">
        <v>7925</v>
      </c>
      <c r="B300" s="190" t="s">
        <v>3886</v>
      </c>
      <c r="C300" s="190" t="s">
        <v>3889</v>
      </c>
      <c r="D300" s="190" t="s">
        <v>3890</v>
      </c>
      <c r="E300" s="190" t="s">
        <v>7903</v>
      </c>
      <c r="F300" s="190">
        <v>44</v>
      </c>
      <c r="G300" s="190">
        <v>23</v>
      </c>
      <c r="H300" s="190" t="s">
        <v>7937</v>
      </c>
      <c r="I300" s="190"/>
      <c r="J300" s="190"/>
    </row>
    <row r="301" spans="1:10">
      <c r="A301" s="190" t="s">
        <v>7925</v>
      </c>
      <c r="B301" s="190" t="s">
        <v>3886</v>
      </c>
      <c r="C301" s="190" t="s">
        <v>3891</v>
      </c>
      <c r="D301" s="190" t="s">
        <v>3892</v>
      </c>
      <c r="E301" s="190" t="s">
        <v>7907</v>
      </c>
      <c r="F301" s="190">
        <v>44</v>
      </c>
      <c r="G301" s="190">
        <v>23</v>
      </c>
      <c r="H301" s="190" t="s">
        <v>7937</v>
      </c>
      <c r="I301" s="190"/>
      <c r="J301" s="190"/>
    </row>
    <row r="302" spans="1:10">
      <c r="A302" s="190" t="s">
        <v>7925</v>
      </c>
      <c r="B302" s="190" t="s">
        <v>3886</v>
      </c>
      <c r="C302" s="190" t="s">
        <v>3893</v>
      </c>
      <c r="D302" s="190" t="s">
        <v>3894</v>
      </c>
      <c r="E302" s="190" t="s">
        <v>7899</v>
      </c>
      <c r="F302" s="190">
        <v>44</v>
      </c>
      <c r="G302" s="190">
        <v>23</v>
      </c>
      <c r="H302" s="190" t="s">
        <v>7937</v>
      </c>
      <c r="I302" s="190"/>
      <c r="J302" s="190"/>
    </row>
    <row r="303" spans="1:10">
      <c r="A303" s="190" t="s">
        <v>7925</v>
      </c>
      <c r="B303" s="190" t="s">
        <v>3886</v>
      </c>
      <c r="C303" s="190" t="s">
        <v>3895</v>
      </c>
      <c r="D303" s="190" t="s">
        <v>3896</v>
      </c>
      <c r="E303" s="190" t="s">
        <v>154</v>
      </c>
      <c r="F303" s="190">
        <v>44</v>
      </c>
      <c r="G303" s="190">
        <v>23</v>
      </c>
      <c r="H303" s="190" t="s">
        <v>7937</v>
      </c>
      <c r="I303" s="190"/>
      <c r="J303" s="190"/>
    </row>
    <row r="304" spans="1:10">
      <c r="A304" s="190" t="s">
        <v>7925</v>
      </c>
      <c r="B304" s="190" t="s">
        <v>3886</v>
      </c>
      <c r="C304" s="190" t="s">
        <v>3897</v>
      </c>
      <c r="D304" s="190" t="s">
        <v>3898</v>
      </c>
      <c r="E304" s="190" t="s">
        <v>150</v>
      </c>
      <c r="F304" s="190">
        <v>44</v>
      </c>
      <c r="G304" s="190">
        <v>23</v>
      </c>
      <c r="H304" s="190" t="s">
        <v>7937</v>
      </c>
      <c r="I304" s="190"/>
      <c r="J304" s="190"/>
    </row>
    <row r="305" spans="1:10">
      <c r="A305" s="190" t="s">
        <v>7925</v>
      </c>
      <c r="B305" s="190" t="s">
        <v>3886</v>
      </c>
      <c r="C305" s="190" t="s">
        <v>3899</v>
      </c>
      <c r="D305" s="190" t="s">
        <v>3900</v>
      </c>
      <c r="E305" s="190" t="s">
        <v>7910</v>
      </c>
      <c r="F305" s="190">
        <v>44</v>
      </c>
      <c r="G305" s="190">
        <v>23</v>
      </c>
      <c r="H305" s="190" t="s">
        <v>7937</v>
      </c>
      <c r="I305" s="190"/>
      <c r="J305" s="190"/>
    </row>
    <row r="306" spans="1:10">
      <c r="A306" s="190" t="s">
        <v>7925</v>
      </c>
      <c r="B306" s="190" t="s">
        <v>3886</v>
      </c>
      <c r="C306" s="190" t="s">
        <v>3901</v>
      </c>
      <c r="D306" s="190" t="s">
        <v>3902</v>
      </c>
      <c r="E306" s="190" t="s">
        <v>330</v>
      </c>
      <c r="F306" s="190">
        <v>44</v>
      </c>
      <c r="G306" s="190">
        <v>23</v>
      </c>
      <c r="H306" s="190" t="s">
        <v>7937</v>
      </c>
      <c r="I306" s="190"/>
      <c r="J306" s="190"/>
    </row>
    <row r="307" spans="1:10">
      <c r="A307" s="190" t="s">
        <v>7925</v>
      </c>
      <c r="B307" s="190" t="s">
        <v>3886</v>
      </c>
      <c r="C307" s="190" t="s">
        <v>3903</v>
      </c>
      <c r="D307" s="190" t="s">
        <v>3904</v>
      </c>
      <c r="E307" s="190" t="s">
        <v>7900</v>
      </c>
      <c r="F307" s="190">
        <v>44</v>
      </c>
      <c r="G307" s="190">
        <v>23</v>
      </c>
      <c r="H307" s="190" t="s">
        <v>7937</v>
      </c>
      <c r="I307" s="190"/>
      <c r="J307" s="190"/>
    </row>
    <row r="308" spans="1:10">
      <c r="A308" s="190" t="s">
        <v>7925</v>
      </c>
      <c r="B308" s="190" t="s">
        <v>3886</v>
      </c>
      <c r="C308" s="190" t="s">
        <v>3905</v>
      </c>
      <c r="D308" s="190" t="s">
        <v>3906</v>
      </c>
      <c r="E308" s="190" t="s">
        <v>144</v>
      </c>
      <c r="F308" s="190">
        <v>44</v>
      </c>
      <c r="G308" s="190">
        <v>23</v>
      </c>
      <c r="H308" s="190" t="s">
        <v>7937</v>
      </c>
      <c r="I308" s="190"/>
      <c r="J308" s="190"/>
    </row>
    <row r="309" spans="1:10">
      <c r="A309" s="190" t="s">
        <v>7925</v>
      </c>
      <c r="B309" s="190" t="s">
        <v>3886</v>
      </c>
      <c r="C309" s="190" t="s">
        <v>3907</v>
      </c>
      <c r="D309" s="190" t="s">
        <v>3908</v>
      </c>
      <c r="E309" s="190" t="s">
        <v>366</v>
      </c>
      <c r="F309" s="190">
        <v>44</v>
      </c>
      <c r="G309" s="190">
        <v>23</v>
      </c>
      <c r="H309" s="190" t="s">
        <v>7937</v>
      </c>
      <c r="I309" s="190"/>
      <c r="J309" s="190"/>
    </row>
    <row r="310" spans="1:10">
      <c r="A310" s="190" t="s">
        <v>7925</v>
      </c>
      <c r="B310" s="190" t="s">
        <v>3886</v>
      </c>
      <c r="C310" s="190" t="s">
        <v>3909</v>
      </c>
      <c r="D310" s="190" t="s">
        <v>3910</v>
      </c>
      <c r="E310" s="190" t="s">
        <v>7908</v>
      </c>
      <c r="F310" s="190">
        <v>44</v>
      </c>
      <c r="G310" s="190">
        <v>23</v>
      </c>
      <c r="H310" s="190" t="s">
        <v>7937</v>
      </c>
      <c r="I310" s="190"/>
      <c r="J310" s="190"/>
    </row>
    <row r="311" spans="1:10">
      <c r="A311" s="190" t="s">
        <v>7925</v>
      </c>
      <c r="B311" s="190" t="s">
        <v>3886</v>
      </c>
      <c r="C311" s="190" t="s">
        <v>3911</v>
      </c>
      <c r="D311" s="190" t="s">
        <v>3912</v>
      </c>
      <c r="E311" s="190" t="s">
        <v>7898</v>
      </c>
      <c r="F311" s="190">
        <v>44</v>
      </c>
      <c r="G311" s="190">
        <v>23</v>
      </c>
      <c r="H311" s="190" t="s">
        <v>7937</v>
      </c>
      <c r="I311" s="190"/>
      <c r="J311" s="190"/>
    </row>
    <row r="312" spans="1:10">
      <c r="A312" s="190" t="s">
        <v>7925</v>
      </c>
      <c r="B312" s="190" t="s">
        <v>3886</v>
      </c>
      <c r="C312" s="190" t="s">
        <v>3913</v>
      </c>
      <c r="D312" s="190" t="s">
        <v>3914</v>
      </c>
      <c r="E312" s="190" t="s">
        <v>7918</v>
      </c>
      <c r="F312" s="190">
        <v>44</v>
      </c>
      <c r="G312" s="190">
        <v>23</v>
      </c>
      <c r="H312" s="190" t="s">
        <v>7937</v>
      </c>
      <c r="I312" s="190"/>
      <c r="J312" s="190"/>
    </row>
    <row r="313" spans="1:10">
      <c r="A313" s="190" t="s">
        <v>7925</v>
      </c>
      <c r="B313" s="190" t="s">
        <v>3886</v>
      </c>
      <c r="C313" s="190" t="s">
        <v>3915</v>
      </c>
      <c r="D313" s="190" t="s">
        <v>3916</v>
      </c>
      <c r="E313" s="190" t="s">
        <v>304</v>
      </c>
      <c r="F313" s="190">
        <v>44</v>
      </c>
      <c r="G313" s="190">
        <v>23</v>
      </c>
      <c r="H313" s="190" t="s">
        <v>7937</v>
      </c>
      <c r="I313" s="190"/>
      <c r="J313" s="190"/>
    </row>
    <row r="314" spans="1:10">
      <c r="A314" s="190" t="s">
        <v>7925</v>
      </c>
      <c r="B314" s="190" t="s">
        <v>3886</v>
      </c>
      <c r="C314" s="190" t="s">
        <v>3917</v>
      </c>
      <c r="D314" s="190" t="s">
        <v>3918</v>
      </c>
      <c r="E314" s="190" t="s">
        <v>52</v>
      </c>
      <c r="F314" s="190">
        <v>44</v>
      </c>
      <c r="G314" s="190">
        <v>23</v>
      </c>
      <c r="H314" s="190" t="s">
        <v>7937</v>
      </c>
      <c r="I314" s="190"/>
      <c r="J314" s="190"/>
    </row>
    <row r="315" spans="1:10">
      <c r="A315" s="190" t="s">
        <v>7925</v>
      </c>
      <c r="B315" s="190" t="s">
        <v>3886</v>
      </c>
      <c r="C315" s="190" t="s">
        <v>3919</v>
      </c>
      <c r="D315" s="190" t="s">
        <v>3920</v>
      </c>
      <c r="E315" s="190" t="s">
        <v>7915</v>
      </c>
      <c r="F315" s="190">
        <v>44</v>
      </c>
      <c r="G315" s="190">
        <v>23</v>
      </c>
      <c r="H315" s="190" t="s">
        <v>7937</v>
      </c>
      <c r="I315" s="190"/>
      <c r="J315" s="190"/>
    </row>
    <row r="316" spans="1:10">
      <c r="A316" s="190" t="s">
        <v>7925</v>
      </c>
      <c r="B316" s="190" t="s">
        <v>3886</v>
      </c>
      <c r="C316" s="190" t="s">
        <v>3921</v>
      </c>
      <c r="D316" s="190" t="s">
        <v>3922</v>
      </c>
      <c r="E316" s="190" t="s">
        <v>7938</v>
      </c>
      <c r="F316" s="190">
        <v>44</v>
      </c>
      <c r="G316" s="190">
        <v>23</v>
      </c>
      <c r="H316" s="190" t="s">
        <v>7937</v>
      </c>
      <c r="I316" s="190"/>
      <c r="J316" s="190"/>
    </row>
    <row r="317" spans="1:10">
      <c r="A317" s="190" t="s">
        <v>7925</v>
      </c>
      <c r="B317" s="190" t="s">
        <v>3886</v>
      </c>
      <c r="C317" s="190" t="s">
        <v>3923</v>
      </c>
      <c r="D317" s="190" t="s">
        <v>3924</v>
      </c>
      <c r="E317" s="190" t="s">
        <v>3216</v>
      </c>
      <c r="F317" s="190">
        <v>44</v>
      </c>
      <c r="G317" s="190">
        <v>23</v>
      </c>
      <c r="H317" s="190" t="s">
        <v>7937</v>
      </c>
      <c r="I317" s="190"/>
      <c r="J317" s="190"/>
    </row>
    <row r="318" spans="1:10">
      <c r="A318" s="190" t="s">
        <v>7925</v>
      </c>
      <c r="B318" s="190" t="s">
        <v>3886</v>
      </c>
      <c r="C318" s="190" t="s">
        <v>3925</v>
      </c>
      <c r="D318" s="190" t="s">
        <v>3926</v>
      </c>
      <c r="E318" s="190" t="s">
        <v>7931</v>
      </c>
      <c r="F318" s="190">
        <v>44</v>
      </c>
      <c r="G318" s="190">
        <v>23</v>
      </c>
      <c r="H318" s="190" t="s">
        <v>7937</v>
      </c>
      <c r="I318" s="190"/>
      <c r="J318" s="190"/>
    </row>
    <row r="319" spans="1:10">
      <c r="A319" s="190" t="s">
        <v>7925</v>
      </c>
      <c r="B319" s="190" t="s">
        <v>3886</v>
      </c>
      <c r="C319" s="190" t="s">
        <v>3927</v>
      </c>
      <c r="D319" s="190" t="s">
        <v>3928</v>
      </c>
      <c r="E319" s="190" t="s">
        <v>7901</v>
      </c>
      <c r="F319" s="190">
        <v>44</v>
      </c>
      <c r="G319" s="190">
        <v>23</v>
      </c>
      <c r="H319" s="190" t="s">
        <v>7937</v>
      </c>
      <c r="I319" s="190"/>
      <c r="J319" s="190"/>
    </row>
    <row r="320" spans="1:10">
      <c r="A320" s="190" t="s">
        <v>7925</v>
      </c>
      <c r="B320" s="190" t="s">
        <v>3886</v>
      </c>
      <c r="C320" s="190" t="s">
        <v>3929</v>
      </c>
      <c r="D320" s="190" t="s">
        <v>3930</v>
      </c>
      <c r="E320" s="190" t="s">
        <v>90</v>
      </c>
      <c r="F320" s="190">
        <v>44</v>
      </c>
      <c r="G320" s="190">
        <v>23</v>
      </c>
      <c r="H320" s="190" t="s">
        <v>7937</v>
      </c>
      <c r="I320" s="190"/>
      <c r="J320" s="190"/>
    </row>
    <row r="321" spans="1:10">
      <c r="A321" s="190" t="s">
        <v>7925</v>
      </c>
      <c r="B321" s="190" t="s">
        <v>3931</v>
      </c>
      <c r="C321" s="190" t="s">
        <v>3932</v>
      </c>
      <c r="D321" s="190" t="s">
        <v>3933</v>
      </c>
      <c r="E321" s="190" t="s">
        <v>7930</v>
      </c>
      <c r="F321" s="190">
        <v>55</v>
      </c>
      <c r="G321" s="190">
        <v>38</v>
      </c>
      <c r="H321" s="190" t="s">
        <v>7939</v>
      </c>
      <c r="I321" s="190"/>
      <c r="J321" s="190"/>
    </row>
    <row r="322" spans="1:10">
      <c r="A322" s="190" t="s">
        <v>7925</v>
      </c>
      <c r="B322" s="190" t="s">
        <v>3931</v>
      </c>
      <c r="C322" s="190" t="s">
        <v>3934</v>
      </c>
      <c r="D322" s="190" t="s">
        <v>3935</v>
      </c>
      <c r="E322" s="190" t="s">
        <v>48</v>
      </c>
      <c r="F322" s="190">
        <v>55</v>
      </c>
      <c r="G322" s="190">
        <v>38</v>
      </c>
      <c r="H322" s="190" t="s">
        <v>7939</v>
      </c>
      <c r="I322" s="190"/>
      <c r="J322" s="190"/>
    </row>
    <row r="323" spans="1:10">
      <c r="A323" s="190" t="s">
        <v>7925</v>
      </c>
      <c r="B323" s="190" t="s">
        <v>3931</v>
      </c>
      <c r="C323" s="190" t="s">
        <v>3936</v>
      </c>
      <c r="D323" s="190" t="s">
        <v>3937</v>
      </c>
      <c r="E323" s="190" t="s">
        <v>90</v>
      </c>
      <c r="F323" s="190">
        <v>55</v>
      </c>
      <c r="G323" s="190">
        <v>38</v>
      </c>
      <c r="H323" s="190" t="s">
        <v>7939</v>
      </c>
      <c r="I323" s="190"/>
      <c r="J323" s="190"/>
    </row>
    <row r="324" spans="1:10">
      <c r="A324" s="190" t="s">
        <v>7925</v>
      </c>
      <c r="B324" s="190" t="s">
        <v>3931</v>
      </c>
      <c r="C324" s="190" t="s">
        <v>3938</v>
      </c>
      <c r="D324" s="190" t="s">
        <v>3939</v>
      </c>
      <c r="E324" s="190" t="s">
        <v>330</v>
      </c>
      <c r="F324" s="190">
        <v>55</v>
      </c>
      <c r="G324" s="190">
        <v>38</v>
      </c>
      <c r="H324" s="190" t="s">
        <v>7939</v>
      </c>
      <c r="I324" s="190"/>
      <c r="J324" s="190"/>
    </row>
    <row r="325" spans="1:10">
      <c r="A325" s="190" t="s">
        <v>7925</v>
      </c>
      <c r="B325" s="190" t="s">
        <v>3931</v>
      </c>
      <c r="C325" s="190" t="s">
        <v>3940</v>
      </c>
      <c r="D325" s="190" t="s">
        <v>3941</v>
      </c>
      <c r="E325" s="190" t="s">
        <v>1074</v>
      </c>
      <c r="F325" s="190">
        <v>55</v>
      </c>
      <c r="G325" s="190">
        <v>38</v>
      </c>
      <c r="H325" s="190" t="s">
        <v>7939</v>
      </c>
      <c r="I325" s="190"/>
      <c r="J325" s="190"/>
    </row>
    <row r="326" spans="1:10">
      <c r="A326" s="190" t="s">
        <v>7925</v>
      </c>
      <c r="B326" s="190" t="s">
        <v>3931</v>
      </c>
      <c r="C326" s="190" t="s">
        <v>3942</v>
      </c>
      <c r="D326" s="190" t="s">
        <v>3943</v>
      </c>
      <c r="E326" s="190" t="s">
        <v>7910</v>
      </c>
      <c r="F326" s="190">
        <v>55</v>
      </c>
      <c r="G326" s="190">
        <v>38</v>
      </c>
      <c r="H326" s="190" t="s">
        <v>7939</v>
      </c>
      <c r="I326" s="190"/>
      <c r="J326" s="190"/>
    </row>
    <row r="327" spans="1:10">
      <c r="A327" s="190" t="s">
        <v>7925</v>
      </c>
      <c r="B327" s="190" t="s">
        <v>3931</v>
      </c>
      <c r="C327" s="190" t="s">
        <v>3944</v>
      </c>
      <c r="D327" s="190" t="s">
        <v>3945</v>
      </c>
      <c r="E327" s="190" t="s">
        <v>7932</v>
      </c>
      <c r="F327" s="190">
        <v>55</v>
      </c>
      <c r="G327" s="190">
        <v>38</v>
      </c>
      <c r="H327" s="190" t="s">
        <v>7939</v>
      </c>
      <c r="I327" s="190"/>
      <c r="J327" s="190"/>
    </row>
    <row r="328" spans="1:10">
      <c r="A328" s="190" t="s">
        <v>7925</v>
      </c>
      <c r="B328" s="190" t="s">
        <v>3931</v>
      </c>
      <c r="C328" s="190" t="s">
        <v>3946</v>
      </c>
      <c r="D328" s="190" t="s">
        <v>3947</v>
      </c>
      <c r="E328" s="190" t="s">
        <v>52</v>
      </c>
      <c r="F328" s="190">
        <v>55</v>
      </c>
      <c r="G328" s="190">
        <v>38</v>
      </c>
      <c r="H328" s="190" t="s">
        <v>7939</v>
      </c>
      <c r="I328" s="190"/>
      <c r="J328" s="190"/>
    </row>
    <row r="329" spans="1:10">
      <c r="A329" s="190" t="s">
        <v>7925</v>
      </c>
      <c r="B329" s="190" t="s">
        <v>3931</v>
      </c>
      <c r="C329" s="190" t="s">
        <v>3948</v>
      </c>
      <c r="D329" s="190" t="s">
        <v>3949</v>
      </c>
      <c r="E329" s="190" t="s">
        <v>154</v>
      </c>
      <c r="F329" s="190">
        <v>55</v>
      </c>
      <c r="G329" s="190">
        <v>38</v>
      </c>
      <c r="H329" s="190" t="s">
        <v>7939</v>
      </c>
      <c r="I329" s="190"/>
      <c r="J329" s="190"/>
    </row>
    <row r="330" spans="1:10">
      <c r="A330" s="190" t="s">
        <v>7925</v>
      </c>
      <c r="B330" s="190" t="s">
        <v>3931</v>
      </c>
      <c r="C330" s="190" t="s">
        <v>3950</v>
      </c>
      <c r="D330" s="190" t="s">
        <v>3951</v>
      </c>
      <c r="E330" s="190" t="s">
        <v>7900</v>
      </c>
      <c r="F330" s="190">
        <v>55</v>
      </c>
      <c r="G330" s="190">
        <v>38</v>
      </c>
      <c r="H330" s="190" t="s">
        <v>7939</v>
      </c>
      <c r="I330" s="190"/>
      <c r="J330" s="190"/>
    </row>
    <row r="331" spans="1:10">
      <c r="A331" s="190" t="s">
        <v>7925</v>
      </c>
      <c r="B331" s="190" t="s">
        <v>3931</v>
      </c>
      <c r="C331" s="190" t="s">
        <v>3952</v>
      </c>
      <c r="D331" s="190" t="s">
        <v>3953</v>
      </c>
      <c r="E331" s="190" t="s">
        <v>366</v>
      </c>
      <c r="F331" s="190">
        <v>55</v>
      </c>
      <c r="G331" s="190">
        <v>38</v>
      </c>
      <c r="H331" s="190" t="s">
        <v>7939</v>
      </c>
      <c r="I331" s="190"/>
      <c r="J331" s="190"/>
    </row>
    <row r="332" spans="1:10">
      <c r="A332" s="190" t="s">
        <v>7925</v>
      </c>
      <c r="B332" s="190" t="s">
        <v>3931</v>
      </c>
      <c r="C332" s="190" t="s">
        <v>3954</v>
      </c>
      <c r="D332" s="190" t="s">
        <v>3955</v>
      </c>
      <c r="E332" s="190" t="s">
        <v>58</v>
      </c>
      <c r="F332" s="190">
        <v>55</v>
      </c>
      <c r="G332" s="190">
        <v>38</v>
      </c>
      <c r="H332" s="190" t="s">
        <v>7939</v>
      </c>
      <c r="I332" s="190"/>
      <c r="J332" s="190"/>
    </row>
    <row r="333" spans="1:10">
      <c r="A333" s="190" t="s">
        <v>7925</v>
      </c>
      <c r="B333" s="190" t="s">
        <v>3931</v>
      </c>
      <c r="C333" s="190" t="s">
        <v>3956</v>
      </c>
      <c r="D333" s="190" t="s">
        <v>3957</v>
      </c>
      <c r="E333" s="190" t="s">
        <v>7903</v>
      </c>
      <c r="F333" s="190">
        <v>55</v>
      </c>
      <c r="G333" s="190">
        <v>38</v>
      </c>
      <c r="H333" s="190" t="s">
        <v>7939</v>
      </c>
      <c r="I333" s="190"/>
      <c r="J333" s="190"/>
    </row>
    <row r="334" spans="1:10">
      <c r="A334" s="190" t="s">
        <v>7925</v>
      </c>
      <c r="B334" s="190" t="s">
        <v>3931</v>
      </c>
      <c r="C334" s="190" t="s">
        <v>3958</v>
      </c>
      <c r="D334" s="190" t="s">
        <v>3959</v>
      </c>
      <c r="E334" s="190" t="s">
        <v>7898</v>
      </c>
      <c r="F334" s="190">
        <v>55</v>
      </c>
      <c r="G334" s="190">
        <v>38</v>
      </c>
      <c r="H334" s="190" t="s">
        <v>7939</v>
      </c>
      <c r="I334" s="190"/>
      <c r="J334" s="190"/>
    </row>
    <row r="335" spans="1:10">
      <c r="A335" s="190" t="s">
        <v>7925</v>
      </c>
      <c r="B335" s="190" t="s">
        <v>3931</v>
      </c>
      <c r="C335" s="190" t="s">
        <v>3960</v>
      </c>
      <c r="D335" s="190" t="s">
        <v>3961</v>
      </c>
      <c r="E335" s="190" t="s">
        <v>7918</v>
      </c>
      <c r="F335" s="190">
        <v>55</v>
      </c>
      <c r="G335" s="190">
        <v>38</v>
      </c>
      <c r="H335" s="190" t="s">
        <v>7939</v>
      </c>
      <c r="I335" s="190"/>
      <c r="J335" s="190"/>
    </row>
    <row r="336" spans="1:10">
      <c r="A336" s="190" t="s">
        <v>7925</v>
      </c>
      <c r="B336" s="190" t="s">
        <v>3931</v>
      </c>
      <c r="C336" s="190" t="s">
        <v>3962</v>
      </c>
      <c r="D336" s="190" t="s">
        <v>3963</v>
      </c>
      <c r="E336" s="190" t="s">
        <v>7908</v>
      </c>
      <c r="F336" s="190">
        <v>55</v>
      </c>
      <c r="G336" s="190">
        <v>38</v>
      </c>
      <c r="H336" s="190" t="s">
        <v>7939</v>
      </c>
      <c r="I336" s="190"/>
      <c r="J336" s="190"/>
    </row>
    <row r="337" spans="1:10">
      <c r="A337" s="190" t="s">
        <v>7925</v>
      </c>
      <c r="B337" s="190" t="s">
        <v>3931</v>
      </c>
      <c r="C337" s="190" t="s">
        <v>3964</v>
      </c>
      <c r="D337" s="190" t="s">
        <v>3965</v>
      </c>
      <c r="E337" s="190" t="s">
        <v>7940</v>
      </c>
      <c r="F337" s="190">
        <v>55</v>
      </c>
      <c r="G337" s="190">
        <v>38</v>
      </c>
      <c r="H337" s="190" t="s">
        <v>7939</v>
      </c>
      <c r="I337" s="190"/>
      <c r="J337" s="190"/>
    </row>
    <row r="338" spans="1:10">
      <c r="A338" s="190" t="s">
        <v>7925</v>
      </c>
      <c r="B338" s="190" t="s">
        <v>3931</v>
      </c>
      <c r="C338" s="190" t="s">
        <v>3966</v>
      </c>
      <c r="D338" s="190" t="s">
        <v>3967</v>
      </c>
      <c r="E338" s="190" t="s">
        <v>7898</v>
      </c>
      <c r="F338" s="190">
        <v>55</v>
      </c>
      <c r="G338" s="190">
        <v>38</v>
      </c>
      <c r="H338" s="190" t="s">
        <v>7939</v>
      </c>
      <c r="I338" s="190"/>
      <c r="J338" s="190"/>
    </row>
    <row r="339" spans="1:10">
      <c r="A339" s="190" t="s">
        <v>7925</v>
      </c>
      <c r="B339" s="190" t="s">
        <v>3931</v>
      </c>
      <c r="C339" s="190" t="s">
        <v>3968</v>
      </c>
      <c r="D339" s="190" t="s">
        <v>3969</v>
      </c>
      <c r="E339" s="190" t="s">
        <v>3226</v>
      </c>
      <c r="F339" s="190">
        <v>55</v>
      </c>
      <c r="G339" s="190">
        <v>38</v>
      </c>
      <c r="H339" s="190" t="s">
        <v>7939</v>
      </c>
      <c r="I339" s="190"/>
      <c r="J339" s="190"/>
    </row>
    <row r="340" spans="1:10">
      <c r="A340" s="190" t="s">
        <v>7925</v>
      </c>
      <c r="B340" s="190" t="s">
        <v>3931</v>
      </c>
      <c r="C340" s="190" t="s">
        <v>3970</v>
      </c>
      <c r="D340" s="190" t="s">
        <v>3971</v>
      </c>
      <c r="E340" s="190" t="s">
        <v>3212</v>
      </c>
      <c r="F340" s="190">
        <v>55</v>
      </c>
      <c r="G340" s="190">
        <v>38</v>
      </c>
      <c r="H340" s="190" t="s">
        <v>7939</v>
      </c>
      <c r="I340" s="190"/>
      <c r="J340" s="190"/>
    </row>
    <row r="341" spans="1:10">
      <c r="A341" s="190" t="s">
        <v>7925</v>
      </c>
      <c r="B341" s="190" t="s">
        <v>3931</v>
      </c>
      <c r="C341" s="190" t="s">
        <v>3972</v>
      </c>
      <c r="D341" s="190" t="s">
        <v>3973</v>
      </c>
      <c r="E341" s="190" t="s">
        <v>7918</v>
      </c>
      <c r="F341" s="190">
        <v>55</v>
      </c>
      <c r="G341" s="190">
        <v>38</v>
      </c>
      <c r="H341" s="190" t="s">
        <v>7939</v>
      </c>
      <c r="I341" s="190"/>
      <c r="J341" s="190"/>
    </row>
    <row r="342" spans="1:10">
      <c r="A342" s="190" t="s">
        <v>7925</v>
      </c>
      <c r="B342" s="190" t="s">
        <v>3931</v>
      </c>
      <c r="C342" s="190" t="s">
        <v>3974</v>
      </c>
      <c r="D342" s="190" t="s">
        <v>3975</v>
      </c>
      <c r="E342" s="190" t="s">
        <v>3208</v>
      </c>
      <c r="F342" s="190">
        <v>55</v>
      </c>
      <c r="G342" s="190">
        <v>38</v>
      </c>
      <c r="H342" s="190" t="s">
        <v>7939</v>
      </c>
      <c r="I342" s="190"/>
      <c r="J342" s="190"/>
    </row>
    <row r="343" spans="1:10">
      <c r="A343" s="190" t="s">
        <v>7925</v>
      </c>
      <c r="B343" s="190" t="s">
        <v>3931</v>
      </c>
      <c r="C343" s="190" t="s">
        <v>3976</v>
      </c>
      <c r="D343" s="190" t="s">
        <v>3977</v>
      </c>
      <c r="E343" s="190" t="s">
        <v>7901</v>
      </c>
      <c r="F343" s="190">
        <v>55</v>
      </c>
      <c r="G343" s="190">
        <v>38</v>
      </c>
      <c r="H343" s="190" t="s">
        <v>7939</v>
      </c>
      <c r="I343" s="190"/>
      <c r="J343" s="190"/>
    </row>
    <row r="344" spans="1:10">
      <c r="A344" s="190" t="s">
        <v>7925</v>
      </c>
      <c r="B344" s="190" t="s">
        <v>3931</v>
      </c>
      <c r="C344" s="190" t="s">
        <v>3978</v>
      </c>
      <c r="D344" s="190" t="s">
        <v>3979</v>
      </c>
      <c r="E344" s="190" t="s">
        <v>3234</v>
      </c>
      <c r="F344" s="190">
        <v>55</v>
      </c>
      <c r="G344" s="190">
        <v>38</v>
      </c>
      <c r="H344" s="190" t="s">
        <v>7939</v>
      </c>
      <c r="I344" s="190"/>
      <c r="J344" s="190"/>
    </row>
    <row r="345" spans="1:10">
      <c r="A345" s="190" t="s">
        <v>7925</v>
      </c>
      <c r="B345" s="190" t="s">
        <v>3980</v>
      </c>
      <c r="C345" s="190" t="s">
        <v>3981</v>
      </c>
      <c r="D345" s="190" t="s">
        <v>3982</v>
      </c>
      <c r="E345" s="190" t="s">
        <v>172</v>
      </c>
      <c r="F345" s="190">
        <v>56</v>
      </c>
      <c r="G345" s="190">
        <v>34</v>
      </c>
      <c r="H345" s="190" t="s">
        <v>7941</v>
      </c>
      <c r="I345" s="190"/>
      <c r="J345" s="190"/>
    </row>
    <row r="346" spans="1:10">
      <c r="A346" s="190" t="s">
        <v>7925</v>
      </c>
      <c r="B346" s="190" t="s">
        <v>3980</v>
      </c>
      <c r="C346" s="190" t="s">
        <v>3983</v>
      </c>
      <c r="D346" s="190" t="s">
        <v>3984</v>
      </c>
      <c r="E346" s="190" t="s">
        <v>7903</v>
      </c>
      <c r="F346" s="190">
        <v>56</v>
      </c>
      <c r="G346" s="190">
        <v>34</v>
      </c>
      <c r="H346" s="190" t="s">
        <v>7941</v>
      </c>
      <c r="I346" s="190"/>
      <c r="J346" s="190"/>
    </row>
    <row r="347" spans="1:10">
      <c r="A347" s="190" t="s">
        <v>7925</v>
      </c>
      <c r="B347" s="190" t="s">
        <v>3980</v>
      </c>
      <c r="C347" s="190" t="s">
        <v>3985</v>
      </c>
      <c r="D347" s="190" t="s">
        <v>3986</v>
      </c>
      <c r="E347" s="190" t="s">
        <v>7910</v>
      </c>
      <c r="F347" s="190">
        <v>56</v>
      </c>
      <c r="G347" s="190">
        <v>34</v>
      </c>
      <c r="H347" s="190" t="s">
        <v>7941</v>
      </c>
      <c r="I347" s="190"/>
      <c r="J347" s="190"/>
    </row>
    <row r="348" spans="1:10">
      <c r="A348" s="190" t="s">
        <v>7925</v>
      </c>
      <c r="B348" s="190" t="s">
        <v>3980</v>
      </c>
      <c r="C348" s="190" t="s">
        <v>3987</v>
      </c>
      <c r="D348" s="190" t="s">
        <v>3988</v>
      </c>
      <c r="E348" s="190" t="s">
        <v>366</v>
      </c>
      <c r="F348" s="190">
        <v>56</v>
      </c>
      <c r="G348" s="190">
        <v>34</v>
      </c>
      <c r="H348" s="190" t="s">
        <v>7941</v>
      </c>
      <c r="I348" s="190"/>
      <c r="J348" s="190"/>
    </row>
    <row r="349" spans="1:10">
      <c r="A349" s="190" t="s">
        <v>7925</v>
      </c>
      <c r="B349" s="190" t="s">
        <v>3980</v>
      </c>
      <c r="C349" s="190" t="s">
        <v>3989</v>
      </c>
      <c r="D349" s="190" t="s">
        <v>3990</v>
      </c>
      <c r="E349" s="190" t="s">
        <v>176</v>
      </c>
      <c r="F349" s="190">
        <v>56</v>
      </c>
      <c r="G349" s="190">
        <v>34</v>
      </c>
      <c r="H349" s="190" t="s">
        <v>7941</v>
      </c>
      <c r="I349" s="190"/>
      <c r="J349" s="190"/>
    </row>
    <row r="350" spans="1:10">
      <c r="A350" s="190" t="s">
        <v>7925</v>
      </c>
      <c r="B350" s="190" t="s">
        <v>3980</v>
      </c>
      <c r="C350" s="190" t="s">
        <v>3991</v>
      </c>
      <c r="D350" s="190" t="s">
        <v>3992</v>
      </c>
      <c r="E350" s="190" t="s">
        <v>330</v>
      </c>
      <c r="F350" s="190">
        <v>56</v>
      </c>
      <c r="G350" s="190">
        <v>34</v>
      </c>
      <c r="H350" s="190" t="s">
        <v>7941</v>
      </c>
      <c r="I350" s="190"/>
      <c r="J350" s="190"/>
    </row>
    <row r="351" spans="1:10">
      <c r="A351" s="190" t="s">
        <v>7925</v>
      </c>
      <c r="B351" s="190" t="s">
        <v>3980</v>
      </c>
      <c r="C351" s="190" t="s">
        <v>3993</v>
      </c>
      <c r="D351" s="190" t="s">
        <v>3994</v>
      </c>
      <c r="E351" s="190" t="s">
        <v>3228</v>
      </c>
      <c r="F351" s="190">
        <v>56</v>
      </c>
      <c r="G351" s="190">
        <v>34</v>
      </c>
      <c r="H351" s="190" t="s">
        <v>7941</v>
      </c>
      <c r="I351" s="190"/>
      <c r="J351" s="190"/>
    </row>
    <row r="352" spans="1:10">
      <c r="A352" s="190" t="s">
        <v>7925</v>
      </c>
      <c r="B352" s="190" t="s">
        <v>3980</v>
      </c>
      <c r="C352" s="190" t="s">
        <v>3995</v>
      </c>
      <c r="D352" s="190" t="s">
        <v>3996</v>
      </c>
      <c r="E352" s="190" t="s">
        <v>150</v>
      </c>
      <c r="F352" s="190">
        <v>56</v>
      </c>
      <c r="G352" s="190">
        <v>34</v>
      </c>
      <c r="H352" s="190" t="s">
        <v>7941</v>
      </c>
      <c r="I352" s="190"/>
      <c r="J352" s="190"/>
    </row>
    <row r="353" spans="1:10">
      <c r="A353" s="190" t="s">
        <v>7925</v>
      </c>
      <c r="B353" s="190" t="s">
        <v>3980</v>
      </c>
      <c r="C353" s="190" t="s">
        <v>3997</v>
      </c>
      <c r="D353" s="190" t="s">
        <v>3998</v>
      </c>
      <c r="E353" s="190" t="s">
        <v>90</v>
      </c>
      <c r="F353" s="190">
        <v>56</v>
      </c>
      <c r="G353" s="190">
        <v>34</v>
      </c>
      <c r="H353" s="190" t="s">
        <v>7941</v>
      </c>
      <c r="I353" s="190"/>
      <c r="J353" s="190"/>
    </row>
    <row r="354" spans="1:10">
      <c r="A354" s="190" t="s">
        <v>7925</v>
      </c>
      <c r="B354" s="190" t="s">
        <v>3980</v>
      </c>
      <c r="C354" s="190" t="s">
        <v>3999</v>
      </c>
      <c r="D354" s="190" t="s">
        <v>4000</v>
      </c>
      <c r="E354" s="190" t="s">
        <v>7934</v>
      </c>
      <c r="F354" s="190">
        <v>56</v>
      </c>
      <c r="G354" s="190">
        <v>34</v>
      </c>
      <c r="H354" s="190" t="s">
        <v>7941</v>
      </c>
      <c r="I354" s="190"/>
      <c r="J354" s="190"/>
    </row>
    <row r="355" spans="1:10">
      <c r="A355" s="190" t="s">
        <v>7925</v>
      </c>
      <c r="B355" s="190" t="s">
        <v>3980</v>
      </c>
      <c r="C355" s="190" t="s">
        <v>4001</v>
      </c>
      <c r="D355" s="190" t="s">
        <v>4002</v>
      </c>
      <c r="E355" s="190" t="s">
        <v>7899</v>
      </c>
      <c r="F355" s="190">
        <v>56</v>
      </c>
      <c r="G355" s="190">
        <v>34</v>
      </c>
      <c r="H355" s="190" t="s">
        <v>7941</v>
      </c>
      <c r="I355" s="190"/>
      <c r="J355" s="190"/>
    </row>
    <row r="356" spans="1:10">
      <c r="A356" s="190" t="s">
        <v>7925</v>
      </c>
      <c r="B356" s="190" t="s">
        <v>3980</v>
      </c>
      <c r="C356" s="190" t="s">
        <v>4003</v>
      </c>
      <c r="D356" s="190" t="s">
        <v>4004</v>
      </c>
      <c r="E356" s="190" t="s">
        <v>7915</v>
      </c>
      <c r="F356" s="190">
        <v>56</v>
      </c>
      <c r="G356" s="190">
        <v>34</v>
      </c>
      <c r="H356" s="190" t="s">
        <v>7941</v>
      </c>
      <c r="I356" s="190"/>
      <c r="J356" s="190"/>
    </row>
    <row r="357" spans="1:10">
      <c r="A357" s="190" t="s">
        <v>7925</v>
      </c>
      <c r="B357" s="190" t="s">
        <v>3980</v>
      </c>
      <c r="C357" s="190" t="s">
        <v>4005</v>
      </c>
      <c r="D357" s="190" t="s">
        <v>4006</v>
      </c>
      <c r="E357" s="190" t="s">
        <v>154</v>
      </c>
      <c r="F357" s="190">
        <v>56</v>
      </c>
      <c r="G357" s="190">
        <v>34</v>
      </c>
      <c r="H357" s="190" t="s">
        <v>7941</v>
      </c>
      <c r="I357" s="190"/>
      <c r="J357" s="190"/>
    </row>
    <row r="358" spans="1:10">
      <c r="A358" s="190" t="s">
        <v>7925</v>
      </c>
      <c r="B358" s="190" t="s">
        <v>3980</v>
      </c>
      <c r="C358" s="190" t="s">
        <v>4007</v>
      </c>
      <c r="D358" s="190" t="s">
        <v>4008</v>
      </c>
      <c r="E358" s="190" t="s">
        <v>304</v>
      </c>
      <c r="F358" s="190">
        <v>56</v>
      </c>
      <c r="G358" s="190">
        <v>34</v>
      </c>
      <c r="H358" s="190" t="s">
        <v>7941</v>
      </c>
      <c r="I358" s="190"/>
      <c r="J358" s="190"/>
    </row>
    <row r="359" spans="1:10">
      <c r="A359" s="190" t="s">
        <v>7925</v>
      </c>
      <c r="B359" s="190" t="s">
        <v>3980</v>
      </c>
      <c r="C359" s="190" t="s">
        <v>4009</v>
      </c>
      <c r="D359" s="190" t="s">
        <v>4010</v>
      </c>
      <c r="E359" s="190" t="s">
        <v>144</v>
      </c>
      <c r="F359" s="190">
        <v>56</v>
      </c>
      <c r="G359" s="190">
        <v>34</v>
      </c>
      <c r="H359" s="190" t="s">
        <v>7941</v>
      </c>
      <c r="I359" s="190"/>
      <c r="J359" s="190"/>
    </row>
    <row r="360" spans="1:10">
      <c r="A360" s="190" t="s">
        <v>7925</v>
      </c>
      <c r="B360" s="190" t="s">
        <v>3980</v>
      </c>
      <c r="C360" s="190" t="s">
        <v>4011</v>
      </c>
      <c r="D360" s="190" t="s">
        <v>4012</v>
      </c>
      <c r="E360" s="192" t="s">
        <v>7900</v>
      </c>
      <c r="F360" s="190">
        <v>56</v>
      </c>
      <c r="G360" s="190">
        <v>34</v>
      </c>
      <c r="H360" s="190" t="s">
        <v>7941</v>
      </c>
      <c r="I360" s="190"/>
      <c r="J360" s="190"/>
    </row>
    <row r="361" spans="1:10">
      <c r="A361" s="190" t="s">
        <v>7925</v>
      </c>
      <c r="B361" s="190" t="s">
        <v>3980</v>
      </c>
      <c r="C361" s="190" t="s">
        <v>4013</v>
      </c>
      <c r="D361" s="190" t="s">
        <v>4014</v>
      </c>
      <c r="E361" s="190" t="s">
        <v>7905</v>
      </c>
      <c r="F361" s="190">
        <v>56</v>
      </c>
      <c r="G361" s="190">
        <v>34</v>
      </c>
      <c r="H361" s="190" t="s">
        <v>7941</v>
      </c>
      <c r="I361" s="190"/>
      <c r="J361" s="190"/>
    </row>
    <row r="362" spans="1:10">
      <c r="A362" s="190" t="s">
        <v>7925</v>
      </c>
      <c r="B362" s="190" t="s">
        <v>3980</v>
      </c>
      <c r="C362" s="190" t="s">
        <v>4015</v>
      </c>
      <c r="D362" s="190" t="s">
        <v>4016</v>
      </c>
      <c r="E362" s="190" t="s">
        <v>7898</v>
      </c>
      <c r="F362" s="190">
        <v>56</v>
      </c>
      <c r="G362" s="190">
        <v>34</v>
      </c>
      <c r="H362" s="190" t="s">
        <v>7941</v>
      </c>
      <c r="I362" s="190"/>
      <c r="J362" s="190"/>
    </row>
    <row r="363" spans="1:10">
      <c r="A363" s="190" t="s">
        <v>7925</v>
      </c>
      <c r="B363" s="190" t="s">
        <v>3980</v>
      </c>
      <c r="C363" s="190" t="s">
        <v>4017</v>
      </c>
      <c r="D363" s="190" t="s">
        <v>4018</v>
      </c>
      <c r="E363" s="190" t="s">
        <v>7918</v>
      </c>
      <c r="F363" s="190">
        <v>56</v>
      </c>
      <c r="G363" s="190">
        <v>34</v>
      </c>
      <c r="H363" s="190" t="s">
        <v>7941</v>
      </c>
      <c r="I363" s="190"/>
      <c r="J363" s="190"/>
    </row>
    <row r="364" spans="1:10">
      <c r="A364" s="190" t="s">
        <v>7925</v>
      </c>
      <c r="B364" s="190" t="s">
        <v>3980</v>
      </c>
      <c r="C364" s="190" t="s">
        <v>4019</v>
      </c>
      <c r="D364" s="190" t="s">
        <v>4020</v>
      </c>
      <c r="E364" s="190" t="s">
        <v>3218</v>
      </c>
      <c r="F364" s="190">
        <v>56</v>
      </c>
      <c r="G364" s="190">
        <v>34</v>
      </c>
      <c r="H364" s="190" t="s">
        <v>7941</v>
      </c>
      <c r="I364" s="190"/>
      <c r="J364" s="190"/>
    </row>
    <row r="365" spans="1:10">
      <c r="A365" s="190" t="s">
        <v>7925</v>
      </c>
      <c r="B365" s="190" t="s">
        <v>3980</v>
      </c>
      <c r="C365" s="190" t="s">
        <v>4021</v>
      </c>
      <c r="D365" s="190" t="s">
        <v>4022</v>
      </c>
      <c r="E365" s="190" t="s">
        <v>7908</v>
      </c>
      <c r="F365" s="190">
        <v>56</v>
      </c>
      <c r="G365" s="190">
        <v>34</v>
      </c>
      <c r="H365" s="190" t="s">
        <v>7941</v>
      </c>
      <c r="I365" s="190"/>
      <c r="J365" s="190"/>
    </row>
    <row r="366" spans="1:10">
      <c r="A366" s="190" t="s">
        <v>7925</v>
      </c>
      <c r="B366" s="190" t="s">
        <v>3980</v>
      </c>
      <c r="C366" s="190" t="s">
        <v>4023</v>
      </c>
      <c r="D366" s="190" t="s">
        <v>4024</v>
      </c>
      <c r="E366" s="190" t="s">
        <v>7901</v>
      </c>
      <c r="F366" s="190">
        <v>56</v>
      </c>
      <c r="G366" s="190">
        <v>34</v>
      </c>
      <c r="H366" s="190" t="s">
        <v>7941</v>
      </c>
      <c r="I366" s="190"/>
      <c r="J366" s="190"/>
    </row>
    <row r="367" spans="1:10">
      <c r="A367" s="190" t="s">
        <v>7925</v>
      </c>
      <c r="B367" s="190" t="s">
        <v>3980</v>
      </c>
      <c r="C367" s="190" t="s">
        <v>4025</v>
      </c>
      <c r="D367" s="190" t="s">
        <v>4026</v>
      </c>
      <c r="E367" s="190" t="s">
        <v>3234</v>
      </c>
      <c r="F367" s="190">
        <v>56</v>
      </c>
      <c r="G367" s="190">
        <v>34</v>
      </c>
      <c r="H367" s="190" t="s">
        <v>7941</v>
      </c>
      <c r="I367" s="190"/>
      <c r="J367" s="190"/>
    </row>
    <row r="368" spans="1:10">
      <c r="A368" s="190" t="s">
        <v>7925</v>
      </c>
      <c r="B368" s="190" t="s">
        <v>4027</v>
      </c>
      <c r="C368" s="190" t="s">
        <v>4028</v>
      </c>
      <c r="D368" s="190" t="s">
        <v>4029</v>
      </c>
      <c r="E368" s="190" t="s">
        <v>366</v>
      </c>
      <c r="F368" s="190">
        <v>59</v>
      </c>
      <c r="G368" s="190">
        <v>40</v>
      </c>
      <c r="H368" s="190" t="s">
        <v>7942</v>
      </c>
      <c r="I368" s="190"/>
      <c r="J368" s="190"/>
    </row>
    <row r="369" spans="1:10">
      <c r="A369" s="190" t="s">
        <v>7925</v>
      </c>
      <c r="B369" s="190" t="s">
        <v>4027</v>
      </c>
      <c r="C369" s="190" t="s">
        <v>4030</v>
      </c>
      <c r="D369" s="190" t="s">
        <v>4031</v>
      </c>
      <c r="E369" s="190" t="s">
        <v>7903</v>
      </c>
      <c r="F369" s="190">
        <v>59</v>
      </c>
      <c r="G369" s="190">
        <v>40</v>
      </c>
      <c r="H369" s="190" t="s">
        <v>7942</v>
      </c>
      <c r="I369" s="190"/>
      <c r="J369" s="190"/>
    </row>
    <row r="370" spans="1:10">
      <c r="A370" s="190" t="s">
        <v>7925</v>
      </c>
      <c r="B370" s="190" t="s">
        <v>4027</v>
      </c>
      <c r="C370" s="190" t="s">
        <v>4032</v>
      </c>
      <c r="D370" s="190" t="s">
        <v>4033</v>
      </c>
      <c r="E370" s="190" t="s">
        <v>48</v>
      </c>
      <c r="F370" s="190">
        <v>59</v>
      </c>
      <c r="G370" s="190">
        <v>40</v>
      </c>
      <c r="H370" s="190" t="s">
        <v>7942</v>
      </c>
      <c r="I370" s="190"/>
      <c r="J370" s="190"/>
    </row>
    <row r="371" spans="1:10">
      <c r="A371" s="190" t="s">
        <v>7925</v>
      </c>
      <c r="B371" s="190" t="s">
        <v>4027</v>
      </c>
      <c r="C371" s="190" t="s">
        <v>4034</v>
      </c>
      <c r="D371" s="190" t="s">
        <v>4035</v>
      </c>
      <c r="E371" s="190" t="s">
        <v>7943</v>
      </c>
      <c r="F371" s="190">
        <v>59</v>
      </c>
      <c r="G371" s="190">
        <v>40</v>
      </c>
      <c r="H371" s="190" t="s">
        <v>7942</v>
      </c>
      <c r="I371" s="190"/>
      <c r="J371" s="190"/>
    </row>
    <row r="372" spans="1:10">
      <c r="A372" s="190" t="s">
        <v>7925</v>
      </c>
      <c r="B372" s="190" t="s">
        <v>4027</v>
      </c>
      <c r="C372" s="190" t="s">
        <v>4036</v>
      </c>
      <c r="D372" s="190" t="s">
        <v>4037</v>
      </c>
      <c r="E372" s="190" t="s">
        <v>7944</v>
      </c>
      <c r="F372" s="190">
        <v>59</v>
      </c>
      <c r="G372" s="190">
        <v>40</v>
      </c>
      <c r="H372" s="190" t="s">
        <v>7942</v>
      </c>
      <c r="I372" s="190"/>
      <c r="J372" s="190"/>
    </row>
    <row r="373" spans="1:10">
      <c r="A373" s="190" t="s">
        <v>7925</v>
      </c>
      <c r="B373" s="190" t="s">
        <v>4027</v>
      </c>
      <c r="C373" s="190" t="s">
        <v>4038</v>
      </c>
      <c r="D373" s="190" t="s">
        <v>3696</v>
      </c>
      <c r="E373" s="190" t="s">
        <v>7910</v>
      </c>
      <c r="F373" s="190">
        <v>63</v>
      </c>
      <c r="G373" s="190">
        <v>50</v>
      </c>
      <c r="H373" s="190" t="s">
        <v>7942</v>
      </c>
      <c r="I373" s="190"/>
      <c r="J373" s="190"/>
    </row>
    <row r="374" spans="1:10">
      <c r="A374" s="190" t="s">
        <v>7925</v>
      </c>
      <c r="B374" s="190" t="s">
        <v>4027</v>
      </c>
      <c r="C374" s="190" t="s">
        <v>4039</v>
      </c>
      <c r="D374" s="190" t="s">
        <v>4040</v>
      </c>
      <c r="E374" s="190" t="s">
        <v>96</v>
      </c>
      <c r="F374" s="190">
        <v>59</v>
      </c>
      <c r="G374" s="190">
        <v>40</v>
      </c>
      <c r="H374" s="190" t="s">
        <v>7942</v>
      </c>
      <c r="I374" s="190"/>
      <c r="J374" s="190"/>
    </row>
    <row r="375" spans="1:10">
      <c r="A375" s="190" t="s">
        <v>7925</v>
      </c>
      <c r="B375" s="190" t="s">
        <v>4027</v>
      </c>
      <c r="C375" s="190" t="s">
        <v>4041</v>
      </c>
      <c r="D375" s="190" t="s">
        <v>4042</v>
      </c>
      <c r="E375" s="190" t="s">
        <v>7907</v>
      </c>
      <c r="F375" s="190">
        <v>59</v>
      </c>
      <c r="G375" s="190">
        <v>40</v>
      </c>
      <c r="H375" s="190" t="s">
        <v>7942</v>
      </c>
      <c r="I375" s="190"/>
      <c r="J375" s="190"/>
    </row>
    <row r="376" spans="1:10">
      <c r="A376" s="190" t="s">
        <v>7925</v>
      </c>
      <c r="B376" s="190" t="s">
        <v>4027</v>
      </c>
      <c r="C376" s="190" t="s">
        <v>4043</v>
      </c>
      <c r="D376" s="190" t="s">
        <v>4044</v>
      </c>
      <c r="E376" s="190" t="s">
        <v>1074</v>
      </c>
      <c r="F376" s="190">
        <v>59</v>
      </c>
      <c r="G376" s="190">
        <v>40</v>
      </c>
      <c r="H376" s="190" t="s">
        <v>7942</v>
      </c>
      <c r="I376" s="190"/>
      <c r="J376" s="190"/>
    </row>
    <row r="377" spans="1:10">
      <c r="A377" s="190" t="s">
        <v>7925</v>
      </c>
      <c r="B377" s="190" t="s">
        <v>4027</v>
      </c>
      <c r="C377" s="190" t="s">
        <v>4045</v>
      </c>
      <c r="D377" s="190" t="s">
        <v>4046</v>
      </c>
      <c r="E377" s="190" t="s">
        <v>1146</v>
      </c>
      <c r="F377" s="190">
        <v>59</v>
      </c>
      <c r="G377" s="190">
        <v>40</v>
      </c>
      <c r="H377" s="190" t="s">
        <v>7942</v>
      </c>
      <c r="I377" s="190"/>
      <c r="J377" s="190"/>
    </row>
    <row r="378" spans="1:10">
      <c r="A378" s="190" t="s">
        <v>7925</v>
      </c>
      <c r="B378" s="190" t="s">
        <v>4027</v>
      </c>
      <c r="C378" s="190" t="s">
        <v>4047</v>
      </c>
      <c r="D378" s="190" t="s">
        <v>4048</v>
      </c>
      <c r="E378" s="190" t="s">
        <v>7908</v>
      </c>
      <c r="F378" s="190">
        <v>59</v>
      </c>
      <c r="G378" s="190">
        <v>40</v>
      </c>
      <c r="H378" s="190" t="s">
        <v>7942</v>
      </c>
      <c r="I378" s="190"/>
      <c r="J378" s="190"/>
    </row>
    <row r="379" spans="1:10">
      <c r="A379" s="190" t="s">
        <v>7925</v>
      </c>
      <c r="B379" s="190" t="s">
        <v>4027</v>
      </c>
      <c r="C379" s="190" t="s">
        <v>4049</v>
      </c>
      <c r="D379" s="190" t="s">
        <v>4050</v>
      </c>
      <c r="E379" s="190" t="s">
        <v>7898</v>
      </c>
      <c r="F379" s="190">
        <v>59</v>
      </c>
      <c r="G379" s="190">
        <v>40</v>
      </c>
      <c r="H379" s="190" t="s">
        <v>7942</v>
      </c>
      <c r="I379" s="190"/>
      <c r="J379" s="190"/>
    </row>
    <row r="380" spans="1:10">
      <c r="A380" s="190" t="s">
        <v>7925</v>
      </c>
      <c r="B380" s="190" t="s">
        <v>4027</v>
      </c>
      <c r="C380" s="190" t="s">
        <v>4051</v>
      </c>
      <c r="D380" s="190" t="s">
        <v>4052</v>
      </c>
      <c r="E380" s="190" t="s">
        <v>7918</v>
      </c>
      <c r="F380" s="190">
        <v>59</v>
      </c>
      <c r="G380" s="190">
        <v>40</v>
      </c>
      <c r="H380" s="190" t="s">
        <v>7942</v>
      </c>
      <c r="I380" s="190"/>
      <c r="J380" s="190"/>
    </row>
    <row r="381" spans="1:10">
      <c r="A381" s="190" t="s">
        <v>7925</v>
      </c>
      <c r="B381" s="190" t="s">
        <v>4027</v>
      </c>
      <c r="C381" s="190" t="s">
        <v>4053</v>
      </c>
      <c r="D381" s="190" t="s">
        <v>4054</v>
      </c>
      <c r="E381" s="190" t="s">
        <v>7905</v>
      </c>
      <c r="F381" s="190">
        <v>59</v>
      </c>
      <c r="G381" s="190">
        <v>40</v>
      </c>
      <c r="H381" s="190" t="s">
        <v>7942</v>
      </c>
      <c r="I381" s="190"/>
      <c r="J381" s="190"/>
    </row>
    <row r="382" spans="1:10">
      <c r="A382" s="193" t="s">
        <v>7945</v>
      </c>
      <c r="B382" s="193" t="s">
        <v>4056</v>
      </c>
      <c r="C382" s="193" t="s">
        <v>4057</v>
      </c>
      <c r="D382" s="193" t="s">
        <v>4058</v>
      </c>
      <c r="E382" s="193" t="s">
        <v>7946</v>
      </c>
      <c r="F382" s="193">
        <v>40</v>
      </c>
      <c r="G382" s="193">
        <v>0</v>
      </c>
      <c r="H382" s="193" t="s">
        <v>7947</v>
      </c>
      <c r="I382" s="193"/>
      <c r="J382" s="193"/>
    </row>
    <row r="383" spans="1:10">
      <c r="A383" s="193" t="s">
        <v>7945</v>
      </c>
      <c r="B383" s="193" t="s">
        <v>4056</v>
      </c>
      <c r="C383" s="193" t="s">
        <v>4059</v>
      </c>
      <c r="D383" s="193" t="s">
        <v>4060</v>
      </c>
      <c r="E383" s="193" t="s">
        <v>7948</v>
      </c>
      <c r="F383" s="193">
        <v>40</v>
      </c>
      <c r="G383" s="193">
        <v>0</v>
      </c>
      <c r="H383" s="193" t="s">
        <v>7947</v>
      </c>
      <c r="I383" s="193"/>
      <c r="J383" s="193"/>
    </row>
    <row r="384" spans="1:10">
      <c r="A384" s="193" t="s">
        <v>7945</v>
      </c>
      <c r="B384" s="193" t="s">
        <v>4056</v>
      </c>
      <c r="C384" s="193" t="s">
        <v>4061</v>
      </c>
      <c r="D384" s="193" t="s">
        <v>4062</v>
      </c>
      <c r="E384" s="193" t="s">
        <v>689</v>
      </c>
      <c r="F384" s="193">
        <v>40</v>
      </c>
      <c r="G384" s="193">
        <v>0</v>
      </c>
      <c r="H384" s="193" t="s">
        <v>7947</v>
      </c>
      <c r="I384" s="193"/>
      <c r="J384" s="193"/>
    </row>
    <row r="385" spans="1:10">
      <c r="A385" s="193" t="s">
        <v>7945</v>
      </c>
      <c r="B385" s="193" t="s">
        <v>4056</v>
      </c>
      <c r="C385" s="193" t="s">
        <v>4063</v>
      </c>
      <c r="D385" s="193" t="s">
        <v>4064</v>
      </c>
      <c r="E385" s="193" t="s">
        <v>7949</v>
      </c>
      <c r="F385" s="193">
        <v>40</v>
      </c>
      <c r="G385" s="193">
        <v>0</v>
      </c>
      <c r="H385" s="193" t="s">
        <v>7947</v>
      </c>
      <c r="I385" s="193"/>
      <c r="J385" s="193"/>
    </row>
    <row r="386" spans="1:10">
      <c r="A386" s="193" t="s">
        <v>7945</v>
      </c>
      <c r="B386" s="193" t="s">
        <v>4056</v>
      </c>
      <c r="C386" s="193" t="s">
        <v>4065</v>
      </c>
      <c r="D386" s="193" t="s">
        <v>4066</v>
      </c>
      <c r="E386" s="193" t="s">
        <v>673</v>
      </c>
      <c r="F386" s="193">
        <v>40</v>
      </c>
      <c r="G386" s="193">
        <v>0</v>
      </c>
      <c r="H386" s="193" t="s">
        <v>7947</v>
      </c>
      <c r="I386" s="193"/>
      <c r="J386" s="193"/>
    </row>
    <row r="387" spans="1:10">
      <c r="A387" s="193" t="s">
        <v>7945</v>
      </c>
      <c r="B387" s="193" t="s">
        <v>4056</v>
      </c>
      <c r="C387" s="193" t="s">
        <v>4067</v>
      </c>
      <c r="D387" s="193" t="s">
        <v>4068</v>
      </c>
      <c r="E387" s="193" t="s">
        <v>7950</v>
      </c>
      <c r="F387" s="193">
        <v>40</v>
      </c>
      <c r="G387" s="193">
        <v>0</v>
      </c>
      <c r="H387" s="193" t="s">
        <v>7947</v>
      </c>
      <c r="I387" s="193"/>
      <c r="J387" s="193"/>
    </row>
    <row r="388" spans="1:10">
      <c r="A388" s="193" t="s">
        <v>7945</v>
      </c>
      <c r="B388" s="193" t="s">
        <v>4056</v>
      </c>
      <c r="C388" s="193" t="s">
        <v>4069</v>
      </c>
      <c r="D388" s="193" t="s">
        <v>4070</v>
      </c>
      <c r="E388" s="193" t="s">
        <v>3204</v>
      </c>
      <c r="F388" s="193">
        <v>40</v>
      </c>
      <c r="G388" s="193">
        <v>0</v>
      </c>
      <c r="H388" s="193" t="s">
        <v>7947</v>
      </c>
      <c r="I388" s="193"/>
      <c r="J388" s="193"/>
    </row>
    <row r="389" spans="1:10">
      <c r="A389" s="193" t="s">
        <v>7945</v>
      </c>
      <c r="B389" s="193" t="s">
        <v>4056</v>
      </c>
      <c r="C389" s="193" t="s">
        <v>4071</v>
      </c>
      <c r="D389" s="193" t="s">
        <v>4072</v>
      </c>
      <c r="E389" s="193" t="s">
        <v>7951</v>
      </c>
      <c r="F389" s="193">
        <v>40</v>
      </c>
      <c r="G389" s="193">
        <v>0</v>
      </c>
      <c r="H389" s="193" t="s">
        <v>7947</v>
      </c>
      <c r="I389" s="193"/>
      <c r="J389" s="193"/>
    </row>
    <row r="390" spans="1:10">
      <c r="A390" s="193" t="s">
        <v>7945</v>
      </c>
      <c r="B390" s="193" t="s">
        <v>4056</v>
      </c>
      <c r="C390" s="193" t="s">
        <v>4073</v>
      </c>
      <c r="D390" s="193" t="s">
        <v>4074</v>
      </c>
      <c r="E390" s="193" t="s">
        <v>679</v>
      </c>
      <c r="F390" s="193">
        <v>40</v>
      </c>
      <c r="G390" s="193">
        <v>0</v>
      </c>
      <c r="H390" s="193" t="s">
        <v>7947</v>
      </c>
      <c r="I390" s="193"/>
      <c r="J390" s="193"/>
    </row>
    <row r="391" spans="1:10">
      <c r="A391" s="193" t="s">
        <v>7945</v>
      </c>
      <c r="B391" s="193" t="s">
        <v>4056</v>
      </c>
      <c r="C391" s="193" t="s">
        <v>4075</v>
      </c>
      <c r="D391" s="193" t="s">
        <v>4076</v>
      </c>
      <c r="E391" s="193" t="s">
        <v>7952</v>
      </c>
      <c r="F391" s="193">
        <v>40</v>
      </c>
      <c r="G391" s="193">
        <v>0</v>
      </c>
      <c r="H391" s="193" t="s">
        <v>7947</v>
      </c>
      <c r="I391" s="193"/>
      <c r="J391" s="193"/>
    </row>
    <row r="392" spans="1:10">
      <c r="A392" s="193" t="s">
        <v>7945</v>
      </c>
      <c r="B392" s="193" t="s">
        <v>4056</v>
      </c>
      <c r="C392" s="193" t="s">
        <v>4077</v>
      </c>
      <c r="D392" s="193" t="s">
        <v>4078</v>
      </c>
      <c r="E392" s="193" t="s">
        <v>7953</v>
      </c>
      <c r="F392" s="193">
        <v>40</v>
      </c>
      <c r="G392" s="193">
        <v>0</v>
      </c>
      <c r="H392" s="193" t="s">
        <v>7947</v>
      </c>
      <c r="I392" s="193"/>
      <c r="J392" s="193"/>
    </row>
    <row r="393" spans="1:10">
      <c r="A393" s="193" t="s">
        <v>7945</v>
      </c>
      <c r="B393" s="193" t="s">
        <v>4056</v>
      </c>
      <c r="C393" s="193" t="s">
        <v>4079</v>
      </c>
      <c r="D393" s="193" t="s">
        <v>4080</v>
      </c>
      <c r="E393" s="193" t="s">
        <v>7954</v>
      </c>
      <c r="F393" s="193">
        <v>40</v>
      </c>
      <c r="G393" s="193">
        <v>0</v>
      </c>
      <c r="H393" s="193" t="s">
        <v>7947</v>
      </c>
      <c r="I393" s="193"/>
      <c r="J393" s="193"/>
    </row>
    <row r="394" spans="1:10">
      <c r="A394" s="193" t="s">
        <v>7945</v>
      </c>
      <c r="B394" s="193" t="s">
        <v>4056</v>
      </c>
      <c r="C394" s="193" t="s">
        <v>4081</v>
      </c>
      <c r="D394" s="193" t="s">
        <v>4082</v>
      </c>
      <c r="E394" s="193" t="s">
        <v>7955</v>
      </c>
      <c r="F394" s="193">
        <v>40</v>
      </c>
      <c r="G394" s="193">
        <v>0</v>
      </c>
      <c r="H394" s="193" t="s">
        <v>7947</v>
      </c>
      <c r="I394" s="193"/>
      <c r="J394" s="193"/>
    </row>
    <row r="395" spans="1:10">
      <c r="A395" s="193" t="s">
        <v>7945</v>
      </c>
      <c r="B395" s="193" t="s">
        <v>4083</v>
      </c>
      <c r="C395" s="193" t="s">
        <v>4084</v>
      </c>
      <c r="D395" s="193" t="s">
        <v>4085</v>
      </c>
      <c r="E395" s="193" t="s">
        <v>7946</v>
      </c>
      <c r="F395" s="193">
        <v>70</v>
      </c>
      <c r="G395" s="193">
        <v>0</v>
      </c>
      <c r="H395" s="193" t="s">
        <v>7947</v>
      </c>
      <c r="I395" s="193"/>
      <c r="J395" s="193"/>
    </row>
    <row r="396" spans="1:10">
      <c r="A396" s="193" t="s">
        <v>7945</v>
      </c>
      <c r="B396" s="193" t="s">
        <v>4083</v>
      </c>
      <c r="C396" s="193" t="s">
        <v>4086</v>
      </c>
      <c r="D396" s="193" t="s">
        <v>4087</v>
      </c>
      <c r="E396" s="193" t="s">
        <v>7948</v>
      </c>
      <c r="F396" s="193">
        <v>70</v>
      </c>
      <c r="G396" s="193">
        <v>0</v>
      </c>
      <c r="H396" s="193" t="s">
        <v>7947</v>
      </c>
      <c r="I396" s="193"/>
      <c r="J396" s="193"/>
    </row>
    <row r="397" spans="1:10">
      <c r="A397" s="193" t="s">
        <v>7945</v>
      </c>
      <c r="B397" s="193" t="s">
        <v>4083</v>
      </c>
      <c r="C397" s="193" t="s">
        <v>4088</v>
      </c>
      <c r="D397" s="193" t="s">
        <v>4089</v>
      </c>
      <c r="E397" s="193" t="s">
        <v>689</v>
      </c>
      <c r="F397" s="193">
        <v>70</v>
      </c>
      <c r="G397" s="193">
        <v>0</v>
      </c>
      <c r="H397" s="193" t="s">
        <v>7947</v>
      </c>
      <c r="I397" s="193"/>
      <c r="J397" s="193"/>
    </row>
    <row r="398" spans="1:10">
      <c r="A398" s="193" t="s">
        <v>7945</v>
      </c>
      <c r="B398" s="193" t="s">
        <v>4083</v>
      </c>
      <c r="C398" s="193" t="s">
        <v>4090</v>
      </c>
      <c r="D398" s="193" t="s">
        <v>4091</v>
      </c>
      <c r="E398" s="193" t="s">
        <v>7956</v>
      </c>
      <c r="F398" s="193">
        <v>70</v>
      </c>
      <c r="G398" s="193">
        <v>0</v>
      </c>
      <c r="H398" s="193" t="s">
        <v>7947</v>
      </c>
      <c r="I398" s="193"/>
      <c r="J398" s="193"/>
    </row>
    <row r="399" spans="1:10">
      <c r="A399" s="193" t="s">
        <v>7945</v>
      </c>
      <c r="B399" s="193" t="s">
        <v>4083</v>
      </c>
      <c r="C399" s="193" t="s">
        <v>4092</v>
      </c>
      <c r="D399" s="193" t="s">
        <v>4093</v>
      </c>
      <c r="E399" s="193" t="s">
        <v>7955</v>
      </c>
      <c r="F399" s="193">
        <v>70</v>
      </c>
      <c r="G399" s="193">
        <v>0</v>
      </c>
      <c r="H399" s="193" t="s">
        <v>7947</v>
      </c>
      <c r="I399" s="193"/>
      <c r="J399" s="193"/>
    </row>
    <row r="400" spans="1:10">
      <c r="A400" s="193" t="s">
        <v>7945</v>
      </c>
      <c r="B400" s="193" t="s">
        <v>4083</v>
      </c>
      <c r="C400" s="193" t="s">
        <v>4094</v>
      </c>
      <c r="D400" s="193" t="s">
        <v>4095</v>
      </c>
      <c r="E400" s="193" t="s">
        <v>665</v>
      </c>
      <c r="F400" s="193">
        <v>70</v>
      </c>
      <c r="G400" s="193">
        <v>0</v>
      </c>
      <c r="H400" s="193" t="s">
        <v>7947</v>
      </c>
      <c r="I400" s="193"/>
      <c r="J400" s="193"/>
    </row>
    <row r="401" spans="1:10">
      <c r="A401" s="193" t="s">
        <v>7945</v>
      </c>
      <c r="B401" s="193" t="s">
        <v>4083</v>
      </c>
      <c r="C401" s="193" t="s">
        <v>4096</v>
      </c>
      <c r="D401" s="193" t="s">
        <v>4097</v>
      </c>
      <c r="E401" s="193" t="s">
        <v>7957</v>
      </c>
      <c r="F401" s="193">
        <v>70</v>
      </c>
      <c r="G401" s="193">
        <v>0</v>
      </c>
      <c r="H401" s="193" t="s">
        <v>7947</v>
      </c>
      <c r="I401" s="193"/>
      <c r="J401" s="193"/>
    </row>
    <row r="402" spans="1:10">
      <c r="A402" s="193" t="s">
        <v>7945</v>
      </c>
      <c r="B402" s="193" t="s">
        <v>4098</v>
      </c>
      <c r="C402" s="193" t="s">
        <v>4099</v>
      </c>
      <c r="D402" s="193" t="s">
        <v>4100</v>
      </c>
      <c r="E402" s="193" t="s">
        <v>7946</v>
      </c>
      <c r="F402" s="193">
        <v>125</v>
      </c>
      <c r="G402" s="193">
        <v>0</v>
      </c>
      <c r="H402" s="193" t="s">
        <v>7947</v>
      </c>
      <c r="I402" s="193"/>
      <c r="J402" s="193"/>
    </row>
    <row r="403" spans="1:10">
      <c r="A403" s="193" t="s">
        <v>7945</v>
      </c>
      <c r="B403" s="193" t="s">
        <v>4098</v>
      </c>
      <c r="C403" s="193" t="s">
        <v>4101</v>
      </c>
      <c r="D403" s="193" t="s">
        <v>4102</v>
      </c>
      <c r="E403" s="193" t="s">
        <v>7958</v>
      </c>
      <c r="F403" s="193">
        <v>125</v>
      </c>
      <c r="G403" s="193">
        <v>0</v>
      </c>
      <c r="H403" s="193" t="s">
        <v>7947</v>
      </c>
      <c r="I403" s="193"/>
      <c r="J403" s="193"/>
    </row>
    <row r="404" spans="1:10">
      <c r="A404" s="193" t="s">
        <v>7945</v>
      </c>
      <c r="B404" s="193" t="s">
        <v>4098</v>
      </c>
      <c r="C404" s="193" t="s">
        <v>4103</v>
      </c>
      <c r="D404" s="193" t="s">
        <v>4104</v>
      </c>
      <c r="E404" s="193" t="s">
        <v>7948</v>
      </c>
      <c r="F404" s="193">
        <v>125</v>
      </c>
      <c r="G404" s="193">
        <v>0</v>
      </c>
      <c r="H404" s="193" t="s">
        <v>7947</v>
      </c>
      <c r="I404" s="193"/>
      <c r="J404" s="193"/>
    </row>
    <row r="405" spans="1:10">
      <c r="A405" s="193" t="s">
        <v>7945</v>
      </c>
      <c r="B405" s="193" t="s">
        <v>4098</v>
      </c>
      <c r="C405" s="193" t="s">
        <v>4105</v>
      </c>
      <c r="D405" s="193" t="s">
        <v>4106</v>
      </c>
      <c r="E405" s="193" t="s">
        <v>7955</v>
      </c>
      <c r="F405" s="193">
        <v>125</v>
      </c>
      <c r="G405" s="193">
        <v>0</v>
      </c>
      <c r="H405" s="193" t="s">
        <v>7947</v>
      </c>
      <c r="I405" s="193"/>
      <c r="J405" s="193"/>
    </row>
    <row r="406" spans="1:10">
      <c r="A406" s="193" t="s">
        <v>7945</v>
      </c>
      <c r="B406" s="193" t="s">
        <v>4098</v>
      </c>
      <c r="C406" s="193" t="s">
        <v>4107</v>
      </c>
      <c r="D406" s="193" t="s">
        <v>4108</v>
      </c>
      <c r="E406" s="193" t="s">
        <v>685</v>
      </c>
      <c r="F406" s="193">
        <v>125</v>
      </c>
      <c r="G406" s="193">
        <v>0</v>
      </c>
      <c r="H406" s="193" t="s">
        <v>7947</v>
      </c>
      <c r="I406" s="193"/>
      <c r="J406" s="193"/>
    </row>
    <row r="407" spans="1:10">
      <c r="A407" s="193" t="s">
        <v>7945</v>
      </c>
      <c r="B407" s="193" t="s">
        <v>4098</v>
      </c>
      <c r="C407" s="193" t="s">
        <v>4109</v>
      </c>
      <c r="D407" s="193" t="s">
        <v>4110</v>
      </c>
      <c r="E407" s="193" t="s">
        <v>669</v>
      </c>
      <c r="F407" s="193">
        <v>125</v>
      </c>
      <c r="G407" s="193">
        <v>0</v>
      </c>
      <c r="H407" s="193" t="s">
        <v>7947</v>
      </c>
      <c r="I407" s="193"/>
      <c r="J407" s="193"/>
    </row>
    <row r="408" spans="1:10">
      <c r="A408" s="193" t="s">
        <v>7945</v>
      </c>
      <c r="B408" s="193" t="s">
        <v>4098</v>
      </c>
      <c r="C408" s="193" t="s">
        <v>4111</v>
      </c>
      <c r="D408" s="193" t="s">
        <v>4112</v>
      </c>
      <c r="E408" s="193" t="s">
        <v>7958</v>
      </c>
      <c r="F408" s="193">
        <v>125</v>
      </c>
      <c r="G408" s="193">
        <v>0</v>
      </c>
      <c r="H408" s="193" t="s">
        <v>7947</v>
      </c>
      <c r="I408" s="193"/>
      <c r="J408" s="193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J408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36"/>
  <sheetViews>
    <sheetView workbookViewId="0">
      <pane ySplit="1" topLeftCell="A2" activePane="bottomLeft" state="frozen"/>
      <selection/>
      <selection pane="bottomLeft" activeCell="E32" sqref="E32"/>
    </sheetView>
  </sheetViews>
  <sheetFormatPr defaultColWidth="9" defaultRowHeight="13.5"/>
  <cols>
    <col min="1" max="1" width="17.7916666666667" style="14" customWidth="1"/>
    <col min="2" max="2" width="26.025" style="14" customWidth="1"/>
    <col min="3" max="4" width="20" style="14" customWidth="1"/>
    <col min="5" max="5" width="35.5" style="14" customWidth="1"/>
    <col min="6" max="6" width="39.5583333333333" style="52" customWidth="1"/>
    <col min="7" max="7" width="10.625" style="14" customWidth="1"/>
    <col min="8" max="8" width="12.625" style="14" customWidth="1"/>
    <col min="9" max="9" width="20.125" style="14" customWidth="1"/>
    <col min="10" max="10" width="10.625" style="63" customWidth="1"/>
    <col min="11" max="11" width="12.625" style="63" customWidth="1"/>
    <col min="12" max="12" width="10.625" style="64" customWidth="1"/>
    <col min="13" max="13" width="12.625" style="14" customWidth="1"/>
    <col min="14" max="14" width="10.625" style="14" customWidth="1"/>
    <col min="15" max="15" width="12.625" style="14" customWidth="1"/>
    <col min="16" max="16" width="10.625" style="14" customWidth="1"/>
    <col min="17" max="17" width="12.625" style="14" customWidth="1"/>
    <col min="18" max="18" width="10.625" style="14" customWidth="1"/>
    <col min="19" max="19" width="12.625" style="14" customWidth="1"/>
    <col min="20" max="20" width="10.625" style="14" customWidth="1"/>
    <col min="21" max="21" width="12.625" style="14" customWidth="1"/>
    <col min="22" max="22" width="10.625" style="14" customWidth="1"/>
    <col min="23" max="23" width="12.625" style="14" customWidth="1"/>
    <col min="24" max="24" width="10.625" style="14" customWidth="1"/>
    <col min="25" max="25" width="12.625" style="14" customWidth="1"/>
    <col min="26" max="26" width="25.4333333333333" style="14" customWidth="1"/>
    <col min="27" max="27" width="17.125" style="14" customWidth="1"/>
  </cols>
  <sheetData>
    <row r="1" ht="18.75" spans="1:27">
      <c r="A1" s="65" t="s">
        <v>7959</v>
      </c>
      <c r="B1" s="65" t="s">
        <v>7960</v>
      </c>
      <c r="C1" s="65" t="s">
        <v>7961</v>
      </c>
      <c r="D1" s="65" t="s">
        <v>7962</v>
      </c>
      <c r="E1" s="65" t="s">
        <v>7963</v>
      </c>
      <c r="F1" s="65" t="s">
        <v>7892</v>
      </c>
      <c r="G1" s="66" t="s">
        <v>7964</v>
      </c>
      <c r="H1" s="67"/>
      <c r="I1" s="68" t="s">
        <v>7965</v>
      </c>
      <c r="J1" s="69" t="s">
        <v>7966</v>
      </c>
      <c r="K1" s="70"/>
      <c r="L1" s="71" t="s">
        <v>7967</v>
      </c>
      <c r="M1" s="72"/>
      <c r="N1" s="73" t="s">
        <v>7968</v>
      </c>
      <c r="O1" s="74"/>
      <c r="P1" s="75" t="s">
        <v>7969</v>
      </c>
      <c r="Q1" s="76"/>
      <c r="R1" s="77" t="s">
        <v>7970</v>
      </c>
      <c r="S1" s="78"/>
      <c r="T1" s="79" t="s">
        <v>7971</v>
      </c>
      <c r="U1" s="80"/>
      <c r="V1" s="81" t="s">
        <v>7972</v>
      </c>
      <c r="W1" s="82"/>
      <c r="X1" s="83" t="s">
        <v>7973</v>
      </c>
      <c r="Y1" s="84"/>
      <c r="Z1" s="85" t="s">
        <v>7974</v>
      </c>
      <c r="AA1" s="85" t="s">
        <v>3284</v>
      </c>
    </row>
    <row r="2" spans="1:27">
      <c r="A2" s="86" t="s">
        <v>7975</v>
      </c>
      <c r="B2" s="87" t="s">
        <v>7976</v>
      </c>
      <c r="C2" s="88"/>
      <c r="D2" s="89"/>
      <c r="E2" s="90"/>
      <c r="F2" s="91"/>
      <c r="G2" s="92"/>
      <c r="H2" s="93">
        <f t="shared" ref="H2:M2" si="0">SUM(G2:G6)</f>
        <v>18.2</v>
      </c>
      <c r="I2" s="94" t="s">
        <v>7977</v>
      </c>
      <c r="J2" s="95"/>
      <c r="K2" s="96">
        <f t="shared" si="0"/>
        <v>171</v>
      </c>
      <c r="L2" s="97"/>
      <c r="M2" s="98">
        <f t="shared" si="0"/>
        <v>12.7</v>
      </c>
      <c r="N2" s="99"/>
      <c r="O2" s="100">
        <f>SUM(N2:N6)</f>
        <v>0</v>
      </c>
      <c r="P2" s="101"/>
      <c r="Q2" s="102">
        <f t="shared" ref="O2:S2" si="1">SUM(P2:P6)</f>
        <v>0</v>
      </c>
      <c r="R2" s="103"/>
      <c r="S2" s="104">
        <f t="shared" si="1"/>
        <v>0</v>
      </c>
      <c r="T2" s="105"/>
      <c r="U2" s="106">
        <f t="shared" ref="U2:Y2" si="2">SUM(T2:T6)</f>
        <v>0</v>
      </c>
      <c r="V2" s="107"/>
      <c r="W2" s="108">
        <f t="shared" si="2"/>
        <v>0</v>
      </c>
      <c r="X2" s="109"/>
      <c r="Y2" s="110">
        <f t="shared" si="2"/>
        <v>0</v>
      </c>
      <c r="Z2" s="111" t="s">
        <v>7978</v>
      </c>
      <c r="AA2" s="90"/>
    </row>
    <row r="3" spans="1:27">
      <c r="A3" s="112"/>
      <c r="B3" s="113"/>
      <c r="C3" s="114" t="s">
        <v>4115</v>
      </c>
      <c r="D3" s="115" t="s">
        <v>4116</v>
      </c>
      <c r="E3" s="116" t="s">
        <v>4117</v>
      </c>
      <c r="F3" s="22" t="s">
        <v>7979</v>
      </c>
      <c r="G3" s="92">
        <f t="shared" ref="G3:L3" si="3">G6*2</f>
        <v>6.6</v>
      </c>
      <c r="H3" s="117"/>
      <c r="I3" s="118"/>
      <c r="J3" s="95">
        <f t="shared" si="3"/>
        <v>62</v>
      </c>
      <c r="K3" s="95"/>
      <c r="L3" s="119">
        <f t="shared" si="3"/>
        <v>4.6</v>
      </c>
      <c r="M3" s="120"/>
      <c r="N3" s="99">
        <f t="shared" ref="N3:R3" si="4">N6*2</f>
        <v>0</v>
      </c>
      <c r="O3" s="121"/>
      <c r="P3" s="101">
        <f t="shared" si="4"/>
        <v>0</v>
      </c>
      <c r="Q3" s="122"/>
      <c r="R3" s="103">
        <f t="shared" si="4"/>
        <v>0</v>
      </c>
      <c r="S3" s="123"/>
      <c r="T3" s="105">
        <f>T6*2</f>
        <v>0</v>
      </c>
      <c r="U3" s="124"/>
      <c r="V3" s="107">
        <f t="shared" ref="T3:X3" si="5">V6*2</f>
        <v>0</v>
      </c>
      <c r="W3" s="125"/>
      <c r="X3" s="109">
        <f t="shared" si="5"/>
        <v>0</v>
      </c>
      <c r="Y3" s="126"/>
      <c r="Z3" s="116"/>
      <c r="AA3" s="116"/>
    </row>
    <row r="4" spans="1:27">
      <c r="A4" s="112"/>
      <c r="B4" s="113"/>
      <c r="C4" s="114" t="s">
        <v>4118</v>
      </c>
      <c r="D4" s="115" t="s">
        <v>4119</v>
      </c>
      <c r="E4" s="116" t="s">
        <v>4120</v>
      </c>
      <c r="F4" s="22" t="s">
        <v>7980</v>
      </c>
      <c r="G4" s="92">
        <f t="shared" ref="G4:L4" si="6">G6</f>
        <v>3.3</v>
      </c>
      <c r="H4" s="117"/>
      <c r="I4" s="118"/>
      <c r="J4" s="95">
        <f t="shared" si="6"/>
        <v>31</v>
      </c>
      <c r="K4" s="95"/>
      <c r="L4" s="119">
        <f t="shared" si="6"/>
        <v>2.3</v>
      </c>
      <c r="M4" s="120"/>
      <c r="N4" s="99">
        <f t="shared" ref="N4:R4" si="7">N6</f>
        <v>0</v>
      </c>
      <c r="O4" s="121"/>
      <c r="P4" s="101">
        <f t="shared" si="7"/>
        <v>0</v>
      </c>
      <c r="Q4" s="122"/>
      <c r="R4" s="103">
        <f t="shared" si="7"/>
        <v>0</v>
      </c>
      <c r="S4" s="123"/>
      <c r="T4" s="105">
        <f>T6</f>
        <v>0</v>
      </c>
      <c r="U4" s="124"/>
      <c r="V4" s="107">
        <f t="shared" ref="T4:X4" si="8">V6</f>
        <v>0</v>
      </c>
      <c r="W4" s="125"/>
      <c r="X4" s="109">
        <f t="shared" si="8"/>
        <v>0</v>
      </c>
      <c r="Y4" s="126"/>
      <c r="Z4" s="116"/>
      <c r="AA4" s="116"/>
    </row>
    <row r="5" spans="1:27">
      <c r="A5" s="112"/>
      <c r="B5" s="113"/>
      <c r="C5" s="114" t="s">
        <v>4121</v>
      </c>
      <c r="D5" s="115" t="s">
        <v>4122</v>
      </c>
      <c r="E5" s="116" t="s">
        <v>4123</v>
      </c>
      <c r="F5" s="22" t="s">
        <v>7981</v>
      </c>
      <c r="G5" s="92">
        <v>5</v>
      </c>
      <c r="H5" s="117"/>
      <c r="I5" s="118"/>
      <c r="J5" s="95">
        <v>47</v>
      </c>
      <c r="K5" s="95"/>
      <c r="L5" s="119">
        <v>3.5</v>
      </c>
      <c r="M5" s="120"/>
      <c r="N5" s="99">
        <v>0</v>
      </c>
      <c r="O5" s="121"/>
      <c r="P5" s="101">
        <v>0</v>
      </c>
      <c r="Q5" s="122"/>
      <c r="R5" s="103">
        <v>0</v>
      </c>
      <c r="S5" s="123"/>
      <c r="T5" s="105">
        <v>0</v>
      </c>
      <c r="U5" s="124"/>
      <c r="V5" s="107">
        <v>0</v>
      </c>
      <c r="W5" s="125"/>
      <c r="X5" s="109">
        <v>0</v>
      </c>
      <c r="Y5" s="126"/>
      <c r="Z5" s="116"/>
      <c r="AA5" s="116"/>
    </row>
    <row r="6" spans="1:27">
      <c r="A6" s="112"/>
      <c r="B6" s="113"/>
      <c r="C6" s="114" t="s">
        <v>4124</v>
      </c>
      <c r="D6" s="115" t="s">
        <v>4125</v>
      </c>
      <c r="E6" s="116" t="s">
        <v>4126</v>
      </c>
      <c r="F6" s="22" t="s">
        <v>7980</v>
      </c>
      <c r="G6" s="92">
        <f>ROUND(G5*2/3,1)</f>
        <v>3.3</v>
      </c>
      <c r="H6" s="127"/>
      <c r="I6" s="118"/>
      <c r="J6" s="95">
        <f>ROUND(J5*2/3,0)</f>
        <v>31</v>
      </c>
      <c r="K6" s="95"/>
      <c r="L6" s="119">
        <f>ROUND(L5*2/3,1)</f>
        <v>2.3</v>
      </c>
      <c r="M6" s="128"/>
      <c r="N6" s="99">
        <f>ROUND(N5*2/3,0)</f>
        <v>0</v>
      </c>
      <c r="O6" s="129"/>
      <c r="P6" s="101">
        <f>ROUND(P5*2/3,0)</f>
        <v>0</v>
      </c>
      <c r="Q6" s="130"/>
      <c r="R6" s="103">
        <f>ROUND(R5*2/3,0)</f>
        <v>0</v>
      </c>
      <c r="S6" s="131"/>
      <c r="T6" s="105">
        <f>ROUND(T5*2/3,0)</f>
        <v>0</v>
      </c>
      <c r="U6" s="132"/>
      <c r="V6" s="107">
        <f>ROUND(V5*2/3,0)</f>
        <v>0</v>
      </c>
      <c r="W6" s="133"/>
      <c r="X6" s="109">
        <f>ROUND(X5*2/3,0)</f>
        <v>0</v>
      </c>
      <c r="Y6" s="134"/>
      <c r="Z6" s="116"/>
      <c r="AA6" s="116"/>
    </row>
    <row r="7" s="62" customFormat="1" spans="1:27">
      <c r="A7" s="135" t="s">
        <v>7975</v>
      </c>
      <c r="B7" s="136" t="s">
        <v>6700</v>
      </c>
      <c r="C7" s="137"/>
      <c r="D7" s="138"/>
      <c r="E7" s="139"/>
      <c r="F7" s="140" t="s">
        <v>3159</v>
      </c>
      <c r="G7" s="92"/>
      <c r="H7" s="93">
        <f t="shared" ref="H7:M7" si="9">SUM(G7:G11)</f>
        <v>16.7</v>
      </c>
      <c r="I7" s="141" t="s">
        <v>7982</v>
      </c>
      <c r="J7" s="95"/>
      <c r="K7" s="142">
        <f t="shared" si="9"/>
        <v>140</v>
      </c>
      <c r="L7" s="143"/>
      <c r="M7" s="98">
        <f t="shared" si="9"/>
        <v>10.4</v>
      </c>
      <c r="N7" s="99"/>
      <c r="O7" s="100">
        <f t="shared" ref="O7:S7" si="10">SUM(N7:N11)</f>
        <v>0</v>
      </c>
      <c r="P7" s="101"/>
      <c r="Q7" s="102">
        <f t="shared" si="10"/>
        <v>0</v>
      </c>
      <c r="R7" s="103"/>
      <c r="S7" s="104">
        <f>SUM(R7:R11)</f>
        <v>27</v>
      </c>
      <c r="T7" s="105"/>
      <c r="U7" s="106">
        <f t="shared" ref="U7:Y7" si="11">SUM(T7:T11)</f>
        <v>27</v>
      </c>
      <c r="V7" s="107"/>
      <c r="W7" s="108">
        <f t="shared" si="11"/>
        <v>0</v>
      </c>
      <c r="X7" s="109"/>
      <c r="Y7" s="110">
        <f t="shared" si="11"/>
        <v>0</v>
      </c>
      <c r="Z7" s="139" t="s">
        <v>7983</v>
      </c>
      <c r="AA7" s="139"/>
    </row>
    <row r="8" s="62" customFormat="1" spans="1:27">
      <c r="A8" s="144"/>
      <c r="B8" s="145"/>
      <c r="C8" s="146" t="s">
        <v>4115</v>
      </c>
      <c r="D8" s="147" t="s">
        <v>4127</v>
      </c>
      <c r="E8" s="139" t="s">
        <v>4128</v>
      </c>
      <c r="F8" s="148"/>
      <c r="G8" s="92">
        <f t="shared" ref="G8:L8" si="12">G11*2</f>
        <v>7.4</v>
      </c>
      <c r="H8" s="117"/>
      <c r="I8" s="149"/>
      <c r="J8" s="95">
        <f t="shared" si="12"/>
        <v>62</v>
      </c>
      <c r="K8" s="150"/>
      <c r="L8" s="119">
        <f t="shared" si="12"/>
        <v>4.6</v>
      </c>
      <c r="M8" s="120"/>
      <c r="N8" s="99">
        <f t="shared" ref="N8:R8" si="13">N11*2</f>
        <v>0</v>
      </c>
      <c r="O8" s="121"/>
      <c r="P8" s="101">
        <f t="shared" si="13"/>
        <v>0</v>
      </c>
      <c r="Q8" s="122"/>
      <c r="R8" s="103">
        <f t="shared" si="13"/>
        <v>12</v>
      </c>
      <c r="S8" s="123"/>
      <c r="T8" s="105">
        <f>T11*2</f>
        <v>12</v>
      </c>
      <c r="U8" s="124"/>
      <c r="V8" s="107">
        <f t="shared" ref="T8:X8" si="14">V11*2</f>
        <v>0</v>
      </c>
      <c r="W8" s="125"/>
      <c r="X8" s="109">
        <f t="shared" si="14"/>
        <v>0</v>
      </c>
      <c r="Y8" s="126"/>
      <c r="Z8" s="151"/>
      <c r="AA8" s="151"/>
    </row>
    <row r="9" s="62" customFormat="1" spans="1:27">
      <c r="A9" s="144"/>
      <c r="B9" s="145"/>
      <c r="C9" s="146"/>
      <c r="D9" s="147"/>
      <c r="E9" s="151"/>
      <c r="F9" s="148"/>
      <c r="G9" s="92"/>
      <c r="H9" s="117"/>
      <c r="I9" s="149"/>
      <c r="J9" s="95"/>
      <c r="K9" s="150"/>
      <c r="L9" s="152"/>
      <c r="M9" s="120"/>
      <c r="N9" s="99"/>
      <c r="O9" s="121"/>
      <c r="P9" s="101"/>
      <c r="Q9" s="122"/>
      <c r="R9" s="103"/>
      <c r="S9" s="123"/>
      <c r="T9" s="105"/>
      <c r="U9" s="124"/>
      <c r="V9" s="107"/>
      <c r="W9" s="125"/>
      <c r="X9" s="109"/>
      <c r="Y9" s="126"/>
      <c r="Z9" s="151"/>
      <c r="AA9" s="151"/>
    </row>
    <row r="10" s="62" customFormat="1" spans="1:27">
      <c r="A10" s="144"/>
      <c r="B10" s="145"/>
      <c r="C10" s="146" t="s">
        <v>4121</v>
      </c>
      <c r="D10" s="147" t="s">
        <v>4129</v>
      </c>
      <c r="E10" s="151" t="s">
        <v>4130</v>
      </c>
      <c r="F10" s="148"/>
      <c r="G10" s="92">
        <v>5.6</v>
      </c>
      <c r="H10" s="117"/>
      <c r="I10" s="149"/>
      <c r="J10" s="95">
        <v>47</v>
      </c>
      <c r="K10" s="150"/>
      <c r="L10" s="152">
        <v>3.5</v>
      </c>
      <c r="M10" s="120"/>
      <c r="N10" s="99">
        <v>0</v>
      </c>
      <c r="O10" s="121"/>
      <c r="P10" s="101">
        <v>0</v>
      </c>
      <c r="Q10" s="122"/>
      <c r="R10" s="103">
        <v>9</v>
      </c>
      <c r="S10" s="123"/>
      <c r="T10" s="105">
        <v>9</v>
      </c>
      <c r="U10" s="124"/>
      <c r="V10" s="107">
        <v>0</v>
      </c>
      <c r="W10" s="125"/>
      <c r="X10" s="109">
        <v>0</v>
      </c>
      <c r="Y10" s="126"/>
      <c r="Z10" s="151"/>
      <c r="AA10" s="151"/>
    </row>
    <row r="11" s="62" customFormat="1" spans="1:27">
      <c r="A11" s="144"/>
      <c r="B11" s="145"/>
      <c r="C11" s="146" t="s">
        <v>4124</v>
      </c>
      <c r="D11" s="147" t="s">
        <v>4131</v>
      </c>
      <c r="E11" s="151" t="s">
        <v>4132</v>
      </c>
      <c r="F11" s="153"/>
      <c r="G11" s="92">
        <f>ROUND(G10*2/3,1)</f>
        <v>3.7</v>
      </c>
      <c r="H11" s="127"/>
      <c r="I11" s="149"/>
      <c r="J11" s="95">
        <f>ROUND(J10*2/3,0)</f>
        <v>31</v>
      </c>
      <c r="K11" s="154"/>
      <c r="L11" s="119">
        <f>ROUND(L10*2/3,1)</f>
        <v>2.3</v>
      </c>
      <c r="M11" s="128"/>
      <c r="N11" s="99">
        <f>ROUND(N10*2/3,0)</f>
        <v>0</v>
      </c>
      <c r="O11" s="129"/>
      <c r="P11" s="101">
        <f>ROUND(P10*2/3,0)</f>
        <v>0</v>
      </c>
      <c r="Q11" s="130"/>
      <c r="R11" s="103">
        <f>ROUND(R10*2/3,0)</f>
        <v>6</v>
      </c>
      <c r="S11" s="131"/>
      <c r="T11" s="105">
        <f>ROUND(T10*2/3,0)</f>
        <v>6</v>
      </c>
      <c r="U11" s="132"/>
      <c r="V11" s="107">
        <f>ROUND(V10*2/3,0)</f>
        <v>0</v>
      </c>
      <c r="W11" s="133"/>
      <c r="X11" s="109">
        <f>ROUND(X10*2/3,0)</f>
        <v>0</v>
      </c>
      <c r="Y11" s="134"/>
      <c r="Z11" s="151"/>
      <c r="AA11" s="151"/>
    </row>
    <row r="12" spans="1:27">
      <c r="A12" s="135" t="s">
        <v>7984</v>
      </c>
      <c r="B12" s="136" t="s">
        <v>7262</v>
      </c>
      <c r="C12" s="137" t="s">
        <v>4133</v>
      </c>
      <c r="D12" s="138" t="s">
        <v>4134</v>
      </c>
      <c r="E12" s="151" t="s">
        <v>4135</v>
      </c>
      <c r="F12" s="140" t="s">
        <v>3169</v>
      </c>
      <c r="G12" s="92">
        <f t="shared" ref="G12:L12" si="15">G16</f>
        <v>5</v>
      </c>
      <c r="H12" s="93">
        <f t="shared" ref="H12:M12" si="16">SUM(G12:G16)</f>
        <v>32.5</v>
      </c>
      <c r="I12" s="141" t="s">
        <v>7985</v>
      </c>
      <c r="J12" s="95">
        <f t="shared" si="15"/>
        <v>50</v>
      </c>
      <c r="K12" s="142">
        <f t="shared" si="16"/>
        <v>325</v>
      </c>
      <c r="L12" s="119">
        <f t="shared" si="15"/>
        <v>3.8</v>
      </c>
      <c r="M12" s="98">
        <f t="shared" si="16"/>
        <v>24.7</v>
      </c>
      <c r="N12" s="99">
        <f t="shared" ref="N12:R12" si="17">N16</f>
        <v>4</v>
      </c>
      <c r="O12" s="100">
        <f t="shared" ref="O12:S12" si="18">SUM(N12:N16)</f>
        <v>26</v>
      </c>
      <c r="P12" s="101">
        <f t="shared" si="17"/>
        <v>0</v>
      </c>
      <c r="Q12" s="102">
        <f t="shared" si="18"/>
        <v>0</v>
      </c>
      <c r="R12" s="103">
        <f t="shared" si="17"/>
        <v>0</v>
      </c>
      <c r="S12" s="104">
        <f t="shared" si="18"/>
        <v>0</v>
      </c>
      <c r="T12" s="105">
        <f>T16</f>
        <v>4</v>
      </c>
      <c r="U12" s="106">
        <f t="shared" ref="U12:Y12" si="19">SUM(T12:T16)</f>
        <v>26</v>
      </c>
      <c r="V12" s="107">
        <f t="shared" ref="T12:X12" si="20">V16</f>
        <v>0</v>
      </c>
      <c r="W12" s="108">
        <f t="shared" si="19"/>
        <v>0</v>
      </c>
      <c r="X12" s="109">
        <f t="shared" si="20"/>
        <v>0</v>
      </c>
      <c r="Y12" s="110">
        <f t="shared" si="19"/>
        <v>0</v>
      </c>
      <c r="Z12" s="139" t="s">
        <v>7986</v>
      </c>
      <c r="AA12" s="139"/>
    </row>
    <row r="13" spans="1:27">
      <c r="A13" s="144"/>
      <c r="B13" s="145"/>
      <c r="C13" s="146" t="s">
        <v>4115</v>
      </c>
      <c r="D13" s="147" t="s">
        <v>4136</v>
      </c>
      <c r="E13" s="151" t="s">
        <v>4137</v>
      </c>
      <c r="F13" s="148"/>
      <c r="G13" s="92">
        <f t="shared" ref="G13:L13" si="21">G16*2</f>
        <v>10</v>
      </c>
      <c r="H13" s="117"/>
      <c r="I13" s="149"/>
      <c r="J13" s="95">
        <f t="shared" si="21"/>
        <v>100</v>
      </c>
      <c r="K13" s="150"/>
      <c r="L13" s="119">
        <f t="shared" si="21"/>
        <v>7.6</v>
      </c>
      <c r="M13" s="120"/>
      <c r="N13" s="99">
        <f t="shared" ref="N13:R13" si="22">N16*2</f>
        <v>8</v>
      </c>
      <c r="O13" s="121"/>
      <c r="P13" s="101">
        <f t="shared" si="22"/>
        <v>0</v>
      </c>
      <c r="Q13" s="122"/>
      <c r="R13" s="103">
        <f t="shared" si="22"/>
        <v>0</v>
      </c>
      <c r="S13" s="123"/>
      <c r="T13" s="105">
        <f>T16*2</f>
        <v>8</v>
      </c>
      <c r="U13" s="124"/>
      <c r="V13" s="107">
        <f t="shared" ref="T13:X13" si="23">V16*2</f>
        <v>0</v>
      </c>
      <c r="W13" s="125"/>
      <c r="X13" s="109">
        <f t="shared" si="23"/>
        <v>0</v>
      </c>
      <c r="Y13" s="126"/>
      <c r="Z13" s="151"/>
      <c r="AA13" s="151"/>
    </row>
    <row r="14" spans="1:27">
      <c r="A14" s="144"/>
      <c r="B14" s="145"/>
      <c r="C14" s="146" t="s">
        <v>4118</v>
      </c>
      <c r="D14" s="147" t="s">
        <v>4138</v>
      </c>
      <c r="E14" s="151" t="s">
        <v>4139</v>
      </c>
      <c r="F14" s="148"/>
      <c r="G14" s="92">
        <f t="shared" ref="G14:L14" si="24">G16</f>
        <v>5</v>
      </c>
      <c r="H14" s="117"/>
      <c r="I14" s="149"/>
      <c r="J14" s="95">
        <f t="shared" si="24"/>
        <v>50</v>
      </c>
      <c r="K14" s="150"/>
      <c r="L14" s="119">
        <f t="shared" si="24"/>
        <v>3.8</v>
      </c>
      <c r="M14" s="120"/>
      <c r="N14" s="99">
        <f t="shared" ref="N14:R14" si="25">N16</f>
        <v>4</v>
      </c>
      <c r="O14" s="121"/>
      <c r="P14" s="101">
        <f t="shared" si="25"/>
        <v>0</v>
      </c>
      <c r="Q14" s="122"/>
      <c r="R14" s="103">
        <f t="shared" si="25"/>
        <v>0</v>
      </c>
      <c r="S14" s="123"/>
      <c r="T14" s="105">
        <f>T16</f>
        <v>4</v>
      </c>
      <c r="U14" s="124"/>
      <c r="V14" s="107">
        <f t="shared" ref="T14:X14" si="26">V16</f>
        <v>0</v>
      </c>
      <c r="W14" s="125"/>
      <c r="X14" s="109">
        <f t="shared" si="26"/>
        <v>0</v>
      </c>
      <c r="Y14" s="126"/>
      <c r="Z14" s="151"/>
      <c r="AA14" s="151"/>
    </row>
    <row r="15" spans="1:27">
      <c r="A15" s="144"/>
      <c r="B15" s="145"/>
      <c r="C15" s="146" t="s">
        <v>4121</v>
      </c>
      <c r="D15" s="147" t="s">
        <v>4140</v>
      </c>
      <c r="E15" s="151" t="s">
        <v>4141</v>
      </c>
      <c r="F15" s="148"/>
      <c r="G15" s="92">
        <v>7.5</v>
      </c>
      <c r="H15" s="117"/>
      <c r="I15" s="149"/>
      <c r="J15" s="95">
        <v>75</v>
      </c>
      <c r="K15" s="150"/>
      <c r="L15" s="119">
        <v>5.7</v>
      </c>
      <c r="M15" s="120"/>
      <c r="N15" s="99">
        <v>6</v>
      </c>
      <c r="O15" s="121"/>
      <c r="P15" s="101">
        <v>0</v>
      </c>
      <c r="Q15" s="122"/>
      <c r="R15" s="103">
        <v>0</v>
      </c>
      <c r="S15" s="123"/>
      <c r="T15" s="105">
        <v>6</v>
      </c>
      <c r="U15" s="124"/>
      <c r="V15" s="107">
        <v>0</v>
      </c>
      <c r="W15" s="125"/>
      <c r="X15" s="109">
        <v>0</v>
      </c>
      <c r="Y15" s="126"/>
      <c r="Z15" s="151"/>
      <c r="AA15" s="151"/>
    </row>
    <row r="16" spans="1:27">
      <c r="A16" s="144"/>
      <c r="B16" s="145"/>
      <c r="C16" s="146" t="s">
        <v>4124</v>
      </c>
      <c r="D16" s="147" t="s">
        <v>4142</v>
      </c>
      <c r="E16" s="151" t="s">
        <v>4143</v>
      </c>
      <c r="F16" s="153"/>
      <c r="G16" s="92">
        <f>ROUND(G15*2/3,1)</f>
        <v>5</v>
      </c>
      <c r="H16" s="127"/>
      <c r="I16" s="149"/>
      <c r="J16" s="95">
        <f>ROUND(J15*2/3,0)</f>
        <v>50</v>
      </c>
      <c r="K16" s="154"/>
      <c r="L16" s="119">
        <f>ROUND(L15*2/3,1)</f>
        <v>3.8</v>
      </c>
      <c r="M16" s="128"/>
      <c r="N16" s="99">
        <f>ROUND(N15*2/3,0)</f>
        <v>4</v>
      </c>
      <c r="O16" s="129"/>
      <c r="P16" s="101">
        <f>ROUND(P15*2/3,0)</f>
        <v>0</v>
      </c>
      <c r="Q16" s="130"/>
      <c r="R16" s="103">
        <f>ROUND(R15*2/3,0)</f>
        <v>0</v>
      </c>
      <c r="S16" s="131"/>
      <c r="T16" s="105">
        <f>ROUND(T15*2/3,0)</f>
        <v>4</v>
      </c>
      <c r="U16" s="132"/>
      <c r="V16" s="107">
        <f>ROUND(V15*2/3,0)</f>
        <v>0</v>
      </c>
      <c r="W16" s="133"/>
      <c r="X16" s="109">
        <f>ROUND(X15*2/3,0)</f>
        <v>0</v>
      </c>
      <c r="Y16" s="134"/>
      <c r="Z16" s="151"/>
      <c r="AA16" s="151"/>
    </row>
    <row r="17" spans="1:27">
      <c r="A17" s="135" t="s">
        <v>7975</v>
      </c>
      <c r="B17" s="136" t="s">
        <v>6642</v>
      </c>
      <c r="C17" s="137" t="s">
        <v>4133</v>
      </c>
      <c r="D17" s="138" t="s">
        <v>4144</v>
      </c>
      <c r="E17" s="151" t="s">
        <v>4145</v>
      </c>
      <c r="F17" s="140" t="s">
        <v>3157</v>
      </c>
      <c r="G17" s="92">
        <f t="shared" ref="G17:L17" si="27">G21</f>
        <v>3.6</v>
      </c>
      <c r="H17" s="93">
        <f t="shared" ref="H17:M17" si="28">SUM(G17:G21)</f>
        <v>23.4</v>
      </c>
      <c r="I17" s="141" t="s">
        <v>7987</v>
      </c>
      <c r="J17" s="95">
        <f t="shared" si="27"/>
        <v>31</v>
      </c>
      <c r="K17" s="142">
        <f t="shared" si="28"/>
        <v>202</v>
      </c>
      <c r="L17" s="119">
        <f t="shared" si="27"/>
        <v>2.3</v>
      </c>
      <c r="M17" s="98">
        <f t="shared" si="28"/>
        <v>15</v>
      </c>
      <c r="N17" s="99">
        <f t="shared" ref="N17:R17" si="29">N21</f>
        <v>0</v>
      </c>
      <c r="O17" s="100">
        <f t="shared" ref="O17:S17" si="30">SUM(N17:N21)</f>
        <v>0</v>
      </c>
      <c r="P17" s="101">
        <f t="shared" si="29"/>
        <v>0</v>
      </c>
      <c r="Q17" s="102">
        <f t="shared" si="30"/>
        <v>0</v>
      </c>
      <c r="R17" s="103">
        <f t="shared" si="29"/>
        <v>0</v>
      </c>
      <c r="S17" s="104">
        <f t="shared" si="30"/>
        <v>0</v>
      </c>
      <c r="T17" s="105">
        <f>T21</f>
        <v>0</v>
      </c>
      <c r="U17" s="106">
        <f t="shared" ref="U17:Y17" si="31">SUM(T17:T21)</f>
        <v>0</v>
      </c>
      <c r="V17" s="107">
        <f>V21</f>
        <v>0</v>
      </c>
      <c r="W17" s="108">
        <f t="shared" si="31"/>
        <v>0</v>
      </c>
      <c r="X17" s="109">
        <f>X21</f>
        <v>0</v>
      </c>
      <c r="Y17" s="110">
        <f t="shared" si="31"/>
        <v>0</v>
      </c>
      <c r="Z17" s="139" t="s">
        <v>7988</v>
      </c>
      <c r="AA17" s="139"/>
    </row>
    <row r="18" spans="1:27">
      <c r="A18" s="144"/>
      <c r="B18" s="145"/>
      <c r="C18" s="146" t="s">
        <v>4115</v>
      </c>
      <c r="D18" s="147" t="s">
        <v>4146</v>
      </c>
      <c r="E18" s="151" t="s">
        <v>4147</v>
      </c>
      <c r="F18" s="148"/>
      <c r="G18" s="92">
        <f>G21*2</f>
        <v>7.2</v>
      </c>
      <c r="H18" s="117"/>
      <c r="I18" s="149"/>
      <c r="J18" s="95">
        <f>J21*2</f>
        <v>62</v>
      </c>
      <c r="K18" s="150"/>
      <c r="L18" s="119">
        <f>L21*2</f>
        <v>4.6</v>
      </c>
      <c r="M18" s="120"/>
      <c r="N18" s="99">
        <f t="shared" ref="N18:R18" si="32">N21*2</f>
        <v>0</v>
      </c>
      <c r="O18" s="121"/>
      <c r="P18" s="101">
        <f t="shared" si="32"/>
        <v>0</v>
      </c>
      <c r="Q18" s="122"/>
      <c r="R18" s="103">
        <f t="shared" si="32"/>
        <v>0</v>
      </c>
      <c r="S18" s="123"/>
      <c r="T18" s="105">
        <f>T21*2</f>
        <v>0</v>
      </c>
      <c r="U18" s="124"/>
      <c r="V18" s="107">
        <f>V21*2</f>
        <v>0</v>
      </c>
      <c r="W18" s="125"/>
      <c r="X18" s="109">
        <f>X21*2</f>
        <v>0</v>
      </c>
      <c r="Y18" s="126"/>
      <c r="Z18" s="151"/>
      <c r="AA18" s="151"/>
    </row>
    <row r="19" spans="1:27">
      <c r="A19" s="144"/>
      <c r="B19" s="145"/>
      <c r="C19" s="146" t="s">
        <v>4118</v>
      </c>
      <c r="D19" s="147" t="s">
        <v>4148</v>
      </c>
      <c r="E19" s="151" t="s">
        <v>4149</v>
      </c>
      <c r="F19" s="148"/>
      <c r="G19" s="92">
        <f t="shared" ref="G19:L19" si="33">G21</f>
        <v>3.6</v>
      </c>
      <c r="H19" s="117"/>
      <c r="I19" s="149"/>
      <c r="J19" s="95">
        <f t="shared" si="33"/>
        <v>31</v>
      </c>
      <c r="K19" s="150"/>
      <c r="L19" s="119">
        <f t="shared" si="33"/>
        <v>2.3</v>
      </c>
      <c r="M19" s="120"/>
      <c r="N19" s="99">
        <f t="shared" ref="N19:R19" si="34">N21</f>
        <v>0</v>
      </c>
      <c r="O19" s="121"/>
      <c r="P19" s="101">
        <f t="shared" si="34"/>
        <v>0</v>
      </c>
      <c r="Q19" s="122"/>
      <c r="R19" s="103">
        <f t="shared" si="34"/>
        <v>0</v>
      </c>
      <c r="S19" s="123"/>
      <c r="T19" s="105">
        <f>T21</f>
        <v>0</v>
      </c>
      <c r="U19" s="124"/>
      <c r="V19" s="107">
        <f>V21</f>
        <v>0</v>
      </c>
      <c r="W19" s="125"/>
      <c r="X19" s="109">
        <f>X21</f>
        <v>0</v>
      </c>
      <c r="Y19" s="126"/>
      <c r="Z19" s="151"/>
      <c r="AA19" s="151"/>
    </row>
    <row r="20" spans="1:27">
      <c r="A20" s="144"/>
      <c r="B20" s="145"/>
      <c r="C20" s="146" t="s">
        <v>4121</v>
      </c>
      <c r="D20" s="147" t="s">
        <v>4150</v>
      </c>
      <c r="E20" s="151" t="s">
        <v>4151</v>
      </c>
      <c r="F20" s="148"/>
      <c r="G20" s="92">
        <v>5.4</v>
      </c>
      <c r="H20" s="117"/>
      <c r="I20" s="149"/>
      <c r="J20" s="95">
        <v>47</v>
      </c>
      <c r="K20" s="150"/>
      <c r="L20" s="119">
        <v>3.5</v>
      </c>
      <c r="M20" s="120"/>
      <c r="N20" s="99">
        <v>0</v>
      </c>
      <c r="O20" s="121"/>
      <c r="P20" s="101">
        <v>0</v>
      </c>
      <c r="Q20" s="122"/>
      <c r="R20" s="103">
        <v>0</v>
      </c>
      <c r="S20" s="123"/>
      <c r="T20" s="105">
        <v>0</v>
      </c>
      <c r="U20" s="124"/>
      <c r="V20" s="107">
        <v>0</v>
      </c>
      <c r="W20" s="125"/>
      <c r="X20" s="109">
        <v>0</v>
      </c>
      <c r="Y20" s="126"/>
      <c r="Z20" s="151"/>
      <c r="AA20" s="151"/>
    </row>
    <row r="21" spans="1:27">
      <c r="A21" s="144"/>
      <c r="B21" s="145"/>
      <c r="C21" s="146" t="s">
        <v>4124</v>
      </c>
      <c r="D21" s="147" t="s">
        <v>4152</v>
      </c>
      <c r="E21" s="151" t="s">
        <v>4153</v>
      </c>
      <c r="F21" s="153"/>
      <c r="G21" s="92">
        <f>ROUND(G20*2/3,1)</f>
        <v>3.6</v>
      </c>
      <c r="H21" s="127"/>
      <c r="I21" s="149"/>
      <c r="J21" s="95">
        <f>ROUND(J20*2/3,0)</f>
        <v>31</v>
      </c>
      <c r="K21" s="154"/>
      <c r="L21" s="119">
        <f>ROUND(L20*2/3,1)</f>
        <v>2.3</v>
      </c>
      <c r="M21" s="128"/>
      <c r="N21" s="99">
        <f>ROUND(N20*2/3,0)</f>
        <v>0</v>
      </c>
      <c r="O21" s="129"/>
      <c r="P21" s="101">
        <f>ROUND(P20*2/3,0)</f>
        <v>0</v>
      </c>
      <c r="Q21" s="130"/>
      <c r="R21" s="103">
        <f>ROUND(R20*2/3,0)</f>
        <v>0</v>
      </c>
      <c r="S21" s="131"/>
      <c r="T21" s="105">
        <f>ROUND(T20*2/3,0)</f>
        <v>0</v>
      </c>
      <c r="U21" s="132"/>
      <c r="V21" s="107">
        <f>ROUND(V20*2/3,0)</f>
        <v>0</v>
      </c>
      <c r="W21" s="133"/>
      <c r="X21" s="109">
        <f>ROUND(X20*2/3,0)</f>
        <v>0</v>
      </c>
      <c r="Y21" s="134"/>
      <c r="Z21" s="151"/>
      <c r="AA21" s="151"/>
    </row>
    <row r="22" spans="1:27">
      <c r="A22" s="135" t="s">
        <v>7989</v>
      </c>
      <c r="B22" s="136" t="s">
        <v>7094</v>
      </c>
      <c r="C22" s="137" t="s">
        <v>4133</v>
      </c>
      <c r="D22" s="138" t="s">
        <v>4154</v>
      </c>
      <c r="E22" s="139" t="s">
        <v>4155</v>
      </c>
      <c r="F22" s="140" t="s">
        <v>3175</v>
      </c>
      <c r="G22" s="92">
        <f t="shared" ref="G22:L22" si="35">G26</f>
        <v>1.8</v>
      </c>
      <c r="H22" s="93">
        <f t="shared" ref="H22:M22" si="36">SUM(G22:G26)</f>
        <v>11.3</v>
      </c>
      <c r="I22" s="141" t="s">
        <v>7990</v>
      </c>
      <c r="J22" s="95">
        <f t="shared" si="35"/>
        <v>19</v>
      </c>
      <c r="K22" s="142">
        <f t="shared" si="36"/>
        <v>124</v>
      </c>
      <c r="L22" s="119">
        <f t="shared" si="35"/>
        <v>1.2</v>
      </c>
      <c r="M22" s="98">
        <f t="shared" si="36"/>
        <v>7.8</v>
      </c>
      <c r="N22" s="99">
        <f t="shared" ref="N22:R22" si="37">N26</f>
        <v>0</v>
      </c>
      <c r="O22" s="100">
        <f t="shared" ref="O22:S22" si="38">SUM(N22:N26)</f>
        <v>0</v>
      </c>
      <c r="P22" s="101">
        <f t="shared" si="37"/>
        <v>0</v>
      </c>
      <c r="Q22" s="102">
        <f t="shared" si="38"/>
        <v>0</v>
      </c>
      <c r="R22" s="103">
        <f t="shared" si="37"/>
        <v>0</v>
      </c>
      <c r="S22" s="104">
        <f t="shared" si="38"/>
        <v>0</v>
      </c>
      <c r="T22" s="105">
        <f>T26</f>
        <v>0</v>
      </c>
      <c r="U22" s="106">
        <f t="shared" ref="U22:Y22" si="39">SUM(T22:T26)</f>
        <v>0</v>
      </c>
      <c r="V22" s="107">
        <f>V26</f>
        <v>0</v>
      </c>
      <c r="W22" s="108">
        <f t="shared" si="39"/>
        <v>0</v>
      </c>
      <c r="X22" s="109">
        <f>X26</f>
        <v>0</v>
      </c>
      <c r="Y22" s="110">
        <f t="shared" si="39"/>
        <v>0</v>
      </c>
      <c r="Z22" s="139" t="s">
        <v>7991</v>
      </c>
      <c r="AA22" s="139"/>
    </row>
    <row r="23" spans="1:27">
      <c r="A23" s="144"/>
      <c r="B23" s="145"/>
      <c r="C23" s="146" t="s">
        <v>4115</v>
      </c>
      <c r="D23" s="147" t="s">
        <v>4156</v>
      </c>
      <c r="E23" s="139" t="s">
        <v>4157</v>
      </c>
      <c r="F23" s="148"/>
      <c r="G23" s="92">
        <f t="shared" ref="G23:L23" si="40">G26*2</f>
        <v>3.6</v>
      </c>
      <c r="H23" s="117"/>
      <c r="I23" s="149"/>
      <c r="J23" s="95">
        <f t="shared" si="40"/>
        <v>38</v>
      </c>
      <c r="K23" s="150"/>
      <c r="L23" s="119">
        <f t="shared" si="40"/>
        <v>2.4</v>
      </c>
      <c r="M23" s="120"/>
      <c r="N23" s="99">
        <f t="shared" ref="N23:R23" si="41">N26*2</f>
        <v>0</v>
      </c>
      <c r="O23" s="121"/>
      <c r="P23" s="101">
        <f t="shared" si="41"/>
        <v>0</v>
      </c>
      <c r="Q23" s="122"/>
      <c r="R23" s="103">
        <f t="shared" si="41"/>
        <v>0</v>
      </c>
      <c r="S23" s="123"/>
      <c r="T23" s="105">
        <f>T26*2</f>
        <v>0</v>
      </c>
      <c r="U23" s="124"/>
      <c r="V23" s="107">
        <f>V26*2</f>
        <v>0</v>
      </c>
      <c r="W23" s="125"/>
      <c r="X23" s="109">
        <f>X26*2</f>
        <v>0</v>
      </c>
      <c r="Y23" s="126"/>
      <c r="Z23" s="151"/>
      <c r="AA23" s="151"/>
    </row>
    <row r="24" spans="1:27">
      <c r="A24" s="144"/>
      <c r="B24" s="145"/>
      <c r="C24" s="146" t="s">
        <v>4118</v>
      </c>
      <c r="D24" s="147" t="s">
        <v>4158</v>
      </c>
      <c r="E24" s="139" t="s">
        <v>4159</v>
      </c>
      <c r="F24" s="148"/>
      <c r="G24" s="92">
        <f t="shared" ref="G24:L24" si="42">G26</f>
        <v>1.8</v>
      </c>
      <c r="H24" s="117"/>
      <c r="I24" s="149"/>
      <c r="J24" s="95">
        <f t="shared" si="42"/>
        <v>19</v>
      </c>
      <c r="K24" s="150"/>
      <c r="L24" s="119">
        <f t="shared" si="42"/>
        <v>1.2</v>
      </c>
      <c r="M24" s="120"/>
      <c r="N24" s="99">
        <f t="shared" ref="N24:R24" si="43">N26</f>
        <v>0</v>
      </c>
      <c r="O24" s="121"/>
      <c r="P24" s="101">
        <f t="shared" si="43"/>
        <v>0</v>
      </c>
      <c r="Q24" s="122"/>
      <c r="R24" s="103">
        <f t="shared" si="43"/>
        <v>0</v>
      </c>
      <c r="S24" s="123"/>
      <c r="T24" s="105">
        <f>T26</f>
        <v>0</v>
      </c>
      <c r="U24" s="124"/>
      <c r="V24" s="107">
        <f>V26</f>
        <v>0</v>
      </c>
      <c r="W24" s="125"/>
      <c r="X24" s="109">
        <f>X26</f>
        <v>0</v>
      </c>
      <c r="Y24" s="126"/>
      <c r="Z24" s="151"/>
      <c r="AA24" s="151"/>
    </row>
    <row r="25" spans="1:27">
      <c r="A25" s="144"/>
      <c r="B25" s="145"/>
      <c r="C25" s="146" t="s">
        <v>4121</v>
      </c>
      <c r="D25" s="147" t="s">
        <v>4160</v>
      </c>
      <c r="E25" s="139" t="s">
        <v>4161</v>
      </c>
      <c r="F25" s="148"/>
      <c r="G25" s="92">
        <v>2.3</v>
      </c>
      <c r="H25" s="117"/>
      <c r="I25" s="149"/>
      <c r="J25" s="95">
        <v>29</v>
      </c>
      <c r="K25" s="150"/>
      <c r="L25" s="119">
        <v>1.8</v>
      </c>
      <c r="M25" s="120"/>
      <c r="N25" s="99">
        <v>0</v>
      </c>
      <c r="O25" s="121"/>
      <c r="P25" s="101">
        <v>0</v>
      </c>
      <c r="Q25" s="122"/>
      <c r="R25" s="103">
        <v>0</v>
      </c>
      <c r="S25" s="123"/>
      <c r="T25" s="105">
        <v>0</v>
      </c>
      <c r="U25" s="124"/>
      <c r="V25" s="107">
        <v>0</v>
      </c>
      <c r="W25" s="125"/>
      <c r="X25" s="109">
        <v>0</v>
      </c>
      <c r="Y25" s="126"/>
      <c r="Z25" s="151"/>
      <c r="AA25" s="151"/>
    </row>
    <row r="26" spans="1:27">
      <c r="A26" s="144"/>
      <c r="B26" s="145"/>
      <c r="C26" s="146" t="s">
        <v>4124</v>
      </c>
      <c r="D26" s="147" t="s">
        <v>4162</v>
      </c>
      <c r="E26" s="139" t="s">
        <v>4163</v>
      </c>
      <c r="F26" s="153"/>
      <c r="G26" s="92">
        <v>1.8</v>
      </c>
      <c r="H26" s="127"/>
      <c r="I26" s="149"/>
      <c r="J26" s="95">
        <f>ROUND(J25*2/3,0)</f>
        <v>19</v>
      </c>
      <c r="K26" s="154"/>
      <c r="L26" s="119">
        <f>ROUND(L25*2/3,1)</f>
        <v>1.2</v>
      </c>
      <c r="M26" s="128"/>
      <c r="N26" s="99">
        <f>ROUND(N25*2/3,0)</f>
        <v>0</v>
      </c>
      <c r="O26" s="129"/>
      <c r="P26" s="101">
        <f>ROUND(P25*2/3,0)</f>
        <v>0</v>
      </c>
      <c r="Q26" s="130"/>
      <c r="R26" s="103">
        <f>ROUND(R25*2/3,0)</f>
        <v>0</v>
      </c>
      <c r="S26" s="131"/>
      <c r="T26" s="105">
        <f>ROUND(T25*2/3,0)</f>
        <v>0</v>
      </c>
      <c r="U26" s="132"/>
      <c r="V26" s="107">
        <f>ROUND(V25*2/3,0)</f>
        <v>0</v>
      </c>
      <c r="W26" s="133"/>
      <c r="X26" s="109">
        <f>ROUND(X25*2/3,0)</f>
        <v>0</v>
      </c>
      <c r="Y26" s="134"/>
      <c r="Z26" s="151"/>
      <c r="AA26" s="151"/>
    </row>
    <row r="27" spans="1:27">
      <c r="A27" s="135" t="s">
        <v>7975</v>
      </c>
      <c r="B27" s="136" t="s">
        <v>7119</v>
      </c>
      <c r="C27" s="137" t="s">
        <v>4133</v>
      </c>
      <c r="D27" s="138" t="s">
        <v>4164</v>
      </c>
      <c r="E27" s="139" t="s">
        <v>4165</v>
      </c>
      <c r="F27" s="140" t="s">
        <v>3161</v>
      </c>
      <c r="G27" s="92">
        <f>G31</f>
        <v>3.4</v>
      </c>
      <c r="H27" s="93">
        <f t="shared" ref="H27:M27" si="44">SUM(G27:G31)</f>
        <v>22.1</v>
      </c>
      <c r="I27" s="141" t="s">
        <v>7992</v>
      </c>
      <c r="J27" s="95">
        <f>J31</f>
        <v>31</v>
      </c>
      <c r="K27" s="142">
        <f t="shared" si="44"/>
        <v>202</v>
      </c>
      <c r="L27" s="119">
        <f>L31</f>
        <v>0</v>
      </c>
      <c r="M27" s="98">
        <f t="shared" si="44"/>
        <v>0</v>
      </c>
      <c r="N27" s="99">
        <f t="shared" ref="N27:R27" si="45">N31</f>
        <v>2</v>
      </c>
      <c r="O27" s="100">
        <f t="shared" ref="O27:S27" si="46">SUM(N27:N31)</f>
        <v>13.5</v>
      </c>
      <c r="P27" s="101">
        <f t="shared" si="45"/>
        <v>0</v>
      </c>
      <c r="Q27" s="102">
        <f t="shared" si="46"/>
        <v>0</v>
      </c>
      <c r="R27" s="103">
        <f t="shared" si="45"/>
        <v>0</v>
      </c>
      <c r="S27" s="104">
        <f t="shared" si="46"/>
        <v>0</v>
      </c>
      <c r="T27" s="105">
        <f>T31</f>
        <v>8</v>
      </c>
      <c r="U27" s="106">
        <f t="shared" ref="U27:Y27" si="47">SUM(T27:T31)</f>
        <v>52</v>
      </c>
      <c r="V27" s="107">
        <f>V31</f>
        <v>0</v>
      </c>
      <c r="W27" s="108">
        <f t="shared" si="47"/>
        <v>0</v>
      </c>
      <c r="X27" s="109">
        <f>X31</f>
        <v>0</v>
      </c>
      <c r="Y27" s="110">
        <f t="shared" si="47"/>
        <v>0</v>
      </c>
      <c r="Z27" s="139" t="s">
        <v>7993</v>
      </c>
      <c r="AA27" s="139"/>
    </row>
    <row r="28" spans="1:27">
      <c r="A28" s="144"/>
      <c r="B28" s="145"/>
      <c r="C28" s="146" t="s">
        <v>4115</v>
      </c>
      <c r="D28" s="147" t="s">
        <v>4166</v>
      </c>
      <c r="E28" s="139" t="s">
        <v>4167</v>
      </c>
      <c r="F28" s="148"/>
      <c r="G28" s="92">
        <f>G31*2</f>
        <v>6.8</v>
      </c>
      <c r="H28" s="117"/>
      <c r="I28" s="149"/>
      <c r="J28" s="95">
        <f>J31*2</f>
        <v>62</v>
      </c>
      <c r="K28" s="150"/>
      <c r="L28" s="119">
        <f>L31*2</f>
        <v>0</v>
      </c>
      <c r="M28" s="120"/>
      <c r="N28" s="99">
        <f t="shared" ref="N28:R28" si="48">N31*2</f>
        <v>4</v>
      </c>
      <c r="O28" s="121"/>
      <c r="P28" s="101">
        <f t="shared" si="48"/>
        <v>0</v>
      </c>
      <c r="Q28" s="122"/>
      <c r="R28" s="103">
        <f t="shared" si="48"/>
        <v>0</v>
      </c>
      <c r="S28" s="123"/>
      <c r="T28" s="105">
        <f>T31*2</f>
        <v>16</v>
      </c>
      <c r="U28" s="124"/>
      <c r="V28" s="107">
        <f>V31*2</f>
        <v>0</v>
      </c>
      <c r="W28" s="125"/>
      <c r="X28" s="109">
        <f>X31*2</f>
        <v>0</v>
      </c>
      <c r="Y28" s="126"/>
      <c r="Z28" s="151"/>
      <c r="AA28" s="151"/>
    </row>
    <row r="29" spans="1:27">
      <c r="A29" s="144"/>
      <c r="B29" s="145"/>
      <c r="C29" s="146" t="s">
        <v>4118</v>
      </c>
      <c r="D29" s="147" t="s">
        <v>4168</v>
      </c>
      <c r="E29" s="139" t="s">
        <v>4169</v>
      </c>
      <c r="F29" s="148"/>
      <c r="G29" s="92">
        <f>G31</f>
        <v>3.4</v>
      </c>
      <c r="H29" s="117"/>
      <c r="I29" s="149"/>
      <c r="J29" s="95">
        <f>J31</f>
        <v>31</v>
      </c>
      <c r="K29" s="150"/>
      <c r="L29" s="119">
        <f>L31</f>
        <v>0</v>
      </c>
      <c r="M29" s="120"/>
      <c r="N29" s="99">
        <f t="shared" ref="N29:R29" si="49">N31</f>
        <v>2</v>
      </c>
      <c r="O29" s="121"/>
      <c r="P29" s="101">
        <f t="shared" si="49"/>
        <v>0</v>
      </c>
      <c r="Q29" s="122"/>
      <c r="R29" s="103">
        <f t="shared" si="49"/>
        <v>0</v>
      </c>
      <c r="S29" s="123"/>
      <c r="T29" s="105">
        <f>T31</f>
        <v>8</v>
      </c>
      <c r="U29" s="124"/>
      <c r="V29" s="107">
        <f>V31</f>
        <v>0</v>
      </c>
      <c r="W29" s="125"/>
      <c r="X29" s="109">
        <f>X31</f>
        <v>0</v>
      </c>
      <c r="Y29" s="126"/>
      <c r="Z29" s="151"/>
      <c r="AA29" s="151"/>
    </row>
    <row r="30" spans="1:27">
      <c r="A30" s="144"/>
      <c r="B30" s="145"/>
      <c r="C30" s="146" t="s">
        <v>4121</v>
      </c>
      <c r="D30" s="147" t="s">
        <v>4170</v>
      </c>
      <c r="E30" s="139" t="s">
        <v>4171</v>
      </c>
      <c r="F30" s="148"/>
      <c r="G30" s="92">
        <v>5.1</v>
      </c>
      <c r="H30" s="117"/>
      <c r="I30" s="149"/>
      <c r="J30" s="95">
        <v>47</v>
      </c>
      <c r="K30" s="150"/>
      <c r="L30" s="119">
        <v>0</v>
      </c>
      <c r="M30" s="120"/>
      <c r="N30" s="99">
        <v>3.5</v>
      </c>
      <c r="O30" s="121"/>
      <c r="P30" s="101">
        <v>0</v>
      </c>
      <c r="Q30" s="122"/>
      <c r="R30" s="103">
        <v>0</v>
      </c>
      <c r="S30" s="123"/>
      <c r="T30" s="105">
        <v>12</v>
      </c>
      <c r="U30" s="124"/>
      <c r="V30" s="107">
        <v>0</v>
      </c>
      <c r="W30" s="125"/>
      <c r="X30" s="109">
        <v>0</v>
      </c>
      <c r="Y30" s="126"/>
      <c r="Z30" s="151"/>
      <c r="AA30" s="151"/>
    </row>
    <row r="31" spans="1:27">
      <c r="A31" s="144"/>
      <c r="B31" s="145"/>
      <c r="C31" s="146" t="s">
        <v>4124</v>
      </c>
      <c r="D31" s="147" t="s">
        <v>4172</v>
      </c>
      <c r="E31" s="139" t="s">
        <v>4173</v>
      </c>
      <c r="F31" s="153"/>
      <c r="G31" s="92">
        <f>ROUND(G30*2/3,1)</f>
        <v>3.4</v>
      </c>
      <c r="H31" s="127"/>
      <c r="I31" s="149"/>
      <c r="J31" s="95">
        <f>ROUND(J30*2/3,0)</f>
        <v>31</v>
      </c>
      <c r="K31" s="154"/>
      <c r="L31" s="119">
        <f>ROUND(L30*2/3,1)</f>
        <v>0</v>
      </c>
      <c r="M31" s="128"/>
      <c r="N31" s="99">
        <f>ROUND(N30*2/3,0)</f>
        <v>2</v>
      </c>
      <c r="O31" s="129"/>
      <c r="P31" s="101">
        <f>ROUND(P30*2/3,0)</f>
        <v>0</v>
      </c>
      <c r="Q31" s="130"/>
      <c r="R31" s="103">
        <f>ROUND(R30*2/3,0)</f>
        <v>0</v>
      </c>
      <c r="S31" s="131"/>
      <c r="T31" s="105">
        <f>ROUND(T30*2/3,0)</f>
        <v>8</v>
      </c>
      <c r="U31" s="132"/>
      <c r="V31" s="107">
        <f>ROUND(V30*2/3,0)</f>
        <v>0</v>
      </c>
      <c r="W31" s="133"/>
      <c r="X31" s="109">
        <f>ROUND(X30*2/3,0)</f>
        <v>0</v>
      </c>
      <c r="Y31" s="134"/>
      <c r="Z31" s="151"/>
      <c r="AA31" s="151"/>
    </row>
    <row r="32" spans="1:27">
      <c r="A32" s="135" t="s">
        <v>7984</v>
      </c>
      <c r="B32" s="136" t="s">
        <v>6732</v>
      </c>
      <c r="C32" s="137" t="s">
        <v>4133</v>
      </c>
      <c r="D32" s="138" t="s">
        <v>4174</v>
      </c>
      <c r="E32" s="139" t="s">
        <v>4175</v>
      </c>
      <c r="F32" s="140" t="s">
        <v>3173</v>
      </c>
      <c r="G32" s="92">
        <f>G36</f>
        <v>5.1</v>
      </c>
      <c r="H32" s="93">
        <f t="shared" ref="H32:M32" si="50">SUM(G32:G36)</f>
        <v>33.2</v>
      </c>
      <c r="I32" s="141" t="s">
        <v>7994</v>
      </c>
      <c r="J32" s="95">
        <f>J36</f>
        <v>50</v>
      </c>
      <c r="K32" s="142">
        <f t="shared" si="50"/>
        <v>325</v>
      </c>
      <c r="L32" s="119">
        <f>L36</f>
        <v>3.8</v>
      </c>
      <c r="M32" s="98">
        <f t="shared" si="50"/>
        <v>24.7</v>
      </c>
      <c r="N32" s="99">
        <f t="shared" ref="N32:R32" si="51">N36</f>
        <v>0</v>
      </c>
      <c r="O32" s="100">
        <f t="shared" ref="O32:S32" si="52">SUM(N32:N36)</f>
        <v>0</v>
      </c>
      <c r="P32" s="101">
        <f t="shared" si="51"/>
        <v>0</v>
      </c>
      <c r="Q32" s="102">
        <f t="shared" si="52"/>
        <v>0</v>
      </c>
      <c r="R32" s="103">
        <f t="shared" si="51"/>
        <v>0</v>
      </c>
      <c r="S32" s="104">
        <f t="shared" si="52"/>
        <v>0</v>
      </c>
      <c r="T32" s="105">
        <f>T36</f>
        <v>8</v>
      </c>
      <c r="U32" s="106">
        <f t="shared" ref="U32:Y32" si="53">SUM(T32:T36)</f>
        <v>52</v>
      </c>
      <c r="V32" s="107">
        <f>V36</f>
        <v>0</v>
      </c>
      <c r="W32" s="108">
        <f t="shared" si="53"/>
        <v>0</v>
      </c>
      <c r="X32" s="109">
        <f>X36</f>
        <v>0</v>
      </c>
      <c r="Y32" s="110">
        <f t="shared" si="53"/>
        <v>0</v>
      </c>
      <c r="Z32" s="139" t="s">
        <v>7995</v>
      </c>
      <c r="AA32" s="139"/>
    </row>
    <row r="33" spans="1:27">
      <c r="A33" s="144"/>
      <c r="B33" s="145"/>
      <c r="C33" s="146" t="s">
        <v>4115</v>
      </c>
      <c r="D33" s="147" t="s">
        <v>4176</v>
      </c>
      <c r="E33" s="139" t="s">
        <v>4177</v>
      </c>
      <c r="F33" s="148"/>
      <c r="G33" s="92">
        <f>G36*2</f>
        <v>10.2</v>
      </c>
      <c r="H33" s="117"/>
      <c r="I33" s="149"/>
      <c r="J33" s="95">
        <f>J36*2</f>
        <v>100</v>
      </c>
      <c r="K33" s="150"/>
      <c r="L33" s="119">
        <f>L36*2</f>
        <v>7.6</v>
      </c>
      <c r="M33" s="120"/>
      <c r="N33" s="99">
        <f t="shared" ref="N33:R33" si="54">N36*2</f>
        <v>0</v>
      </c>
      <c r="O33" s="121"/>
      <c r="P33" s="101">
        <f t="shared" si="54"/>
        <v>0</v>
      </c>
      <c r="Q33" s="122"/>
      <c r="R33" s="103">
        <f t="shared" si="54"/>
        <v>0</v>
      </c>
      <c r="S33" s="123"/>
      <c r="T33" s="105">
        <f>T36*2</f>
        <v>16</v>
      </c>
      <c r="U33" s="124"/>
      <c r="V33" s="107">
        <f>V36*2</f>
        <v>0</v>
      </c>
      <c r="W33" s="125"/>
      <c r="X33" s="109">
        <f>X36*2</f>
        <v>0</v>
      </c>
      <c r="Y33" s="126"/>
      <c r="Z33" s="151"/>
      <c r="AA33" s="151"/>
    </row>
    <row r="34" spans="1:27">
      <c r="A34" s="144"/>
      <c r="B34" s="145"/>
      <c r="C34" s="146" t="s">
        <v>4118</v>
      </c>
      <c r="D34" s="147" t="s">
        <v>4178</v>
      </c>
      <c r="E34" s="139" t="s">
        <v>4179</v>
      </c>
      <c r="F34" s="148"/>
      <c r="G34" s="92">
        <f>G36</f>
        <v>5.1</v>
      </c>
      <c r="H34" s="117"/>
      <c r="I34" s="149"/>
      <c r="J34" s="95">
        <f>J36</f>
        <v>50</v>
      </c>
      <c r="K34" s="150"/>
      <c r="L34" s="119">
        <f>L36</f>
        <v>3.8</v>
      </c>
      <c r="M34" s="120"/>
      <c r="N34" s="99">
        <f t="shared" ref="N34:R34" si="55">N36</f>
        <v>0</v>
      </c>
      <c r="O34" s="121"/>
      <c r="P34" s="101">
        <f t="shared" si="55"/>
        <v>0</v>
      </c>
      <c r="Q34" s="122"/>
      <c r="R34" s="103">
        <f t="shared" si="55"/>
        <v>0</v>
      </c>
      <c r="S34" s="123"/>
      <c r="T34" s="105">
        <f>T36</f>
        <v>8</v>
      </c>
      <c r="U34" s="124"/>
      <c r="V34" s="107">
        <f>V36</f>
        <v>0</v>
      </c>
      <c r="W34" s="125"/>
      <c r="X34" s="109">
        <f>X36</f>
        <v>0</v>
      </c>
      <c r="Y34" s="126"/>
      <c r="Z34" s="151"/>
      <c r="AA34" s="151"/>
    </row>
    <row r="35" spans="1:27">
      <c r="A35" s="144"/>
      <c r="B35" s="145"/>
      <c r="C35" s="146" t="s">
        <v>4121</v>
      </c>
      <c r="D35" s="147" t="s">
        <v>4180</v>
      </c>
      <c r="E35" s="139" t="s">
        <v>4181</v>
      </c>
      <c r="F35" s="148"/>
      <c r="G35" s="92">
        <v>7.7</v>
      </c>
      <c r="H35" s="117"/>
      <c r="I35" s="149"/>
      <c r="J35" s="95">
        <v>75</v>
      </c>
      <c r="K35" s="150"/>
      <c r="L35" s="119">
        <v>5.7</v>
      </c>
      <c r="M35" s="120"/>
      <c r="N35" s="99">
        <v>0</v>
      </c>
      <c r="O35" s="121"/>
      <c r="P35" s="101">
        <v>0</v>
      </c>
      <c r="Q35" s="122"/>
      <c r="R35" s="103">
        <v>0</v>
      </c>
      <c r="S35" s="123"/>
      <c r="T35" s="105">
        <v>12</v>
      </c>
      <c r="U35" s="124"/>
      <c r="V35" s="107">
        <v>0</v>
      </c>
      <c r="W35" s="125"/>
      <c r="X35" s="109">
        <v>0</v>
      </c>
      <c r="Y35" s="126"/>
      <c r="Z35" s="151"/>
      <c r="AA35" s="151"/>
    </row>
    <row r="36" spans="1:27">
      <c r="A36" s="144"/>
      <c r="B36" s="145"/>
      <c r="C36" s="146" t="s">
        <v>4124</v>
      </c>
      <c r="D36" s="147" t="s">
        <v>4182</v>
      </c>
      <c r="E36" s="139" t="s">
        <v>4183</v>
      </c>
      <c r="F36" s="153"/>
      <c r="G36" s="92">
        <f>ROUND(G35*2/3,1)</f>
        <v>5.1</v>
      </c>
      <c r="H36" s="127"/>
      <c r="I36" s="149"/>
      <c r="J36" s="95">
        <f>ROUND(J35*2/3,0)</f>
        <v>50</v>
      </c>
      <c r="K36" s="154"/>
      <c r="L36" s="119">
        <f>ROUND(L35*2/3,1)</f>
        <v>3.8</v>
      </c>
      <c r="M36" s="128"/>
      <c r="N36" s="99">
        <f>ROUND(N35*2/3,0)</f>
        <v>0</v>
      </c>
      <c r="O36" s="129"/>
      <c r="P36" s="101">
        <f>ROUND(P35*2/3,0)</f>
        <v>0</v>
      </c>
      <c r="Q36" s="130"/>
      <c r="R36" s="103">
        <f>ROUND(R35*2/3,0)</f>
        <v>0</v>
      </c>
      <c r="S36" s="131"/>
      <c r="T36" s="105">
        <f>ROUND(T35*2/3,0)</f>
        <v>8</v>
      </c>
      <c r="U36" s="132"/>
      <c r="V36" s="107">
        <f>ROUND(V35*2/3,0)</f>
        <v>0</v>
      </c>
      <c r="W36" s="133"/>
      <c r="X36" s="109">
        <f>ROUND(X35*2/3,0)</f>
        <v>0</v>
      </c>
      <c r="Y36" s="134"/>
      <c r="Z36" s="151"/>
      <c r="AA36" s="151"/>
    </row>
    <row r="37" spans="1:27">
      <c r="A37" s="135" t="s">
        <v>7989</v>
      </c>
      <c r="B37" s="136" t="s">
        <v>6578</v>
      </c>
      <c r="C37" s="137"/>
      <c r="D37" s="138"/>
      <c r="E37" s="139"/>
      <c r="F37" s="140" t="s">
        <v>3149</v>
      </c>
      <c r="G37" s="92"/>
      <c r="H37" s="93">
        <f t="shared" ref="H37:M37" si="56">SUM(G37:G41)</f>
        <v>8.8</v>
      </c>
      <c r="I37" s="141" t="s">
        <v>7996</v>
      </c>
      <c r="J37" s="95"/>
      <c r="K37" s="142">
        <f t="shared" si="56"/>
        <v>105</v>
      </c>
      <c r="L37" s="119"/>
      <c r="M37" s="98">
        <f t="shared" si="56"/>
        <v>6.6</v>
      </c>
      <c r="N37" s="99"/>
      <c r="O37" s="100">
        <f t="shared" ref="O37:S37" si="57">SUM(N37:N41)</f>
        <v>0</v>
      </c>
      <c r="P37" s="101"/>
      <c r="Q37" s="102">
        <f t="shared" si="57"/>
        <v>0</v>
      </c>
      <c r="R37" s="103"/>
      <c r="S37" s="104">
        <f t="shared" si="57"/>
        <v>0</v>
      </c>
      <c r="T37" s="105"/>
      <c r="U37" s="106">
        <f t="shared" ref="U37:Y37" si="58">SUM(T37:T41)</f>
        <v>44</v>
      </c>
      <c r="V37" s="107"/>
      <c r="W37" s="108">
        <f t="shared" si="58"/>
        <v>0</v>
      </c>
      <c r="X37" s="109"/>
      <c r="Y37" s="110">
        <f t="shared" si="58"/>
        <v>0</v>
      </c>
      <c r="Z37" s="139" t="s">
        <v>7997</v>
      </c>
      <c r="AA37" s="139"/>
    </row>
    <row r="38" spans="1:27">
      <c r="A38" s="144"/>
      <c r="B38" s="145"/>
      <c r="C38" s="146" t="s">
        <v>4115</v>
      </c>
      <c r="D38" s="147" t="s">
        <v>4184</v>
      </c>
      <c r="E38" s="139" t="s">
        <v>4185</v>
      </c>
      <c r="F38" s="148"/>
      <c r="G38" s="92">
        <f>G41*2</f>
        <v>3.2</v>
      </c>
      <c r="H38" s="117"/>
      <c r="I38" s="149"/>
      <c r="J38" s="95">
        <f>J41*2</f>
        <v>38</v>
      </c>
      <c r="K38" s="150"/>
      <c r="L38" s="119">
        <f>L41*2</f>
        <v>2.4</v>
      </c>
      <c r="M38" s="120"/>
      <c r="N38" s="99">
        <f t="shared" ref="N38:R38" si="59">N41*2</f>
        <v>0</v>
      </c>
      <c r="O38" s="121"/>
      <c r="P38" s="101">
        <f t="shared" si="59"/>
        <v>0</v>
      </c>
      <c r="Q38" s="122"/>
      <c r="R38" s="103">
        <f t="shared" si="59"/>
        <v>0</v>
      </c>
      <c r="S38" s="123"/>
      <c r="T38" s="105">
        <f>T41*2</f>
        <v>16</v>
      </c>
      <c r="U38" s="124"/>
      <c r="V38" s="107">
        <f>V41*2</f>
        <v>0</v>
      </c>
      <c r="W38" s="125"/>
      <c r="X38" s="109">
        <f>X41*2</f>
        <v>0</v>
      </c>
      <c r="Y38" s="126"/>
      <c r="Z38" s="151"/>
      <c r="AA38" s="151"/>
    </row>
    <row r="39" spans="1:27">
      <c r="A39" s="144"/>
      <c r="B39" s="145"/>
      <c r="C39" s="146" t="s">
        <v>4118</v>
      </c>
      <c r="D39" s="147" t="s">
        <v>4186</v>
      </c>
      <c r="E39" s="139" t="s">
        <v>4187</v>
      </c>
      <c r="F39" s="148"/>
      <c r="G39" s="92">
        <f>G41</f>
        <v>1.6</v>
      </c>
      <c r="H39" s="117"/>
      <c r="I39" s="149"/>
      <c r="J39" s="95">
        <f>J41</f>
        <v>19</v>
      </c>
      <c r="K39" s="150"/>
      <c r="L39" s="119">
        <f>L41</f>
        <v>1.2</v>
      </c>
      <c r="M39" s="120"/>
      <c r="N39" s="99">
        <f t="shared" ref="N39:R39" si="60">N41</f>
        <v>0</v>
      </c>
      <c r="O39" s="121"/>
      <c r="P39" s="101">
        <f t="shared" si="60"/>
        <v>0</v>
      </c>
      <c r="Q39" s="122"/>
      <c r="R39" s="103">
        <f t="shared" si="60"/>
        <v>0</v>
      </c>
      <c r="S39" s="123"/>
      <c r="T39" s="105">
        <f>T41</f>
        <v>8</v>
      </c>
      <c r="U39" s="124"/>
      <c r="V39" s="107">
        <f>V41</f>
        <v>0</v>
      </c>
      <c r="W39" s="125"/>
      <c r="X39" s="109">
        <f>X41</f>
        <v>0</v>
      </c>
      <c r="Y39" s="126"/>
      <c r="Z39" s="151"/>
      <c r="AA39" s="151"/>
    </row>
    <row r="40" spans="1:27">
      <c r="A40" s="144"/>
      <c r="B40" s="145"/>
      <c r="C40" s="146" t="s">
        <v>4121</v>
      </c>
      <c r="D40" s="147" t="s">
        <v>4188</v>
      </c>
      <c r="E40" s="139" t="s">
        <v>4189</v>
      </c>
      <c r="F40" s="148"/>
      <c r="G40" s="92">
        <v>2.4</v>
      </c>
      <c r="H40" s="117"/>
      <c r="I40" s="149"/>
      <c r="J40" s="95">
        <v>29</v>
      </c>
      <c r="K40" s="150"/>
      <c r="L40" s="119">
        <v>1.8</v>
      </c>
      <c r="M40" s="120"/>
      <c r="N40" s="99">
        <v>0</v>
      </c>
      <c r="O40" s="121"/>
      <c r="P40" s="101">
        <v>0</v>
      </c>
      <c r="Q40" s="122"/>
      <c r="R40" s="103">
        <v>0</v>
      </c>
      <c r="S40" s="123"/>
      <c r="T40" s="105">
        <v>12</v>
      </c>
      <c r="U40" s="124"/>
      <c r="V40" s="107">
        <v>0</v>
      </c>
      <c r="W40" s="125"/>
      <c r="X40" s="109">
        <v>0</v>
      </c>
      <c r="Y40" s="126"/>
      <c r="Z40" s="151"/>
      <c r="AA40" s="151"/>
    </row>
    <row r="41" spans="1:27">
      <c r="A41" s="144"/>
      <c r="B41" s="145"/>
      <c r="C41" s="146" t="s">
        <v>4124</v>
      </c>
      <c r="D41" s="147" t="s">
        <v>4190</v>
      </c>
      <c r="E41" s="139" t="s">
        <v>4191</v>
      </c>
      <c r="F41" s="153"/>
      <c r="G41" s="92">
        <f>ROUND(G40*2/3,1)</f>
        <v>1.6</v>
      </c>
      <c r="H41" s="127"/>
      <c r="I41" s="149"/>
      <c r="J41" s="95">
        <f>ROUND(J40*2/3,0)</f>
        <v>19</v>
      </c>
      <c r="K41" s="154"/>
      <c r="L41" s="119">
        <f>ROUND(L40*2/3,1)</f>
        <v>1.2</v>
      </c>
      <c r="M41" s="128"/>
      <c r="N41" s="99">
        <f>ROUND(N40*2/3,0)</f>
        <v>0</v>
      </c>
      <c r="O41" s="129"/>
      <c r="P41" s="101">
        <f>ROUND(P40*2/3,0)</f>
        <v>0</v>
      </c>
      <c r="Q41" s="130"/>
      <c r="R41" s="103">
        <f>ROUND(R40*2/3,0)</f>
        <v>0</v>
      </c>
      <c r="S41" s="131"/>
      <c r="T41" s="105">
        <f>ROUND(T40*2/3,0)</f>
        <v>8</v>
      </c>
      <c r="U41" s="132"/>
      <c r="V41" s="107">
        <f>ROUND(V40*2/3,0)</f>
        <v>0</v>
      </c>
      <c r="W41" s="133"/>
      <c r="X41" s="109">
        <f>ROUND(X40*2/3,0)</f>
        <v>0</v>
      </c>
      <c r="Y41" s="134"/>
      <c r="Z41" s="151"/>
      <c r="AA41" s="151"/>
    </row>
    <row r="42" spans="1:27">
      <c r="A42" s="135" t="s">
        <v>7975</v>
      </c>
      <c r="B42" s="136" t="s">
        <v>6808</v>
      </c>
      <c r="C42" s="137"/>
      <c r="D42" s="138"/>
      <c r="E42" s="139"/>
      <c r="F42" s="140" t="s">
        <v>7998</v>
      </c>
      <c r="G42" s="92"/>
      <c r="H42" s="93">
        <f t="shared" ref="H42:M42" si="61">SUM(G42:G46)</f>
        <v>22</v>
      </c>
      <c r="I42" s="141" t="s">
        <v>7999</v>
      </c>
      <c r="J42" s="95"/>
      <c r="K42" s="142">
        <f t="shared" si="61"/>
        <v>171</v>
      </c>
      <c r="L42" s="119"/>
      <c r="M42" s="98">
        <f t="shared" si="61"/>
        <v>12.7</v>
      </c>
      <c r="N42" s="99"/>
      <c r="O42" s="100">
        <f t="shared" ref="O42:S42" si="62">SUM(N42:N46)</f>
        <v>0</v>
      </c>
      <c r="P42" s="101"/>
      <c r="Q42" s="102">
        <f t="shared" si="62"/>
        <v>44</v>
      </c>
      <c r="R42" s="103"/>
      <c r="S42" s="104">
        <f t="shared" si="62"/>
        <v>0</v>
      </c>
      <c r="T42" s="105"/>
      <c r="U42" s="106">
        <f t="shared" ref="U42:Y42" si="63">SUM(T42:T46)</f>
        <v>0</v>
      </c>
      <c r="V42" s="107"/>
      <c r="W42" s="108">
        <f t="shared" si="63"/>
        <v>0</v>
      </c>
      <c r="X42" s="109"/>
      <c r="Y42" s="110">
        <f t="shared" si="63"/>
        <v>0</v>
      </c>
      <c r="Z42" s="139" t="s">
        <v>8000</v>
      </c>
      <c r="AA42" s="139"/>
    </row>
    <row r="43" spans="1:27">
      <c r="A43" s="144"/>
      <c r="B43" s="145"/>
      <c r="C43" s="146" t="s">
        <v>4115</v>
      </c>
      <c r="D43" s="147" t="s">
        <v>4192</v>
      </c>
      <c r="E43" s="139" t="s">
        <v>4193</v>
      </c>
      <c r="F43" s="148"/>
      <c r="G43" s="92">
        <f>G46*2</f>
        <v>8</v>
      </c>
      <c r="H43" s="117"/>
      <c r="I43" s="149"/>
      <c r="J43" s="95">
        <f>J46*2</f>
        <v>62</v>
      </c>
      <c r="K43" s="150"/>
      <c r="L43" s="119">
        <f>L46*2</f>
        <v>4.6</v>
      </c>
      <c r="M43" s="120"/>
      <c r="N43" s="99">
        <f t="shared" ref="N43:R43" si="64">N46*2</f>
        <v>0</v>
      </c>
      <c r="O43" s="121"/>
      <c r="P43" s="101">
        <f t="shared" si="64"/>
        <v>16</v>
      </c>
      <c r="Q43" s="122"/>
      <c r="R43" s="103">
        <f t="shared" si="64"/>
        <v>0</v>
      </c>
      <c r="S43" s="123"/>
      <c r="T43" s="105">
        <f>T46*2</f>
        <v>0</v>
      </c>
      <c r="U43" s="124"/>
      <c r="V43" s="107">
        <f>V46*2</f>
        <v>0</v>
      </c>
      <c r="W43" s="125"/>
      <c r="X43" s="109">
        <f>X46*2</f>
        <v>0</v>
      </c>
      <c r="Y43" s="126"/>
      <c r="Z43" s="151"/>
      <c r="AA43" s="151"/>
    </row>
    <row r="44" spans="1:27">
      <c r="A44" s="144"/>
      <c r="B44" s="145"/>
      <c r="C44" s="146" t="s">
        <v>4118</v>
      </c>
      <c r="D44" s="147" t="s">
        <v>4194</v>
      </c>
      <c r="E44" s="139" t="s">
        <v>4195</v>
      </c>
      <c r="F44" s="148"/>
      <c r="G44" s="92">
        <f>G46</f>
        <v>4</v>
      </c>
      <c r="H44" s="117"/>
      <c r="I44" s="149"/>
      <c r="J44" s="95">
        <f>J46</f>
        <v>31</v>
      </c>
      <c r="K44" s="150"/>
      <c r="L44" s="119">
        <f>L46</f>
        <v>2.3</v>
      </c>
      <c r="M44" s="120"/>
      <c r="N44" s="99">
        <f t="shared" ref="N44:R44" si="65">N46</f>
        <v>0</v>
      </c>
      <c r="O44" s="121"/>
      <c r="P44" s="101">
        <f t="shared" si="65"/>
        <v>8</v>
      </c>
      <c r="Q44" s="122"/>
      <c r="R44" s="103">
        <f t="shared" si="65"/>
        <v>0</v>
      </c>
      <c r="S44" s="123"/>
      <c r="T44" s="105">
        <f>T46</f>
        <v>0</v>
      </c>
      <c r="U44" s="124"/>
      <c r="V44" s="107">
        <f>V46</f>
        <v>0</v>
      </c>
      <c r="W44" s="125"/>
      <c r="X44" s="109">
        <f>X46</f>
        <v>0</v>
      </c>
      <c r="Y44" s="126"/>
      <c r="Z44" s="151"/>
      <c r="AA44" s="151"/>
    </row>
    <row r="45" spans="1:27">
      <c r="A45" s="144"/>
      <c r="B45" s="145"/>
      <c r="C45" s="146" t="s">
        <v>4121</v>
      </c>
      <c r="D45" s="147" t="s">
        <v>4196</v>
      </c>
      <c r="E45" s="139" t="s">
        <v>4197</v>
      </c>
      <c r="F45" s="148"/>
      <c r="G45" s="92">
        <v>6</v>
      </c>
      <c r="H45" s="117"/>
      <c r="I45" s="149"/>
      <c r="J45" s="95">
        <v>47</v>
      </c>
      <c r="K45" s="150"/>
      <c r="L45" s="119">
        <v>3.5</v>
      </c>
      <c r="M45" s="120"/>
      <c r="N45" s="99">
        <v>0</v>
      </c>
      <c r="O45" s="121"/>
      <c r="P45" s="101">
        <v>12</v>
      </c>
      <c r="Q45" s="122"/>
      <c r="R45" s="103">
        <v>0</v>
      </c>
      <c r="S45" s="123"/>
      <c r="T45" s="105">
        <v>0</v>
      </c>
      <c r="U45" s="124"/>
      <c r="V45" s="107">
        <v>0</v>
      </c>
      <c r="W45" s="125"/>
      <c r="X45" s="109">
        <v>0</v>
      </c>
      <c r="Y45" s="126"/>
      <c r="Z45" s="151"/>
      <c r="AA45" s="151"/>
    </row>
    <row r="46" spans="1:27">
      <c r="A46" s="144"/>
      <c r="B46" s="145"/>
      <c r="C46" s="146" t="s">
        <v>4124</v>
      </c>
      <c r="D46" s="147" t="s">
        <v>4198</v>
      </c>
      <c r="E46" s="139" t="s">
        <v>4199</v>
      </c>
      <c r="F46" s="153"/>
      <c r="G46" s="92">
        <f>ROUND(G45*2/3,1)</f>
        <v>4</v>
      </c>
      <c r="H46" s="127"/>
      <c r="I46" s="149"/>
      <c r="J46" s="95">
        <f>ROUND(J45*2/3,0)</f>
        <v>31</v>
      </c>
      <c r="K46" s="154"/>
      <c r="L46" s="119">
        <f>ROUND(L45*2/3,1)</f>
        <v>2.3</v>
      </c>
      <c r="M46" s="128"/>
      <c r="N46" s="99">
        <f>ROUND(N45*2/3,0)</f>
        <v>0</v>
      </c>
      <c r="O46" s="129"/>
      <c r="P46" s="101">
        <f>ROUND(P45*2/3,0)</f>
        <v>8</v>
      </c>
      <c r="Q46" s="130"/>
      <c r="R46" s="103">
        <f>ROUND(R45*2/3,0)</f>
        <v>0</v>
      </c>
      <c r="S46" s="131"/>
      <c r="T46" s="105">
        <f>ROUND(T45*2/3,0)</f>
        <v>0</v>
      </c>
      <c r="U46" s="132"/>
      <c r="V46" s="107">
        <f>ROUND(V45*2/3,0)</f>
        <v>0</v>
      </c>
      <c r="W46" s="133"/>
      <c r="X46" s="109">
        <f>ROUND(X45*2/3,0)</f>
        <v>0</v>
      </c>
      <c r="Y46" s="134"/>
      <c r="Z46" s="151"/>
      <c r="AA46" s="151"/>
    </row>
    <row r="47" spans="1:27">
      <c r="A47" s="135" t="s">
        <v>7984</v>
      </c>
      <c r="B47" s="136" t="s">
        <v>6666</v>
      </c>
      <c r="C47" s="137" t="s">
        <v>4133</v>
      </c>
      <c r="D47" s="138" t="s">
        <v>4200</v>
      </c>
      <c r="E47" s="139" t="s">
        <v>4201</v>
      </c>
      <c r="F47" s="140" t="s">
        <v>3145</v>
      </c>
      <c r="G47" s="92">
        <f>G51</f>
        <v>4.6</v>
      </c>
      <c r="H47" s="93">
        <f t="shared" ref="H47:M47" si="66">SUM(G47:G51)</f>
        <v>29.9</v>
      </c>
      <c r="I47" s="141" t="s">
        <v>8001</v>
      </c>
      <c r="J47" s="95">
        <f>J51</f>
        <v>50</v>
      </c>
      <c r="K47" s="142">
        <f t="shared" si="66"/>
        <v>325</v>
      </c>
      <c r="L47" s="119">
        <f>L51</f>
        <v>3.8</v>
      </c>
      <c r="M47" s="98">
        <f t="shared" si="66"/>
        <v>24.7</v>
      </c>
      <c r="N47" s="99">
        <f t="shared" ref="N47:R47" si="67">N51</f>
        <v>8</v>
      </c>
      <c r="O47" s="100">
        <f t="shared" ref="O47:S47" si="68">SUM(N47:N51)</f>
        <v>52</v>
      </c>
      <c r="P47" s="101">
        <f t="shared" si="67"/>
        <v>0</v>
      </c>
      <c r="Q47" s="102">
        <f t="shared" si="68"/>
        <v>0</v>
      </c>
      <c r="R47" s="103">
        <f t="shared" si="67"/>
        <v>0</v>
      </c>
      <c r="S47" s="104">
        <f t="shared" si="68"/>
        <v>0</v>
      </c>
      <c r="T47" s="105">
        <f>T51</f>
        <v>0</v>
      </c>
      <c r="U47" s="106">
        <f t="shared" ref="U47:Y47" si="69">SUM(T47:T51)</f>
        <v>0</v>
      </c>
      <c r="V47" s="107">
        <f>V51</f>
        <v>0</v>
      </c>
      <c r="W47" s="108">
        <f t="shared" si="69"/>
        <v>0</v>
      </c>
      <c r="X47" s="109">
        <f>X51</f>
        <v>0</v>
      </c>
      <c r="Y47" s="110">
        <f t="shared" si="69"/>
        <v>0</v>
      </c>
      <c r="Z47" s="139" t="s">
        <v>8002</v>
      </c>
      <c r="AA47" s="139"/>
    </row>
    <row r="48" spans="1:27">
      <c r="A48" s="144"/>
      <c r="B48" s="145"/>
      <c r="C48" s="146" t="s">
        <v>4115</v>
      </c>
      <c r="D48" s="147" t="s">
        <v>4202</v>
      </c>
      <c r="E48" s="139" t="s">
        <v>4203</v>
      </c>
      <c r="F48" s="148"/>
      <c r="G48" s="92">
        <f>G51*2</f>
        <v>9.2</v>
      </c>
      <c r="H48" s="117"/>
      <c r="I48" s="149"/>
      <c r="J48" s="95">
        <f>J51*2</f>
        <v>100</v>
      </c>
      <c r="K48" s="150"/>
      <c r="L48" s="119">
        <f>L51*2</f>
        <v>7.6</v>
      </c>
      <c r="M48" s="120"/>
      <c r="N48" s="99">
        <f t="shared" ref="N48:R48" si="70">N51*2</f>
        <v>16</v>
      </c>
      <c r="O48" s="121"/>
      <c r="P48" s="101">
        <f t="shared" si="70"/>
        <v>0</v>
      </c>
      <c r="Q48" s="122"/>
      <c r="R48" s="103">
        <f t="shared" si="70"/>
        <v>0</v>
      </c>
      <c r="S48" s="123"/>
      <c r="T48" s="105">
        <f>T51*2</f>
        <v>0</v>
      </c>
      <c r="U48" s="124"/>
      <c r="V48" s="107">
        <f>V51*2</f>
        <v>0</v>
      </c>
      <c r="W48" s="125"/>
      <c r="X48" s="109">
        <f>X51*2</f>
        <v>0</v>
      </c>
      <c r="Y48" s="126"/>
      <c r="Z48" s="151"/>
      <c r="AA48" s="151"/>
    </row>
    <row r="49" spans="1:27">
      <c r="A49" s="144"/>
      <c r="B49" s="145"/>
      <c r="C49" s="146" t="s">
        <v>4118</v>
      </c>
      <c r="D49" s="147" t="s">
        <v>4204</v>
      </c>
      <c r="E49" s="139" t="s">
        <v>4205</v>
      </c>
      <c r="F49" s="148"/>
      <c r="G49" s="92">
        <f>G51</f>
        <v>4.6</v>
      </c>
      <c r="H49" s="117"/>
      <c r="I49" s="149"/>
      <c r="J49" s="95">
        <f>J51</f>
        <v>50</v>
      </c>
      <c r="K49" s="150"/>
      <c r="L49" s="119">
        <f>L51</f>
        <v>3.8</v>
      </c>
      <c r="M49" s="120"/>
      <c r="N49" s="99">
        <f t="shared" ref="N49:R49" si="71">N51</f>
        <v>8</v>
      </c>
      <c r="O49" s="121"/>
      <c r="P49" s="101">
        <f t="shared" si="71"/>
        <v>0</v>
      </c>
      <c r="Q49" s="122"/>
      <c r="R49" s="103">
        <f t="shared" si="71"/>
        <v>0</v>
      </c>
      <c r="S49" s="123"/>
      <c r="T49" s="105">
        <f>T51</f>
        <v>0</v>
      </c>
      <c r="U49" s="124"/>
      <c r="V49" s="107">
        <f>V51</f>
        <v>0</v>
      </c>
      <c r="W49" s="125"/>
      <c r="X49" s="109">
        <f>X51</f>
        <v>0</v>
      </c>
      <c r="Y49" s="126"/>
      <c r="Z49" s="151"/>
      <c r="AA49" s="151"/>
    </row>
    <row r="50" spans="1:27">
      <c r="A50" s="144"/>
      <c r="B50" s="145"/>
      <c r="C50" s="146" t="s">
        <v>4121</v>
      </c>
      <c r="D50" s="147" t="s">
        <v>4206</v>
      </c>
      <c r="E50" s="139" t="s">
        <v>4207</v>
      </c>
      <c r="F50" s="148"/>
      <c r="G50" s="92">
        <v>6.9</v>
      </c>
      <c r="H50" s="117"/>
      <c r="I50" s="149"/>
      <c r="J50" s="95">
        <v>75</v>
      </c>
      <c r="K50" s="150"/>
      <c r="L50" s="119">
        <v>5.7</v>
      </c>
      <c r="M50" s="120"/>
      <c r="N50" s="99">
        <v>12</v>
      </c>
      <c r="O50" s="121"/>
      <c r="P50" s="101">
        <v>0</v>
      </c>
      <c r="Q50" s="122"/>
      <c r="R50" s="103">
        <v>0</v>
      </c>
      <c r="S50" s="123"/>
      <c r="T50" s="105">
        <v>0</v>
      </c>
      <c r="U50" s="124"/>
      <c r="V50" s="107">
        <v>0</v>
      </c>
      <c r="W50" s="125"/>
      <c r="X50" s="109">
        <v>0</v>
      </c>
      <c r="Y50" s="126"/>
      <c r="Z50" s="151"/>
      <c r="AA50" s="151"/>
    </row>
    <row r="51" spans="1:27">
      <c r="A51" s="144"/>
      <c r="B51" s="145"/>
      <c r="C51" s="146" t="s">
        <v>4124</v>
      </c>
      <c r="D51" s="147" t="s">
        <v>4208</v>
      </c>
      <c r="E51" s="139" t="s">
        <v>4209</v>
      </c>
      <c r="F51" s="153"/>
      <c r="G51" s="92">
        <f>ROUND(G50*2/3,1)</f>
        <v>4.6</v>
      </c>
      <c r="H51" s="127"/>
      <c r="I51" s="149"/>
      <c r="J51" s="95">
        <f>ROUND(J50*2/3,0)</f>
        <v>50</v>
      </c>
      <c r="K51" s="154"/>
      <c r="L51" s="119">
        <f>ROUND(L50*2/3,1)</f>
        <v>3.8</v>
      </c>
      <c r="M51" s="128"/>
      <c r="N51" s="99">
        <f>ROUND(N50*2/3,0)</f>
        <v>8</v>
      </c>
      <c r="O51" s="129"/>
      <c r="P51" s="101">
        <f>ROUND(P50*2/3,0)</f>
        <v>0</v>
      </c>
      <c r="Q51" s="130"/>
      <c r="R51" s="103">
        <f>ROUND(R50*2/3,0)</f>
        <v>0</v>
      </c>
      <c r="S51" s="131"/>
      <c r="T51" s="105">
        <f>ROUND(T50*2/3,0)</f>
        <v>0</v>
      </c>
      <c r="U51" s="132"/>
      <c r="V51" s="107">
        <f>ROUND(V50*2/3,0)</f>
        <v>0</v>
      </c>
      <c r="W51" s="133"/>
      <c r="X51" s="109">
        <f>ROUND(X50*2/3,0)</f>
        <v>0</v>
      </c>
      <c r="Y51" s="134"/>
      <c r="Z51" s="151"/>
      <c r="AA51" s="151"/>
    </row>
    <row r="52" spans="1:27">
      <c r="A52" s="135" t="s">
        <v>7989</v>
      </c>
      <c r="B52" s="136" t="s">
        <v>6777</v>
      </c>
      <c r="C52" s="137" t="s">
        <v>4133</v>
      </c>
      <c r="D52" s="138" t="s">
        <v>4210</v>
      </c>
      <c r="E52" s="139" t="s">
        <v>4211</v>
      </c>
      <c r="F52" s="22" t="s">
        <v>7980</v>
      </c>
      <c r="G52" s="92">
        <f>G56</f>
        <v>1.7</v>
      </c>
      <c r="H52" s="93">
        <f t="shared" ref="H52:M52" si="72">SUM(G52:G56)</f>
        <v>11.1</v>
      </c>
      <c r="I52" s="141" t="s">
        <v>8003</v>
      </c>
      <c r="J52" s="95">
        <f>J56</f>
        <v>19</v>
      </c>
      <c r="K52" s="142">
        <f t="shared" si="72"/>
        <v>124</v>
      </c>
      <c r="L52" s="119">
        <f>L56</f>
        <v>0</v>
      </c>
      <c r="M52" s="98">
        <f t="shared" si="72"/>
        <v>0</v>
      </c>
      <c r="N52" s="99">
        <f t="shared" ref="N52:R52" si="73">N56</f>
        <v>0</v>
      </c>
      <c r="O52" s="100">
        <f t="shared" ref="O52:S52" si="74">SUM(N52:N56)</f>
        <v>0</v>
      </c>
      <c r="P52" s="101">
        <f t="shared" si="73"/>
        <v>0</v>
      </c>
      <c r="Q52" s="102">
        <f t="shared" si="74"/>
        <v>0</v>
      </c>
      <c r="R52" s="103">
        <f t="shared" si="73"/>
        <v>0</v>
      </c>
      <c r="S52" s="104">
        <f t="shared" si="74"/>
        <v>0</v>
      </c>
      <c r="T52" s="105">
        <f>T56</f>
        <v>0</v>
      </c>
      <c r="U52" s="106">
        <f t="shared" ref="U52:Y52" si="75">SUM(T52:T56)</f>
        <v>0</v>
      </c>
      <c r="V52" s="107">
        <f>V56</f>
        <v>0</v>
      </c>
      <c r="W52" s="108">
        <f t="shared" si="75"/>
        <v>0</v>
      </c>
      <c r="X52" s="109">
        <f>X56</f>
        <v>0</v>
      </c>
      <c r="Y52" s="110">
        <f t="shared" si="75"/>
        <v>0</v>
      </c>
      <c r="Z52" s="139"/>
      <c r="AA52" s="139"/>
    </row>
    <row r="53" spans="1:27">
      <c r="A53" s="144"/>
      <c r="B53" s="145"/>
      <c r="C53" s="146" t="s">
        <v>4115</v>
      </c>
      <c r="D53" s="147" t="s">
        <v>4212</v>
      </c>
      <c r="E53" s="139" t="s">
        <v>4213</v>
      </c>
      <c r="F53" s="22" t="s">
        <v>7979</v>
      </c>
      <c r="G53" s="92">
        <f>G56*2</f>
        <v>3.4</v>
      </c>
      <c r="H53" s="117"/>
      <c r="I53" s="149"/>
      <c r="J53" s="95">
        <f>J56*2</f>
        <v>38</v>
      </c>
      <c r="K53" s="150"/>
      <c r="L53" s="119">
        <f>L56*2</f>
        <v>0</v>
      </c>
      <c r="M53" s="120"/>
      <c r="N53" s="99">
        <f t="shared" ref="N53:R53" si="76">N56*2</f>
        <v>0</v>
      </c>
      <c r="O53" s="121"/>
      <c r="P53" s="101">
        <f t="shared" si="76"/>
        <v>0</v>
      </c>
      <c r="Q53" s="122"/>
      <c r="R53" s="103">
        <f t="shared" si="76"/>
        <v>0</v>
      </c>
      <c r="S53" s="123"/>
      <c r="T53" s="105">
        <f>T56*2</f>
        <v>0</v>
      </c>
      <c r="U53" s="124"/>
      <c r="V53" s="107">
        <f>V56*2</f>
        <v>0</v>
      </c>
      <c r="W53" s="125"/>
      <c r="X53" s="109">
        <f>X56*2</f>
        <v>0</v>
      </c>
      <c r="Y53" s="126"/>
      <c r="Z53" s="151"/>
      <c r="AA53" s="151"/>
    </row>
    <row r="54" spans="1:27">
      <c r="A54" s="144"/>
      <c r="B54" s="145"/>
      <c r="C54" s="146" t="s">
        <v>4118</v>
      </c>
      <c r="D54" s="147" t="s">
        <v>4214</v>
      </c>
      <c r="E54" s="139" t="s">
        <v>4215</v>
      </c>
      <c r="F54" s="22" t="s">
        <v>7980</v>
      </c>
      <c r="G54" s="92">
        <f>G56</f>
        <v>1.7</v>
      </c>
      <c r="H54" s="117"/>
      <c r="I54" s="149"/>
      <c r="J54" s="95">
        <f>J56</f>
        <v>19</v>
      </c>
      <c r="K54" s="150"/>
      <c r="L54" s="119">
        <f>L56</f>
        <v>0</v>
      </c>
      <c r="M54" s="120"/>
      <c r="N54" s="99">
        <f t="shared" ref="N54:R54" si="77">N56</f>
        <v>0</v>
      </c>
      <c r="O54" s="121"/>
      <c r="P54" s="101">
        <f t="shared" si="77"/>
        <v>0</v>
      </c>
      <c r="Q54" s="122"/>
      <c r="R54" s="103">
        <f t="shared" si="77"/>
        <v>0</v>
      </c>
      <c r="S54" s="123"/>
      <c r="T54" s="105">
        <f>T56</f>
        <v>0</v>
      </c>
      <c r="U54" s="124"/>
      <c r="V54" s="107">
        <f>V56</f>
        <v>0</v>
      </c>
      <c r="W54" s="125"/>
      <c r="X54" s="109">
        <f>X56</f>
        <v>0</v>
      </c>
      <c r="Y54" s="126"/>
      <c r="Z54" s="151"/>
      <c r="AA54" s="151"/>
    </row>
    <row r="55" spans="1:27">
      <c r="A55" s="144"/>
      <c r="B55" s="145"/>
      <c r="C55" s="146" t="s">
        <v>4121</v>
      </c>
      <c r="D55" s="147" t="s">
        <v>4216</v>
      </c>
      <c r="E55" s="139" t="s">
        <v>4217</v>
      </c>
      <c r="F55" s="22" t="s">
        <v>7981</v>
      </c>
      <c r="G55" s="92">
        <v>2.6</v>
      </c>
      <c r="H55" s="117"/>
      <c r="I55" s="149"/>
      <c r="J55" s="95">
        <v>29</v>
      </c>
      <c r="K55" s="150"/>
      <c r="L55" s="119">
        <v>0</v>
      </c>
      <c r="M55" s="120"/>
      <c r="N55" s="99">
        <v>0</v>
      </c>
      <c r="O55" s="121"/>
      <c r="P55" s="101">
        <v>0</v>
      </c>
      <c r="Q55" s="122"/>
      <c r="R55" s="103">
        <v>0</v>
      </c>
      <c r="S55" s="123"/>
      <c r="T55" s="105">
        <v>0</v>
      </c>
      <c r="U55" s="124"/>
      <c r="V55" s="107">
        <v>0</v>
      </c>
      <c r="W55" s="125"/>
      <c r="X55" s="109">
        <v>0</v>
      </c>
      <c r="Y55" s="126"/>
      <c r="Z55" s="151"/>
      <c r="AA55" s="151"/>
    </row>
    <row r="56" spans="1:27">
      <c r="A56" s="144"/>
      <c r="B56" s="145"/>
      <c r="C56" s="146" t="s">
        <v>4124</v>
      </c>
      <c r="D56" s="147" t="s">
        <v>4218</v>
      </c>
      <c r="E56" s="139" t="s">
        <v>4219</v>
      </c>
      <c r="F56" s="22" t="s">
        <v>7980</v>
      </c>
      <c r="G56" s="92">
        <f>ROUND(G55*2/3,1)</f>
        <v>1.7</v>
      </c>
      <c r="H56" s="127"/>
      <c r="I56" s="149"/>
      <c r="J56" s="95">
        <f>ROUND(J55*2/3,0)</f>
        <v>19</v>
      </c>
      <c r="K56" s="154"/>
      <c r="L56" s="119">
        <f>ROUND(L55*2/3,1)</f>
        <v>0</v>
      </c>
      <c r="M56" s="128"/>
      <c r="N56" s="99">
        <f>ROUND(N55*2/3,0)</f>
        <v>0</v>
      </c>
      <c r="O56" s="129"/>
      <c r="P56" s="101">
        <f>ROUND(P55*2/3,0)</f>
        <v>0</v>
      </c>
      <c r="Q56" s="130"/>
      <c r="R56" s="103">
        <f>ROUND(R55*2/3,0)</f>
        <v>0</v>
      </c>
      <c r="S56" s="131"/>
      <c r="T56" s="105">
        <f>ROUND(T55*2/3,0)</f>
        <v>0</v>
      </c>
      <c r="U56" s="132"/>
      <c r="V56" s="107">
        <f>ROUND(V55*2/3,0)</f>
        <v>0</v>
      </c>
      <c r="W56" s="133"/>
      <c r="X56" s="109">
        <f>ROUND(X55*2/3,0)</f>
        <v>0</v>
      </c>
      <c r="Y56" s="134"/>
      <c r="Z56" s="151"/>
      <c r="AA56" s="151"/>
    </row>
    <row r="57" spans="1:27">
      <c r="A57" s="135" t="s">
        <v>7989</v>
      </c>
      <c r="B57" s="136" t="s">
        <v>8004</v>
      </c>
      <c r="C57" s="137" t="s">
        <v>4133</v>
      </c>
      <c r="D57" s="138" t="s">
        <v>4220</v>
      </c>
      <c r="E57" s="139" t="s">
        <v>4221</v>
      </c>
      <c r="F57" s="155" t="s">
        <v>8005</v>
      </c>
      <c r="G57" s="92">
        <f>G61</f>
        <v>1.6</v>
      </c>
      <c r="H57" s="93">
        <f t="shared" ref="H57:M57" si="78">SUM(G57:G61)</f>
        <v>8.8</v>
      </c>
      <c r="I57" s="141" t="s">
        <v>8006</v>
      </c>
      <c r="J57" s="95">
        <f>J61</f>
        <v>19</v>
      </c>
      <c r="K57" s="142">
        <f t="shared" si="78"/>
        <v>105</v>
      </c>
      <c r="L57" s="119">
        <f>L61</f>
        <v>1.2</v>
      </c>
      <c r="M57" s="98">
        <f t="shared" si="78"/>
        <v>6.6</v>
      </c>
      <c r="N57" s="99">
        <f t="shared" ref="N57:R57" si="79">N61</f>
        <v>0</v>
      </c>
      <c r="O57" s="100">
        <f t="shared" ref="O57:S57" si="80">SUM(N57:N61)</f>
        <v>0</v>
      </c>
      <c r="P57" s="101">
        <f t="shared" si="79"/>
        <v>0</v>
      </c>
      <c r="Q57" s="102">
        <f t="shared" si="80"/>
        <v>0</v>
      </c>
      <c r="R57" s="103">
        <f t="shared" si="79"/>
        <v>0</v>
      </c>
      <c r="S57" s="104">
        <f t="shared" si="80"/>
        <v>0</v>
      </c>
      <c r="T57" s="105">
        <f>T61</f>
        <v>0</v>
      </c>
      <c r="U57" s="106">
        <f t="shared" ref="U57:Y57" si="81">SUM(T57:T61)</f>
        <v>0</v>
      </c>
      <c r="V57" s="107">
        <f>V61</f>
        <v>0</v>
      </c>
      <c r="W57" s="108">
        <f t="shared" si="81"/>
        <v>0</v>
      </c>
      <c r="X57" s="109">
        <f>X61</f>
        <v>0</v>
      </c>
      <c r="Y57" s="110">
        <f t="shared" si="81"/>
        <v>0</v>
      </c>
      <c r="Z57" s="139"/>
      <c r="AA57" s="139"/>
    </row>
    <row r="58" spans="1:27">
      <c r="A58" s="144"/>
      <c r="B58" s="145"/>
      <c r="C58" s="146" t="s">
        <v>4115</v>
      </c>
      <c r="D58" s="147" t="s">
        <v>4222</v>
      </c>
      <c r="E58" s="139" t="s">
        <v>4223</v>
      </c>
      <c r="F58" s="155" t="s">
        <v>8007</v>
      </c>
      <c r="G58" s="92">
        <f>G61*2</f>
        <v>3.2</v>
      </c>
      <c r="H58" s="117"/>
      <c r="I58" s="149"/>
      <c r="J58" s="95">
        <f>J61*2</f>
        <v>38</v>
      </c>
      <c r="K58" s="150"/>
      <c r="L58" s="119">
        <f>L61*2</f>
        <v>2.4</v>
      </c>
      <c r="M58" s="120"/>
      <c r="N58" s="99">
        <f t="shared" ref="N58:R58" si="82">N61*2</f>
        <v>0</v>
      </c>
      <c r="O58" s="121"/>
      <c r="P58" s="101">
        <f t="shared" si="82"/>
        <v>0</v>
      </c>
      <c r="Q58" s="122"/>
      <c r="R58" s="103">
        <f t="shared" si="82"/>
        <v>0</v>
      </c>
      <c r="S58" s="123"/>
      <c r="T58" s="105">
        <f>T61*2</f>
        <v>0</v>
      </c>
      <c r="U58" s="124"/>
      <c r="V58" s="107">
        <f>V61*2</f>
        <v>0</v>
      </c>
      <c r="W58" s="125"/>
      <c r="X58" s="109">
        <f>X61*2</f>
        <v>0</v>
      </c>
      <c r="Y58" s="126"/>
      <c r="Z58" s="151"/>
      <c r="AA58" s="151"/>
    </row>
    <row r="59" spans="1:27">
      <c r="A59" s="144"/>
      <c r="B59" s="145"/>
      <c r="C59" s="146"/>
      <c r="D59" s="147"/>
      <c r="E59" s="151"/>
      <c r="F59" s="156"/>
      <c r="G59" s="92"/>
      <c r="H59" s="117"/>
      <c r="I59" s="149"/>
      <c r="J59" s="95"/>
      <c r="K59" s="150"/>
      <c r="L59" s="119"/>
      <c r="M59" s="120"/>
      <c r="N59" s="99"/>
      <c r="O59" s="121"/>
      <c r="P59" s="101"/>
      <c r="Q59" s="122"/>
      <c r="R59" s="103"/>
      <c r="S59" s="123"/>
      <c r="T59" s="105"/>
      <c r="U59" s="124"/>
      <c r="V59" s="107"/>
      <c r="W59" s="125"/>
      <c r="X59" s="109"/>
      <c r="Y59" s="126"/>
      <c r="Z59" s="151"/>
      <c r="AA59" s="151"/>
    </row>
    <row r="60" spans="1:27">
      <c r="A60" s="144"/>
      <c r="B60" s="145"/>
      <c r="C60" s="146" t="s">
        <v>4121</v>
      </c>
      <c r="D60" s="147" t="s">
        <v>4224</v>
      </c>
      <c r="E60" s="139" t="s">
        <v>4225</v>
      </c>
      <c r="F60" s="155" t="s">
        <v>8008</v>
      </c>
      <c r="G60" s="92">
        <v>2.4</v>
      </c>
      <c r="H60" s="117"/>
      <c r="I60" s="149"/>
      <c r="J60" s="95">
        <v>29</v>
      </c>
      <c r="K60" s="150"/>
      <c r="L60" s="119">
        <v>1.8</v>
      </c>
      <c r="M60" s="120"/>
      <c r="N60" s="99">
        <v>0</v>
      </c>
      <c r="O60" s="121"/>
      <c r="P60" s="101">
        <v>0</v>
      </c>
      <c r="Q60" s="122"/>
      <c r="R60" s="103">
        <v>0</v>
      </c>
      <c r="S60" s="123"/>
      <c r="T60" s="105">
        <v>0</v>
      </c>
      <c r="U60" s="124"/>
      <c r="V60" s="107">
        <v>0</v>
      </c>
      <c r="W60" s="125"/>
      <c r="X60" s="109">
        <v>0</v>
      </c>
      <c r="Y60" s="126"/>
      <c r="Z60" s="151"/>
      <c r="AA60" s="151"/>
    </row>
    <row r="61" spans="1:27">
      <c r="A61" s="144"/>
      <c r="B61" s="145"/>
      <c r="C61" s="146" t="s">
        <v>4124</v>
      </c>
      <c r="D61" s="147" t="s">
        <v>4226</v>
      </c>
      <c r="E61" s="139" t="s">
        <v>4227</v>
      </c>
      <c r="F61" s="155" t="s">
        <v>8005</v>
      </c>
      <c r="G61" s="92">
        <f>ROUND(G60*2/3,1)</f>
        <v>1.6</v>
      </c>
      <c r="H61" s="127"/>
      <c r="I61" s="149"/>
      <c r="J61" s="95">
        <f>ROUND(J60*2/3,0)</f>
        <v>19</v>
      </c>
      <c r="K61" s="154"/>
      <c r="L61" s="119">
        <f>ROUND(L60*2/3,1)</f>
        <v>1.2</v>
      </c>
      <c r="M61" s="128"/>
      <c r="N61" s="99">
        <f>ROUND(N60*2/3,0)</f>
        <v>0</v>
      </c>
      <c r="O61" s="129"/>
      <c r="P61" s="101">
        <f>ROUND(P60*2/3,0)</f>
        <v>0</v>
      </c>
      <c r="Q61" s="130"/>
      <c r="R61" s="103">
        <f>ROUND(R60*2/3,0)</f>
        <v>0</v>
      </c>
      <c r="S61" s="131"/>
      <c r="T61" s="105">
        <f>ROUND(T60*2/3,0)</f>
        <v>0</v>
      </c>
      <c r="U61" s="132"/>
      <c r="V61" s="107">
        <f>ROUND(V60*2/3,0)</f>
        <v>0</v>
      </c>
      <c r="W61" s="133"/>
      <c r="X61" s="109">
        <f>ROUND(X60*2/3,0)</f>
        <v>0</v>
      </c>
      <c r="Y61" s="134"/>
      <c r="Z61" s="151"/>
      <c r="AA61" s="151"/>
    </row>
    <row r="62" spans="1:27">
      <c r="A62" s="135" t="s">
        <v>7984</v>
      </c>
      <c r="B62" s="136" t="s">
        <v>8009</v>
      </c>
      <c r="C62" s="137" t="s">
        <v>4133</v>
      </c>
      <c r="D62" s="138" t="s">
        <v>4228</v>
      </c>
      <c r="E62" s="139" t="s">
        <v>4229</v>
      </c>
      <c r="F62" s="155" t="s">
        <v>8010</v>
      </c>
      <c r="G62" s="92">
        <f>G66</f>
        <v>4.7</v>
      </c>
      <c r="H62" s="93">
        <f t="shared" ref="H62:M62" si="83">SUM(G62:G66)</f>
        <v>30.6</v>
      </c>
      <c r="I62" s="141" t="s">
        <v>8011</v>
      </c>
      <c r="J62" s="95">
        <f>J66</f>
        <v>50</v>
      </c>
      <c r="K62" s="142">
        <f t="shared" si="83"/>
        <v>325</v>
      </c>
      <c r="L62" s="119">
        <f>L66</f>
        <v>3.8</v>
      </c>
      <c r="M62" s="98">
        <f t="shared" si="83"/>
        <v>24.7</v>
      </c>
      <c r="N62" s="99">
        <f t="shared" ref="N62:R62" si="84">N66</f>
        <v>0</v>
      </c>
      <c r="O62" s="100">
        <f t="shared" ref="O62:S62" si="85">SUM(N62:N66)</f>
        <v>0</v>
      </c>
      <c r="P62" s="101">
        <f t="shared" si="84"/>
        <v>0</v>
      </c>
      <c r="Q62" s="102">
        <f t="shared" si="85"/>
        <v>0</v>
      </c>
      <c r="R62" s="103">
        <f t="shared" si="84"/>
        <v>0</v>
      </c>
      <c r="S62" s="104">
        <f t="shared" si="85"/>
        <v>0</v>
      </c>
      <c r="T62" s="105">
        <f>T66</f>
        <v>0</v>
      </c>
      <c r="U62" s="106">
        <f t="shared" ref="U62:Y62" si="86">SUM(T62:T66)</f>
        <v>0</v>
      </c>
      <c r="V62" s="107">
        <f>V66</f>
        <v>0</v>
      </c>
      <c r="W62" s="108">
        <f t="shared" si="86"/>
        <v>0</v>
      </c>
      <c r="X62" s="109">
        <f>X66</f>
        <v>0</v>
      </c>
      <c r="Y62" s="110">
        <f t="shared" si="86"/>
        <v>0</v>
      </c>
      <c r="Z62" s="139"/>
      <c r="AA62" s="139"/>
    </row>
    <row r="63" spans="1:27">
      <c r="A63" s="144"/>
      <c r="B63" s="145"/>
      <c r="C63" s="146" t="s">
        <v>4115</v>
      </c>
      <c r="D63" s="147" t="s">
        <v>4230</v>
      </c>
      <c r="E63" s="139" t="s">
        <v>4231</v>
      </c>
      <c r="F63" s="155" t="s">
        <v>8012</v>
      </c>
      <c r="G63" s="92">
        <f>G66*2</f>
        <v>9.4</v>
      </c>
      <c r="H63" s="117"/>
      <c r="I63" s="149"/>
      <c r="J63" s="95">
        <f>J66*2</f>
        <v>100</v>
      </c>
      <c r="K63" s="150"/>
      <c r="L63" s="119">
        <f>L66*2</f>
        <v>7.6</v>
      </c>
      <c r="M63" s="120"/>
      <c r="N63" s="99">
        <f t="shared" ref="N63:R63" si="87">N66*2</f>
        <v>0</v>
      </c>
      <c r="O63" s="121"/>
      <c r="P63" s="101">
        <f t="shared" si="87"/>
        <v>0</v>
      </c>
      <c r="Q63" s="122"/>
      <c r="R63" s="103">
        <f t="shared" si="87"/>
        <v>0</v>
      </c>
      <c r="S63" s="123"/>
      <c r="T63" s="105">
        <f>T66*2</f>
        <v>0</v>
      </c>
      <c r="U63" s="124"/>
      <c r="V63" s="107">
        <f>V66*2</f>
        <v>0</v>
      </c>
      <c r="W63" s="125"/>
      <c r="X63" s="109">
        <f>X66*2</f>
        <v>0</v>
      </c>
      <c r="Y63" s="126"/>
      <c r="Z63" s="151"/>
      <c r="AA63" s="151"/>
    </row>
    <row r="64" spans="1:27">
      <c r="A64" s="144"/>
      <c r="B64" s="145"/>
      <c r="C64" s="146" t="s">
        <v>4118</v>
      </c>
      <c r="D64" s="147" t="s">
        <v>4232</v>
      </c>
      <c r="E64" s="139" t="s">
        <v>4233</v>
      </c>
      <c r="F64" s="155" t="s">
        <v>8010</v>
      </c>
      <c r="G64" s="92">
        <f>G66</f>
        <v>4.7</v>
      </c>
      <c r="H64" s="117"/>
      <c r="I64" s="149"/>
      <c r="J64" s="95">
        <f>J66</f>
        <v>50</v>
      </c>
      <c r="K64" s="150"/>
      <c r="L64" s="119">
        <f>L66</f>
        <v>3.8</v>
      </c>
      <c r="M64" s="120"/>
      <c r="N64" s="99">
        <f t="shared" ref="N64:R64" si="88">N66</f>
        <v>0</v>
      </c>
      <c r="O64" s="121"/>
      <c r="P64" s="101">
        <f t="shared" si="88"/>
        <v>0</v>
      </c>
      <c r="Q64" s="122"/>
      <c r="R64" s="103">
        <f t="shared" si="88"/>
        <v>0</v>
      </c>
      <c r="S64" s="123"/>
      <c r="T64" s="105">
        <f>T66</f>
        <v>0</v>
      </c>
      <c r="U64" s="124"/>
      <c r="V64" s="107">
        <f>V66</f>
        <v>0</v>
      </c>
      <c r="W64" s="125"/>
      <c r="X64" s="109">
        <f>X66</f>
        <v>0</v>
      </c>
      <c r="Y64" s="126"/>
      <c r="Z64" s="151"/>
      <c r="AA64" s="151"/>
    </row>
    <row r="65" spans="1:27">
      <c r="A65" s="144"/>
      <c r="B65" s="145"/>
      <c r="C65" s="146" t="s">
        <v>4121</v>
      </c>
      <c r="D65" s="147" t="s">
        <v>4234</v>
      </c>
      <c r="E65" s="139" t="s">
        <v>4235</v>
      </c>
      <c r="F65" s="155" t="s">
        <v>8013</v>
      </c>
      <c r="G65" s="92">
        <v>7.1</v>
      </c>
      <c r="H65" s="117"/>
      <c r="I65" s="149"/>
      <c r="J65" s="95">
        <v>75</v>
      </c>
      <c r="K65" s="150"/>
      <c r="L65" s="119">
        <v>5.7</v>
      </c>
      <c r="M65" s="120"/>
      <c r="N65" s="99">
        <v>0</v>
      </c>
      <c r="O65" s="121"/>
      <c r="P65" s="101">
        <v>0</v>
      </c>
      <c r="Q65" s="122"/>
      <c r="R65" s="103">
        <v>0</v>
      </c>
      <c r="S65" s="123"/>
      <c r="T65" s="105">
        <v>0</v>
      </c>
      <c r="U65" s="124"/>
      <c r="V65" s="107">
        <v>0</v>
      </c>
      <c r="W65" s="125"/>
      <c r="X65" s="109">
        <v>0</v>
      </c>
      <c r="Y65" s="126"/>
      <c r="Z65" s="151"/>
      <c r="AA65" s="151"/>
    </row>
    <row r="66" spans="1:27">
      <c r="A66" s="144"/>
      <c r="B66" s="145"/>
      <c r="C66" s="146" t="s">
        <v>4124</v>
      </c>
      <c r="D66" s="147" t="s">
        <v>4236</v>
      </c>
      <c r="E66" s="139" t="s">
        <v>4237</v>
      </c>
      <c r="F66" s="155" t="s">
        <v>8010</v>
      </c>
      <c r="G66" s="92">
        <f>ROUND(G65*2/3,1)</f>
        <v>4.7</v>
      </c>
      <c r="H66" s="127"/>
      <c r="I66" s="149"/>
      <c r="J66" s="95">
        <f>ROUND(J65*2/3,0)</f>
        <v>50</v>
      </c>
      <c r="K66" s="154"/>
      <c r="L66" s="119">
        <f>ROUND(L65*2/3,1)</f>
        <v>3.8</v>
      </c>
      <c r="M66" s="128"/>
      <c r="N66" s="99">
        <f>ROUND(N65*2/3,0)</f>
        <v>0</v>
      </c>
      <c r="O66" s="129"/>
      <c r="P66" s="101">
        <f>ROUND(P65*2/3,0)</f>
        <v>0</v>
      </c>
      <c r="Q66" s="130"/>
      <c r="R66" s="103">
        <f>ROUND(R65*2/3,0)</f>
        <v>0</v>
      </c>
      <c r="S66" s="131"/>
      <c r="T66" s="105">
        <f>ROUND(T65*2/3,0)</f>
        <v>0</v>
      </c>
      <c r="U66" s="132"/>
      <c r="V66" s="107">
        <f>ROUND(V65*2/3,0)</f>
        <v>0</v>
      </c>
      <c r="W66" s="133"/>
      <c r="X66" s="109">
        <f>ROUND(X65*2/3,0)</f>
        <v>0</v>
      </c>
      <c r="Y66" s="134"/>
      <c r="Z66" s="151"/>
      <c r="AA66" s="151"/>
    </row>
    <row r="67" spans="1:27">
      <c r="A67" s="135" t="s">
        <v>7975</v>
      </c>
      <c r="B67" s="136" t="s">
        <v>6878</v>
      </c>
      <c r="C67" s="137" t="s">
        <v>4133</v>
      </c>
      <c r="D67" s="138" t="s">
        <v>4238</v>
      </c>
      <c r="E67" s="139" t="s">
        <v>4239</v>
      </c>
      <c r="F67" s="140" t="s">
        <v>3155</v>
      </c>
      <c r="G67" s="92">
        <f>G71</f>
        <v>3.4</v>
      </c>
      <c r="H67" s="93">
        <f t="shared" ref="H67:M67" si="89">SUM(G67:G71)</f>
        <v>22.1</v>
      </c>
      <c r="I67" s="141" t="s">
        <v>8014</v>
      </c>
      <c r="J67" s="95">
        <f>J71</f>
        <v>31</v>
      </c>
      <c r="K67" s="142">
        <f t="shared" si="89"/>
        <v>202</v>
      </c>
      <c r="L67" s="119">
        <f>L71</f>
        <v>2.3</v>
      </c>
      <c r="M67" s="98">
        <f t="shared" si="89"/>
        <v>15</v>
      </c>
      <c r="N67" s="99">
        <f t="shared" ref="N67:R67" si="90">N71</f>
        <v>0</v>
      </c>
      <c r="O67" s="100">
        <f t="shared" ref="O67:S67" si="91">SUM(N67:N71)</f>
        <v>0</v>
      </c>
      <c r="P67" s="101">
        <f t="shared" si="90"/>
        <v>0</v>
      </c>
      <c r="Q67" s="102">
        <f t="shared" si="91"/>
        <v>0</v>
      </c>
      <c r="R67" s="103">
        <f t="shared" si="90"/>
        <v>0</v>
      </c>
      <c r="S67" s="104">
        <f t="shared" si="91"/>
        <v>0</v>
      </c>
      <c r="T67" s="105">
        <f>T71</f>
        <v>0</v>
      </c>
      <c r="U67" s="106">
        <f t="shared" ref="U67:Y67" si="92">SUM(T67:T71)</f>
        <v>0</v>
      </c>
      <c r="V67" s="107">
        <f>V71</f>
        <v>0</v>
      </c>
      <c r="W67" s="108">
        <f t="shared" si="92"/>
        <v>0</v>
      </c>
      <c r="X67" s="109">
        <f>X71</f>
        <v>0</v>
      </c>
      <c r="Y67" s="110">
        <f t="shared" si="92"/>
        <v>0</v>
      </c>
      <c r="Z67" s="139"/>
      <c r="AA67" s="139"/>
    </row>
    <row r="68" spans="1:27">
      <c r="A68" s="144"/>
      <c r="B68" s="145"/>
      <c r="C68" s="146" t="s">
        <v>4115</v>
      </c>
      <c r="D68" s="147" t="s">
        <v>4240</v>
      </c>
      <c r="E68" s="139" t="s">
        <v>4241</v>
      </c>
      <c r="F68" s="148"/>
      <c r="G68" s="92">
        <f>G71*2</f>
        <v>6.8</v>
      </c>
      <c r="H68" s="117"/>
      <c r="I68" s="149"/>
      <c r="J68" s="95">
        <f>J71*2</f>
        <v>62</v>
      </c>
      <c r="K68" s="150"/>
      <c r="L68" s="119">
        <f>L71*2</f>
        <v>4.6</v>
      </c>
      <c r="M68" s="120"/>
      <c r="N68" s="99">
        <f t="shared" ref="N68:R68" si="93">N71*2</f>
        <v>0</v>
      </c>
      <c r="O68" s="121"/>
      <c r="P68" s="101">
        <f t="shared" si="93"/>
        <v>0</v>
      </c>
      <c r="Q68" s="122"/>
      <c r="R68" s="103">
        <f t="shared" si="93"/>
        <v>0</v>
      </c>
      <c r="S68" s="123"/>
      <c r="T68" s="105">
        <f>T71*2</f>
        <v>0</v>
      </c>
      <c r="U68" s="124"/>
      <c r="V68" s="107">
        <f>V71*2</f>
        <v>0</v>
      </c>
      <c r="W68" s="125"/>
      <c r="X68" s="109">
        <f>X71*2</f>
        <v>0</v>
      </c>
      <c r="Y68" s="126"/>
      <c r="Z68" s="151"/>
      <c r="AA68" s="151"/>
    </row>
    <row r="69" spans="1:27">
      <c r="A69" s="144"/>
      <c r="B69" s="145"/>
      <c r="C69" s="146" t="s">
        <v>4118</v>
      </c>
      <c r="D69" s="147" t="s">
        <v>4242</v>
      </c>
      <c r="E69" s="139" t="s">
        <v>4243</v>
      </c>
      <c r="F69" s="148"/>
      <c r="G69" s="92">
        <f>G71</f>
        <v>3.4</v>
      </c>
      <c r="H69" s="117"/>
      <c r="I69" s="149"/>
      <c r="J69" s="95">
        <f>J71</f>
        <v>31</v>
      </c>
      <c r="K69" s="150"/>
      <c r="L69" s="119">
        <f>L71</f>
        <v>2.3</v>
      </c>
      <c r="M69" s="120"/>
      <c r="N69" s="99">
        <f t="shared" ref="N69:R69" si="94">N71</f>
        <v>0</v>
      </c>
      <c r="O69" s="121"/>
      <c r="P69" s="101">
        <f t="shared" si="94"/>
        <v>0</v>
      </c>
      <c r="Q69" s="122"/>
      <c r="R69" s="103">
        <f t="shared" si="94"/>
        <v>0</v>
      </c>
      <c r="S69" s="123"/>
      <c r="T69" s="105">
        <f>T71</f>
        <v>0</v>
      </c>
      <c r="U69" s="124"/>
      <c r="V69" s="107">
        <f>V71</f>
        <v>0</v>
      </c>
      <c r="W69" s="125"/>
      <c r="X69" s="109">
        <f>X71</f>
        <v>0</v>
      </c>
      <c r="Y69" s="126"/>
      <c r="Z69" s="151"/>
      <c r="AA69" s="151"/>
    </row>
    <row r="70" spans="1:27">
      <c r="A70" s="144"/>
      <c r="B70" s="145"/>
      <c r="C70" s="146" t="s">
        <v>4121</v>
      </c>
      <c r="D70" s="147" t="s">
        <v>4244</v>
      </c>
      <c r="E70" s="139" t="s">
        <v>4245</v>
      </c>
      <c r="F70" s="148"/>
      <c r="G70" s="92">
        <v>5.1</v>
      </c>
      <c r="H70" s="117"/>
      <c r="I70" s="149"/>
      <c r="J70" s="95">
        <v>47</v>
      </c>
      <c r="K70" s="150"/>
      <c r="L70" s="119">
        <v>3.5</v>
      </c>
      <c r="M70" s="120"/>
      <c r="N70" s="99">
        <v>0</v>
      </c>
      <c r="O70" s="121"/>
      <c r="P70" s="101">
        <v>0</v>
      </c>
      <c r="Q70" s="122"/>
      <c r="R70" s="103">
        <v>0</v>
      </c>
      <c r="S70" s="123"/>
      <c r="T70" s="105">
        <v>0</v>
      </c>
      <c r="U70" s="124"/>
      <c r="V70" s="107">
        <v>0</v>
      </c>
      <c r="W70" s="125"/>
      <c r="X70" s="109">
        <v>0</v>
      </c>
      <c r="Y70" s="126"/>
      <c r="Z70" s="151"/>
      <c r="AA70" s="151"/>
    </row>
    <row r="71" spans="1:27">
      <c r="A71" s="144"/>
      <c r="B71" s="145"/>
      <c r="C71" s="146" t="s">
        <v>4124</v>
      </c>
      <c r="D71" s="147" t="s">
        <v>4246</v>
      </c>
      <c r="E71" s="139" t="s">
        <v>4247</v>
      </c>
      <c r="F71" s="153"/>
      <c r="G71" s="92">
        <f>ROUND(G70*2/3,1)</f>
        <v>3.4</v>
      </c>
      <c r="H71" s="127"/>
      <c r="I71" s="149"/>
      <c r="J71" s="95">
        <f>ROUND(J70*2/3,0)</f>
        <v>31</v>
      </c>
      <c r="K71" s="154"/>
      <c r="L71" s="119">
        <f>ROUND(L70*2/3,1)</f>
        <v>2.3</v>
      </c>
      <c r="M71" s="128"/>
      <c r="N71" s="99">
        <f>ROUND(N70*2/3,0)</f>
        <v>0</v>
      </c>
      <c r="O71" s="129"/>
      <c r="P71" s="101">
        <f>ROUND(P70*2/3,0)</f>
        <v>0</v>
      </c>
      <c r="Q71" s="130"/>
      <c r="R71" s="103">
        <f>ROUND(R70*2/3,0)</f>
        <v>0</v>
      </c>
      <c r="S71" s="131"/>
      <c r="T71" s="105">
        <f>ROUND(T70*2/3,0)</f>
        <v>0</v>
      </c>
      <c r="U71" s="132"/>
      <c r="V71" s="107">
        <f>ROUND(V70*2/3,0)</f>
        <v>0</v>
      </c>
      <c r="W71" s="133"/>
      <c r="X71" s="109">
        <f>ROUND(X70*2/3,0)</f>
        <v>0</v>
      </c>
      <c r="Y71" s="134"/>
      <c r="Z71" s="151"/>
      <c r="AA71" s="151"/>
    </row>
    <row r="72" spans="1:27">
      <c r="A72" s="135" t="s">
        <v>7984</v>
      </c>
      <c r="B72" s="136" t="s">
        <v>6826</v>
      </c>
      <c r="C72" s="137" t="s">
        <v>4133</v>
      </c>
      <c r="D72" s="138" t="s">
        <v>4248</v>
      </c>
      <c r="E72" s="139" t="s">
        <v>4249</v>
      </c>
      <c r="F72" s="140" t="s">
        <v>3165</v>
      </c>
      <c r="G72" s="92">
        <f>G76</f>
        <v>4.8</v>
      </c>
      <c r="H72" s="93">
        <f t="shared" ref="H72:M72" si="95">SUM(G72:G76)</f>
        <v>31.2</v>
      </c>
      <c r="I72" s="141" t="s">
        <v>8015</v>
      </c>
      <c r="J72" s="95">
        <f>J76</f>
        <v>50</v>
      </c>
      <c r="K72" s="142">
        <f t="shared" si="95"/>
        <v>325</v>
      </c>
      <c r="L72" s="119">
        <f>L76</f>
        <v>3.8</v>
      </c>
      <c r="M72" s="98">
        <f t="shared" si="95"/>
        <v>24.7</v>
      </c>
      <c r="N72" s="99">
        <f t="shared" ref="N72:R72" si="96">N76</f>
        <v>0</v>
      </c>
      <c r="O72" s="100">
        <f t="shared" ref="O72:S72" si="97">SUM(N72:N76)</f>
        <v>0</v>
      </c>
      <c r="P72" s="101">
        <f t="shared" si="96"/>
        <v>0</v>
      </c>
      <c r="Q72" s="102">
        <f t="shared" si="97"/>
        <v>0</v>
      </c>
      <c r="R72" s="103">
        <f t="shared" si="96"/>
        <v>0</v>
      </c>
      <c r="S72" s="104">
        <f t="shared" si="97"/>
        <v>0</v>
      </c>
      <c r="T72" s="105">
        <f>T76</f>
        <v>0</v>
      </c>
      <c r="U72" s="106">
        <f t="shared" ref="U72:Y72" si="98">SUM(T72:T76)</f>
        <v>0</v>
      </c>
      <c r="V72" s="107">
        <f>V76</f>
        <v>0</v>
      </c>
      <c r="W72" s="108">
        <f t="shared" si="98"/>
        <v>0</v>
      </c>
      <c r="X72" s="109">
        <f>X76</f>
        <v>0</v>
      </c>
      <c r="Y72" s="110">
        <f t="shared" si="98"/>
        <v>0</v>
      </c>
      <c r="Z72" s="139" t="s">
        <v>8016</v>
      </c>
      <c r="AA72" s="139"/>
    </row>
    <row r="73" spans="1:27">
      <c r="A73" s="144"/>
      <c r="B73" s="145"/>
      <c r="C73" s="146" t="s">
        <v>4115</v>
      </c>
      <c r="D73" s="147" t="s">
        <v>4250</v>
      </c>
      <c r="E73" s="139" t="s">
        <v>4251</v>
      </c>
      <c r="F73" s="148"/>
      <c r="G73" s="92">
        <f>G76*2</f>
        <v>9.6</v>
      </c>
      <c r="H73" s="117"/>
      <c r="I73" s="149"/>
      <c r="J73" s="95">
        <f>J76*2</f>
        <v>100</v>
      </c>
      <c r="K73" s="150"/>
      <c r="L73" s="119">
        <f>L76*2</f>
        <v>7.6</v>
      </c>
      <c r="M73" s="120"/>
      <c r="N73" s="99">
        <f t="shared" ref="N73:R73" si="99">N76*2</f>
        <v>0</v>
      </c>
      <c r="O73" s="121"/>
      <c r="P73" s="101">
        <f t="shared" si="99"/>
        <v>0</v>
      </c>
      <c r="Q73" s="122"/>
      <c r="R73" s="103">
        <f t="shared" si="99"/>
        <v>0</v>
      </c>
      <c r="S73" s="123"/>
      <c r="T73" s="105">
        <f>T76*2</f>
        <v>0</v>
      </c>
      <c r="U73" s="124"/>
      <c r="V73" s="107">
        <f>V76*2</f>
        <v>0</v>
      </c>
      <c r="W73" s="125"/>
      <c r="X73" s="109">
        <f>X76*2</f>
        <v>0</v>
      </c>
      <c r="Y73" s="126"/>
      <c r="Z73" s="151"/>
      <c r="AA73" s="151"/>
    </row>
    <row r="74" spans="1:27">
      <c r="A74" s="144"/>
      <c r="B74" s="145"/>
      <c r="C74" s="146" t="s">
        <v>4118</v>
      </c>
      <c r="D74" s="147" t="s">
        <v>4252</v>
      </c>
      <c r="E74" s="139" t="s">
        <v>4253</v>
      </c>
      <c r="F74" s="148"/>
      <c r="G74" s="92">
        <f>G76</f>
        <v>4.8</v>
      </c>
      <c r="H74" s="117"/>
      <c r="I74" s="149"/>
      <c r="J74" s="95">
        <f>J76</f>
        <v>50</v>
      </c>
      <c r="K74" s="150"/>
      <c r="L74" s="119">
        <f>L76</f>
        <v>3.8</v>
      </c>
      <c r="M74" s="120"/>
      <c r="N74" s="99">
        <f t="shared" ref="N74:R74" si="100">N76</f>
        <v>0</v>
      </c>
      <c r="O74" s="121"/>
      <c r="P74" s="101">
        <f t="shared" si="100"/>
        <v>0</v>
      </c>
      <c r="Q74" s="122"/>
      <c r="R74" s="103">
        <f t="shared" si="100"/>
        <v>0</v>
      </c>
      <c r="S74" s="123"/>
      <c r="T74" s="105">
        <f>T76</f>
        <v>0</v>
      </c>
      <c r="U74" s="124"/>
      <c r="V74" s="107">
        <f>V76</f>
        <v>0</v>
      </c>
      <c r="W74" s="125"/>
      <c r="X74" s="109">
        <f>X76</f>
        <v>0</v>
      </c>
      <c r="Y74" s="126"/>
      <c r="Z74" s="151"/>
      <c r="AA74" s="151"/>
    </row>
    <row r="75" spans="1:27">
      <c r="A75" s="144"/>
      <c r="B75" s="145"/>
      <c r="C75" s="146" t="s">
        <v>4121</v>
      </c>
      <c r="D75" s="147" t="s">
        <v>4254</v>
      </c>
      <c r="E75" s="139" t="s">
        <v>4255</v>
      </c>
      <c r="F75" s="148"/>
      <c r="G75" s="92">
        <v>7.2</v>
      </c>
      <c r="H75" s="117"/>
      <c r="I75" s="149"/>
      <c r="J75" s="95">
        <v>75</v>
      </c>
      <c r="K75" s="150"/>
      <c r="L75" s="119">
        <v>5.7</v>
      </c>
      <c r="M75" s="120"/>
      <c r="N75" s="99">
        <v>0</v>
      </c>
      <c r="O75" s="121"/>
      <c r="P75" s="101">
        <v>0</v>
      </c>
      <c r="Q75" s="122"/>
      <c r="R75" s="103">
        <v>0</v>
      </c>
      <c r="S75" s="123"/>
      <c r="T75" s="105">
        <v>0</v>
      </c>
      <c r="U75" s="124"/>
      <c r="V75" s="107">
        <v>0</v>
      </c>
      <c r="W75" s="125"/>
      <c r="X75" s="109">
        <v>0</v>
      </c>
      <c r="Y75" s="126"/>
      <c r="Z75" s="151"/>
      <c r="AA75" s="151"/>
    </row>
    <row r="76" spans="1:27">
      <c r="A76" s="144"/>
      <c r="B76" s="145"/>
      <c r="C76" s="146" t="s">
        <v>4124</v>
      </c>
      <c r="D76" s="147" t="s">
        <v>4256</v>
      </c>
      <c r="E76" s="139" t="s">
        <v>4257</v>
      </c>
      <c r="F76" s="153"/>
      <c r="G76" s="92">
        <f>ROUND(G75*2/3,1)</f>
        <v>4.8</v>
      </c>
      <c r="H76" s="127"/>
      <c r="I76" s="149"/>
      <c r="J76" s="95">
        <f>ROUND(J75*2/3,0)</f>
        <v>50</v>
      </c>
      <c r="K76" s="154"/>
      <c r="L76" s="119">
        <f>ROUND(L75*2/3,1)</f>
        <v>3.8</v>
      </c>
      <c r="M76" s="128"/>
      <c r="N76" s="99">
        <f>ROUND(N75*2/3,0)</f>
        <v>0</v>
      </c>
      <c r="O76" s="129"/>
      <c r="P76" s="101">
        <f>ROUND(P75*2/3,0)</f>
        <v>0</v>
      </c>
      <c r="Q76" s="130"/>
      <c r="R76" s="103">
        <f>ROUND(R75*2/3,0)</f>
        <v>0</v>
      </c>
      <c r="S76" s="131"/>
      <c r="T76" s="105">
        <f>ROUND(T75*2/3,0)</f>
        <v>0</v>
      </c>
      <c r="U76" s="132"/>
      <c r="V76" s="107">
        <f>ROUND(V75*2/3,0)</f>
        <v>0</v>
      </c>
      <c r="W76" s="133"/>
      <c r="X76" s="109">
        <f>ROUND(X75*2/3,0)</f>
        <v>0</v>
      </c>
      <c r="Y76" s="134"/>
      <c r="Z76" s="151"/>
      <c r="AA76" s="151"/>
    </row>
    <row r="77" spans="1:27">
      <c r="A77" s="135" t="s">
        <v>7984</v>
      </c>
      <c r="B77" s="136" t="s">
        <v>7084</v>
      </c>
      <c r="C77" s="137" t="s">
        <v>4133</v>
      </c>
      <c r="D77" s="138" t="s">
        <v>4258</v>
      </c>
      <c r="E77" s="139" t="s">
        <v>4259</v>
      </c>
      <c r="F77" s="140" t="s">
        <v>3177</v>
      </c>
      <c r="G77" s="92">
        <f>G81</f>
        <v>4.9</v>
      </c>
      <c r="H77" s="93">
        <f t="shared" ref="H77:M77" si="101">SUM(G77:G81)</f>
        <v>31.9</v>
      </c>
      <c r="I77" s="141" t="s">
        <v>8017</v>
      </c>
      <c r="J77" s="95">
        <f>J81</f>
        <v>50</v>
      </c>
      <c r="K77" s="142">
        <f t="shared" si="101"/>
        <v>325</v>
      </c>
      <c r="L77" s="119">
        <f>L81</f>
        <v>3.8</v>
      </c>
      <c r="M77" s="98">
        <f t="shared" si="101"/>
        <v>24.7</v>
      </c>
      <c r="N77" s="99">
        <f t="shared" ref="N77:R77" si="102">N81</f>
        <v>0</v>
      </c>
      <c r="O77" s="100">
        <f t="shared" ref="O77:S77" si="103">SUM(N77:N81)</f>
        <v>0</v>
      </c>
      <c r="P77" s="101">
        <f t="shared" si="102"/>
        <v>0</v>
      </c>
      <c r="Q77" s="102">
        <f t="shared" si="103"/>
        <v>0</v>
      </c>
      <c r="R77" s="103">
        <f t="shared" si="102"/>
        <v>0</v>
      </c>
      <c r="S77" s="104">
        <f t="shared" si="103"/>
        <v>0</v>
      </c>
      <c r="T77" s="105">
        <f>T81</f>
        <v>0</v>
      </c>
      <c r="U77" s="106">
        <f t="shared" ref="U77:Y77" si="104">SUM(T77:T81)</f>
        <v>0</v>
      </c>
      <c r="V77" s="107">
        <f>V81</f>
        <v>0</v>
      </c>
      <c r="W77" s="108">
        <f t="shared" si="104"/>
        <v>0</v>
      </c>
      <c r="X77" s="109">
        <f>X81</f>
        <v>0</v>
      </c>
      <c r="Y77" s="110">
        <f t="shared" si="104"/>
        <v>0</v>
      </c>
      <c r="Z77" s="139"/>
      <c r="AA77" s="139"/>
    </row>
    <row r="78" spans="1:27">
      <c r="A78" s="144"/>
      <c r="B78" s="145"/>
      <c r="C78" s="146" t="s">
        <v>4115</v>
      </c>
      <c r="D78" s="147" t="s">
        <v>4260</v>
      </c>
      <c r="E78" s="139" t="s">
        <v>4261</v>
      </c>
      <c r="F78" s="148"/>
      <c r="G78" s="92">
        <f>G81*2</f>
        <v>9.8</v>
      </c>
      <c r="H78" s="117"/>
      <c r="I78" s="149"/>
      <c r="J78" s="95">
        <f>J81*2</f>
        <v>100</v>
      </c>
      <c r="K78" s="150"/>
      <c r="L78" s="119">
        <f>L81*2</f>
        <v>7.6</v>
      </c>
      <c r="M78" s="120"/>
      <c r="N78" s="99">
        <f t="shared" ref="N78:R78" si="105">N81*2</f>
        <v>0</v>
      </c>
      <c r="O78" s="121"/>
      <c r="P78" s="101">
        <f t="shared" si="105"/>
        <v>0</v>
      </c>
      <c r="Q78" s="122"/>
      <c r="R78" s="103">
        <f t="shared" si="105"/>
        <v>0</v>
      </c>
      <c r="S78" s="123"/>
      <c r="T78" s="105">
        <f>T81*2</f>
        <v>0</v>
      </c>
      <c r="U78" s="124"/>
      <c r="V78" s="107">
        <f>V81*2</f>
        <v>0</v>
      </c>
      <c r="W78" s="125"/>
      <c r="X78" s="109">
        <f>X81*2</f>
        <v>0</v>
      </c>
      <c r="Y78" s="126"/>
      <c r="Z78" s="151"/>
      <c r="AA78" s="151"/>
    </row>
    <row r="79" spans="1:27">
      <c r="A79" s="144"/>
      <c r="B79" s="145"/>
      <c r="C79" s="146" t="s">
        <v>4118</v>
      </c>
      <c r="D79" s="147" t="s">
        <v>4262</v>
      </c>
      <c r="E79" s="139" t="s">
        <v>4263</v>
      </c>
      <c r="F79" s="148"/>
      <c r="G79" s="92">
        <f>G81</f>
        <v>4.9</v>
      </c>
      <c r="H79" s="117"/>
      <c r="I79" s="149"/>
      <c r="J79" s="95">
        <f>J81</f>
        <v>50</v>
      </c>
      <c r="K79" s="150"/>
      <c r="L79" s="119">
        <f>L81</f>
        <v>3.8</v>
      </c>
      <c r="M79" s="120"/>
      <c r="N79" s="99">
        <f t="shared" ref="N79:R79" si="106">N81</f>
        <v>0</v>
      </c>
      <c r="O79" s="121"/>
      <c r="P79" s="101">
        <f t="shared" si="106"/>
        <v>0</v>
      </c>
      <c r="Q79" s="122"/>
      <c r="R79" s="103">
        <f t="shared" si="106"/>
        <v>0</v>
      </c>
      <c r="S79" s="123"/>
      <c r="T79" s="105">
        <f>T81</f>
        <v>0</v>
      </c>
      <c r="U79" s="124"/>
      <c r="V79" s="107">
        <f>V81</f>
        <v>0</v>
      </c>
      <c r="W79" s="125"/>
      <c r="X79" s="109">
        <f>X81</f>
        <v>0</v>
      </c>
      <c r="Y79" s="126"/>
      <c r="Z79" s="151"/>
      <c r="AA79" s="151"/>
    </row>
    <row r="80" spans="1:27">
      <c r="A80" s="144"/>
      <c r="B80" s="145"/>
      <c r="C80" s="146" t="s">
        <v>4121</v>
      </c>
      <c r="D80" s="147" t="s">
        <v>4264</v>
      </c>
      <c r="E80" s="139" t="s">
        <v>4265</v>
      </c>
      <c r="F80" s="148"/>
      <c r="G80" s="92">
        <v>7.4</v>
      </c>
      <c r="H80" s="117"/>
      <c r="I80" s="149"/>
      <c r="J80" s="95">
        <v>75</v>
      </c>
      <c r="K80" s="150"/>
      <c r="L80" s="119">
        <v>5.7</v>
      </c>
      <c r="M80" s="120"/>
      <c r="N80" s="99">
        <v>0</v>
      </c>
      <c r="O80" s="121"/>
      <c r="P80" s="101">
        <v>0</v>
      </c>
      <c r="Q80" s="122"/>
      <c r="R80" s="103">
        <v>0</v>
      </c>
      <c r="S80" s="123"/>
      <c r="T80" s="105">
        <v>0</v>
      </c>
      <c r="U80" s="124"/>
      <c r="V80" s="107">
        <v>0</v>
      </c>
      <c r="W80" s="125"/>
      <c r="X80" s="109">
        <v>0</v>
      </c>
      <c r="Y80" s="126"/>
      <c r="Z80" s="151"/>
      <c r="AA80" s="151"/>
    </row>
    <row r="81" spans="1:27">
      <c r="A81" s="144"/>
      <c r="B81" s="145"/>
      <c r="C81" s="146" t="s">
        <v>4124</v>
      </c>
      <c r="D81" s="147" t="s">
        <v>4266</v>
      </c>
      <c r="E81" s="139" t="s">
        <v>4267</v>
      </c>
      <c r="F81" s="153"/>
      <c r="G81" s="92">
        <f>ROUND(G80*2/3,1)</f>
        <v>4.9</v>
      </c>
      <c r="H81" s="127"/>
      <c r="I81" s="149"/>
      <c r="J81" s="95">
        <f>ROUND(J80*2/3,0)</f>
        <v>50</v>
      </c>
      <c r="K81" s="154"/>
      <c r="L81" s="119">
        <f>ROUND(L80*2/3,1)</f>
        <v>3.8</v>
      </c>
      <c r="M81" s="128"/>
      <c r="N81" s="99">
        <f>ROUND(N80*2/3,0)</f>
        <v>0</v>
      </c>
      <c r="O81" s="129"/>
      <c r="P81" s="101">
        <f>ROUND(P80*2/3,0)</f>
        <v>0</v>
      </c>
      <c r="Q81" s="130"/>
      <c r="R81" s="103">
        <f>ROUND(R80*2/3,0)</f>
        <v>0</v>
      </c>
      <c r="S81" s="131"/>
      <c r="T81" s="105">
        <f>ROUND(T80*2/3,0)</f>
        <v>0</v>
      </c>
      <c r="U81" s="132"/>
      <c r="V81" s="107">
        <f>ROUND(V80*2/3,0)</f>
        <v>0</v>
      </c>
      <c r="W81" s="133"/>
      <c r="X81" s="109">
        <f>ROUND(X80*2/3,0)</f>
        <v>0</v>
      </c>
      <c r="Y81" s="134"/>
      <c r="Z81" s="151"/>
      <c r="AA81" s="151"/>
    </row>
    <row r="82" spans="1:27">
      <c r="A82" s="135" t="s">
        <v>7984</v>
      </c>
      <c r="B82" s="136" t="s">
        <v>7149</v>
      </c>
      <c r="C82" s="137" t="s">
        <v>4133</v>
      </c>
      <c r="D82" s="138" t="s">
        <v>4268</v>
      </c>
      <c r="E82" s="139" t="s">
        <v>4269</v>
      </c>
      <c r="F82" s="140" t="s">
        <v>3167</v>
      </c>
      <c r="G82" s="92">
        <f>G86</f>
        <v>4.9</v>
      </c>
      <c r="H82" s="93">
        <f t="shared" ref="H82:M82" si="107">SUM(G82:G86)</f>
        <v>31.9</v>
      </c>
      <c r="I82" s="141" t="s">
        <v>8017</v>
      </c>
      <c r="J82" s="95">
        <f>J86</f>
        <v>50</v>
      </c>
      <c r="K82" s="142">
        <f t="shared" si="107"/>
        <v>325</v>
      </c>
      <c r="L82" s="119">
        <f>L86</f>
        <v>3.8</v>
      </c>
      <c r="M82" s="98">
        <f t="shared" si="107"/>
        <v>24.7</v>
      </c>
      <c r="N82" s="99">
        <f t="shared" ref="N82:R82" si="108">N86</f>
        <v>0</v>
      </c>
      <c r="O82" s="100">
        <f t="shared" ref="O82:S82" si="109">SUM(N82:N86)</f>
        <v>0</v>
      </c>
      <c r="P82" s="101">
        <f t="shared" si="108"/>
        <v>0</v>
      </c>
      <c r="Q82" s="102">
        <f t="shared" si="109"/>
        <v>0</v>
      </c>
      <c r="R82" s="103">
        <f t="shared" si="108"/>
        <v>0</v>
      </c>
      <c r="S82" s="104">
        <f t="shared" si="109"/>
        <v>0</v>
      </c>
      <c r="T82" s="105">
        <f>T86</f>
        <v>6</v>
      </c>
      <c r="U82" s="106">
        <f t="shared" ref="U82:Y82" si="110">SUM(T82:T86)</f>
        <v>39</v>
      </c>
      <c r="V82" s="107">
        <f>V86</f>
        <v>0</v>
      </c>
      <c r="W82" s="108">
        <f t="shared" si="110"/>
        <v>0</v>
      </c>
      <c r="X82" s="109">
        <f>X86</f>
        <v>0</v>
      </c>
      <c r="Y82" s="110">
        <f t="shared" si="110"/>
        <v>0</v>
      </c>
      <c r="Z82" s="139"/>
      <c r="AA82" s="139"/>
    </row>
    <row r="83" spans="1:27">
      <c r="A83" s="144"/>
      <c r="B83" s="145"/>
      <c r="C83" s="146" t="s">
        <v>4115</v>
      </c>
      <c r="D83" s="147" t="s">
        <v>4270</v>
      </c>
      <c r="E83" s="139" t="s">
        <v>4271</v>
      </c>
      <c r="F83" s="148"/>
      <c r="G83" s="92">
        <f>G86*2</f>
        <v>9.8</v>
      </c>
      <c r="H83" s="117"/>
      <c r="I83" s="149"/>
      <c r="J83" s="95">
        <f>J86*2</f>
        <v>100</v>
      </c>
      <c r="K83" s="150"/>
      <c r="L83" s="119">
        <f>L86*2</f>
        <v>7.6</v>
      </c>
      <c r="M83" s="120"/>
      <c r="N83" s="99">
        <f t="shared" ref="N83:R83" si="111">N86*2</f>
        <v>0</v>
      </c>
      <c r="O83" s="121"/>
      <c r="P83" s="101">
        <f t="shared" si="111"/>
        <v>0</v>
      </c>
      <c r="Q83" s="122"/>
      <c r="R83" s="103">
        <f t="shared" si="111"/>
        <v>0</v>
      </c>
      <c r="S83" s="123"/>
      <c r="T83" s="105">
        <f>T86*2</f>
        <v>12</v>
      </c>
      <c r="U83" s="124"/>
      <c r="V83" s="107">
        <f>V86*2</f>
        <v>0</v>
      </c>
      <c r="W83" s="125"/>
      <c r="X83" s="109">
        <f>X86*2</f>
        <v>0</v>
      </c>
      <c r="Y83" s="126"/>
      <c r="Z83" s="151"/>
      <c r="AA83" s="151"/>
    </row>
    <row r="84" spans="1:27">
      <c r="A84" s="144"/>
      <c r="B84" s="145"/>
      <c r="C84" s="146" t="s">
        <v>4118</v>
      </c>
      <c r="D84" s="147" t="s">
        <v>4272</v>
      </c>
      <c r="E84" s="139" t="s">
        <v>4273</v>
      </c>
      <c r="F84" s="148"/>
      <c r="G84" s="92">
        <f>G86</f>
        <v>4.9</v>
      </c>
      <c r="H84" s="117"/>
      <c r="I84" s="149"/>
      <c r="J84" s="95">
        <f>J86</f>
        <v>50</v>
      </c>
      <c r="K84" s="150"/>
      <c r="L84" s="119">
        <f>L86</f>
        <v>3.8</v>
      </c>
      <c r="M84" s="120"/>
      <c r="N84" s="99">
        <f t="shared" ref="N84:R84" si="112">N86</f>
        <v>0</v>
      </c>
      <c r="O84" s="121"/>
      <c r="P84" s="101">
        <f t="shared" si="112"/>
        <v>0</v>
      </c>
      <c r="Q84" s="122"/>
      <c r="R84" s="103">
        <f t="shared" si="112"/>
        <v>0</v>
      </c>
      <c r="S84" s="123"/>
      <c r="T84" s="105">
        <f>T86</f>
        <v>6</v>
      </c>
      <c r="U84" s="124"/>
      <c r="V84" s="107">
        <f>V86</f>
        <v>0</v>
      </c>
      <c r="W84" s="125"/>
      <c r="X84" s="109">
        <f>X86</f>
        <v>0</v>
      </c>
      <c r="Y84" s="126"/>
      <c r="Z84" s="151"/>
      <c r="AA84" s="151"/>
    </row>
    <row r="85" spans="1:27">
      <c r="A85" s="144"/>
      <c r="B85" s="145"/>
      <c r="C85" s="146" t="s">
        <v>4121</v>
      </c>
      <c r="D85" s="147" t="s">
        <v>4274</v>
      </c>
      <c r="E85" s="139" t="s">
        <v>4275</v>
      </c>
      <c r="F85" s="148"/>
      <c r="G85" s="92">
        <v>7.4</v>
      </c>
      <c r="H85" s="117"/>
      <c r="I85" s="149"/>
      <c r="J85" s="95">
        <v>75</v>
      </c>
      <c r="K85" s="150"/>
      <c r="L85" s="119">
        <v>5.7</v>
      </c>
      <c r="M85" s="120"/>
      <c r="N85" s="99">
        <v>0</v>
      </c>
      <c r="O85" s="121"/>
      <c r="P85" s="101">
        <v>0</v>
      </c>
      <c r="Q85" s="122"/>
      <c r="R85" s="103">
        <v>0</v>
      </c>
      <c r="S85" s="123"/>
      <c r="T85" s="105">
        <v>9</v>
      </c>
      <c r="U85" s="124"/>
      <c r="V85" s="107">
        <v>0</v>
      </c>
      <c r="W85" s="125"/>
      <c r="X85" s="109">
        <v>0</v>
      </c>
      <c r="Y85" s="126"/>
      <c r="Z85" s="151"/>
      <c r="AA85" s="151"/>
    </row>
    <row r="86" spans="1:27">
      <c r="A86" s="144"/>
      <c r="B86" s="145"/>
      <c r="C86" s="146" t="s">
        <v>4124</v>
      </c>
      <c r="D86" s="147" t="s">
        <v>4276</v>
      </c>
      <c r="E86" s="139" t="s">
        <v>4277</v>
      </c>
      <c r="F86" s="153"/>
      <c r="G86" s="92">
        <f>ROUND(G85*2/3,1)</f>
        <v>4.9</v>
      </c>
      <c r="H86" s="127"/>
      <c r="I86" s="149"/>
      <c r="J86" s="95">
        <f>ROUND(J85*2/3,0)</f>
        <v>50</v>
      </c>
      <c r="K86" s="154"/>
      <c r="L86" s="119">
        <f>ROUND(L85*2/3,1)</f>
        <v>3.8</v>
      </c>
      <c r="M86" s="128"/>
      <c r="N86" s="99">
        <f>ROUND(N85*2/3,0)</f>
        <v>0</v>
      </c>
      <c r="O86" s="129"/>
      <c r="P86" s="101">
        <f>ROUND(P85*2/3,0)</f>
        <v>0</v>
      </c>
      <c r="Q86" s="130"/>
      <c r="R86" s="103">
        <f>ROUND(R85*2/3,0)</f>
        <v>0</v>
      </c>
      <c r="S86" s="131"/>
      <c r="T86" s="105">
        <f>ROUND(T85*2/3,0)</f>
        <v>6</v>
      </c>
      <c r="U86" s="132"/>
      <c r="V86" s="107">
        <f>ROUND(V85*2/3,0)</f>
        <v>0</v>
      </c>
      <c r="W86" s="133"/>
      <c r="X86" s="109">
        <f>ROUND(X85*2/3,0)</f>
        <v>0</v>
      </c>
      <c r="Y86" s="134"/>
      <c r="Z86" s="151"/>
      <c r="AA86" s="151"/>
    </row>
    <row r="87" spans="1:27">
      <c r="A87" s="135" t="s">
        <v>7989</v>
      </c>
      <c r="B87" s="136" t="s">
        <v>7153</v>
      </c>
      <c r="C87" s="137"/>
      <c r="D87" s="138"/>
      <c r="E87" s="139"/>
      <c r="F87" s="140" t="s">
        <v>3151</v>
      </c>
      <c r="G87" s="92"/>
      <c r="H87" s="93">
        <f t="shared" ref="H87:M87" si="113">SUM(G87:G91)</f>
        <v>9.4</v>
      </c>
      <c r="I87" s="141" t="s">
        <v>8018</v>
      </c>
      <c r="J87" s="95"/>
      <c r="K87" s="142">
        <f t="shared" si="113"/>
        <v>105</v>
      </c>
      <c r="L87" s="119"/>
      <c r="M87" s="98">
        <f t="shared" si="113"/>
        <v>6.6</v>
      </c>
      <c r="N87" s="99"/>
      <c r="O87" s="100">
        <f t="shared" ref="O87:S87" si="114">SUM(N87:N91)</f>
        <v>0</v>
      </c>
      <c r="P87" s="101"/>
      <c r="Q87" s="102">
        <f t="shared" si="114"/>
        <v>0</v>
      </c>
      <c r="R87" s="103"/>
      <c r="S87" s="104">
        <f t="shared" si="114"/>
        <v>0</v>
      </c>
      <c r="T87" s="105"/>
      <c r="U87" s="106">
        <f t="shared" ref="U87:Y87" si="115">SUM(T87:T91)</f>
        <v>0</v>
      </c>
      <c r="V87" s="107"/>
      <c r="W87" s="108">
        <f t="shared" si="115"/>
        <v>0</v>
      </c>
      <c r="X87" s="109"/>
      <c r="Y87" s="110">
        <f t="shared" si="115"/>
        <v>0</v>
      </c>
      <c r="Z87" s="139"/>
      <c r="AA87" s="139"/>
    </row>
    <row r="88" spans="1:27">
      <c r="A88" s="144"/>
      <c r="B88" s="145"/>
      <c r="C88" s="146" t="s">
        <v>4115</v>
      </c>
      <c r="D88" s="147" t="s">
        <v>4278</v>
      </c>
      <c r="E88" s="139" t="s">
        <v>4279</v>
      </c>
      <c r="F88" s="148"/>
      <c r="G88" s="92">
        <f>G91*2</f>
        <v>3.4</v>
      </c>
      <c r="H88" s="117"/>
      <c r="I88" s="149"/>
      <c r="J88" s="95">
        <f>J91*2</f>
        <v>38</v>
      </c>
      <c r="K88" s="150"/>
      <c r="L88" s="119">
        <f>L91*2</f>
        <v>2.4</v>
      </c>
      <c r="M88" s="120"/>
      <c r="N88" s="99">
        <f t="shared" ref="N88:R88" si="116">N91*2</f>
        <v>0</v>
      </c>
      <c r="O88" s="121"/>
      <c r="P88" s="101">
        <f t="shared" si="116"/>
        <v>0</v>
      </c>
      <c r="Q88" s="122"/>
      <c r="R88" s="103">
        <f t="shared" si="116"/>
        <v>0</v>
      </c>
      <c r="S88" s="123"/>
      <c r="T88" s="105">
        <f>T91*2</f>
        <v>0</v>
      </c>
      <c r="U88" s="124"/>
      <c r="V88" s="107">
        <f>V91*2</f>
        <v>0</v>
      </c>
      <c r="W88" s="125"/>
      <c r="X88" s="109">
        <f>X91*2</f>
        <v>0</v>
      </c>
      <c r="Y88" s="126"/>
      <c r="Z88" s="151"/>
      <c r="AA88" s="151"/>
    </row>
    <row r="89" spans="1:27">
      <c r="A89" s="144"/>
      <c r="B89" s="145"/>
      <c r="C89" s="146" t="s">
        <v>4118</v>
      </c>
      <c r="D89" s="147" t="s">
        <v>4280</v>
      </c>
      <c r="E89" s="139" t="s">
        <v>4281</v>
      </c>
      <c r="F89" s="148"/>
      <c r="G89" s="92">
        <f>G91</f>
        <v>1.7</v>
      </c>
      <c r="H89" s="117"/>
      <c r="I89" s="149"/>
      <c r="J89" s="95">
        <f>J91</f>
        <v>19</v>
      </c>
      <c r="K89" s="150"/>
      <c r="L89" s="119">
        <f>L91</f>
        <v>1.2</v>
      </c>
      <c r="M89" s="120"/>
      <c r="N89" s="99">
        <f t="shared" ref="N89:R89" si="117">N91</f>
        <v>0</v>
      </c>
      <c r="O89" s="121"/>
      <c r="P89" s="101">
        <f t="shared" si="117"/>
        <v>0</v>
      </c>
      <c r="Q89" s="122"/>
      <c r="R89" s="103">
        <f t="shared" si="117"/>
        <v>0</v>
      </c>
      <c r="S89" s="123"/>
      <c r="T89" s="105">
        <f>T91</f>
        <v>0</v>
      </c>
      <c r="U89" s="124"/>
      <c r="V89" s="107">
        <f>V91</f>
        <v>0</v>
      </c>
      <c r="W89" s="125"/>
      <c r="X89" s="109">
        <f>X91</f>
        <v>0</v>
      </c>
      <c r="Y89" s="126"/>
      <c r="Z89" s="151"/>
      <c r="AA89" s="151"/>
    </row>
    <row r="90" spans="1:27">
      <c r="A90" s="144"/>
      <c r="B90" s="145"/>
      <c r="C90" s="146" t="s">
        <v>4121</v>
      </c>
      <c r="D90" s="147" t="s">
        <v>4282</v>
      </c>
      <c r="E90" s="139" t="s">
        <v>4283</v>
      </c>
      <c r="F90" s="148"/>
      <c r="G90" s="92">
        <v>2.6</v>
      </c>
      <c r="H90" s="117"/>
      <c r="I90" s="149"/>
      <c r="J90" s="95">
        <v>29</v>
      </c>
      <c r="K90" s="150"/>
      <c r="L90" s="119">
        <v>1.8</v>
      </c>
      <c r="M90" s="120"/>
      <c r="N90" s="99">
        <v>0</v>
      </c>
      <c r="O90" s="121"/>
      <c r="P90" s="101">
        <v>0</v>
      </c>
      <c r="Q90" s="122"/>
      <c r="R90" s="103">
        <v>0</v>
      </c>
      <c r="S90" s="123"/>
      <c r="T90" s="105">
        <v>0</v>
      </c>
      <c r="U90" s="124"/>
      <c r="V90" s="107">
        <v>0</v>
      </c>
      <c r="W90" s="125"/>
      <c r="X90" s="109">
        <v>0</v>
      </c>
      <c r="Y90" s="126"/>
      <c r="Z90" s="151"/>
      <c r="AA90" s="151"/>
    </row>
    <row r="91" spans="1:27">
      <c r="A91" s="144"/>
      <c r="B91" s="145"/>
      <c r="C91" s="146" t="s">
        <v>4124</v>
      </c>
      <c r="D91" s="147" t="s">
        <v>4284</v>
      </c>
      <c r="E91" s="139" t="s">
        <v>4285</v>
      </c>
      <c r="F91" s="153"/>
      <c r="G91" s="92">
        <f>ROUND(G90*2/3,1)</f>
        <v>1.7</v>
      </c>
      <c r="H91" s="127"/>
      <c r="I91" s="149"/>
      <c r="J91" s="95">
        <f>ROUND(J90*2/3,0)</f>
        <v>19</v>
      </c>
      <c r="K91" s="154"/>
      <c r="L91" s="119">
        <f>ROUND(L90*2/3,1)</f>
        <v>1.2</v>
      </c>
      <c r="M91" s="128"/>
      <c r="N91" s="99">
        <f>ROUND(N90*2/3,0)</f>
        <v>0</v>
      </c>
      <c r="O91" s="129"/>
      <c r="P91" s="101">
        <f>ROUND(P90*2/3,0)</f>
        <v>0</v>
      </c>
      <c r="Q91" s="130"/>
      <c r="R91" s="103">
        <f>ROUND(R90*2/3,0)</f>
        <v>0</v>
      </c>
      <c r="S91" s="131"/>
      <c r="T91" s="105">
        <f>ROUND(T90*2/3,0)</f>
        <v>0</v>
      </c>
      <c r="U91" s="132"/>
      <c r="V91" s="107">
        <f>ROUND(V90*2/3,0)</f>
        <v>0</v>
      </c>
      <c r="W91" s="133"/>
      <c r="X91" s="109">
        <f>ROUND(X90*2/3,0)</f>
        <v>0</v>
      </c>
      <c r="Y91" s="134"/>
      <c r="Z91" s="151"/>
      <c r="AA91" s="151"/>
    </row>
    <row r="92" spans="1:27">
      <c r="A92" s="135" t="s">
        <v>7975</v>
      </c>
      <c r="B92" s="136" t="s">
        <v>6890</v>
      </c>
      <c r="C92" s="137"/>
      <c r="D92" s="138"/>
      <c r="E92" s="139"/>
      <c r="F92" s="155"/>
      <c r="G92" s="92"/>
      <c r="H92" s="93">
        <f t="shared" ref="H92:M92" si="118">SUM(G92:G96)</f>
        <v>22</v>
      </c>
      <c r="I92" s="141" t="s">
        <v>8019</v>
      </c>
      <c r="J92" s="95"/>
      <c r="K92" s="142">
        <f t="shared" si="118"/>
        <v>0</v>
      </c>
      <c r="L92" s="119"/>
      <c r="M92" s="98">
        <f t="shared" si="118"/>
        <v>12.7</v>
      </c>
      <c r="N92" s="99"/>
      <c r="O92" s="100">
        <f t="shared" ref="O92:S92" si="119">SUM(N92:N96)</f>
        <v>0</v>
      </c>
      <c r="P92" s="101"/>
      <c r="Q92" s="102">
        <f t="shared" si="119"/>
        <v>0</v>
      </c>
      <c r="R92" s="103"/>
      <c r="S92" s="104">
        <f t="shared" si="119"/>
        <v>0</v>
      </c>
      <c r="T92" s="105"/>
      <c r="U92" s="106">
        <f t="shared" ref="U92:Y92" si="120">SUM(T92:T96)</f>
        <v>0</v>
      </c>
      <c r="V92" s="107"/>
      <c r="W92" s="108">
        <f t="shared" si="120"/>
        <v>0</v>
      </c>
      <c r="X92" s="109"/>
      <c r="Y92" s="110">
        <f t="shared" si="120"/>
        <v>0</v>
      </c>
      <c r="Z92" s="139"/>
      <c r="AA92" s="139"/>
    </row>
    <row r="93" spans="1:27">
      <c r="A93" s="144"/>
      <c r="B93" s="145"/>
      <c r="C93" s="146" t="s">
        <v>4115</v>
      </c>
      <c r="D93" s="147" t="s">
        <v>4286</v>
      </c>
      <c r="E93" s="139" t="s">
        <v>4287</v>
      </c>
      <c r="F93" s="156" t="s">
        <v>1247</v>
      </c>
      <c r="G93" s="92">
        <f>G96*2</f>
        <v>8</v>
      </c>
      <c r="H93" s="117"/>
      <c r="I93" s="149"/>
      <c r="J93" s="95">
        <f>J96*2</f>
        <v>0</v>
      </c>
      <c r="K93" s="150"/>
      <c r="L93" s="119">
        <f>L96*2</f>
        <v>4.6</v>
      </c>
      <c r="M93" s="120"/>
      <c r="N93" s="99">
        <f t="shared" ref="N93:R93" si="121">N96*2</f>
        <v>0</v>
      </c>
      <c r="O93" s="121"/>
      <c r="P93" s="101">
        <f t="shared" si="121"/>
        <v>0</v>
      </c>
      <c r="Q93" s="122"/>
      <c r="R93" s="103">
        <f t="shared" si="121"/>
        <v>0</v>
      </c>
      <c r="S93" s="123"/>
      <c r="T93" s="105">
        <f>T96*2</f>
        <v>0</v>
      </c>
      <c r="U93" s="124"/>
      <c r="V93" s="107">
        <f>V96*2</f>
        <v>0</v>
      </c>
      <c r="W93" s="125"/>
      <c r="X93" s="109">
        <f>X96*2</f>
        <v>0</v>
      </c>
      <c r="Y93" s="126"/>
      <c r="Z93" s="151"/>
      <c r="AA93" s="151"/>
    </row>
    <row r="94" spans="1:27">
      <c r="A94" s="144"/>
      <c r="B94" s="145"/>
      <c r="C94" s="146" t="s">
        <v>4118</v>
      </c>
      <c r="D94" s="147" t="s">
        <v>4288</v>
      </c>
      <c r="E94" s="139" t="s">
        <v>4289</v>
      </c>
      <c r="F94" s="156" t="s">
        <v>1249</v>
      </c>
      <c r="G94" s="92">
        <f>G96</f>
        <v>4</v>
      </c>
      <c r="H94" s="117"/>
      <c r="I94" s="149"/>
      <c r="J94" s="95">
        <f>J96</f>
        <v>0</v>
      </c>
      <c r="K94" s="150"/>
      <c r="L94" s="119">
        <f>L96</f>
        <v>2.3</v>
      </c>
      <c r="M94" s="120"/>
      <c r="N94" s="99">
        <f t="shared" ref="N94:R94" si="122">N96</f>
        <v>0</v>
      </c>
      <c r="O94" s="121"/>
      <c r="P94" s="101">
        <f t="shared" si="122"/>
        <v>0</v>
      </c>
      <c r="Q94" s="122"/>
      <c r="R94" s="103">
        <f t="shared" si="122"/>
        <v>0</v>
      </c>
      <c r="S94" s="123"/>
      <c r="T94" s="105">
        <f>T96</f>
        <v>0</v>
      </c>
      <c r="U94" s="124"/>
      <c r="V94" s="107">
        <f>V96</f>
        <v>0</v>
      </c>
      <c r="W94" s="125"/>
      <c r="X94" s="109">
        <f>X96</f>
        <v>0</v>
      </c>
      <c r="Y94" s="126"/>
      <c r="Z94" s="151"/>
      <c r="AA94" s="151"/>
    </row>
    <row r="95" spans="1:27">
      <c r="A95" s="144"/>
      <c r="B95" s="145"/>
      <c r="C95" s="146" t="s">
        <v>4121</v>
      </c>
      <c r="D95" s="147" t="s">
        <v>4290</v>
      </c>
      <c r="E95" s="139" t="s">
        <v>4291</v>
      </c>
      <c r="F95" s="156" t="s">
        <v>1251</v>
      </c>
      <c r="G95" s="92">
        <v>6</v>
      </c>
      <c r="H95" s="117"/>
      <c r="I95" s="149"/>
      <c r="J95" s="95">
        <v>0</v>
      </c>
      <c r="K95" s="150"/>
      <c r="L95" s="119">
        <v>3.5</v>
      </c>
      <c r="M95" s="120"/>
      <c r="N95" s="99">
        <v>0</v>
      </c>
      <c r="O95" s="121"/>
      <c r="P95" s="101">
        <v>0</v>
      </c>
      <c r="Q95" s="122"/>
      <c r="R95" s="103">
        <v>0</v>
      </c>
      <c r="S95" s="123"/>
      <c r="T95" s="105">
        <v>0</v>
      </c>
      <c r="U95" s="124"/>
      <c r="V95" s="107">
        <v>0</v>
      </c>
      <c r="W95" s="125"/>
      <c r="X95" s="109">
        <v>0</v>
      </c>
      <c r="Y95" s="126"/>
      <c r="Z95" s="151"/>
      <c r="AA95" s="151"/>
    </row>
    <row r="96" spans="1:27">
      <c r="A96" s="144"/>
      <c r="B96" s="145"/>
      <c r="C96" s="146" t="s">
        <v>4124</v>
      </c>
      <c r="D96" s="147" t="s">
        <v>4292</v>
      </c>
      <c r="E96" s="139" t="s">
        <v>4293</v>
      </c>
      <c r="F96" s="156" t="s">
        <v>1247</v>
      </c>
      <c r="G96" s="92">
        <f>ROUND(G95*2/3,1)</f>
        <v>4</v>
      </c>
      <c r="H96" s="127"/>
      <c r="I96" s="149"/>
      <c r="J96" s="95">
        <f>ROUND(J95*2/3,0)</f>
        <v>0</v>
      </c>
      <c r="K96" s="154"/>
      <c r="L96" s="119">
        <f>ROUND(L95*2/3,1)</f>
        <v>2.3</v>
      </c>
      <c r="M96" s="128"/>
      <c r="N96" s="99">
        <f>ROUND(N95*2/3,0)</f>
        <v>0</v>
      </c>
      <c r="O96" s="129"/>
      <c r="P96" s="101">
        <f>ROUND(P95*2/3,0)</f>
        <v>0</v>
      </c>
      <c r="Q96" s="130"/>
      <c r="R96" s="103">
        <f>ROUND(R95*2/3,0)</f>
        <v>0</v>
      </c>
      <c r="S96" s="131"/>
      <c r="T96" s="105">
        <f>ROUND(T95*2/3,0)</f>
        <v>0</v>
      </c>
      <c r="U96" s="132"/>
      <c r="V96" s="107">
        <f>ROUND(V95*2/3,0)</f>
        <v>0</v>
      </c>
      <c r="W96" s="133"/>
      <c r="X96" s="109">
        <f>ROUND(X95*2/3,0)</f>
        <v>0</v>
      </c>
      <c r="Y96" s="134"/>
      <c r="Z96" s="151"/>
      <c r="AA96" s="151"/>
    </row>
    <row r="97" spans="1:27">
      <c r="A97" s="135" t="s">
        <v>7989</v>
      </c>
      <c r="B97" s="136" t="s">
        <v>7134</v>
      </c>
      <c r="C97" s="137" t="s">
        <v>4133</v>
      </c>
      <c r="D97" s="138" t="s">
        <v>4294</v>
      </c>
      <c r="E97" s="139" t="s">
        <v>4295</v>
      </c>
      <c r="F97" s="140" t="s">
        <v>3147</v>
      </c>
      <c r="G97" s="92">
        <f>G101</f>
        <v>1.4</v>
      </c>
      <c r="H97" s="93">
        <f t="shared" ref="H97:M97" si="123">SUM(G97:G101)</f>
        <v>9.1</v>
      </c>
      <c r="I97" s="141" t="s">
        <v>8020</v>
      </c>
      <c r="J97" s="95">
        <f>J101</f>
        <v>19</v>
      </c>
      <c r="K97" s="142">
        <f t="shared" si="123"/>
        <v>124</v>
      </c>
      <c r="L97" s="119">
        <f>L101</f>
        <v>0</v>
      </c>
      <c r="M97" s="98">
        <f t="shared" si="123"/>
        <v>0</v>
      </c>
      <c r="N97" s="99">
        <f t="shared" ref="N97:R97" si="124">N101</f>
        <v>0</v>
      </c>
      <c r="O97" s="100">
        <f t="shared" ref="O97:S97" si="125">SUM(N97:N101)</f>
        <v>0</v>
      </c>
      <c r="P97" s="101">
        <f t="shared" si="124"/>
        <v>0</v>
      </c>
      <c r="Q97" s="102">
        <f t="shared" si="125"/>
        <v>0</v>
      </c>
      <c r="R97" s="103">
        <f t="shared" si="124"/>
        <v>0</v>
      </c>
      <c r="S97" s="104">
        <f t="shared" si="125"/>
        <v>0</v>
      </c>
      <c r="T97" s="105">
        <f>T101</f>
        <v>6</v>
      </c>
      <c r="U97" s="106">
        <f t="shared" ref="U97:Y97" si="126">SUM(T97:T101)</f>
        <v>39</v>
      </c>
      <c r="V97" s="107">
        <f>V101</f>
        <v>0</v>
      </c>
      <c r="W97" s="108">
        <f t="shared" si="126"/>
        <v>0</v>
      </c>
      <c r="X97" s="109">
        <f>X101</f>
        <v>0</v>
      </c>
      <c r="Y97" s="110">
        <f t="shared" si="126"/>
        <v>0</v>
      </c>
      <c r="Z97" s="139" t="s">
        <v>8021</v>
      </c>
      <c r="AA97" s="139"/>
    </row>
    <row r="98" spans="1:27">
      <c r="A98" s="144"/>
      <c r="B98" s="145"/>
      <c r="C98" s="146" t="s">
        <v>4115</v>
      </c>
      <c r="D98" s="147" t="s">
        <v>4296</v>
      </c>
      <c r="E98" s="139" t="s">
        <v>4297</v>
      </c>
      <c r="F98" s="148"/>
      <c r="G98" s="92">
        <f>G101*2</f>
        <v>2.8</v>
      </c>
      <c r="H98" s="117"/>
      <c r="I98" s="149"/>
      <c r="J98" s="95">
        <f>J101*2</f>
        <v>38</v>
      </c>
      <c r="K98" s="150"/>
      <c r="L98" s="119">
        <f>L101*2</f>
        <v>0</v>
      </c>
      <c r="M98" s="120"/>
      <c r="N98" s="99">
        <f t="shared" ref="N98:R98" si="127">N101*2</f>
        <v>0</v>
      </c>
      <c r="O98" s="121"/>
      <c r="P98" s="101">
        <f t="shared" si="127"/>
        <v>0</v>
      </c>
      <c r="Q98" s="122"/>
      <c r="R98" s="103">
        <f t="shared" si="127"/>
        <v>0</v>
      </c>
      <c r="S98" s="123"/>
      <c r="T98" s="105">
        <f>T101*2</f>
        <v>12</v>
      </c>
      <c r="U98" s="124"/>
      <c r="V98" s="107">
        <f>V101*2</f>
        <v>0</v>
      </c>
      <c r="W98" s="125"/>
      <c r="X98" s="109">
        <f>X101*2</f>
        <v>0</v>
      </c>
      <c r="Y98" s="126"/>
      <c r="Z98" s="151"/>
      <c r="AA98" s="151"/>
    </row>
    <row r="99" spans="1:27">
      <c r="A99" s="144"/>
      <c r="B99" s="145"/>
      <c r="C99" s="146" t="s">
        <v>4118</v>
      </c>
      <c r="D99" s="147" t="s">
        <v>4298</v>
      </c>
      <c r="E99" s="139" t="s">
        <v>4299</v>
      </c>
      <c r="F99" s="148"/>
      <c r="G99" s="92">
        <f>G101</f>
        <v>1.4</v>
      </c>
      <c r="H99" s="117"/>
      <c r="I99" s="149"/>
      <c r="J99" s="95">
        <f>J101</f>
        <v>19</v>
      </c>
      <c r="K99" s="150"/>
      <c r="L99" s="119">
        <f>L101</f>
        <v>0</v>
      </c>
      <c r="M99" s="120"/>
      <c r="N99" s="99">
        <f t="shared" ref="N99:R99" si="128">N101</f>
        <v>0</v>
      </c>
      <c r="O99" s="121"/>
      <c r="P99" s="101">
        <f t="shared" si="128"/>
        <v>0</v>
      </c>
      <c r="Q99" s="122"/>
      <c r="R99" s="103">
        <f t="shared" si="128"/>
        <v>0</v>
      </c>
      <c r="S99" s="123"/>
      <c r="T99" s="105">
        <f>T101</f>
        <v>6</v>
      </c>
      <c r="U99" s="124"/>
      <c r="V99" s="107">
        <f>V101</f>
        <v>0</v>
      </c>
      <c r="W99" s="125"/>
      <c r="X99" s="109">
        <f>X101</f>
        <v>0</v>
      </c>
      <c r="Y99" s="126"/>
      <c r="Z99" s="151"/>
      <c r="AA99" s="151"/>
    </row>
    <row r="100" spans="1:27">
      <c r="A100" s="144"/>
      <c r="B100" s="145"/>
      <c r="C100" s="146" t="s">
        <v>4121</v>
      </c>
      <c r="D100" s="147" t="s">
        <v>4300</v>
      </c>
      <c r="E100" s="139" t="s">
        <v>4301</v>
      </c>
      <c r="F100" s="148"/>
      <c r="G100" s="92">
        <v>2.1</v>
      </c>
      <c r="H100" s="117"/>
      <c r="I100" s="149"/>
      <c r="J100" s="95">
        <v>29</v>
      </c>
      <c r="K100" s="150"/>
      <c r="L100" s="119">
        <v>0</v>
      </c>
      <c r="M100" s="120"/>
      <c r="N100" s="99">
        <v>0</v>
      </c>
      <c r="O100" s="121"/>
      <c r="P100" s="101">
        <v>0</v>
      </c>
      <c r="Q100" s="122"/>
      <c r="R100" s="103">
        <v>0</v>
      </c>
      <c r="S100" s="123"/>
      <c r="T100" s="105">
        <v>9</v>
      </c>
      <c r="U100" s="124"/>
      <c r="V100" s="107">
        <v>0</v>
      </c>
      <c r="W100" s="125"/>
      <c r="X100" s="109">
        <v>0</v>
      </c>
      <c r="Y100" s="126"/>
      <c r="Z100" s="151"/>
      <c r="AA100" s="151"/>
    </row>
    <row r="101" spans="1:27">
      <c r="A101" s="144"/>
      <c r="B101" s="145"/>
      <c r="C101" s="146" t="s">
        <v>4124</v>
      </c>
      <c r="D101" s="147" t="s">
        <v>4302</v>
      </c>
      <c r="E101" s="139" t="s">
        <v>4303</v>
      </c>
      <c r="F101" s="153"/>
      <c r="G101" s="92">
        <f>ROUND(G100*2/3,1)</f>
        <v>1.4</v>
      </c>
      <c r="H101" s="127"/>
      <c r="I101" s="149"/>
      <c r="J101" s="95">
        <f>ROUND(J100*2/3,0)</f>
        <v>19</v>
      </c>
      <c r="K101" s="154"/>
      <c r="L101" s="119">
        <f>ROUND(L100*2/3,1)</f>
        <v>0</v>
      </c>
      <c r="M101" s="128"/>
      <c r="N101" s="99">
        <f>ROUND(N100*2/3,0)</f>
        <v>0</v>
      </c>
      <c r="O101" s="129"/>
      <c r="P101" s="101">
        <f>ROUND(P100*2/3,0)</f>
        <v>0</v>
      </c>
      <c r="Q101" s="130"/>
      <c r="R101" s="103">
        <f>ROUND(R100*2/3,0)</f>
        <v>0</v>
      </c>
      <c r="S101" s="131"/>
      <c r="T101" s="105">
        <f>ROUND(T100*2/3,0)</f>
        <v>6</v>
      </c>
      <c r="U101" s="132"/>
      <c r="V101" s="107">
        <f>ROUND(V100*2/3,0)</f>
        <v>0</v>
      </c>
      <c r="W101" s="133"/>
      <c r="X101" s="109">
        <f>ROUND(X100*2/3,0)</f>
        <v>0</v>
      </c>
      <c r="Y101" s="134"/>
      <c r="Z101" s="151"/>
      <c r="AA101" s="151"/>
    </row>
    <row r="102" spans="1:27">
      <c r="A102" s="135" t="s">
        <v>7984</v>
      </c>
      <c r="B102" s="136" t="s">
        <v>7019</v>
      </c>
      <c r="C102" s="137" t="s">
        <v>4133</v>
      </c>
      <c r="D102" s="138" t="s">
        <v>4304</v>
      </c>
      <c r="E102" s="139" t="s">
        <v>4305</v>
      </c>
      <c r="F102" s="140" t="s">
        <v>3171</v>
      </c>
      <c r="G102" s="92">
        <f>G106</f>
        <v>5.3</v>
      </c>
      <c r="H102" s="93">
        <f t="shared" ref="H102:M102" si="129">SUM(G102:G106)</f>
        <v>34.5</v>
      </c>
      <c r="I102" s="141" t="s">
        <v>8022</v>
      </c>
      <c r="J102" s="95">
        <f>J106</f>
        <v>50</v>
      </c>
      <c r="K102" s="142">
        <f t="shared" si="129"/>
        <v>325</v>
      </c>
      <c r="L102" s="119">
        <f>L106</f>
        <v>3.8</v>
      </c>
      <c r="M102" s="98">
        <f t="shared" si="129"/>
        <v>24.7</v>
      </c>
      <c r="N102" s="99">
        <f t="shared" ref="N102:R102" si="130">N106</f>
        <v>0</v>
      </c>
      <c r="O102" s="100">
        <f t="shared" ref="O102:S102" si="131">SUM(N102:N106)</f>
        <v>0</v>
      </c>
      <c r="P102" s="101">
        <f t="shared" si="130"/>
        <v>0</v>
      </c>
      <c r="Q102" s="102">
        <f t="shared" si="131"/>
        <v>0</v>
      </c>
      <c r="R102" s="103">
        <f t="shared" si="130"/>
        <v>0</v>
      </c>
      <c r="S102" s="104">
        <f t="shared" si="131"/>
        <v>0</v>
      </c>
      <c r="T102" s="105">
        <f>T106</f>
        <v>0</v>
      </c>
      <c r="U102" s="106">
        <f t="shared" ref="U102:Y102" si="132">SUM(T102:T106)</f>
        <v>0</v>
      </c>
      <c r="V102" s="107">
        <f>V106</f>
        <v>0</v>
      </c>
      <c r="W102" s="108">
        <f t="shared" si="132"/>
        <v>0</v>
      </c>
      <c r="X102" s="109">
        <f>X106</f>
        <v>0</v>
      </c>
      <c r="Y102" s="110">
        <f t="shared" si="132"/>
        <v>0</v>
      </c>
      <c r="Z102" s="139"/>
      <c r="AA102" s="139"/>
    </row>
    <row r="103" spans="1:27">
      <c r="A103" s="144"/>
      <c r="B103" s="145"/>
      <c r="C103" s="146" t="s">
        <v>4115</v>
      </c>
      <c r="D103" s="147" t="s">
        <v>4306</v>
      </c>
      <c r="E103" s="139" t="s">
        <v>4307</v>
      </c>
      <c r="F103" s="148"/>
      <c r="G103" s="92">
        <f>G106*2</f>
        <v>10.6</v>
      </c>
      <c r="H103" s="117"/>
      <c r="I103" s="149"/>
      <c r="J103" s="95">
        <f>J106*2</f>
        <v>100</v>
      </c>
      <c r="K103" s="150"/>
      <c r="L103" s="119">
        <f>L106*2</f>
        <v>7.6</v>
      </c>
      <c r="M103" s="120"/>
      <c r="N103" s="99">
        <f t="shared" ref="N103:R103" si="133">N106*2</f>
        <v>0</v>
      </c>
      <c r="O103" s="121"/>
      <c r="P103" s="101">
        <f t="shared" si="133"/>
        <v>0</v>
      </c>
      <c r="Q103" s="122"/>
      <c r="R103" s="103">
        <f t="shared" si="133"/>
        <v>0</v>
      </c>
      <c r="S103" s="123"/>
      <c r="T103" s="105">
        <f>T106*2</f>
        <v>0</v>
      </c>
      <c r="U103" s="124"/>
      <c r="V103" s="107">
        <f>V106*2</f>
        <v>0</v>
      </c>
      <c r="W103" s="125"/>
      <c r="X103" s="109">
        <f>X106*2</f>
        <v>0</v>
      </c>
      <c r="Y103" s="126"/>
      <c r="Z103" s="151"/>
      <c r="AA103" s="151"/>
    </row>
    <row r="104" spans="1:27">
      <c r="A104" s="144"/>
      <c r="B104" s="145"/>
      <c r="C104" s="146" t="s">
        <v>4118</v>
      </c>
      <c r="D104" s="147" t="s">
        <v>4308</v>
      </c>
      <c r="E104" s="139" t="s">
        <v>4309</v>
      </c>
      <c r="F104" s="148"/>
      <c r="G104" s="92">
        <f>G106</f>
        <v>5.3</v>
      </c>
      <c r="H104" s="117"/>
      <c r="I104" s="149"/>
      <c r="J104" s="95">
        <f>J106</f>
        <v>50</v>
      </c>
      <c r="K104" s="150"/>
      <c r="L104" s="119">
        <f>L106</f>
        <v>3.8</v>
      </c>
      <c r="M104" s="120"/>
      <c r="N104" s="99">
        <f t="shared" ref="N104:R104" si="134">N106</f>
        <v>0</v>
      </c>
      <c r="O104" s="121"/>
      <c r="P104" s="101">
        <f t="shared" si="134"/>
        <v>0</v>
      </c>
      <c r="Q104" s="122"/>
      <c r="R104" s="103">
        <f t="shared" si="134"/>
        <v>0</v>
      </c>
      <c r="S104" s="123"/>
      <c r="T104" s="105">
        <f>T106</f>
        <v>0</v>
      </c>
      <c r="U104" s="124"/>
      <c r="V104" s="107">
        <f>V106</f>
        <v>0</v>
      </c>
      <c r="W104" s="125"/>
      <c r="X104" s="109">
        <f>X106</f>
        <v>0</v>
      </c>
      <c r="Y104" s="126"/>
      <c r="Z104" s="151"/>
      <c r="AA104" s="151"/>
    </row>
    <row r="105" spans="1:27">
      <c r="A105" s="144"/>
      <c r="B105" s="145"/>
      <c r="C105" s="146" t="s">
        <v>4121</v>
      </c>
      <c r="D105" s="147" t="s">
        <v>4310</v>
      </c>
      <c r="E105" s="139" t="s">
        <v>4311</v>
      </c>
      <c r="F105" s="148"/>
      <c r="G105" s="92">
        <v>8</v>
      </c>
      <c r="H105" s="117"/>
      <c r="I105" s="149"/>
      <c r="J105" s="95">
        <v>75</v>
      </c>
      <c r="K105" s="150"/>
      <c r="L105" s="119">
        <v>5.7</v>
      </c>
      <c r="M105" s="120"/>
      <c r="N105" s="99">
        <v>0</v>
      </c>
      <c r="O105" s="121"/>
      <c r="P105" s="101">
        <v>0</v>
      </c>
      <c r="Q105" s="122"/>
      <c r="R105" s="103">
        <v>0</v>
      </c>
      <c r="S105" s="123"/>
      <c r="T105" s="105">
        <v>0</v>
      </c>
      <c r="U105" s="124"/>
      <c r="V105" s="107">
        <v>0</v>
      </c>
      <c r="W105" s="125"/>
      <c r="X105" s="109">
        <v>0</v>
      </c>
      <c r="Y105" s="126"/>
      <c r="Z105" s="151"/>
      <c r="AA105" s="151"/>
    </row>
    <row r="106" spans="1:27">
      <c r="A106" s="144"/>
      <c r="B106" s="145"/>
      <c r="C106" s="146" t="s">
        <v>4124</v>
      </c>
      <c r="D106" s="147" t="s">
        <v>4312</v>
      </c>
      <c r="E106" s="139" t="s">
        <v>4313</v>
      </c>
      <c r="F106" s="153"/>
      <c r="G106" s="92">
        <f>ROUND(G105*2/3,1)</f>
        <v>5.3</v>
      </c>
      <c r="H106" s="127"/>
      <c r="I106" s="149"/>
      <c r="J106" s="95">
        <f>ROUND(J105*2/3,0)</f>
        <v>50</v>
      </c>
      <c r="K106" s="154"/>
      <c r="L106" s="119">
        <f>ROUND(L105*2/3,1)</f>
        <v>3.8</v>
      </c>
      <c r="M106" s="128"/>
      <c r="N106" s="99">
        <f>ROUND(N105*2/3,0)</f>
        <v>0</v>
      </c>
      <c r="O106" s="129"/>
      <c r="P106" s="101">
        <f>ROUND(P105*2/3,0)</f>
        <v>0</v>
      </c>
      <c r="Q106" s="130"/>
      <c r="R106" s="103">
        <f>ROUND(R105*2/3,0)</f>
        <v>0</v>
      </c>
      <c r="S106" s="131"/>
      <c r="T106" s="105">
        <f>ROUND(T105*2/3,0)</f>
        <v>0</v>
      </c>
      <c r="U106" s="132"/>
      <c r="V106" s="107">
        <f>ROUND(V105*2/3,0)</f>
        <v>0</v>
      </c>
      <c r="W106" s="133"/>
      <c r="X106" s="109">
        <f>ROUND(X105*2/3,0)</f>
        <v>0</v>
      </c>
      <c r="Y106" s="134"/>
      <c r="Z106" s="151"/>
      <c r="AA106" s="151"/>
    </row>
    <row r="107" spans="1:27">
      <c r="A107" s="135" t="s">
        <v>7989</v>
      </c>
      <c r="B107" s="136" t="s">
        <v>7060</v>
      </c>
      <c r="C107" s="137" t="s">
        <v>4133</v>
      </c>
      <c r="D107" s="138" t="s">
        <v>4314</v>
      </c>
      <c r="E107" s="139" t="s">
        <v>4315</v>
      </c>
      <c r="F107" s="140" t="s">
        <v>3153</v>
      </c>
      <c r="G107" s="92">
        <f>G111</f>
        <v>1.7</v>
      </c>
      <c r="H107" s="93">
        <f t="shared" ref="H107:M107" si="135">SUM(G107:G111)</f>
        <v>9.4</v>
      </c>
      <c r="I107" s="141" t="s">
        <v>8023</v>
      </c>
      <c r="J107" s="95">
        <f>J111</f>
        <v>19</v>
      </c>
      <c r="K107" s="142">
        <f t="shared" si="135"/>
        <v>105</v>
      </c>
      <c r="L107" s="119">
        <f>L111</f>
        <v>1.2</v>
      </c>
      <c r="M107" s="98">
        <f t="shared" si="135"/>
        <v>6.6</v>
      </c>
      <c r="N107" s="99">
        <f t="shared" ref="N107:R107" si="136">N111</f>
        <v>6</v>
      </c>
      <c r="O107" s="100">
        <f t="shared" ref="O107:S107" si="137">SUM(N107:N111)</f>
        <v>33</v>
      </c>
      <c r="P107" s="101">
        <f t="shared" si="136"/>
        <v>0</v>
      </c>
      <c r="Q107" s="102">
        <f t="shared" si="137"/>
        <v>0</v>
      </c>
      <c r="R107" s="103">
        <f t="shared" si="136"/>
        <v>0</v>
      </c>
      <c r="S107" s="104">
        <f t="shared" si="137"/>
        <v>0</v>
      </c>
      <c r="T107" s="105">
        <f>T111</f>
        <v>0</v>
      </c>
      <c r="U107" s="106">
        <f t="shared" ref="U107:Y107" si="138">SUM(T107:T111)</f>
        <v>0</v>
      </c>
      <c r="V107" s="107">
        <f>V111</f>
        <v>0</v>
      </c>
      <c r="W107" s="108">
        <f t="shared" si="138"/>
        <v>0</v>
      </c>
      <c r="X107" s="109">
        <f>X111</f>
        <v>0</v>
      </c>
      <c r="Y107" s="110">
        <f t="shared" si="138"/>
        <v>0</v>
      </c>
      <c r="Z107" s="139"/>
      <c r="AA107" s="139"/>
    </row>
    <row r="108" spans="1:27">
      <c r="A108" s="144"/>
      <c r="B108" s="145"/>
      <c r="C108" s="146" t="s">
        <v>4115</v>
      </c>
      <c r="D108" s="147" t="s">
        <v>4316</v>
      </c>
      <c r="E108" s="139" t="s">
        <v>4317</v>
      </c>
      <c r="F108" s="148"/>
      <c r="G108" s="92">
        <f>G111*2</f>
        <v>3.4</v>
      </c>
      <c r="H108" s="117"/>
      <c r="I108" s="149"/>
      <c r="J108" s="95">
        <f>J111*2</f>
        <v>38</v>
      </c>
      <c r="K108" s="150"/>
      <c r="L108" s="119">
        <f>L111*2</f>
        <v>2.4</v>
      </c>
      <c r="M108" s="120"/>
      <c r="N108" s="99">
        <f t="shared" ref="N108:R108" si="139">N111*2</f>
        <v>12</v>
      </c>
      <c r="O108" s="121"/>
      <c r="P108" s="101">
        <f t="shared" si="139"/>
        <v>0</v>
      </c>
      <c r="Q108" s="122"/>
      <c r="R108" s="103">
        <f t="shared" si="139"/>
        <v>0</v>
      </c>
      <c r="S108" s="123"/>
      <c r="T108" s="105">
        <f>T111*2</f>
        <v>0</v>
      </c>
      <c r="U108" s="124"/>
      <c r="V108" s="107">
        <f>V111*2</f>
        <v>0</v>
      </c>
      <c r="W108" s="125"/>
      <c r="X108" s="109">
        <f>X111*2</f>
        <v>0</v>
      </c>
      <c r="Y108" s="126"/>
      <c r="Z108" s="151"/>
      <c r="AA108" s="151"/>
    </row>
    <row r="109" spans="1:27">
      <c r="A109" s="144"/>
      <c r="B109" s="145"/>
      <c r="C109" s="146"/>
      <c r="D109" s="147"/>
      <c r="F109" s="148"/>
      <c r="G109" s="92"/>
      <c r="H109" s="117"/>
      <c r="I109" s="149"/>
      <c r="J109" s="95"/>
      <c r="K109" s="150"/>
      <c r="L109" s="119"/>
      <c r="M109" s="120"/>
      <c r="N109" s="99"/>
      <c r="O109" s="121"/>
      <c r="P109" s="101"/>
      <c r="Q109" s="122"/>
      <c r="R109" s="103"/>
      <c r="S109" s="123"/>
      <c r="T109" s="105"/>
      <c r="U109" s="124"/>
      <c r="V109" s="107"/>
      <c r="W109" s="125"/>
      <c r="X109" s="109"/>
      <c r="Y109" s="126"/>
      <c r="Z109" s="151"/>
      <c r="AA109" s="151"/>
    </row>
    <row r="110" spans="1:27">
      <c r="A110" s="144"/>
      <c r="B110" s="145"/>
      <c r="C110" s="146" t="s">
        <v>4121</v>
      </c>
      <c r="D110" s="147" t="s">
        <v>4318</v>
      </c>
      <c r="E110" s="139" t="s">
        <v>4319</v>
      </c>
      <c r="F110" s="148"/>
      <c r="G110" s="92">
        <v>2.6</v>
      </c>
      <c r="H110" s="117"/>
      <c r="I110" s="149"/>
      <c r="J110" s="95">
        <v>29</v>
      </c>
      <c r="K110" s="150"/>
      <c r="L110" s="119">
        <v>1.8</v>
      </c>
      <c r="M110" s="120"/>
      <c r="N110" s="99">
        <v>9</v>
      </c>
      <c r="O110" s="121"/>
      <c r="P110" s="101">
        <v>0</v>
      </c>
      <c r="Q110" s="122"/>
      <c r="R110" s="103">
        <v>0</v>
      </c>
      <c r="S110" s="123"/>
      <c r="T110" s="105">
        <v>0</v>
      </c>
      <c r="U110" s="124"/>
      <c r="V110" s="107">
        <v>0</v>
      </c>
      <c r="W110" s="125"/>
      <c r="X110" s="109">
        <v>0</v>
      </c>
      <c r="Y110" s="126"/>
      <c r="Z110" s="151"/>
      <c r="AA110" s="151"/>
    </row>
    <row r="111" spans="1:27">
      <c r="A111" s="144"/>
      <c r="B111" s="145"/>
      <c r="C111" s="146" t="s">
        <v>4124</v>
      </c>
      <c r="D111" s="147" t="s">
        <v>4320</v>
      </c>
      <c r="E111" s="139" t="s">
        <v>4321</v>
      </c>
      <c r="F111" s="153"/>
      <c r="G111" s="92">
        <f>ROUND(G110*2/3,1)</f>
        <v>1.7</v>
      </c>
      <c r="H111" s="127"/>
      <c r="I111" s="149"/>
      <c r="J111" s="95">
        <f>ROUND(J110*2/3,0)</f>
        <v>19</v>
      </c>
      <c r="K111" s="154"/>
      <c r="L111" s="119">
        <f>ROUND(L110*2/3,1)</f>
        <v>1.2</v>
      </c>
      <c r="M111" s="128"/>
      <c r="N111" s="99">
        <f>ROUND(N110*2/3,0)</f>
        <v>6</v>
      </c>
      <c r="O111" s="129"/>
      <c r="P111" s="101">
        <f>ROUND(P110*2/3,0)</f>
        <v>0</v>
      </c>
      <c r="Q111" s="130"/>
      <c r="R111" s="103">
        <f>ROUND(R110*2/3,0)</f>
        <v>0</v>
      </c>
      <c r="S111" s="131"/>
      <c r="T111" s="105">
        <f>ROUND(T110*2/3,0)</f>
        <v>0</v>
      </c>
      <c r="U111" s="132"/>
      <c r="V111" s="107">
        <f>ROUND(V110*2/3,0)</f>
        <v>0</v>
      </c>
      <c r="W111" s="133"/>
      <c r="X111" s="109">
        <f>ROUND(X110*2/3,0)</f>
        <v>0</v>
      </c>
      <c r="Y111" s="134"/>
      <c r="Z111" s="151"/>
      <c r="AA111" s="151"/>
    </row>
    <row r="112" spans="1:27">
      <c r="A112" s="135" t="s">
        <v>7975</v>
      </c>
      <c r="B112" s="136" t="s">
        <v>8024</v>
      </c>
      <c r="C112" s="137" t="s">
        <v>4133</v>
      </c>
      <c r="D112" s="138" t="s">
        <v>4322</v>
      </c>
      <c r="E112" s="139" t="s">
        <v>4323</v>
      </c>
      <c r="F112" s="61" t="s">
        <v>1259</v>
      </c>
      <c r="G112" s="92">
        <f>G116</f>
        <v>3.7</v>
      </c>
      <c r="H112" s="93">
        <f t="shared" ref="H112:M112" si="140">SUM(G112:G116)</f>
        <v>24.1</v>
      </c>
      <c r="I112" s="141" t="s">
        <v>8025</v>
      </c>
      <c r="J112" s="95">
        <f>J116</f>
        <v>31</v>
      </c>
      <c r="K112" s="142">
        <f t="shared" si="140"/>
        <v>202</v>
      </c>
      <c r="L112" s="119">
        <f>L116</f>
        <v>2.3</v>
      </c>
      <c r="M112" s="98">
        <f t="shared" si="140"/>
        <v>15</v>
      </c>
      <c r="N112" s="99">
        <f t="shared" ref="N112:R112" si="141">N116</f>
        <v>0</v>
      </c>
      <c r="O112" s="100">
        <f t="shared" ref="O112:S112" si="142">SUM(N112:N116)</f>
        <v>0</v>
      </c>
      <c r="P112" s="101">
        <f t="shared" si="141"/>
        <v>0</v>
      </c>
      <c r="Q112" s="102">
        <f t="shared" si="142"/>
        <v>0</v>
      </c>
      <c r="R112" s="103">
        <f t="shared" si="141"/>
        <v>0</v>
      </c>
      <c r="S112" s="104">
        <f t="shared" si="142"/>
        <v>0</v>
      </c>
      <c r="T112" s="105">
        <f>T116</f>
        <v>0</v>
      </c>
      <c r="U112" s="106">
        <f t="shared" ref="U112:Y112" si="143">SUM(T112:T116)</f>
        <v>0</v>
      </c>
      <c r="V112" s="107">
        <f>V116</f>
        <v>0</v>
      </c>
      <c r="W112" s="108">
        <f t="shared" si="143"/>
        <v>0</v>
      </c>
      <c r="X112" s="109">
        <f>X116</f>
        <v>0</v>
      </c>
      <c r="Y112" s="110">
        <f t="shared" si="143"/>
        <v>0</v>
      </c>
      <c r="Z112" s="139"/>
      <c r="AA112" s="139"/>
    </row>
    <row r="113" spans="1:27">
      <c r="A113" s="144"/>
      <c r="B113" s="145"/>
      <c r="C113" s="146" t="s">
        <v>4115</v>
      </c>
      <c r="D113" s="147" t="s">
        <v>4324</v>
      </c>
      <c r="E113" s="139" t="s">
        <v>4325</v>
      </c>
      <c r="F113" s="61" t="s">
        <v>1261</v>
      </c>
      <c r="G113" s="92">
        <f>G116*2</f>
        <v>7.4</v>
      </c>
      <c r="H113" s="117"/>
      <c r="I113" s="149"/>
      <c r="J113" s="95">
        <f>J116*2</f>
        <v>62</v>
      </c>
      <c r="K113" s="150"/>
      <c r="L113" s="119">
        <f>L116*2</f>
        <v>4.6</v>
      </c>
      <c r="M113" s="120"/>
      <c r="N113" s="99">
        <f t="shared" ref="N113:R113" si="144">N116*2</f>
        <v>0</v>
      </c>
      <c r="O113" s="121"/>
      <c r="P113" s="101">
        <f t="shared" si="144"/>
        <v>0</v>
      </c>
      <c r="Q113" s="122"/>
      <c r="R113" s="103">
        <f t="shared" si="144"/>
        <v>0</v>
      </c>
      <c r="S113" s="123"/>
      <c r="T113" s="105">
        <f>T116*2</f>
        <v>0</v>
      </c>
      <c r="U113" s="124"/>
      <c r="V113" s="107">
        <f>V116*2</f>
        <v>0</v>
      </c>
      <c r="W113" s="125"/>
      <c r="X113" s="109">
        <f>X116*2</f>
        <v>0</v>
      </c>
      <c r="Y113" s="126"/>
      <c r="Z113" s="151"/>
      <c r="AA113" s="151"/>
    </row>
    <row r="114" spans="1:27">
      <c r="A114" s="144"/>
      <c r="B114" s="145"/>
      <c r="C114" s="146" t="s">
        <v>4118</v>
      </c>
      <c r="D114" s="147" t="s">
        <v>4326</v>
      </c>
      <c r="E114" s="139" t="s">
        <v>4327</v>
      </c>
      <c r="F114" s="61" t="s">
        <v>1259</v>
      </c>
      <c r="G114" s="92">
        <f>G116</f>
        <v>3.7</v>
      </c>
      <c r="H114" s="117"/>
      <c r="I114" s="149"/>
      <c r="J114" s="95">
        <f>J116</f>
        <v>31</v>
      </c>
      <c r="K114" s="150"/>
      <c r="L114" s="119">
        <f>L116</f>
        <v>2.3</v>
      </c>
      <c r="M114" s="120"/>
      <c r="N114" s="99">
        <f t="shared" ref="N114:R114" si="145">N116</f>
        <v>0</v>
      </c>
      <c r="O114" s="121"/>
      <c r="P114" s="101">
        <f t="shared" si="145"/>
        <v>0</v>
      </c>
      <c r="Q114" s="122"/>
      <c r="R114" s="103">
        <f t="shared" si="145"/>
        <v>0</v>
      </c>
      <c r="S114" s="123"/>
      <c r="T114" s="105">
        <f>T116</f>
        <v>0</v>
      </c>
      <c r="U114" s="124"/>
      <c r="V114" s="107">
        <f>V116</f>
        <v>0</v>
      </c>
      <c r="W114" s="125"/>
      <c r="X114" s="109">
        <f>X116</f>
        <v>0</v>
      </c>
      <c r="Y114" s="126"/>
      <c r="Z114" s="151"/>
      <c r="AA114" s="151"/>
    </row>
    <row r="115" spans="1:27">
      <c r="A115" s="144"/>
      <c r="B115" s="145"/>
      <c r="C115" s="146" t="s">
        <v>4121</v>
      </c>
      <c r="D115" s="147" t="s">
        <v>4328</v>
      </c>
      <c r="E115" s="139" t="s">
        <v>4329</v>
      </c>
      <c r="F115" s="61" t="s">
        <v>1263</v>
      </c>
      <c r="G115" s="92">
        <v>5.6</v>
      </c>
      <c r="H115" s="117"/>
      <c r="I115" s="149"/>
      <c r="J115" s="95">
        <v>47</v>
      </c>
      <c r="K115" s="150"/>
      <c r="L115" s="119">
        <v>3.5</v>
      </c>
      <c r="M115" s="120"/>
      <c r="N115" s="99">
        <v>0</v>
      </c>
      <c r="O115" s="121"/>
      <c r="P115" s="101">
        <v>0</v>
      </c>
      <c r="Q115" s="122"/>
      <c r="R115" s="103">
        <v>0</v>
      </c>
      <c r="S115" s="123"/>
      <c r="T115" s="105">
        <v>0</v>
      </c>
      <c r="U115" s="124"/>
      <c r="V115" s="107">
        <v>0</v>
      </c>
      <c r="W115" s="125"/>
      <c r="X115" s="109">
        <v>0</v>
      </c>
      <c r="Y115" s="126"/>
      <c r="Z115" s="151"/>
      <c r="AA115" s="151"/>
    </row>
    <row r="116" spans="1:27">
      <c r="A116" s="144"/>
      <c r="B116" s="145"/>
      <c r="C116" s="146" t="s">
        <v>4124</v>
      </c>
      <c r="D116" s="147" t="s">
        <v>4330</v>
      </c>
      <c r="E116" s="139" t="s">
        <v>4331</v>
      </c>
      <c r="F116" s="61" t="s">
        <v>1259</v>
      </c>
      <c r="G116" s="92">
        <f>ROUND(G115*2/3,1)</f>
        <v>3.7</v>
      </c>
      <c r="H116" s="127"/>
      <c r="I116" s="149"/>
      <c r="J116" s="95">
        <f>ROUND(J115*2/3,0)</f>
        <v>31</v>
      </c>
      <c r="K116" s="154"/>
      <c r="L116" s="119">
        <f>ROUND(L115*2/3,1)</f>
        <v>2.3</v>
      </c>
      <c r="M116" s="128"/>
      <c r="N116" s="99">
        <f>ROUND(N115*2/3,0)</f>
        <v>0</v>
      </c>
      <c r="O116" s="129"/>
      <c r="P116" s="101">
        <f>ROUND(P115*2/3,0)</f>
        <v>0</v>
      </c>
      <c r="Q116" s="130"/>
      <c r="R116" s="103">
        <f>ROUND(R115*2/3,0)</f>
        <v>0</v>
      </c>
      <c r="S116" s="131"/>
      <c r="T116" s="105">
        <f>ROUND(T115*2/3,0)</f>
        <v>0</v>
      </c>
      <c r="U116" s="132"/>
      <c r="V116" s="107">
        <f>ROUND(V115*2/3,0)</f>
        <v>0</v>
      </c>
      <c r="W116" s="133"/>
      <c r="X116" s="109">
        <f>ROUND(X115*2/3,0)</f>
        <v>0</v>
      </c>
      <c r="Y116" s="134"/>
      <c r="Z116" s="151"/>
      <c r="AA116" s="151"/>
    </row>
    <row r="117" spans="1:27">
      <c r="A117" s="135" t="s">
        <v>7975</v>
      </c>
      <c r="B117" s="136" t="s">
        <v>7117</v>
      </c>
      <c r="C117" s="137" t="s">
        <v>4133</v>
      </c>
      <c r="D117" s="138" t="s">
        <v>4332</v>
      </c>
      <c r="E117" s="139" t="s">
        <v>4333</v>
      </c>
      <c r="F117" s="155" t="s">
        <v>8026</v>
      </c>
      <c r="G117" s="92">
        <f>G121</f>
        <v>5.1</v>
      </c>
      <c r="H117" s="93">
        <f t="shared" ref="H117:M117" si="146">SUM(G117:G121)</f>
        <v>25.5</v>
      </c>
      <c r="I117" s="141" t="s">
        <v>7977</v>
      </c>
      <c r="J117" s="95">
        <f>J121</f>
        <v>31</v>
      </c>
      <c r="K117" s="142">
        <f t="shared" si="146"/>
        <v>202</v>
      </c>
      <c r="L117" s="119">
        <f>L121</f>
        <v>2.3</v>
      </c>
      <c r="M117" s="98">
        <f t="shared" si="146"/>
        <v>15</v>
      </c>
      <c r="N117" s="99">
        <f t="shared" ref="N117:R117" si="147">N121</f>
        <v>10</v>
      </c>
      <c r="O117" s="100">
        <f t="shared" ref="O117:S117" si="148">SUM(N117:N121)</f>
        <v>65</v>
      </c>
      <c r="P117" s="101">
        <f t="shared" si="147"/>
        <v>0</v>
      </c>
      <c r="Q117" s="102">
        <f t="shared" si="148"/>
        <v>0</v>
      </c>
      <c r="R117" s="103">
        <f t="shared" si="147"/>
        <v>0</v>
      </c>
      <c r="S117" s="104">
        <f t="shared" si="148"/>
        <v>0</v>
      </c>
      <c r="T117" s="105">
        <f>T121</f>
        <v>0</v>
      </c>
      <c r="U117" s="106">
        <f t="shared" ref="U117:Y117" si="149">SUM(T117:T121)</f>
        <v>0</v>
      </c>
      <c r="V117" s="107">
        <f>V121</f>
        <v>0</v>
      </c>
      <c r="W117" s="108">
        <f t="shared" si="149"/>
        <v>0</v>
      </c>
      <c r="X117" s="109">
        <f>X121</f>
        <v>0</v>
      </c>
      <c r="Y117" s="110">
        <f t="shared" si="149"/>
        <v>0</v>
      </c>
      <c r="Z117" s="139" t="s">
        <v>8027</v>
      </c>
      <c r="AA117" s="139"/>
    </row>
    <row r="118" spans="1:27">
      <c r="A118" s="144"/>
      <c r="B118" s="145"/>
      <c r="C118" s="146" t="s">
        <v>4115</v>
      </c>
      <c r="D118" s="147" t="s">
        <v>4334</v>
      </c>
      <c r="E118" s="139" t="s">
        <v>4335</v>
      </c>
      <c r="F118" s="156" t="s">
        <v>8007</v>
      </c>
      <c r="G118" s="92">
        <f>G121*2</f>
        <v>10.2</v>
      </c>
      <c r="H118" s="117"/>
      <c r="I118" s="149"/>
      <c r="J118" s="95">
        <f>J121*2</f>
        <v>62</v>
      </c>
      <c r="K118" s="150"/>
      <c r="L118" s="119">
        <f>L121*2</f>
        <v>4.6</v>
      </c>
      <c r="M118" s="120"/>
      <c r="N118" s="99">
        <f t="shared" ref="N118:R118" si="150">N121*2</f>
        <v>20</v>
      </c>
      <c r="O118" s="121"/>
      <c r="P118" s="101">
        <f t="shared" si="150"/>
        <v>0</v>
      </c>
      <c r="Q118" s="122"/>
      <c r="R118" s="103">
        <f t="shared" si="150"/>
        <v>0</v>
      </c>
      <c r="S118" s="123"/>
      <c r="T118" s="105">
        <f>T121*2</f>
        <v>0</v>
      </c>
      <c r="U118" s="124"/>
      <c r="V118" s="107">
        <f>V121*2</f>
        <v>0</v>
      </c>
      <c r="W118" s="125"/>
      <c r="X118" s="109">
        <f>X121*2</f>
        <v>0</v>
      </c>
      <c r="Y118" s="126"/>
      <c r="Z118" s="151"/>
      <c r="AA118" s="151"/>
    </row>
    <row r="119" spans="1:27">
      <c r="A119" s="144"/>
      <c r="B119" s="145"/>
      <c r="C119" s="146" t="s">
        <v>4118</v>
      </c>
      <c r="D119" s="147" t="s">
        <v>4336</v>
      </c>
      <c r="E119" s="139" t="s">
        <v>4337</v>
      </c>
      <c r="F119" s="156" t="s">
        <v>68</v>
      </c>
      <c r="G119" s="92">
        <f>G121</f>
        <v>5.1</v>
      </c>
      <c r="H119" s="117"/>
      <c r="I119" s="149"/>
      <c r="J119" s="95">
        <f>J121</f>
        <v>31</v>
      </c>
      <c r="K119" s="150"/>
      <c r="L119" s="119">
        <f>L121</f>
        <v>2.3</v>
      </c>
      <c r="M119" s="120"/>
      <c r="N119" s="99">
        <f t="shared" ref="N119:R119" si="151">N121</f>
        <v>10</v>
      </c>
      <c r="O119" s="121"/>
      <c r="P119" s="101">
        <f t="shared" si="151"/>
        <v>0</v>
      </c>
      <c r="Q119" s="122"/>
      <c r="R119" s="103">
        <f t="shared" si="151"/>
        <v>0</v>
      </c>
      <c r="S119" s="123"/>
      <c r="T119" s="105">
        <f>T121</f>
        <v>0</v>
      </c>
      <c r="U119" s="124"/>
      <c r="V119" s="107">
        <f>V121</f>
        <v>0</v>
      </c>
      <c r="W119" s="125"/>
      <c r="X119" s="109">
        <f>X121</f>
        <v>0</v>
      </c>
      <c r="Y119" s="126"/>
      <c r="Z119" s="151"/>
      <c r="AA119" s="151"/>
    </row>
    <row r="120" spans="1:27">
      <c r="A120" s="144"/>
      <c r="B120" s="145"/>
      <c r="C120" s="146" t="s">
        <v>4121</v>
      </c>
      <c r="D120" s="147" t="s">
        <v>4338</v>
      </c>
      <c r="E120" s="139" t="s">
        <v>4339</v>
      </c>
      <c r="F120" s="156" t="s">
        <v>372</v>
      </c>
      <c r="G120" s="92">
        <v>0</v>
      </c>
      <c r="H120" s="117"/>
      <c r="I120" s="149"/>
      <c r="J120" s="95">
        <v>47</v>
      </c>
      <c r="K120" s="150"/>
      <c r="L120" s="119">
        <v>3.5</v>
      </c>
      <c r="M120" s="120"/>
      <c r="N120" s="99">
        <v>15</v>
      </c>
      <c r="O120" s="121"/>
      <c r="P120" s="101">
        <v>0</v>
      </c>
      <c r="Q120" s="122"/>
      <c r="R120" s="103">
        <v>0</v>
      </c>
      <c r="S120" s="123"/>
      <c r="T120" s="105">
        <v>0</v>
      </c>
      <c r="U120" s="124"/>
      <c r="V120" s="107">
        <v>0</v>
      </c>
      <c r="W120" s="125"/>
      <c r="X120" s="109">
        <v>0</v>
      </c>
      <c r="Y120" s="126"/>
      <c r="Z120" s="151"/>
      <c r="AA120" s="151"/>
    </row>
    <row r="121" spans="1:27">
      <c r="A121" s="144"/>
      <c r="B121" s="145"/>
      <c r="C121" s="146" t="s">
        <v>4124</v>
      </c>
      <c r="D121" s="147" t="s">
        <v>4340</v>
      </c>
      <c r="E121" s="139" t="s">
        <v>4341</v>
      </c>
      <c r="F121" s="156" t="s">
        <v>8028</v>
      </c>
      <c r="G121" s="92">
        <v>5.1</v>
      </c>
      <c r="H121" s="127"/>
      <c r="I121" s="149"/>
      <c r="J121" s="95">
        <f>ROUND(J120*2/3,0)</f>
        <v>31</v>
      </c>
      <c r="K121" s="154"/>
      <c r="L121" s="119">
        <f>ROUND(L120*2/3,1)</f>
        <v>2.3</v>
      </c>
      <c r="M121" s="128"/>
      <c r="N121" s="99">
        <f>ROUND(N120*2/3,0)</f>
        <v>10</v>
      </c>
      <c r="O121" s="129"/>
      <c r="P121" s="101">
        <f>ROUND(P120*2/3,0)</f>
        <v>0</v>
      </c>
      <c r="Q121" s="130"/>
      <c r="R121" s="103">
        <f>ROUND(R120*2/3,0)</f>
        <v>0</v>
      </c>
      <c r="S121" s="131"/>
      <c r="T121" s="105">
        <f>ROUND(T120*2/3,0)</f>
        <v>0</v>
      </c>
      <c r="U121" s="132"/>
      <c r="V121" s="107">
        <f>ROUND(V120*2/3,0)</f>
        <v>0</v>
      </c>
      <c r="W121" s="133"/>
      <c r="X121" s="109">
        <f>ROUND(X120*2/3,0)</f>
        <v>0</v>
      </c>
      <c r="Y121" s="134"/>
      <c r="Z121" s="151"/>
      <c r="AA121" s="151"/>
    </row>
    <row r="122" spans="1:27">
      <c r="A122" s="135" t="s">
        <v>7975</v>
      </c>
      <c r="B122" s="136" t="s">
        <v>6926</v>
      </c>
      <c r="C122" s="137" t="s">
        <v>4133</v>
      </c>
      <c r="D122" s="138" t="s">
        <v>4342</v>
      </c>
      <c r="E122" s="139" t="s">
        <v>4343</v>
      </c>
      <c r="F122" s="155" t="s">
        <v>8026</v>
      </c>
      <c r="G122" s="92">
        <f>G126</f>
        <v>3.4</v>
      </c>
      <c r="H122" s="93">
        <f t="shared" ref="H122:M122" si="152">SUM(G122:G126)</f>
        <v>22.1</v>
      </c>
      <c r="I122" s="141" t="s">
        <v>8029</v>
      </c>
      <c r="J122" s="95">
        <f>J126</f>
        <v>31</v>
      </c>
      <c r="K122" s="142">
        <f t="shared" si="152"/>
        <v>202</v>
      </c>
      <c r="L122" s="119">
        <f>L126</f>
        <v>2.3</v>
      </c>
      <c r="M122" s="98">
        <f t="shared" si="152"/>
        <v>15</v>
      </c>
      <c r="N122" s="99">
        <f t="shared" ref="N122:R122" si="153">N126</f>
        <v>0</v>
      </c>
      <c r="O122" s="100">
        <f t="shared" ref="O122:S122" si="154">SUM(N122:N126)</f>
        <v>0</v>
      </c>
      <c r="P122" s="101">
        <f t="shared" si="153"/>
        <v>10</v>
      </c>
      <c r="Q122" s="102">
        <f t="shared" si="154"/>
        <v>65</v>
      </c>
      <c r="R122" s="103">
        <f t="shared" si="153"/>
        <v>0</v>
      </c>
      <c r="S122" s="104">
        <f t="shared" si="154"/>
        <v>0</v>
      </c>
      <c r="T122" s="105">
        <f>T126</f>
        <v>0</v>
      </c>
      <c r="U122" s="106">
        <f t="shared" ref="U122:Y122" si="155">SUM(T122:T126)</f>
        <v>0</v>
      </c>
      <c r="V122" s="107">
        <f>V126</f>
        <v>0</v>
      </c>
      <c r="W122" s="108">
        <f t="shared" si="155"/>
        <v>0</v>
      </c>
      <c r="X122" s="109">
        <f>X126</f>
        <v>0</v>
      </c>
      <c r="Y122" s="110">
        <f t="shared" si="155"/>
        <v>0</v>
      </c>
      <c r="Z122" s="139" t="s">
        <v>8027</v>
      </c>
      <c r="AA122" s="139"/>
    </row>
    <row r="123" spans="1:27">
      <c r="A123" s="144"/>
      <c r="B123" s="145"/>
      <c r="C123" s="146" t="s">
        <v>4115</v>
      </c>
      <c r="D123" s="147" t="s">
        <v>4344</v>
      </c>
      <c r="E123" s="139" t="s">
        <v>4345</v>
      </c>
      <c r="F123" s="156" t="s">
        <v>8007</v>
      </c>
      <c r="G123" s="92">
        <f>G126*2</f>
        <v>6.8</v>
      </c>
      <c r="H123" s="117"/>
      <c r="I123" s="149"/>
      <c r="J123" s="95">
        <f>J126*2</f>
        <v>62</v>
      </c>
      <c r="K123" s="150"/>
      <c r="L123" s="119">
        <f>L126*2</f>
        <v>4.6</v>
      </c>
      <c r="M123" s="120"/>
      <c r="N123" s="99">
        <f t="shared" ref="N123:R123" si="156">N126*2</f>
        <v>0</v>
      </c>
      <c r="O123" s="121"/>
      <c r="P123" s="101">
        <f t="shared" si="156"/>
        <v>20</v>
      </c>
      <c r="Q123" s="122"/>
      <c r="R123" s="103">
        <f t="shared" si="156"/>
        <v>0</v>
      </c>
      <c r="S123" s="123"/>
      <c r="T123" s="105">
        <f>T126*2</f>
        <v>0</v>
      </c>
      <c r="U123" s="124"/>
      <c r="V123" s="107">
        <f>V126*2</f>
        <v>0</v>
      </c>
      <c r="W123" s="125"/>
      <c r="X123" s="109">
        <f>X126*2</f>
        <v>0</v>
      </c>
      <c r="Y123" s="126"/>
      <c r="Z123" s="151"/>
      <c r="AA123" s="151"/>
    </row>
    <row r="124" spans="1:27">
      <c r="A124" s="144"/>
      <c r="B124" s="145"/>
      <c r="C124" s="146" t="s">
        <v>4118</v>
      </c>
      <c r="D124" s="147" t="s">
        <v>4346</v>
      </c>
      <c r="E124" s="139" t="s">
        <v>4347</v>
      </c>
      <c r="F124" s="156" t="s">
        <v>68</v>
      </c>
      <c r="G124" s="92">
        <f>G126</f>
        <v>3.4</v>
      </c>
      <c r="H124" s="117"/>
      <c r="I124" s="149"/>
      <c r="J124" s="95">
        <f>J126</f>
        <v>31</v>
      </c>
      <c r="K124" s="150"/>
      <c r="L124" s="119">
        <f>L126</f>
        <v>2.3</v>
      </c>
      <c r="M124" s="120"/>
      <c r="N124" s="99">
        <f t="shared" ref="N124:R124" si="157">N126</f>
        <v>0</v>
      </c>
      <c r="O124" s="121"/>
      <c r="P124" s="101">
        <f t="shared" si="157"/>
        <v>10</v>
      </c>
      <c r="Q124" s="122"/>
      <c r="R124" s="103">
        <f t="shared" si="157"/>
        <v>0</v>
      </c>
      <c r="S124" s="123"/>
      <c r="T124" s="105">
        <f>T126</f>
        <v>0</v>
      </c>
      <c r="U124" s="124"/>
      <c r="V124" s="107">
        <f>V126</f>
        <v>0</v>
      </c>
      <c r="W124" s="125"/>
      <c r="X124" s="109">
        <f>X126</f>
        <v>0</v>
      </c>
      <c r="Y124" s="126"/>
      <c r="Z124" s="151"/>
      <c r="AA124" s="151"/>
    </row>
    <row r="125" spans="1:27">
      <c r="A125" s="144"/>
      <c r="B125" s="145"/>
      <c r="C125" s="146" t="s">
        <v>4121</v>
      </c>
      <c r="D125" s="147" t="s">
        <v>4348</v>
      </c>
      <c r="E125" s="139" t="s">
        <v>4349</v>
      </c>
      <c r="F125" s="156" t="s">
        <v>372</v>
      </c>
      <c r="G125" s="92">
        <v>5.1</v>
      </c>
      <c r="H125" s="117"/>
      <c r="I125" s="149"/>
      <c r="J125" s="95">
        <v>47</v>
      </c>
      <c r="K125" s="150"/>
      <c r="L125" s="119">
        <v>3.5</v>
      </c>
      <c r="M125" s="120"/>
      <c r="N125" s="99">
        <v>0</v>
      </c>
      <c r="O125" s="121"/>
      <c r="P125" s="101">
        <v>15</v>
      </c>
      <c r="Q125" s="122"/>
      <c r="R125" s="103">
        <v>0</v>
      </c>
      <c r="S125" s="123"/>
      <c r="T125" s="105">
        <v>0</v>
      </c>
      <c r="U125" s="124"/>
      <c r="V125" s="107">
        <v>0</v>
      </c>
      <c r="W125" s="125"/>
      <c r="X125" s="109">
        <v>0</v>
      </c>
      <c r="Y125" s="126"/>
      <c r="Z125" s="151"/>
      <c r="AA125" s="151"/>
    </row>
    <row r="126" spans="1:27">
      <c r="A126" s="144"/>
      <c r="B126" s="145"/>
      <c r="C126" s="146" t="s">
        <v>4124</v>
      </c>
      <c r="D126" s="147" t="s">
        <v>4350</v>
      </c>
      <c r="E126" s="139" t="s">
        <v>4351</v>
      </c>
      <c r="F126" s="156" t="s">
        <v>8028</v>
      </c>
      <c r="G126" s="92">
        <f>ROUND(G125*2/3,1)</f>
        <v>3.4</v>
      </c>
      <c r="H126" s="127"/>
      <c r="I126" s="149"/>
      <c r="J126" s="95">
        <f>ROUND(J125*2/3,0)</f>
        <v>31</v>
      </c>
      <c r="K126" s="154"/>
      <c r="L126" s="119">
        <f>ROUND(L125*2/3,1)</f>
        <v>2.3</v>
      </c>
      <c r="M126" s="128"/>
      <c r="N126" s="99">
        <f>ROUND(N125*2/3,0)</f>
        <v>0</v>
      </c>
      <c r="O126" s="129"/>
      <c r="P126" s="101">
        <f>ROUND(P125*2/3,0)</f>
        <v>10</v>
      </c>
      <c r="Q126" s="130"/>
      <c r="R126" s="103">
        <f>ROUND(R125*2/3,0)</f>
        <v>0</v>
      </c>
      <c r="S126" s="131"/>
      <c r="T126" s="105">
        <f>ROUND(T125*2/3,0)</f>
        <v>0</v>
      </c>
      <c r="U126" s="132"/>
      <c r="V126" s="107">
        <f>ROUND(V125*2/3,0)</f>
        <v>0</v>
      </c>
      <c r="W126" s="133"/>
      <c r="X126" s="109">
        <f>ROUND(X125*2/3,0)</f>
        <v>0</v>
      </c>
      <c r="Y126" s="134"/>
      <c r="Z126" s="151"/>
      <c r="AA126" s="151"/>
    </row>
    <row r="127" spans="1:27">
      <c r="A127" s="135" t="s">
        <v>7975</v>
      </c>
      <c r="B127" s="136" t="s">
        <v>6749</v>
      </c>
      <c r="C127" s="137" t="s">
        <v>4133</v>
      </c>
      <c r="D127" s="138" t="s">
        <v>4352</v>
      </c>
      <c r="E127" s="139" t="s">
        <v>4353</v>
      </c>
      <c r="F127" s="155"/>
      <c r="G127" s="92">
        <f>G131</f>
        <v>3.4</v>
      </c>
      <c r="H127" s="93">
        <f t="shared" ref="H127:M127" si="158">SUM(G127:G131)</f>
        <v>22.1</v>
      </c>
      <c r="I127" s="141" t="s">
        <v>7977</v>
      </c>
      <c r="J127" s="95">
        <f>J131</f>
        <v>0</v>
      </c>
      <c r="K127" s="142">
        <f t="shared" si="158"/>
        <v>0</v>
      </c>
      <c r="L127" s="119">
        <f>L131</f>
        <v>2.3</v>
      </c>
      <c r="M127" s="98">
        <f t="shared" si="158"/>
        <v>15</v>
      </c>
      <c r="N127" s="99">
        <f t="shared" ref="N127:R127" si="159">N131</f>
        <v>0</v>
      </c>
      <c r="O127" s="100">
        <f t="shared" ref="O127:S127" si="160">SUM(N127:N131)</f>
        <v>0</v>
      </c>
      <c r="P127" s="101">
        <f t="shared" si="159"/>
        <v>0</v>
      </c>
      <c r="Q127" s="102">
        <f t="shared" si="160"/>
        <v>0</v>
      </c>
      <c r="R127" s="103">
        <f t="shared" si="159"/>
        <v>10</v>
      </c>
      <c r="S127" s="104">
        <f t="shared" si="160"/>
        <v>65</v>
      </c>
      <c r="T127" s="105">
        <f>T131</f>
        <v>0</v>
      </c>
      <c r="U127" s="106">
        <f t="shared" ref="U127:Y127" si="161">SUM(T127:T131)</f>
        <v>0</v>
      </c>
      <c r="V127" s="107">
        <f>V131</f>
        <v>0</v>
      </c>
      <c r="W127" s="108">
        <f t="shared" si="161"/>
        <v>0</v>
      </c>
      <c r="X127" s="109">
        <f>X131</f>
        <v>0</v>
      </c>
      <c r="Y127" s="110">
        <f t="shared" si="161"/>
        <v>0</v>
      </c>
      <c r="Z127" s="157" t="s">
        <v>8030</v>
      </c>
      <c r="AA127" s="139"/>
    </row>
    <row r="128" spans="1:27">
      <c r="A128" s="144"/>
      <c r="B128" s="145"/>
      <c r="C128" s="146" t="s">
        <v>4115</v>
      </c>
      <c r="D128" s="147" t="s">
        <v>4354</v>
      </c>
      <c r="E128" s="139" t="s">
        <v>4355</v>
      </c>
      <c r="F128" s="156"/>
      <c r="G128" s="92">
        <f>G131*2</f>
        <v>6.8</v>
      </c>
      <c r="H128" s="117"/>
      <c r="I128" s="149"/>
      <c r="J128" s="95">
        <f>J131*2</f>
        <v>0</v>
      </c>
      <c r="K128" s="150"/>
      <c r="L128" s="119">
        <f>L131*2</f>
        <v>4.6</v>
      </c>
      <c r="M128" s="120"/>
      <c r="N128" s="99">
        <f t="shared" ref="N128:R128" si="162">N131*2</f>
        <v>0</v>
      </c>
      <c r="O128" s="121"/>
      <c r="P128" s="101">
        <f t="shared" si="162"/>
        <v>0</v>
      </c>
      <c r="Q128" s="122"/>
      <c r="R128" s="103">
        <f t="shared" si="162"/>
        <v>20</v>
      </c>
      <c r="S128" s="123"/>
      <c r="T128" s="105">
        <f>T131*2</f>
        <v>0</v>
      </c>
      <c r="U128" s="124"/>
      <c r="V128" s="107">
        <f>V131*2</f>
        <v>0</v>
      </c>
      <c r="W128" s="125"/>
      <c r="X128" s="109">
        <f>X131*2</f>
        <v>0</v>
      </c>
      <c r="Y128" s="126"/>
      <c r="Z128" s="151"/>
      <c r="AA128" s="151"/>
    </row>
    <row r="129" spans="1:27">
      <c r="A129" s="144"/>
      <c r="B129" s="145"/>
      <c r="C129" s="146" t="s">
        <v>4118</v>
      </c>
      <c r="D129" s="147" t="s">
        <v>4356</v>
      </c>
      <c r="E129" s="139" t="s">
        <v>4357</v>
      </c>
      <c r="F129" s="156"/>
      <c r="G129" s="92">
        <f>G131</f>
        <v>3.4</v>
      </c>
      <c r="H129" s="117"/>
      <c r="I129" s="149"/>
      <c r="J129" s="95">
        <f>J131</f>
        <v>0</v>
      </c>
      <c r="K129" s="150"/>
      <c r="L129" s="119">
        <f>L131</f>
        <v>2.3</v>
      </c>
      <c r="M129" s="120"/>
      <c r="N129" s="99">
        <f t="shared" ref="N129:R129" si="163">N131</f>
        <v>0</v>
      </c>
      <c r="O129" s="121"/>
      <c r="P129" s="101">
        <f t="shared" si="163"/>
        <v>0</v>
      </c>
      <c r="Q129" s="122"/>
      <c r="R129" s="103">
        <f t="shared" si="163"/>
        <v>10</v>
      </c>
      <c r="S129" s="123"/>
      <c r="T129" s="105">
        <f>T131</f>
        <v>0</v>
      </c>
      <c r="U129" s="124"/>
      <c r="V129" s="107">
        <f>V131</f>
        <v>0</v>
      </c>
      <c r="W129" s="125"/>
      <c r="X129" s="109">
        <f>X131</f>
        <v>0</v>
      </c>
      <c r="Y129" s="126"/>
      <c r="Z129" s="151"/>
      <c r="AA129" s="151"/>
    </row>
    <row r="130" spans="1:27">
      <c r="A130" s="144"/>
      <c r="B130" s="145"/>
      <c r="C130" s="146" t="s">
        <v>4121</v>
      </c>
      <c r="D130" s="147" t="s">
        <v>4358</v>
      </c>
      <c r="E130" s="139" t="s">
        <v>4359</v>
      </c>
      <c r="F130" s="156"/>
      <c r="G130" s="92">
        <v>5.1</v>
      </c>
      <c r="H130" s="117"/>
      <c r="I130" s="149"/>
      <c r="J130" s="95">
        <v>0</v>
      </c>
      <c r="K130" s="150"/>
      <c r="L130" s="119">
        <v>3.5</v>
      </c>
      <c r="M130" s="120"/>
      <c r="N130" s="99">
        <v>0</v>
      </c>
      <c r="O130" s="121"/>
      <c r="P130" s="101">
        <v>0</v>
      </c>
      <c r="Q130" s="122"/>
      <c r="R130" s="103">
        <v>15</v>
      </c>
      <c r="S130" s="123"/>
      <c r="T130" s="105">
        <v>0</v>
      </c>
      <c r="U130" s="124"/>
      <c r="V130" s="107">
        <v>0</v>
      </c>
      <c r="W130" s="125"/>
      <c r="X130" s="109">
        <v>0</v>
      </c>
      <c r="Y130" s="126"/>
      <c r="Z130" s="151"/>
      <c r="AA130" s="151"/>
    </row>
    <row r="131" spans="1:27">
      <c r="A131" s="144"/>
      <c r="B131" s="145"/>
      <c r="C131" s="146" t="s">
        <v>4124</v>
      </c>
      <c r="D131" s="147" t="s">
        <v>4360</v>
      </c>
      <c r="E131" s="139" t="s">
        <v>4361</v>
      </c>
      <c r="F131" s="156"/>
      <c r="G131" s="92">
        <f>ROUND(G130*2/3,1)</f>
        <v>3.4</v>
      </c>
      <c r="H131" s="127"/>
      <c r="I131" s="149"/>
      <c r="J131" s="95">
        <f>ROUND(J130*2/3,0)</f>
        <v>0</v>
      </c>
      <c r="K131" s="154"/>
      <c r="L131" s="119">
        <f>ROUND(L130*2/3,1)</f>
        <v>2.3</v>
      </c>
      <c r="M131" s="128"/>
      <c r="N131" s="99">
        <f>ROUND(N130*2/3,0)</f>
        <v>0</v>
      </c>
      <c r="O131" s="129"/>
      <c r="P131" s="101">
        <f>ROUND(P130*2/3,0)</f>
        <v>0</v>
      </c>
      <c r="Q131" s="130"/>
      <c r="R131" s="103">
        <f>ROUND(R130*2/3,0)</f>
        <v>10</v>
      </c>
      <c r="S131" s="131"/>
      <c r="T131" s="105">
        <f>ROUND(T130*2/3,0)</f>
        <v>0</v>
      </c>
      <c r="U131" s="132"/>
      <c r="V131" s="107">
        <f>ROUND(V130*2/3,0)</f>
        <v>0</v>
      </c>
      <c r="W131" s="133"/>
      <c r="X131" s="109">
        <f>ROUND(X130*2/3,0)</f>
        <v>0</v>
      </c>
      <c r="Y131" s="134"/>
      <c r="Z131" s="151"/>
      <c r="AA131" s="151"/>
    </row>
    <row r="132" spans="1:27">
      <c r="A132" s="135" t="s">
        <v>7989</v>
      </c>
      <c r="B132" s="136" t="s">
        <v>8031</v>
      </c>
      <c r="C132" s="137"/>
      <c r="D132" s="138"/>
      <c r="E132" s="139"/>
      <c r="F132" s="155"/>
      <c r="G132" s="92"/>
      <c r="H132" s="93">
        <f t="shared" ref="H132:M132" si="164">SUM(G132:G136)</f>
        <v>5.3</v>
      </c>
      <c r="I132" s="141" t="s">
        <v>8032</v>
      </c>
      <c r="J132" s="95"/>
      <c r="K132" s="142">
        <f t="shared" si="164"/>
        <v>30</v>
      </c>
      <c r="L132" s="119"/>
      <c r="M132" s="98">
        <f t="shared" si="164"/>
        <v>4.2</v>
      </c>
      <c r="N132" s="99"/>
      <c r="O132" s="100">
        <f t="shared" ref="O132:S132" si="165">SUM(N132:N136)</f>
        <v>0</v>
      </c>
      <c r="P132" s="101"/>
      <c r="Q132" s="102">
        <f t="shared" si="165"/>
        <v>0</v>
      </c>
      <c r="R132" s="103"/>
      <c r="S132" s="104">
        <f t="shared" si="165"/>
        <v>0</v>
      </c>
      <c r="T132" s="105"/>
      <c r="U132" s="106">
        <f t="shared" ref="U132:Y132" si="166">SUM(T132:T136)</f>
        <v>0</v>
      </c>
      <c r="V132" s="107"/>
      <c r="W132" s="108">
        <f t="shared" si="166"/>
        <v>0</v>
      </c>
      <c r="X132" s="109"/>
      <c r="Y132" s="110">
        <f t="shared" si="166"/>
        <v>0</v>
      </c>
      <c r="Z132" s="139"/>
      <c r="AA132" s="139"/>
    </row>
    <row r="133" spans="1:27">
      <c r="A133" s="144"/>
      <c r="B133" s="145"/>
      <c r="C133" s="146" t="s">
        <v>4115</v>
      </c>
      <c r="D133" s="147" t="s">
        <v>4362</v>
      </c>
      <c r="E133" s="139" t="s">
        <v>4363</v>
      </c>
      <c r="F133" s="156" t="s">
        <v>998</v>
      </c>
      <c r="G133" s="92">
        <v>3</v>
      </c>
      <c r="H133" s="117"/>
      <c r="I133" s="149"/>
      <c r="J133" s="95">
        <v>18</v>
      </c>
      <c r="K133" s="150"/>
      <c r="L133" s="119">
        <v>2.4</v>
      </c>
      <c r="M133" s="120"/>
      <c r="N133" s="99">
        <f t="shared" ref="N133:R133" si="167">N136*2</f>
        <v>0</v>
      </c>
      <c r="O133" s="121"/>
      <c r="P133" s="101">
        <f t="shared" si="167"/>
        <v>0</v>
      </c>
      <c r="Q133" s="122"/>
      <c r="R133" s="103">
        <f t="shared" si="167"/>
        <v>0</v>
      </c>
      <c r="S133" s="123"/>
      <c r="T133" s="105">
        <f>T136*2</f>
        <v>0</v>
      </c>
      <c r="U133" s="124"/>
      <c r="V133" s="107">
        <f>V136*2</f>
        <v>0</v>
      </c>
      <c r="W133" s="125"/>
      <c r="X133" s="109">
        <f>X136*2</f>
        <v>0</v>
      </c>
      <c r="Y133" s="126"/>
      <c r="Z133" s="151"/>
      <c r="AA133" s="151"/>
    </row>
    <row r="134" spans="1:27">
      <c r="A134" s="144"/>
      <c r="B134" s="145"/>
      <c r="C134" s="146"/>
      <c r="D134" s="147"/>
      <c r="E134" s="151"/>
      <c r="F134" s="156"/>
      <c r="G134" s="92"/>
      <c r="H134" s="117"/>
      <c r="I134" s="149"/>
      <c r="J134" s="95"/>
      <c r="K134" s="150"/>
      <c r="L134" s="119"/>
      <c r="M134" s="120"/>
      <c r="N134" s="99"/>
      <c r="O134" s="121"/>
      <c r="P134" s="101"/>
      <c r="Q134" s="122"/>
      <c r="R134" s="103"/>
      <c r="S134" s="123"/>
      <c r="T134" s="105"/>
      <c r="U134" s="124"/>
      <c r="V134" s="107"/>
      <c r="W134" s="125"/>
      <c r="X134" s="109"/>
      <c r="Y134" s="126"/>
      <c r="Z134" s="151"/>
      <c r="AA134" s="151"/>
    </row>
    <row r="135" spans="1:27">
      <c r="A135" s="144"/>
      <c r="B135" s="145"/>
      <c r="C135" s="146" t="s">
        <v>4121</v>
      </c>
      <c r="D135" s="147" t="s">
        <v>4364</v>
      </c>
      <c r="E135" s="139" t="s">
        <v>4365</v>
      </c>
      <c r="F135" s="156" t="s">
        <v>998</v>
      </c>
      <c r="G135" s="92">
        <v>2.3</v>
      </c>
      <c r="H135" s="117"/>
      <c r="I135" s="149"/>
      <c r="J135" s="95">
        <v>12</v>
      </c>
      <c r="K135" s="150"/>
      <c r="L135" s="119">
        <v>1.8</v>
      </c>
      <c r="M135" s="120"/>
      <c r="N135" s="99">
        <v>0</v>
      </c>
      <c r="O135" s="121"/>
      <c r="P135" s="101">
        <v>0</v>
      </c>
      <c r="Q135" s="122"/>
      <c r="R135" s="103">
        <v>0</v>
      </c>
      <c r="S135" s="123"/>
      <c r="T135" s="105">
        <v>0</v>
      </c>
      <c r="U135" s="124"/>
      <c r="V135" s="107">
        <v>0</v>
      </c>
      <c r="W135" s="125"/>
      <c r="X135" s="109">
        <v>0</v>
      </c>
      <c r="Y135" s="126"/>
      <c r="Z135" s="151"/>
      <c r="AA135" s="151"/>
    </row>
    <row r="136" spans="1:27">
      <c r="A136" s="144"/>
      <c r="B136" s="145"/>
      <c r="C136" s="146"/>
      <c r="D136" s="147"/>
      <c r="E136" s="151"/>
      <c r="F136" s="156"/>
      <c r="G136" s="92"/>
      <c r="H136" s="127"/>
      <c r="I136" s="149"/>
      <c r="J136" s="95"/>
      <c r="K136" s="154"/>
      <c r="L136" s="119"/>
      <c r="M136" s="128"/>
      <c r="N136" s="99"/>
      <c r="O136" s="129"/>
      <c r="P136" s="101"/>
      <c r="Q136" s="130"/>
      <c r="R136" s="103"/>
      <c r="S136" s="131"/>
      <c r="T136" s="105"/>
      <c r="U136" s="132"/>
      <c r="V136" s="107"/>
      <c r="W136" s="133"/>
      <c r="X136" s="109"/>
      <c r="Y136" s="134"/>
      <c r="Z136" s="151"/>
      <c r="AA136" s="151"/>
    </row>
    <row r="137" spans="1:27">
      <c r="A137" s="135" t="s">
        <v>7989</v>
      </c>
      <c r="B137" s="136" t="s">
        <v>8033</v>
      </c>
      <c r="C137" s="137" t="s">
        <v>4133</v>
      </c>
      <c r="D137" s="138" t="s">
        <v>4366</v>
      </c>
      <c r="E137" s="139" t="s">
        <v>4367</v>
      </c>
      <c r="F137" s="61" t="s">
        <v>8034</v>
      </c>
      <c r="G137" s="92">
        <f>G141</f>
        <v>1.4</v>
      </c>
      <c r="H137" s="93">
        <f t="shared" ref="H137:M137" si="168">SUM(G137:G141)</f>
        <v>9.1</v>
      </c>
      <c r="I137" s="141" t="s">
        <v>8035</v>
      </c>
      <c r="J137" s="95">
        <f>J141</f>
        <v>19</v>
      </c>
      <c r="K137" s="142">
        <f t="shared" si="168"/>
        <v>124</v>
      </c>
      <c r="L137" s="119">
        <f>L141</f>
        <v>1.2</v>
      </c>
      <c r="M137" s="98">
        <f t="shared" si="168"/>
        <v>7.8</v>
      </c>
      <c r="N137" s="99">
        <f t="shared" ref="N137:R137" si="169">N141</f>
        <v>0</v>
      </c>
      <c r="O137" s="100">
        <f t="shared" ref="O137:S137" si="170">SUM(N137:N141)</f>
        <v>0</v>
      </c>
      <c r="P137" s="101">
        <f t="shared" si="169"/>
        <v>0</v>
      </c>
      <c r="Q137" s="102">
        <f t="shared" si="170"/>
        <v>0</v>
      </c>
      <c r="R137" s="103">
        <f t="shared" si="169"/>
        <v>0</v>
      </c>
      <c r="S137" s="104">
        <f t="shared" si="170"/>
        <v>0</v>
      </c>
      <c r="T137" s="105">
        <f>T141</f>
        <v>0</v>
      </c>
      <c r="U137" s="106">
        <f t="shared" ref="U137:Y137" si="171">SUM(T137:T141)</f>
        <v>0</v>
      </c>
      <c r="V137" s="107">
        <f>V141</f>
        <v>0</v>
      </c>
      <c r="W137" s="108">
        <f t="shared" si="171"/>
        <v>0</v>
      </c>
      <c r="X137" s="109">
        <f>X141</f>
        <v>0</v>
      </c>
      <c r="Y137" s="110">
        <f t="shared" si="171"/>
        <v>0</v>
      </c>
      <c r="Z137" s="139"/>
      <c r="AA137" s="139"/>
    </row>
    <row r="138" spans="1:27">
      <c r="A138" s="144"/>
      <c r="B138" s="145"/>
      <c r="C138" s="146" t="s">
        <v>4115</v>
      </c>
      <c r="D138" s="147" t="s">
        <v>4368</v>
      </c>
      <c r="E138" s="139" t="s">
        <v>4369</v>
      </c>
      <c r="F138" s="61" t="s">
        <v>8036</v>
      </c>
      <c r="G138" s="92">
        <f>G141*2</f>
        <v>2.8</v>
      </c>
      <c r="H138" s="117"/>
      <c r="I138" s="149"/>
      <c r="J138" s="95">
        <f>J141*2</f>
        <v>38</v>
      </c>
      <c r="K138" s="150"/>
      <c r="L138" s="119">
        <f>L141*2</f>
        <v>2.4</v>
      </c>
      <c r="M138" s="120"/>
      <c r="N138" s="99">
        <f t="shared" ref="N138:R138" si="172">N141*2</f>
        <v>0</v>
      </c>
      <c r="O138" s="121"/>
      <c r="P138" s="101">
        <f t="shared" si="172"/>
        <v>0</v>
      </c>
      <c r="Q138" s="122"/>
      <c r="R138" s="103">
        <f t="shared" si="172"/>
        <v>0</v>
      </c>
      <c r="S138" s="123"/>
      <c r="T138" s="105">
        <f>T141*2</f>
        <v>0</v>
      </c>
      <c r="U138" s="124"/>
      <c r="V138" s="107">
        <f>V141*2</f>
        <v>0</v>
      </c>
      <c r="W138" s="125"/>
      <c r="X138" s="109">
        <f>X141*2</f>
        <v>0</v>
      </c>
      <c r="Y138" s="126"/>
      <c r="Z138" s="151"/>
      <c r="AA138" s="151"/>
    </row>
    <row r="139" spans="1:27">
      <c r="A139" s="144"/>
      <c r="B139" s="145"/>
      <c r="C139" s="146" t="s">
        <v>4118</v>
      </c>
      <c r="D139" s="147" t="s">
        <v>4370</v>
      </c>
      <c r="E139" s="139" t="s">
        <v>4371</v>
      </c>
      <c r="F139" s="61" t="s">
        <v>8034</v>
      </c>
      <c r="G139" s="92">
        <f>G141</f>
        <v>1.4</v>
      </c>
      <c r="H139" s="117"/>
      <c r="I139" s="149"/>
      <c r="J139" s="95">
        <f>J141</f>
        <v>19</v>
      </c>
      <c r="K139" s="150"/>
      <c r="L139" s="119">
        <f>L141</f>
        <v>1.2</v>
      </c>
      <c r="M139" s="120"/>
      <c r="N139" s="99">
        <f t="shared" ref="N139:R139" si="173">N141</f>
        <v>0</v>
      </c>
      <c r="O139" s="121"/>
      <c r="P139" s="101">
        <f t="shared" si="173"/>
        <v>0</v>
      </c>
      <c r="Q139" s="122"/>
      <c r="R139" s="103">
        <f t="shared" si="173"/>
        <v>0</v>
      </c>
      <c r="S139" s="123"/>
      <c r="T139" s="105">
        <f>T141</f>
        <v>0</v>
      </c>
      <c r="U139" s="124"/>
      <c r="V139" s="107">
        <f>V141</f>
        <v>0</v>
      </c>
      <c r="W139" s="125"/>
      <c r="X139" s="109">
        <f>X141</f>
        <v>0</v>
      </c>
      <c r="Y139" s="126"/>
      <c r="Z139" s="151"/>
      <c r="AA139" s="151"/>
    </row>
    <row r="140" spans="1:27">
      <c r="A140" s="144"/>
      <c r="B140" s="145"/>
      <c r="C140" s="146" t="s">
        <v>4121</v>
      </c>
      <c r="D140" s="147" t="s">
        <v>4372</v>
      </c>
      <c r="E140" s="139" t="s">
        <v>4373</v>
      </c>
      <c r="F140" s="61" t="s">
        <v>8037</v>
      </c>
      <c r="G140" s="92">
        <v>2.1</v>
      </c>
      <c r="H140" s="117"/>
      <c r="I140" s="149"/>
      <c r="J140" s="95">
        <v>29</v>
      </c>
      <c r="K140" s="150"/>
      <c r="L140" s="119">
        <v>1.8</v>
      </c>
      <c r="M140" s="120"/>
      <c r="N140" s="99">
        <v>0</v>
      </c>
      <c r="O140" s="121"/>
      <c r="P140" s="101">
        <v>0</v>
      </c>
      <c r="Q140" s="122"/>
      <c r="R140" s="103">
        <v>0</v>
      </c>
      <c r="S140" s="123"/>
      <c r="T140" s="105">
        <v>0</v>
      </c>
      <c r="U140" s="124"/>
      <c r="V140" s="107">
        <v>0</v>
      </c>
      <c r="W140" s="125"/>
      <c r="X140" s="109">
        <v>0</v>
      </c>
      <c r="Y140" s="126"/>
      <c r="Z140" s="151"/>
      <c r="AA140" s="151"/>
    </row>
    <row r="141" spans="1:27">
      <c r="A141" s="144"/>
      <c r="B141" s="145"/>
      <c r="C141" s="146" t="s">
        <v>4124</v>
      </c>
      <c r="D141" s="147" t="s">
        <v>4374</v>
      </c>
      <c r="E141" s="139" t="s">
        <v>4375</v>
      </c>
      <c r="F141" s="61" t="s">
        <v>8034</v>
      </c>
      <c r="G141" s="92">
        <f>ROUND(G140*2/3,1)</f>
        <v>1.4</v>
      </c>
      <c r="H141" s="127"/>
      <c r="I141" s="149"/>
      <c r="J141" s="95">
        <f>ROUND(J140*2/3,0)</f>
        <v>19</v>
      </c>
      <c r="K141" s="154"/>
      <c r="L141" s="119">
        <f>ROUND(L140*2/3,1)</f>
        <v>1.2</v>
      </c>
      <c r="M141" s="128"/>
      <c r="N141" s="99">
        <f>ROUND(N140*2/3,0)</f>
        <v>0</v>
      </c>
      <c r="O141" s="129"/>
      <c r="P141" s="101">
        <f>ROUND(P140*2/3,0)</f>
        <v>0</v>
      </c>
      <c r="Q141" s="130"/>
      <c r="R141" s="103">
        <f>ROUND(R140*2/3,0)</f>
        <v>0</v>
      </c>
      <c r="S141" s="131"/>
      <c r="T141" s="105">
        <f>ROUND(T140*2/3,0)</f>
        <v>0</v>
      </c>
      <c r="U141" s="132"/>
      <c r="V141" s="107">
        <f>ROUND(V140*2/3,0)</f>
        <v>0</v>
      </c>
      <c r="W141" s="133"/>
      <c r="X141" s="109">
        <f>ROUND(X140*2/3,0)</f>
        <v>0</v>
      </c>
      <c r="Y141" s="134"/>
      <c r="Z141" s="151"/>
      <c r="AA141" s="151"/>
    </row>
    <row r="142" spans="1:27">
      <c r="A142" s="135" t="s">
        <v>7989</v>
      </c>
      <c r="B142" s="136" t="s">
        <v>8038</v>
      </c>
      <c r="C142" s="137" t="s">
        <v>4133</v>
      </c>
      <c r="D142" s="138" t="s">
        <v>4376</v>
      </c>
      <c r="E142" s="139" t="s">
        <v>4377</v>
      </c>
      <c r="F142" s="58" t="s">
        <v>7912</v>
      </c>
      <c r="G142" s="92">
        <f>G146</f>
        <v>1.6</v>
      </c>
      <c r="H142" s="93">
        <f t="shared" ref="H142:M142" si="174">SUM(G142:G146)</f>
        <v>10.4</v>
      </c>
      <c r="I142" s="141" t="s">
        <v>8039</v>
      </c>
      <c r="J142" s="95">
        <f>J146</f>
        <v>19</v>
      </c>
      <c r="K142" s="142">
        <f t="shared" si="174"/>
        <v>124</v>
      </c>
      <c r="L142" s="119">
        <f>L146</f>
        <v>1.2</v>
      </c>
      <c r="M142" s="98">
        <f t="shared" si="174"/>
        <v>7.8</v>
      </c>
      <c r="N142" s="99">
        <f t="shared" ref="N142:R142" si="175">N146</f>
        <v>0</v>
      </c>
      <c r="O142" s="100">
        <f t="shared" ref="O142:S142" si="176">SUM(N142:N146)</f>
        <v>0</v>
      </c>
      <c r="P142" s="101">
        <f t="shared" si="175"/>
        <v>0</v>
      </c>
      <c r="Q142" s="102">
        <f t="shared" si="176"/>
        <v>0</v>
      </c>
      <c r="R142" s="103">
        <f t="shared" si="175"/>
        <v>0</v>
      </c>
      <c r="S142" s="104">
        <f t="shared" si="176"/>
        <v>0</v>
      </c>
      <c r="T142" s="105">
        <f>T146</f>
        <v>0</v>
      </c>
      <c r="U142" s="106">
        <f t="shared" ref="U142:Y142" si="177">SUM(T142:T146)</f>
        <v>0</v>
      </c>
      <c r="V142" s="107">
        <f>V146</f>
        <v>0</v>
      </c>
      <c r="W142" s="108">
        <f t="shared" si="177"/>
        <v>0</v>
      </c>
      <c r="X142" s="109">
        <f>X146</f>
        <v>0</v>
      </c>
      <c r="Y142" s="110">
        <f t="shared" si="177"/>
        <v>0</v>
      </c>
      <c r="Z142" s="139"/>
      <c r="AA142" s="139"/>
    </row>
    <row r="143" spans="1:27">
      <c r="A143" s="144"/>
      <c r="B143" s="145"/>
      <c r="C143" s="146" t="s">
        <v>4115</v>
      </c>
      <c r="D143" s="147" t="s">
        <v>4378</v>
      </c>
      <c r="E143" s="139" t="s">
        <v>4379</v>
      </c>
      <c r="F143" s="58" t="s">
        <v>8040</v>
      </c>
      <c r="G143" s="92">
        <f>G146*2</f>
        <v>3.2</v>
      </c>
      <c r="H143" s="117"/>
      <c r="I143" s="149"/>
      <c r="J143" s="95">
        <f>J146*2</f>
        <v>38</v>
      </c>
      <c r="K143" s="150"/>
      <c r="L143" s="119">
        <f>L146*2</f>
        <v>2.4</v>
      </c>
      <c r="M143" s="120"/>
      <c r="N143" s="99">
        <f t="shared" ref="N143:R143" si="178">N146*2</f>
        <v>0</v>
      </c>
      <c r="O143" s="121"/>
      <c r="P143" s="101">
        <f t="shared" si="178"/>
        <v>0</v>
      </c>
      <c r="Q143" s="122"/>
      <c r="R143" s="103">
        <f t="shared" si="178"/>
        <v>0</v>
      </c>
      <c r="S143" s="123"/>
      <c r="T143" s="105">
        <f>T146*2</f>
        <v>0</v>
      </c>
      <c r="U143" s="124"/>
      <c r="V143" s="107">
        <f>V146*2</f>
        <v>0</v>
      </c>
      <c r="W143" s="125"/>
      <c r="X143" s="109">
        <f>X146*2</f>
        <v>0</v>
      </c>
      <c r="Y143" s="126"/>
      <c r="Z143" s="151"/>
      <c r="AA143" s="151"/>
    </row>
    <row r="144" spans="1:27">
      <c r="A144" s="144"/>
      <c r="B144" s="145"/>
      <c r="C144" s="146" t="s">
        <v>4118</v>
      </c>
      <c r="D144" s="147" t="s">
        <v>4380</v>
      </c>
      <c r="E144" s="139" t="s">
        <v>4381</v>
      </c>
      <c r="F144" s="58" t="s">
        <v>7912</v>
      </c>
      <c r="G144" s="92">
        <f>G146</f>
        <v>1.6</v>
      </c>
      <c r="H144" s="117"/>
      <c r="I144" s="149"/>
      <c r="J144" s="95">
        <f>J146</f>
        <v>19</v>
      </c>
      <c r="K144" s="150"/>
      <c r="L144" s="119">
        <f>L146</f>
        <v>1.2</v>
      </c>
      <c r="M144" s="120"/>
      <c r="N144" s="99">
        <f t="shared" ref="N144:R144" si="179">N146</f>
        <v>0</v>
      </c>
      <c r="O144" s="121"/>
      <c r="P144" s="101">
        <f t="shared" si="179"/>
        <v>0</v>
      </c>
      <c r="Q144" s="122"/>
      <c r="R144" s="103">
        <f t="shared" si="179"/>
        <v>0</v>
      </c>
      <c r="S144" s="123"/>
      <c r="T144" s="105">
        <f>T146</f>
        <v>0</v>
      </c>
      <c r="U144" s="124"/>
      <c r="V144" s="107">
        <f>V146</f>
        <v>0</v>
      </c>
      <c r="W144" s="125"/>
      <c r="X144" s="109">
        <f>X146</f>
        <v>0</v>
      </c>
      <c r="Y144" s="126"/>
      <c r="Z144" s="151"/>
      <c r="AA144" s="151"/>
    </row>
    <row r="145" spans="1:27">
      <c r="A145" s="144"/>
      <c r="B145" s="145"/>
      <c r="C145" s="146" t="s">
        <v>4121</v>
      </c>
      <c r="D145" s="147" t="s">
        <v>4382</v>
      </c>
      <c r="E145" s="139" t="s">
        <v>4383</v>
      </c>
      <c r="F145" s="58" t="s">
        <v>8041</v>
      </c>
      <c r="G145" s="92">
        <v>2.4</v>
      </c>
      <c r="H145" s="117"/>
      <c r="I145" s="149"/>
      <c r="J145" s="95">
        <v>29</v>
      </c>
      <c r="K145" s="150"/>
      <c r="L145" s="119">
        <v>1.8</v>
      </c>
      <c r="M145" s="120"/>
      <c r="N145" s="99">
        <v>0</v>
      </c>
      <c r="O145" s="121"/>
      <c r="P145" s="101">
        <v>0</v>
      </c>
      <c r="Q145" s="122"/>
      <c r="R145" s="103">
        <v>0</v>
      </c>
      <c r="S145" s="123"/>
      <c r="T145" s="105">
        <v>0</v>
      </c>
      <c r="U145" s="124"/>
      <c r="V145" s="107">
        <v>0</v>
      </c>
      <c r="W145" s="125"/>
      <c r="X145" s="109">
        <v>0</v>
      </c>
      <c r="Y145" s="126"/>
      <c r="Z145" s="151"/>
      <c r="AA145" s="151"/>
    </row>
    <row r="146" spans="1:27">
      <c r="A146" s="144"/>
      <c r="B146" s="145"/>
      <c r="C146" s="146" t="s">
        <v>4124</v>
      </c>
      <c r="D146" s="147" t="s">
        <v>4384</v>
      </c>
      <c r="E146" s="139" t="s">
        <v>4385</v>
      </c>
      <c r="F146" s="58" t="s">
        <v>7912</v>
      </c>
      <c r="G146" s="92">
        <f>ROUND(G145*2/3,1)</f>
        <v>1.6</v>
      </c>
      <c r="H146" s="127"/>
      <c r="I146" s="149"/>
      <c r="J146" s="95">
        <f>ROUND(J145*2/3,0)</f>
        <v>19</v>
      </c>
      <c r="K146" s="154"/>
      <c r="L146" s="119">
        <f>ROUND(L145*2/3,1)</f>
        <v>1.2</v>
      </c>
      <c r="M146" s="128"/>
      <c r="N146" s="99">
        <f>ROUND(N145*2/3,0)</f>
        <v>0</v>
      </c>
      <c r="O146" s="129"/>
      <c r="P146" s="101">
        <f>ROUND(P145*2/3,0)</f>
        <v>0</v>
      </c>
      <c r="Q146" s="130"/>
      <c r="R146" s="103">
        <f>ROUND(R145*2/3,0)</f>
        <v>0</v>
      </c>
      <c r="S146" s="131"/>
      <c r="T146" s="105">
        <f>ROUND(T145*2/3,0)</f>
        <v>0</v>
      </c>
      <c r="U146" s="132"/>
      <c r="V146" s="107">
        <f>ROUND(V145*2/3,0)</f>
        <v>0</v>
      </c>
      <c r="W146" s="133"/>
      <c r="X146" s="109">
        <f>ROUND(X145*2/3,0)</f>
        <v>0</v>
      </c>
      <c r="Y146" s="134"/>
      <c r="Z146" s="151"/>
      <c r="AA146" s="151"/>
    </row>
    <row r="147" spans="1:27">
      <c r="A147" s="135" t="s">
        <v>7975</v>
      </c>
      <c r="B147" s="136" t="s">
        <v>6594</v>
      </c>
      <c r="C147" s="137"/>
      <c r="D147" s="138"/>
      <c r="E147" s="139"/>
      <c r="F147" s="155"/>
      <c r="G147" s="92"/>
      <c r="H147" s="93">
        <f t="shared" ref="H147:M147" si="180">SUM(G147:G151)</f>
        <v>18.2</v>
      </c>
      <c r="I147" s="141" t="s">
        <v>7977</v>
      </c>
      <c r="J147" s="95"/>
      <c r="K147" s="142">
        <f t="shared" si="180"/>
        <v>171</v>
      </c>
      <c r="L147" s="119"/>
      <c r="M147" s="98">
        <f t="shared" si="180"/>
        <v>12.7</v>
      </c>
      <c r="N147" s="99"/>
      <c r="O147" s="100">
        <f t="shared" ref="O147:S147" si="181">SUM(N147:N151)</f>
        <v>0</v>
      </c>
      <c r="P147" s="101"/>
      <c r="Q147" s="102">
        <f t="shared" si="181"/>
        <v>0</v>
      </c>
      <c r="R147" s="103"/>
      <c r="S147" s="104">
        <f t="shared" si="181"/>
        <v>0</v>
      </c>
      <c r="T147" s="105"/>
      <c r="U147" s="106">
        <f t="shared" ref="U147:Y147" si="182">SUM(T147:T151)</f>
        <v>0</v>
      </c>
      <c r="V147" s="107"/>
      <c r="W147" s="108">
        <f t="shared" si="182"/>
        <v>0</v>
      </c>
      <c r="X147" s="109"/>
      <c r="Y147" s="110">
        <f t="shared" si="182"/>
        <v>0</v>
      </c>
      <c r="Z147" s="139" t="s">
        <v>8027</v>
      </c>
      <c r="AA147" s="139"/>
    </row>
    <row r="148" spans="1:27">
      <c r="A148" s="144"/>
      <c r="B148" s="145"/>
      <c r="C148" s="146" t="s">
        <v>4115</v>
      </c>
      <c r="D148" s="147" t="s">
        <v>4386</v>
      </c>
      <c r="E148" s="139" t="s">
        <v>4387</v>
      </c>
      <c r="F148" s="61" t="s">
        <v>998</v>
      </c>
      <c r="G148" s="92">
        <f>G151*2</f>
        <v>6.6</v>
      </c>
      <c r="H148" s="117"/>
      <c r="I148" s="149"/>
      <c r="J148" s="95">
        <f>J151*2</f>
        <v>62</v>
      </c>
      <c r="K148" s="150"/>
      <c r="L148" s="119">
        <f>L151*2</f>
        <v>4.6</v>
      </c>
      <c r="M148" s="120"/>
      <c r="N148" s="99">
        <f t="shared" ref="N148:R148" si="183">N151*2</f>
        <v>0</v>
      </c>
      <c r="O148" s="121"/>
      <c r="P148" s="101">
        <f t="shared" si="183"/>
        <v>0</v>
      </c>
      <c r="Q148" s="122"/>
      <c r="R148" s="103">
        <f t="shared" si="183"/>
        <v>0</v>
      </c>
      <c r="S148" s="123"/>
      <c r="T148" s="105">
        <f>T151*2</f>
        <v>0</v>
      </c>
      <c r="U148" s="124"/>
      <c r="V148" s="107">
        <f>V151*2</f>
        <v>0</v>
      </c>
      <c r="W148" s="125"/>
      <c r="X148" s="109">
        <f>X151*2</f>
        <v>0</v>
      </c>
      <c r="Y148" s="126"/>
      <c r="Z148" s="151"/>
      <c r="AA148" s="151"/>
    </row>
    <row r="149" spans="1:27">
      <c r="A149" s="144"/>
      <c r="B149" s="145"/>
      <c r="C149" s="146" t="s">
        <v>4118</v>
      </c>
      <c r="D149" s="147" t="s">
        <v>4388</v>
      </c>
      <c r="E149" s="139" t="s">
        <v>4389</v>
      </c>
      <c r="F149" s="61" t="s">
        <v>232</v>
      </c>
      <c r="G149" s="92">
        <f>G151</f>
        <v>3.3</v>
      </c>
      <c r="H149" s="117"/>
      <c r="I149" s="149"/>
      <c r="J149" s="95">
        <f>J151</f>
        <v>31</v>
      </c>
      <c r="K149" s="150"/>
      <c r="L149" s="119">
        <f>L151</f>
        <v>2.3</v>
      </c>
      <c r="M149" s="120"/>
      <c r="N149" s="99">
        <f t="shared" ref="N149:R149" si="184">N151</f>
        <v>0</v>
      </c>
      <c r="O149" s="121"/>
      <c r="P149" s="101">
        <f t="shared" si="184"/>
        <v>0</v>
      </c>
      <c r="Q149" s="122"/>
      <c r="R149" s="103">
        <f t="shared" si="184"/>
        <v>0</v>
      </c>
      <c r="S149" s="123"/>
      <c r="T149" s="105">
        <f>T151</f>
        <v>0</v>
      </c>
      <c r="U149" s="124"/>
      <c r="V149" s="107">
        <f>V151</f>
        <v>0</v>
      </c>
      <c r="W149" s="125"/>
      <c r="X149" s="109">
        <f>X151</f>
        <v>0</v>
      </c>
      <c r="Y149" s="126"/>
      <c r="Z149" s="151"/>
      <c r="AA149" s="151"/>
    </row>
    <row r="150" spans="1:27">
      <c r="A150" s="144"/>
      <c r="B150" s="145"/>
      <c r="C150" s="146" t="s">
        <v>4121</v>
      </c>
      <c r="D150" s="147" t="s">
        <v>4390</v>
      </c>
      <c r="E150" s="139" t="s">
        <v>4391</v>
      </c>
      <c r="F150" s="61" t="s">
        <v>1000</v>
      </c>
      <c r="G150" s="92">
        <v>5</v>
      </c>
      <c r="H150" s="117"/>
      <c r="I150" s="149"/>
      <c r="J150" s="95">
        <v>47</v>
      </c>
      <c r="K150" s="150"/>
      <c r="L150" s="119">
        <v>3.5</v>
      </c>
      <c r="M150" s="120"/>
      <c r="N150" s="99">
        <v>0</v>
      </c>
      <c r="O150" s="121"/>
      <c r="P150" s="101">
        <v>0</v>
      </c>
      <c r="Q150" s="122"/>
      <c r="R150" s="103">
        <v>0</v>
      </c>
      <c r="S150" s="123"/>
      <c r="T150" s="105">
        <v>0</v>
      </c>
      <c r="U150" s="124"/>
      <c r="V150" s="107">
        <v>0</v>
      </c>
      <c r="W150" s="125"/>
      <c r="X150" s="109">
        <v>0</v>
      </c>
      <c r="Y150" s="126"/>
      <c r="Z150" s="151"/>
      <c r="AA150" s="151"/>
    </row>
    <row r="151" spans="1:27">
      <c r="A151" s="144"/>
      <c r="B151" s="145"/>
      <c r="C151" s="146" t="s">
        <v>4124</v>
      </c>
      <c r="D151" s="147" t="s">
        <v>4392</v>
      </c>
      <c r="E151" s="139" t="s">
        <v>4393</v>
      </c>
      <c r="F151" s="61" t="s">
        <v>232</v>
      </c>
      <c r="G151" s="92">
        <f>ROUND(G150*2/3,1)</f>
        <v>3.3</v>
      </c>
      <c r="H151" s="127"/>
      <c r="I151" s="149"/>
      <c r="J151" s="95">
        <f>ROUND(J150*2/3,0)</f>
        <v>31</v>
      </c>
      <c r="K151" s="154"/>
      <c r="L151" s="119">
        <f>ROUND(L150*2/3,1)</f>
        <v>2.3</v>
      </c>
      <c r="M151" s="128"/>
      <c r="N151" s="99">
        <f>ROUND(N150*2/3,0)</f>
        <v>0</v>
      </c>
      <c r="O151" s="129"/>
      <c r="P151" s="101">
        <f>ROUND(P150*2/3,0)</f>
        <v>0</v>
      </c>
      <c r="Q151" s="130"/>
      <c r="R151" s="103">
        <f>ROUND(R150*2/3,0)</f>
        <v>0</v>
      </c>
      <c r="S151" s="131"/>
      <c r="T151" s="105">
        <f>ROUND(T150*2/3,0)</f>
        <v>0</v>
      </c>
      <c r="U151" s="132"/>
      <c r="V151" s="107">
        <f>ROUND(V150*2/3,0)</f>
        <v>0</v>
      </c>
      <c r="W151" s="133"/>
      <c r="X151" s="109">
        <f>ROUND(X150*2/3,0)</f>
        <v>0</v>
      </c>
      <c r="Y151" s="134"/>
      <c r="Z151" s="151"/>
      <c r="AA151" s="151"/>
    </row>
    <row r="152" spans="1:27">
      <c r="A152" s="135" t="s">
        <v>7975</v>
      </c>
      <c r="B152" s="136" t="s">
        <v>8042</v>
      </c>
      <c r="C152" s="137" t="s">
        <v>4133</v>
      </c>
      <c r="D152" s="138" t="s">
        <v>4394</v>
      </c>
      <c r="E152" s="139" t="s">
        <v>4395</v>
      </c>
      <c r="F152" s="61" t="s">
        <v>8005</v>
      </c>
      <c r="G152" s="92">
        <f>G156</f>
        <v>3.5</v>
      </c>
      <c r="H152" s="93">
        <f t="shared" ref="H152:M152" si="185">SUM(G152:G156)</f>
        <v>22.8</v>
      </c>
      <c r="I152" s="141" t="s">
        <v>8043</v>
      </c>
      <c r="J152" s="95">
        <f>J156</f>
        <v>31</v>
      </c>
      <c r="K152" s="142">
        <f t="shared" si="185"/>
        <v>202</v>
      </c>
      <c r="L152" s="119">
        <f>L156</f>
        <v>2.3</v>
      </c>
      <c r="M152" s="98">
        <f t="shared" si="185"/>
        <v>15</v>
      </c>
      <c r="N152" s="99">
        <f t="shared" ref="N152:R152" si="186">N156</f>
        <v>0</v>
      </c>
      <c r="O152" s="100">
        <f t="shared" ref="O152:S152" si="187">SUM(N152:N156)</f>
        <v>0</v>
      </c>
      <c r="P152" s="101">
        <f t="shared" si="186"/>
        <v>0</v>
      </c>
      <c r="Q152" s="102">
        <f t="shared" si="187"/>
        <v>0</v>
      </c>
      <c r="R152" s="103">
        <f t="shared" si="186"/>
        <v>0</v>
      </c>
      <c r="S152" s="104">
        <f t="shared" si="187"/>
        <v>0</v>
      </c>
      <c r="T152" s="105">
        <f>T156</f>
        <v>0</v>
      </c>
      <c r="U152" s="106">
        <f t="shared" ref="U152:Y152" si="188">SUM(T152:T156)</f>
        <v>0</v>
      </c>
      <c r="V152" s="107">
        <f>V156</f>
        <v>0</v>
      </c>
      <c r="W152" s="108">
        <f t="shared" si="188"/>
        <v>0</v>
      </c>
      <c r="X152" s="109">
        <f>X156</f>
        <v>0</v>
      </c>
      <c r="Y152" s="110">
        <f t="shared" si="188"/>
        <v>0</v>
      </c>
      <c r="Z152" s="139"/>
      <c r="AA152" s="139"/>
    </row>
    <row r="153" spans="1:27">
      <c r="A153" s="144"/>
      <c r="B153" s="145"/>
      <c r="C153" s="146" t="s">
        <v>4115</v>
      </c>
      <c r="D153" s="147" t="s">
        <v>4396</v>
      </c>
      <c r="E153" s="139" t="s">
        <v>4397</v>
      </c>
      <c r="F153" s="61" t="s">
        <v>8007</v>
      </c>
      <c r="G153" s="92">
        <f>G156*2</f>
        <v>7</v>
      </c>
      <c r="H153" s="117"/>
      <c r="I153" s="149"/>
      <c r="J153" s="95">
        <f>J156*2</f>
        <v>62</v>
      </c>
      <c r="K153" s="150"/>
      <c r="L153" s="119">
        <f>L156*2</f>
        <v>4.6</v>
      </c>
      <c r="M153" s="120"/>
      <c r="N153" s="99">
        <f t="shared" ref="N153:R153" si="189">N156*2</f>
        <v>0</v>
      </c>
      <c r="O153" s="121"/>
      <c r="P153" s="101">
        <f t="shared" si="189"/>
        <v>0</v>
      </c>
      <c r="Q153" s="122"/>
      <c r="R153" s="103">
        <f t="shared" si="189"/>
        <v>0</v>
      </c>
      <c r="S153" s="123"/>
      <c r="T153" s="105">
        <f>T156*2</f>
        <v>0</v>
      </c>
      <c r="U153" s="124"/>
      <c r="V153" s="107">
        <f>V156*2</f>
        <v>0</v>
      </c>
      <c r="W153" s="125"/>
      <c r="X153" s="109">
        <f>X156*2</f>
        <v>0</v>
      </c>
      <c r="Y153" s="126"/>
      <c r="Z153" s="151"/>
      <c r="AA153" s="151"/>
    </row>
    <row r="154" spans="1:27">
      <c r="A154" s="144"/>
      <c r="B154" s="145"/>
      <c r="C154" s="146" t="s">
        <v>4118</v>
      </c>
      <c r="D154" s="147" t="s">
        <v>4398</v>
      </c>
      <c r="E154" s="139" t="s">
        <v>4399</v>
      </c>
      <c r="F154" s="61" t="s">
        <v>8005</v>
      </c>
      <c r="G154" s="92">
        <f>G156</f>
        <v>3.5</v>
      </c>
      <c r="H154" s="117"/>
      <c r="I154" s="149"/>
      <c r="J154" s="95">
        <f>J156</f>
        <v>31</v>
      </c>
      <c r="K154" s="150"/>
      <c r="L154" s="119">
        <f>L156</f>
        <v>2.3</v>
      </c>
      <c r="M154" s="120"/>
      <c r="N154" s="99">
        <f t="shared" ref="N154:R154" si="190">N156</f>
        <v>0</v>
      </c>
      <c r="O154" s="121"/>
      <c r="P154" s="101">
        <f t="shared" si="190"/>
        <v>0</v>
      </c>
      <c r="Q154" s="122"/>
      <c r="R154" s="103">
        <f t="shared" si="190"/>
        <v>0</v>
      </c>
      <c r="S154" s="123"/>
      <c r="T154" s="105">
        <f>T156</f>
        <v>0</v>
      </c>
      <c r="U154" s="124"/>
      <c r="V154" s="107">
        <f>V156</f>
        <v>0</v>
      </c>
      <c r="W154" s="125"/>
      <c r="X154" s="109">
        <f>X156</f>
        <v>0</v>
      </c>
      <c r="Y154" s="126"/>
      <c r="Z154" s="151"/>
      <c r="AA154" s="151"/>
    </row>
    <row r="155" spans="1:27">
      <c r="A155" s="144"/>
      <c r="B155" s="145"/>
      <c r="C155" s="146" t="s">
        <v>4121</v>
      </c>
      <c r="D155" s="147" t="s">
        <v>4400</v>
      </c>
      <c r="E155" s="139" t="s">
        <v>4401</v>
      </c>
      <c r="F155" s="61" t="s">
        <v>8008</v>
      </c>
      <c r="G155" s="92">
        <v>5.3</v>
      </c>
      <c r="H155" s="117"/>
      <c r="I155" s="149"/>
      <c r="J155" s="95">
        <v>47</v>
      </c>
      <c r="K155" s="150"/>
      <c r="L155" s="119">
        <v>3.5</v>
      </c>
      <c r="M155" s="120"/>
      <c r="N155" s="99">
        <v>0</v>
      </c>
      <c r="O155" s="121"/>
      <c r="P155" s="101">
        <v>0</v>
      </c>
      <c r="Q155" s="122"/>
      <c r="R155" s="103">
        <v>0</v>
      </c>
      <c r="S155" s="123"/>
      <c r="T155" s="105">
        <v>0</v>
      </c>
      <c r="U155" s="124"/>
      <c r="V155" s="107">
        <v>0</v>
      </c>
      <c r="W155" s="125"/>
      <c r="X155" s="109">
        <v>0</v>
      </c>
      <c r="Y155" s="126"/>
      <c r="Z155" s="151"/>
      <c r="AA155" s="151"/>
    </row>
    <row r="156" spans="1:27">
      <c r="A156" s="144"/>
      <c r="B156" s="145"/>
      <c r="C156" s="146" t="s">
        <v>4124</v>
      </c>
      <c r="D156" s="147" t="s">
        <v>4402</v>
      </c>
      <c r="E156" s="139" t="s">
        <v>4403</v>
      </c>
      <c r="F156" s="61" t="s">
        <v>8005</v>
      </c>
      <c r="G156" s="92">
        <f>ROUND(G155*2/3,1)</f>
        <v>3.5</v>
      </c>
      <c r="H156" s="127"/>
      <c r="I156" s="149"/>
      <c r="J156" s="95">
        <f>ROUND(J155*2/3,0)</f>
        <v>31</v>
      </c>
      <c r="K156" s="154"/>
      <c r="L156" s="119">
        <f>ROUND(L155*2/3,1)</f>
        <v>2.3</v>
      </c>
      <c r="M156" s="128"/>
      <c r="N156" s="99">
        <f>ROUND(N155*2/3,0)</f>
        <v>0</v>
      </c>
      <c r="O156" s="129"/>
      <c r="P156" s="101">
        <f>ROUND(P155*2/3,0)</f>
        <v>0</v>
      </c>
      <c r="Q156" s="130"/>
      <c r="R156" s="103">
        <f>ROUND(R155*2/3,0)</f>
        <v>0</v>
      </c>
      <c r="S156" s="131"/>
      <c r="T156" s="105">
        <f>ROUND(T155*2/3,0)</f>
        <v>0</v>
      </c>
      <c r="U156" s="132"/>
      <c r="V156" s="107">
        <f>ROUND(V155*2/3,0)</f>
        <v>0</v>
      </c>
      <c r="W156" s="133"/>
      <c r="X156" s="109">
        <f>ROUND(X155*2/3,0)</f>
        <v>0</v>
      </c>
      <c r="Y156" s="134"/>
      <c r="Z156" s="151"/>
      <c r="AA156" s="151"/>
    </row>
    <row r="157" spans="1:27">
      <c r="A157" s="135" t="s">
        <v>7975</v>
      </c>
      <c r="B157" s="136" t="s">
        <v>8044</v>
      </c>
      <c r="C157" s="137" t="s">
        <v>4133</v>
      </c>
      <c r="D157" s="138" t="s">
        <v>4404</v>
      </c>
      <c r="E157" s="139" t="s">
        <v>4405</v>
      </c>
      <c r="F157" s="61" t="s">
        <v>214</v>
      </c>
      <c r="G157" s="92">
        <f>G161</f>
        <v>3.6</v>
      </c>
      <c r="H157" s="93">
        <f t="shared" ref="H157:M157" si="191">SUM(G157:G161)</f>
        <v>23.4</v>
      </c>
      <c r="I157" s="141" t="s">
        <v>8045</v>
      </c>
      <c r="J157" s="95">
        <f>J161</f>
        <v>31</v>
      </c>
      <c r="K157" s="142">
        <f t="shared" si="191"/>
        <v>202</v>
      </c>
      <c r="L157" s="119">
        <f>L161</f>
        <v>2.3</v>
      </c>
      <c r="M157" s="98">
        <f t="shared" si="191"/>
        <v>15</v>
      </c>
      <c r="N157" s="99">
        <f t="shared" ref="N157:R157" si="192">N161</f>
        <v>0</v>
      </c>
      <c r="O157" s="100">
        <f t="shared" ref="O157:S157" si="193">SUM(N157:N161)</f>
        <v>0</v>
      </c>
      <c r="P157" s="101">
        <f t="shared" si="192"/>
        <v>0</v>
      </c>
      <c r="Q157" s="102">
        <f t="shared" si="193"/>
        <v>0</v>
      </c>
      <c r="R157" s="103">
        <f t="shared" si="192"/>
        <v>0</v>
      </c>
      <c r="S157" s="104">
        <f t="shared" si="193"/>
        <v>0</v>
      </c>
      <c r="T157" s="105">
        <f>T161</f>
        <v>0</v>
      </c>
      <c r="U157" s="106">
        <f t="shared" ref="U157:Y157" si="194">SUM(T157:T161)</f>
        <v>0</v>
      </c>
      <c r="V157" s="107">
        <f>V161</f>
        <v>0</v>
      </c>
      <c r="W157" s="108">
        <f t="shared" si="194"/>
        <v>0</v>
      </c>
      <c r="X157" s="109">
        <f>X161</f>
        <v>0</v>
      </c>
      <c r="Y157" s="110">
        <f t="shared" si="194"/>
        <v>0</v>
      </c>
      <c r="Z157" s="139"/>
      <c r="AA157" s="139"/>
    </row>
    <row r="158" spans="1:27">
      <c r="A158" s="144"/>
      <c r="B158" s="145"/>
      <c r="C158" s="146" t="s">
        <v>4115</v>
      </c>
      <c r="D158" s="147" t="s">
        <v>4406</v>
      </c>
      <c r="E158" s="139" t="s">
        <v>4407</v>
      </c>
      <c r="F158" s="61" t="s">
        <v>952</v>
      </c>
      <c r="G158" s="92">
        <f>G161*2</f>
        <v>7.2</v>
      </c>
      <c r="H158" s="117"/>
      <c r="I158" s="149"/>
      <c r="J158" s="95">
        <f>J161*2</f>
        <v>62</v>
      </c>
      <c r="K158" s="150"/>
      <c r="L158" s="119">
        <f>L161*2</f>
        <v>4.6</v>
      </c>
      <c r="M158" s="120"/>
      <c r="N158" s="99">
        <f t="shared" ref="N158:R158" si="195">N161*2</f>
        <v>0</v>
      </c>
      <c r="O158" s="121"/>
      <c r="P158" s="101">
        <f t="shared" si="195"/>
        <v>0</v>
      </c>
      <c r="Q158" s="122"/>
      <c r="R158" s="103">
        <f t="shared" si="195"/>
        <v>0</v>
      </c>
      <c r="S158" s="123"/>
      <c r="T158" s="105">
        <f>T161*2</f>
        <v>0</v>
      </c>
      <c r="U158" s="124"/>
      <c r="V158" s="107">
        <f>V161*2</f>
        <v>0</v>
      </c>
      <c r="W158" s="125"/>
      <c r="X158" s="109">
        <f>X161*2</f>
        <v>0</v>
      </c>
      <c r="Y158" s="126"/>
      <c r="Z158" s="151"/>
      <c r="AA158" s="151"/>
    </row>
    <row r="159" spans="1:27">
      <c r="A159" s="144"/>
      <c r="B159" s="145"/>
      <c r="C159" s="146" t="s">
        <v>4118</v>
      </c>
      <c r="D159" s="147" t="s">
        <v>4408</v>
      </c>
      <c r="E159" s="139" t="s">
        <v>4409</v>
      </c>
      <c r="F159" s="61" t="s">
        <v>214</v>
      </c>
      <c r="G159" s="92">
        <f>G161</f>
        <v>3.6</v>
      </c>
      <c r="H159" s="117"/>
      <c r="I159" s="149"/>
      <c r="J159" s="95">
        <f>J161</f>
        <v>31</v>
      </c>
      <c r="K159" s="150"/>
      <c r="L159" s="119">
        <f>L161</f>
        <v>2.3</v>
      </c>
      <c r="M159" s="120"/>
      <c r="N159" s="99">
        <f t="shared" ref="N159:R159" si="196">N161</f>
        <v>0</v>
      </c>
      <c r="O159" s="121"/>
      <c r="P159" s="101">
        <f t="shared" si="196"/>
        <v>0</v>
      </c>
      <c r="Q159" s="122"/>
      <c r="R159" s="103">
        <f t="shared" si="196"/>
        <v>0</v>
      </c>
      <c r="S159" s="123"/>
      <c r="T159" s="105">
        <f>T161</f>
        <v>0</v>
      </c>
      <c r="U159" s="124"/>
      <c r="V159" s="107">
        <f>V161</f>
        <v>0</v>
      </c>
      <c r="W159" s="125"/>
      <c r="X159" s="109">
        <f>X161</f>
        <v>0</v>
      </c>
      <c r="Y159" s="126"/>
      <c r="Z159" s="151"/>
      <c r="AA159" s="151"/>
    </row>
    <row r="160" spans="1:27">
      <c r="A160" s="144"/>
      <c r="B160" s="145"/>
      <c r="C160" s="146" t="s">
        <v>4121</v>
      </c>
      <c r="D160" s="147" t="s">
        <v>4410</v>
      </c>
      <c r="E160" s="139" t="s">
        <v>4411</v>
      </c>
      <c r="F160" s="156" t="s">
        <v>954</v>
      </c>
      <c r="G160" s="92">
        <v>5.4</v>
      </c>
      <c r="H160" s="117"/>
      <c r="I160" s="149"/>
      <c r="J160" s="95">
        <v>47</v>
      </c>
      <c r="K160" s="150"/>
      <c r="L160" s="119">
        <v>3.5</v>
      </c>
      <c r="M160" s="120"/>
      <c r="N160" s="99">
        <v>0</v>
      </c>
      <c r="O160" s="121"/>
      <c r="P160" s="101">
        <v>0</v>
      </c>
      <c r="Q160" s="122"/>
      <c r="R160" s="103">
        <v>0</v>
      </c>
      <c r="S160" s="123"/>
      <c r="T160" s="105">
        <v>0</v>
      </c>
      <c r="U160" s="124"/>
      <c r="V160" s="107">
        <v>0</v>
      </c>
      <c r="W160" s="125"/>
      <c r="X160" s="109">
        <v>0</v>
      </c>
      <c r="Y160" s="126"/>
      <c r="Z160" s="151"/>
      <c r="AA160" s="151"/>
    </row>
    <row r="161" spans="1:27">
      <c r="A161" s="144"/>
      <c r="B161" s="145"/>
      <c r="C161" s="146" t="s">
        <v>4124</v>
      </c>
      <c r="D161" s="147" t="s">
        <v>4412</v>
      </c>
      <c r="E161" s="139" t="s">
        <v>4413</v>
      </c>
      <c r="F161" s="61" t="s">
        <v>214</v>
      </c>
      <c r="G161" s="92">
        <f>ROUND(G160*2/3,1)</f>
        <v>3.6</v>
      </c>
      <c r="H161" s="127"/>
      <c r="I161" s="149"/>
      <c r="J161" s="95">
        <f>ROUND(J160*2/3,0)</f>
        <v>31</v>
      </c>
      <c r="K161" s="154"/>
      <c r="L161" s="119">
        <f>ROUND(L160*2/3,1)</f>
        <v>2.3</v>
      </c>
      <c r="M161" s="128"/>
      <c r="N161" s="99">
        <f>ROUND(N160*2/3,0)</f>
        <v>0</v>
      </c>
      <c r="O161" s="129"/>
      <c r="P161" s="101">
        <f>ROUND(P160*2/3,0)</f>
        <v>0</v>
      </c>
      <c r="Q161" s="130"/>
      <c r="R161" s="103">
        <f>ROUND(R160*2/3,0)</f>
        <v>0</v>
      </c>
      <c r="S161" s="131"/>
      <c r="T161" s="105">
        <f>ROUND(T160*2/3,0)</f>
        <v>0</v>
      </c>
      <c r="U161" s="132"/>
      <c r="V161" s="107">
        <f>ROUND(V160*2/3,0)</f>
        <v>0</v>
      </c>
      <c r="W161" s="133"/>
      <c r="X161" s="109">
        <f>ROUND(X160*2/3,0)</f>
        <v>0</v>
      </c>
      <c r="Y161" s="134"/>
      <c r="Z161" s="151"/>
      <c r="AA161" s="151"/>
    </row>
    <row r="162" spans="1:27">
      <c r="A162" s="135" t="s">
        <v>7975</v>
      </c>
      <c r="B162" s="136" t="s">
        <v>7205</v>
      </c>
      <c r="C162" s="137" t="s">
        <v>4133</v>
      </c>
      <c r="D162" s="138" t="s">
        <v>4414</v>
      </c>
      <c r="E162" s="139" t="s">
        <v>4415</v>
      </c>
      <c r="F162" s="140" t="s">
        <v>3131</v>
      </c>
      <c r="G162" s="92">
        <f>G166</f>
        <v>3.9</v>
      </c>
      <c r="H162" s="93">
        <f t="shared" ref="H162:M162" si="197">SUM(G162:G166)</f>
        <v>25.4</v>
      </c>
      <c r="I162" s="141" t="s">
        <v>8046</v>
      </c>
      <c r="J162" s="95">
        <f>J166</f>
        <v>31</v>
      </c>
      <c r="K162" s="142">
        <f t="shared" si="197"/>
        <v>202</v>
      </c>
      <c r="L162" s="119">
        <f>L166</f>
        <v>2.3</v>
      </c>
      <c r="M162" s="98">
        <f t="shared" si="197"/>
        <v>15</v>
      </c>
      <c r="N162" s="99">
        <f t="shared" ref="N162:R162" si="198">N166</f>
        <v>0</v>
      </c>
      <c r="O162" s="100">
        <f t="shared" ref="O162:S162" si="199">SUM(N162:N166)</f>
        <v>0</v>
      </c>
      <c r="P162" s="101">
        <f t="shared" si="198"/>
        <v>0</v>
      </c>
      <c r="Q162" s="102">
        <f t="shared" si="199"/>
        <v>0</v>
      </c>
      <c r="R162" s="103">
        <f t="shared" si="198"/>
        <v>8</v>
      </c>
      <c r="S162" s="104">
        <f t="shared" si="199"/>
        <v>52</v>
      </c>
      <c r="T162" s="105">
        <f>T166</f>
        <v>0</v>
      </c>
      <c r="U162" s="106">
        <f t="shared" ref="U162:Y162" si="200">SUM(T162:T166)</f>
        <v>0</v>
      </c>
      <c r="V162" s="107">
        <f>V166</f>
        <v>0</v>
      </c>
      <c r="W162" s="108">
        <f t="shared" si="200"/>
        <v>0</v>
      </c>
      <c r="X162" s="109">
        <f>X166</f>
        <v>0</v>
      </c>
      <c r="Y162" s="110">
        <f t="shared" si="200"/>
        <v>0</v>
      </c>
      <c r="Z162" s="139"/>
      <c r="AA162" s="139"/>
    </row>
    <row r="163" spans="1:27">
      <c r="A163" s="144"/>
      <c r="B163" s="145"/>
      <c r="C163" s="146" t="s">
        <v>4115</v>
      </c>
      <c r="D163" s="147" t="s">
        <v>4416</v>
      </c>
      <c r="E163" s="139" t="s">
        <v>4417</v>
      </c>
      <c r="F163" s="148"/>
      <c r="G163" s="92">
        <f>G166*2</f>
        <v>7.8</v>
      </c>
      <c r="H163" s="117"/>
      <c r="I163" s="149"/>
      <c r="J163" s="95">
        <f>J166*2</f>
        <v>62</v>
      </c>
      <c r="K163" s="150"/>
      <c r="L163" s="119">
        <f>L166*2</f>
        <v>4.6</v>
      </c>
      <c r="M163" s="120"/>
      <c r="N163" s="99">
        <f t="shared" ref="N163:R163" si="201">N166*2</f>
        <v>0</v>
      </c>
      <c r="O163" s="121"/>
      <c r="P163" s="101">
        <f t="shared" si="201"/>
        <v>0</v>
      </c>
      <c r="Q163" s="122"/>
      <c r="R163" s="103">
        <f t="shared" si="201"/>
        <v>16</v>
      </c>
      <c r="S163" s="123"/>
      <c r="T163" s="105">
        <f>T166*2</f>
        <v>0</v>
      </c>
      <c r="U163" s="124"/>
      <c r="V163" s="107">
        <f>V166*2</f>
        <v>0</v>
      </c>
      <c r="W163" s="125"/>
      <c r="X163" s="109">
        <f>X166*2</f>
        <v>0</v>
      </c>
      <c r="Y163" s="126"/>
      <c r="Z163" s="151"/>
      <c r="AA163" s="151"/>
    </row>
    <row r="164" spans="1:27">
      <c r="A164" s="144"/>
      <c r="B164" s="145"/>
      <c r="C164" s="146" t="s">
        <v>4118</v>
      </c>
      <c r="D164" s="147" t="s">
        <v>4418</v>
      </c>
      <c r="E164" s="139" t="s">
        <v>4419</v>
      </c>
      <c r="F164" s="148"/>
      <c r="G164" s="92">
        <f>G166</f>
        <v>3.9</v>
      </c>
      <c r="H164" s="117"/>
      <c r="I164" s="149"/>
      <c r="J164" s="95">
        <f>J166</f>
        <v>31</v>
      </c>
      <c r="K164" s="150"/>
      <c r="L164" s="119">
        <f>L166</f>
        <v>2.3</v>
      </c>
      <c r="M164" s="120"/>
      <c r="N164" s="99">
        <f t="shared" ref="N164:R164" si="202">N166</f>
        <v>0</v>
      </c>
      <c r="O164" s="121"/>
      <c r="P164" s="101">
        <f t="shared" si="202"/>
        <v>0</v>
      </c>
      <c r="Q164" s="122"/>
      <c r="R164" s="103">
        <f t="shared" si="202"/>
        <v>8</v>
      </c>
      <c r="S164" s="123"/>
      <c r="T164" s="105">
        <f>T166</f>
        <v>0</v>
      </c>
      <c r="U164" s="124"/>
      <c r="V164" s="107">
        <f>V166</f>
        <v>0</v>
      </c>
      <c r="W164" s="125"/>
      <c r="X164" s="109">
        <f>X166</f>
        <v>0</v>
      </c>
      <c r="Y164" s="126"/>
      <c r="Z164" s="151"/>
      <c r="AA164" s="151"/>
    </row>
    <row r="165" spans="1:27">
      <c r="A165" s="144"/>
      <c r="B165" s="145"/>
      <c r="C165" s="146" t="s">
        <v>4121</v>
      </c>
      <c r="D165" s="147" t="s">
        <v>4420</v>
      </c>
      <c r="E165" s="139" t="s">
        <v>4421</v>
      </c>
      <c r="F165" s="148"/>
      <c r="G165" s="92">
        <v>5.9</v>
      </c>
      <c r="H165" s="117"/>
      <c r="I165" s="149"/>
      <c r="J165" s="95">
        <v>47</v>
      </c>
      <c r="K165" s="150"/>
      <c r="L165" s="119">
        <v>3.5</v>
      </c>
      <c r="M165" s="120"/>
      <c r="N165" s="99">
        <v>0</v>
      </c>
      <c r="O165" s="121"/>
      <c r="P165" s="101">
        <v>0</v>
      </c>
      <c r="Q165" s="122"/>
      <c r="R165" s="103">
        <v>12</v>
      </c>
      <c r="S165" s="123"/>
      <c r="T165" s="105">
        <v>0</v>
      </c>
      <c r="U165" s="124"/>
      <c r="V165" s="107">
        <v>0</v>
      </c>
      <c r="W165" s="125"/>
      <c r="X165" s="109">
        <v>0</v>
      </c>
      <c r="Y165" s="126"/>
      <c r="Z165" s="151"/>
      <c r="AA165" s="151"/>
    </row>
    <row r="166" spans="1:27">
      <c r="A166" s="144"/>
      <c r="B166" s="145"/>
      <c r="C166" s="146" t="s">
        <v>4124</v>
      </c>
      <c r="D166" s="147" t="s">
        <v>4422</v>
      </c>
      <c r="E166" s="139" t="s">
        <v>4423</v>
      </c>
      <c r="F166" s="153"/>
      <c r="G166" s="92">
        <f>ROUND(G165*2/3,1)</f>
        <v>3.9</v>
      </c>
      <c r="H166" s="127"/>
      <c r="I166" s="149"/>
      <c r="J166" s="95">
        <f>ROUND(J165*2/3,0)</f>
        <v>31</v>
      </c>
      <c r="K166" s="154"/>
      <c r="L166" s="119">
        <f>ROUND(L165*2/3,1)</f>
        <v>2.3</v>
      </c>
      <c r="M166" s="128"/>
      <c r="N166" s="99">
        <f>ROUND(N165*2/3,0)</f>
        <v>0</v>
      </c>
      <c r="O166" s="129"/>
      <c r="P166" s="101">
        <f>ROUND(P165*2/3,0)</f>
        <v>0</v>
      </c>
      <c r="Q166" s="130"/>
      <c r="R166" s="103">
        <f>ROUND(R165*2/3,0)</f>
        <v>8</v>
      </c>
      <c r="S166" s="131"/>
      <c r="T166" s="105">
        <f>ROUND(T165*2/3,0)</f>
        <v>0</v>
      </c>
      <c r="U166" s="132"/>
      <c r="V166" s="107">
        <f>ROUND(V165*2/3,0)</f>
        <v>0</v>
      </c>
      <c r="W166" s="133"/>
      <c r="X166" s="109">
        <f>ROUND(X165*2/3,0)</f>
        <v>0</v>
      </c>
      <c r="Y166" s="134"/>
      <c r="Z166" s="151"/>
      <c r="AA166" s="151"/>
    </row>
    <row r="167" spans="1:27">
      <c r="A167" s="135" t="s">
        <v>7989</v>
      </c>
      <c r="B167" s="136" t="s">
        <v>7239</v>
      </c>
      <c r="C167" s="137" t="s">
        <v>4133</v>
      </c>
      <c r="D167" s="138" t="s">
        <v>4424</v>
      </c>
      <c r="E167" s="139" t="s">
        <v>4425</v>
      </c>
      <c r="F167" s="140" t="s">
        <v>3133</v>
      </c>
      <c r="G167" s="92">
        <f>G171</f>
        <v>1.4</v>
      </c>
      <c r="H167" s="93">
        <f t="shared" ref="H167:M167" si="203">SUM(G167:G171)</f>
        <v>9.1</v>
      </c>
      <c r="I167" s="141" t="s">
        <v>8047</v>
      </c>
      <c r="J167" s="95">
        <f>J171</f>
        <v>19</v>
      </c>
      <c r="K167" s="142">
        <f t="shared" si="203"/>
        <v>124</v>
      </c>
      <c r="L167" s="119">
        <f>L171</f>
        <v>1.2</v>
      </c>
      <c r="M167" s="98">
        <f t="shared" si="203"/>
        <v>7.8</v>
      </c>
      <c r="N167" s="99">
        <f t="shared" ref="N167:R167" si="204">N171</f>
        <v>0</v>
      </c>
      <c r="O167" s="100">
        <f t="shared" ref="O167:S167" si="205">SUM(N167:N171)</f>
        <v>0</v>
      </c>
      <c r="P167" s="101">
        <f t="shared" si="204"/>
        <v>0</v>
      </c>
      <c r="Q167" s="102">
        <f t="shared" si="205"/>
        <v>0</v>
      </c>
      <c r="R167" s="103">
        <f t="shared" si="204"/>
        <v>0</v>
      </c>
      <c r="S167" s="104">
        <f t="shared" si="205"/>
        <v>0</v>
      </c>
      <c r="T167" s="105">
        <f>T171</f>
        <v>0</v>
      </c>
      <c r="U167" s="106">
        <f t="shared" ref="U167:Y167" si="206">SUM(T167:T171)</f>
        <v>0</v>
      </c>
      <c r="V167" s="107">
        <f>V171</f>
        <v>0</v>
      </c>
      <c r="W167" s="108">
        <f t="shared" si="206"/>
        <v>0</v>
      </c>
      <c r="X167" s="109">
        <f>X171</f>
        <v>8</v>
      </c>
      <c r="Y167" s="110">
        <f t="shared" si="206"/>
        <v>52</v>
      </c>
      <c r="Z167" s="139"/>
      <c r="AA167" s="139"/>
    </row>
    <row r="168" spans="1:27">
      <c r="A168" s="144"/>
      <c r="B168" s="145"/>
      <c r="C168" s="146" t="s">
        <v>4115</v>
      </c>
      <c r="D168" s="147" t="s">
        <v>4426</v>
      </c>
      <c r="E168" s="139" t="s">
        <v>4427</v>
      </c>
      <c r="F168" s="148"/>
      <c r="G168" s="92">
        <f>G171*2</f>
        <v>2.8</v>
      </c>
      <c r="H168" s="117"/>
      <c r="I168" s="149"/>
      <c r="J168" s="95">
        <f>J171*2</f>
        <v>38</v>
      </c>
      <c r="K168" s="150"/>
      <c r="L168" s="119">
        <f>L171*2</f>
        <v>2.4</v>
      </c>
      <c r="M168" s="120"/>
      <c r="N168" s="99">
        <f t="shared" ref="N168:R168" si="207">N171*2</f>
        <v>0</v>
      </c>
      <c r="O168" s="121"/>
      <c r="P168" s="101">
        <f t="shared" si="207"/>
        <v>0</v>
      </c>
      <c r="Q168" s="122"/>
      <c r="R168" s="103">
        <f t="shared" si="207"/>
        <v>0</v>
      </c>
      <c r="S168" s="123"/>
      <c r="T168" s="105">
        <f>T171*2</f>
        <v>0</v>
      </c>
      <c r="U168" s="124"/>
      <c r="V168" s="107">
        <f>V171*2</f>
        <v>0</v>
      </c>
      <c r="W168" s="125"/>
      <c r="X168" s="109">
        <f>X171*2</f>
        <v>16</v>
      </c>
      <c r="Y168" s="126"/>
      <c r="Z168" s="151"/>
      <c r="AA168" s="151"/>
    </row>
    <row r="169" spans="1:27">
      <c r="A169" s="144"/>
      <c r="B169" s="145"/>
      <c r="C169" s="146" t="s">
        <v>4118</v>
      </c>
      <c r="D169" s="147" t="s">
        <v>4428</v>
      </c>
      <c r="E169" s="139" t="s">
        <v>4429</v>
      </c>
      <c r="F169" s="148"/>
      <c r="G169" s="92">
        <f>G171</f>
        <v>1.4</v>
      </c>
      <c r="H169" s="117"/>
      <c r="I169" s="149"/>
      <c r="J169" s="95">
        <f>J171</f>
        <v>19</v>
      </c>
      <c r="K169" s="150"/>
      <c r="L169" s="119">
        <f>L171</f>
        <v>1.2</v>
      </c>
      <c r="M169" s="120"/>
      <c r="N169" s="99">
        <f t="shared" ref="N169:R169" si="208">N171</f>
        <v>0</v>
      </c>
      <c r="O169" s="121"/>
      <c r="P169" s="101">
        <f t="shared" si="208"/>
        <v>0</v>
      </c>
      <c r="Q169" s="122"/>
      <c r="R169" s="103">
        <f t="shared" si="208"/>
        <v>0</v>
      </c>
      <c r="S169" s="123"/>
      <c r="T169" s="105">
        <f>T171</f>
        <v>0</v>
      </c>
      <c r="U169" s="124"/>
      <c r="V169" s="107">
        <f>V171</f>
        <v>0</v>
      </c>
      <c r="W169" s="125"/>
      <c r="X169" s="109">
        <f>X171</f>
        <v>8</v>
      </c>
      <c r="Y169" s="126"/>
      <c r="Z169" s="151"/>
      <c r="AA169" s="151"/>
    </row>
    <row r="170" spans="1:27">
      <c r="A170" s="144"/>
      <c r="B170" s="145"/>
      <c r="C170" s="146" t="s">
        <v>4121</v>
      </c>
      <c r="D170" s="147" t="s">
        <v>4430</v>
      </c>
      <c r="E170" s="139" t="s">
        <v>4431</v>
      </c>
      <c r="F170" s="148"/>
      <c r="G170" s="92">
        <v>2.1</v>
      </c>
      <c r="H170" s="117"/>
      <c r="I170" s="149"/>
      <c r="J170" s="95">
        <v>29</v>
      </c>
      <c r="K170" s="150"/>
      <c r="L170" s="119">
        <v>1.8</v>
      </c>
      <c r="M170" s="120"/>
      <c r="N170" s="99">
        <v>0</v>
      </c>
      <c r="O170" s="121"/>
      <c r="P170" s="101">
        <v>0</v>
      </c>
      <c r="Q170" s="122"/>
      <c r="R170" s="103">
        <v>0</v>
      </c>
      <c r="S170" s="123"/>
      <c r="T170" s="105">
        <v>0</v>
      </c>
      <c r="U170" s="124"/>
      <c r="V170" s="107">
        <v>0</v>
      </c>
      <c r="W170" s="125"/>
      <c r="X170" s="109">
        <v>12</v>
      </c>
      <c r="Y170" s="126"/>
      <c r="Z170" s="151"/>
      <c r="AA170" s="151"/>
    </row>
    <row r="171" spans="1:27">
      <c r="A171" s="144"/>
      <c r="B171" s="145"/>
      <c r="C171" s="146" t="s">
        <v>4124</v>
      </c>
      <c r="D171" s="147" t="s">
        <v>4432</v>
      </c>
      <c r="E171" s="139" t="s">
        <v>4433</v>
      </c>
      <c r="F171" s="153"/>
      <c r="G171" s="92">
        <f>ROUND(G170*2/3,1)</f>
        <v>1.4</v>
      </c>
      <c r="H171" s="127"/>
      <c r="I171" s="149"/>
      <c r="J171" s="95">
        <f>ROUND(J170*2/3,0)</f>
        <v>19</v>
      </c>
      <c r="K171" s="154"/>
      <c r="L171" s="119">
        <f>ROUND(L170*2/3,1)</f>
        <v>1.2</v>
      </c>
      <c r="M171" s="128"/>
      <c r="N171" s="99">
        <f>ROUND(N170*2/3,0)</f>
        <v>0</v>
      </c>
      <c r="O171" s="129"/>
      <c r="P171" s="101">
        <f>ROUND(P170*2/3,0)</f>
        <v>0</v>
      </c>
      <c r="Q171" s="130"/>
      <c r="R171" s="103">
        <f>ROUND(R170*2/3,0)</f>
        <v>0</v>
      </c>
      <c r="S171" s="131"/>
      <c r="T171" s="105">
        <f>ROUND(T170*2/3,0)</f>
        <v>0</v>
      </c>
      <c r="U171" s="132"/>
      <c r="V171" s="107">
        <f>ROUND(V170*2/3,0)</f>
        <v>0</v>
      </c>
      <c r="W171" s="133"/>
      <c r="X171" s="109">
        <f>ROUND(X170*2/3,0)</f>
        <v>8</v>
      </c>
      <c r="Y171" s="134"/>
      <c r="Z171" s="151"/>
      <c r="AA171" s="151"/>
    </row>
    <row r="172" spans="1:27">
      <c r="A172" s="135" t="s">
        <v>7975</v>
      </c>
      <c r="B172" s="136" t="s">
        <v>8048</v>
      </c>
      <c r="C172" s="137" t="s">
        <v>4133</v>
      </c>
      <c r="D172" s="138" t="s">
        <v>4434</v>
      </c>
      <c r="E172" s="139" t="s">
        <v>4435</v>
      </c>
      <c r="F172" s="61" t="s">
        <v>8049</v>
      </c>
      <c r="G172" s="92">
        <f>G176</f>
        <v>3.9</v>
      </c>
      <c r="H172" s="93">
        <f t="shared" ref="H172:M172" si="209">SUM(G172:G176)</f>
        <v>25.4</v>
      </c>
      <c r="I172" s="141" t="s">
        <v>8050</v>
      </c>
      <c r="J172" s="95">
        <f>J176</f>
        <v>31</v>
      </c>
      <c r="K172" s="142">
        <f t="shared" si="209"/>
        <v>202</v>
      </c>
      <c r="L172" s="119">
        <f>L176</f>
        <v>2.3</v>
      </c>
      <c r="M172" s="98">
        <f t="shared" si="209"/>
        <v>15</v>
      </c>
      <c r="N172" s="99">
        <f t="shared" ref="N172:R172" si="210">N176</f>
        <v>0</v>
      </c>
      <c r="O172" s="100">
        <f t="shared" ref="O172:S172" si="211">SUM(N172:N176)</f>
        <v>0</v>
      </c>
      <c r="P172" s="101">
        <f t="shared" si="210"/>
        <v>0</v>
      </c>
      <c r="Q172" s="102">
        <f t="shared" si="211"/>
        <v>0</v>
      </c>
      <c r="R172" s="103">
        <f t="shared" si="210"/>
        <v>0</v>
      </c>
      <c r="S172" s="104">
        <f t="shared" si="211"/>
        <v>0</v>
      </c>
      <c r="T172" s="105">
        <f>T176</f>
        <v>0</v>
      </c>
      <c r="U172" s="106">
        <f t="shared" ref="U172:Y172" si="212">SUM(T172:T176)</f>
        <v>0</v>
      </c>
      <c r="V172" s="107">
        <f>V176</f>
        <v>0</v>
      </c>
      <c r="W172" s="108">
        <f t="shared" si="212"/>
        <v>0</v>
      </c>
      <c r="X172" s="109">
        <f>X176</f>
        <v>0</v>
      </c>
      <c r="Y172" s="110">
        <f t="shared" si="212"/>
        <v>0</v>
      </c>
      <c r="Z172" s="139"/>
      <c r="AA172" s="139"/>
    </row>
    <row r="173" spans="1:27">
      <c r="A173" s="144"/>
      <c r="B173" s="145"/>
      <c r="C173" s="146" t="s">
        <v>4115</v>
      </c>
      <c r="D173" s="147" t="s">
        <v>4436</v>
      </c>
      <c r="E173" s="139" t="s">
        <v>4437</v>
      </c>
      <c r="F173" s="61" t="s">
        <v>8051</v>
      </c>
      <c r="G173" s="92">
        <f>G176*2</f>
        <v>7.8</v>
      </c>
      <c r="H173" s="117"/>
      <c r="I173" s="149"/>
      <c r="J173" s="95">
        <f>J176*2</f>
        <v>62</v>
      </c>
      <c r="K173" s="150"/>
      <c r="L173" s="119">
        <f>L176*2</f>
        <v>4.6</v>
      </c>
      <c r="M173" s="120"/>
      <c r="N173" s="99">
        <f t="shared" ref="N173:R173" si="213">N176*2</f>
        <v>0</v>
      </c>
      <c r="O173" s="121"/>
      <c r="P173" s="101">
        <f t="shared" si="213"/>
        <v>0</v>
      </c>
      <c r="Q173" s="122"/>
      <c r="R173" s="103">
        <f t="shared" si="213"/>
        <v>0</v>
      </c>
      <c r="S173" s="123"/>
      <c r="T173" s="105">
        <f>T176*2</f>
        <v>0</v>
      </c>
      <c r="U173" s="124"/>
      <c r="V173" s="107">
        <f>V176*2</f>
        <v>0</v>
      </c>
      <c r="W173" s="125"/>
      <c r="X173" s="109">
        <f>X176*2</f>
        <v>0</v>
      </c>
      <c r="Y173" s="126"/>
      <c r="Z173" s="151"/>
      <c r="AA173" s="151"/>
    </row>
    <row r="174" spans="1:27">
      <c r="A174" s="144"/>
      <c r="B174" s="145"/>
      <c r="C174" s="146" t="s">
        <v>4118</v>
      </c>
      <c r="D174" s="147" t="s">
        <v>4438</v>
      </c>
      <c r="E174" s="139" t="s">
        <v>4439</v>
      </c>
      <c r="F174" s="61" t="s">
        <v>8049</v>
      </c>
      <c r="G174" s="92">
        <f>G176</f>
        <v>3.9</v>
      </c>
      <c r="H174" s="117"/>
      <c r="I174" s="149"/>
      <c r="J174" s="95">
        <f>J176</f>
        <v>31</v>
      </c>
      <c r="K174" s="150"/>
      <c r="L174" s="119">
        <f>L176</f>
        <v>2.3</v>
      </c>
      <c r="M174" s="120"/>
      <c r="N174" s="99">
        <f t="shared" ref="N174:R174" si="214">N176</f>
        <v>0</v>
      </c>
      <c r="O174" s="121"/>
      <c r="P174" s="101">
        <f t="shared" si="214"/>
        <v>0</v>
      </c>
      <c r="Q174" s="122"/>
      <c r="R174" s="103">
        <f t="shared" si="214"/>
        <v>0</v>
      </c>
      <c r="S174" s="123"/>
      <c r="T174" s="105">
        <f>T176</f>
        <v>0</v>
      </c>
      <c r="U174" s="124"/>
      <c r="V174" s="107">
        <f>V176</f>
        <v>0</v>
      </c>
      <c r="W174" s="125"/>
      <c r="X174" s="109">
        <f>X176</f>
        <v>0</v>
      </c>
      <c r="Y174" s="126"/>
      <c r="Z174" s="151"/>
      <c r="AA174" s="151"/>
    </row>
    <row r="175" spans="1:27">
      <c r="A175" s="144"/>
      <c r="B175" s="145"/>
      <c r="C175" s="146" t="s">
        <v>4121</v>
      </c>
      <c r="D175" s="147" t="s">
        <v>4440</v>
      </c>
      <c r="E175" s="139" t="s">
        <v>4441</v>
      </c>
      <c r="F175" s="156" t="s">
        <v>8052</v>
      </c>
      <c r="G175" s="92">
        <v>5.9</v>
      </c>
      <c r="H175" s="117"/>
      <c r="I175" s="149"/>
      <c r="J175" s="95">
        <v>47</v>
      </c>
      <c r="K175" s="150"/>
      <c r="L175" s="119">
        <v>3.5</v>
      </c>
      <c r="M175" s="120"/>
      <c r="N175" s="99">
        <v>0</v>
      </c>
      <c r="O175" s="121"/>
      <c r="P175" s="101">
        <v>0</v>
      </c>
      <c r="Q175" s="122"/>
      <c r="R175" s="103">
        <v>0</v>
      </c>
      <c r="S175" s="123"/>
      <c r="T175" s="105">
        <v>0</v>
      </c>
      <c r="U175" s="124"/>
      <c r="V175" s="107">
        <v>0</v>
      </c>
      <c r="W175" s="125"/>
      <c r="X175" s="109">
        <v>0</v>
      </c>
      <c r="Y175" s="126"/>
      <c r="Z175" s="151"/>
      <c r="AA175" s="151"/>
    </row>
    <row r="176" spans="1:27">
      <c r="A176" s="144"/>
      <c r="B176" s="145"/>
      <c r="C176" s="146" t="s">
        <v>4124</v>
      </c>
      <c r="D176" s="147" t="s">
        <v>4442</v>
      </c>
      <c r="E176" s="139" t="s">
        <v>4443</v>
      </c>
      <c r="F176" s="61" t="s">
        <v>8049</v>
      </c>
      <c r="G176" s="92">
        <f>ROUND(G175*2/3,1)</f>
        <v>3.9</v>
      </c>
      <c r="H176" s="127"/>
      <c r="I176" s="149"/>
      <c r="J176" s="95">
        <f>ROUND(J175*2/3,0)</f>
        <v>31</v>
      </c>
      <c r="K176" s="154"/>
      <c r="L176" s="119">
        <f>ROUND(L175*2/3,1)</f>
        <v>2.3</v>
      </c>
      <c r="M176" s="128"/>
      <c r="N176" s="99">
        <f>ROUND(N175*2/3,0)</f>
        <v>0</v>
      </c>
      <c r="O176" s="129"/>
      <c r="P176" s="101">
        <f>ROUND(P175*2/3,0)</f>
        <v>0</v>
      </c>
      <c r="Q176" s="130"/>
      <c r="R176" s="103">
        <f>ROUND(R175*2/3,0)</f>
        <v>0</v>
      </c>
      <c r="S176" s="131"/>
      <c r="T176" s="105">
        <f>ROUND(T175*2/3,0)</f>
        <v>0</v>
      </c>
      <c r="U176" s="132"/>
      <c r="V176" s="107">
        <f>ROUND(V175*2/3,0)</f>
        <v>0</v>
      </c>
      <c r="W176" s="133"/>
      <c r="X176" s="109">
        <f>ROUND(X175*2/3,0)</f>
        <v>0</v>
      </c>
      <c r="Y176" s="134"/>
      <c r="Z176" s="151"/>
      <c r="AA176" s="151"/>
    </row>
    <row r="177" spans="1:27">
      <c r="A177" s="135" t="s">
        <v>7975</v>
      </c>
      <c r="B177" s="136" t="s">
        <v>8053</v>
      </c>
      <c r="C177" s="137" t="s">
        <v>4133</v>
      </c>
      <c r="D177" s="138" t="s">
        <v>4444</v>
      </c>
      <c r="E177" s="139" t="s">
        <v>4445</v>
      </c>
      <c r="F177" s="61" t="s">
        <v>1347</v>
      </c>
      <c r="G177" s="92">
        <f>G181</f>
        <v>3.9</v>
      </c>
      <c r="H177" s="93">
        <f t="shared" ref="H177:M177" si="215">SUM(G177:G181)</f>
        <v>25.4</v>
      </c>
      <c r="I177" s="141" t="s">
        <v>8054</v>
      </c>
      <c r="J177" s="95">
        <f>J181</f>
        <v>31</v>
      </c>
      <c r="K177" s="142">
        <f t="shared" si="215"/>
        <v>202</v>
      </c>
      <c r="L177" s="119">
        <f>L181</f>
        <v>2.3</v>
      </c>
      <c r="M177" s="98">
        <f t="shared" si="215"/>
        <v>15</v>
      </c>
      <c r="N177" s="99">
        <f t="shared" ref="N177:R177" si="216">N181</f>
        <v>0</v>
      </c>
      <c r="O177" s="100">
        <f t="shared" ref="O177:S177" si="217">SUM(N177:N181)</f>
        <v>0</v>
      </c>
      <c r="P177" s="101">
        <f t="shared" si="216"/>
        <v>0</v>
      </c>
      <c r="Q177" s="102">
        <f t="shared" si="217"/>
        <v>0</v>
      </c>
      <c r="R177" s="103">
        <f t="shared" si="216"/>
        <v>0</v>
      </c>
      <c r="S177" s="104">
        <f t="shared" si="217"/>
        <v>0</v>
      </c>
      <c r="T177" s="105">
        <f>T181</f>
        <v>0</v>
      </c>
      <c r="U177" s="106">
        <f t="shared" ref="U177:Y177" si="218">SUM(T177:T181)</f>
        <v>0</v>
      </c>
      <c r="V177" s="107">
        <f>V181</f>
        <v>0</v>
      </c>
      <c r="W177" s="108">
        <f t="shared" si="218"/>
        <v>0</v>
      </c>
      <c r="X177" s="109">
        <f>X181</f>
        <v>0</v>
      </c>
      <c r="Y177" s="110">
        <f t="shared" si="218"/>
        <v>0</v>
      </c>
      <c r="Z177" s="139"/>
      <c r="AA177" s="139"/>
    </row>
    <row r="178" spans="1:27">
      <c r="A178" s="144"/>
      <c r="B178" s="145"/>
      <c r="C178" s="146" t="s">
        <v>4115</v>
      </c>
      <c r="D178" s="147" t="s">
        <v>4446</v>
      </c>
      <c r="E178" s="139" t="s">
        <v>4447</v>
      </c>
      <c r="F178" s="61" t="s">
        <v>1349</v>
      </c>
      <c r="G178" s="92">
        <f>G181*2</f>
        <v>7.8</v>
      </c>
      <c r="H178" s="117"/>
      <c r="I178" s="149"/>
      <c r="J178" s="95">
        <f>J181*2</f>
        <v>62</v>
      </c>
      <c r="K178" s="150"/>
      <c r="L178" s="119">
        <f>L181*2</f>
        <v>4.6</v>
      </c>
      <c r="M178" s="120"/>
      <c r="N178" s="99">
        <f t="shared" ref="N178:R178" si="219">N181*2</f>
        <v>0</v>
      </c>
      <c r="O178" s="121"/>
      <c r="P178" s="101">
        <f t="shared" si="219"/>
        <v>0</v>
      </c>
      <c r="Q178" s="122"/>
      <c r="R178" s="103">
        <f t="shared" si="219"/>
        <v>0</v>
      </c>
      <c r="S178" s="123"/>
      <c r="T178" s="105">
        <f>T181*2</f>
        <v>0</v>
      </c>
      <c r="U178" s="124"/>
      <c r="V178" s="107">
        <f>V181*2</f>
        <v>0</v>
      </c>
      <c r="W178" s="125"/>
      <c r="X178" s="109">
        <f>X181*2</f>
        <v>0</v>
      </c>
      <c r="Y178" s="126"/>
      <c r="Z178" s="151"/>
      <c r="AA178" s="151"/>
    </row>
    <row r="179" spans="1:27">
      <c r="A179" s="144"/>
      <c r="B179" s="145"/>
      <c r="C179" s="146" t="s">
        <v>4118</v>
      </c>
      <c r="D179" s="147" t="s">
        <v>4448</v>
      </c>
      <c r="E179" s="139" t="s">
        <v>4449</v>
      </c>
      <c r="F179" s="61" t="s">
        <v>1347</v>
      </c>
      <c r="G179" s="92">
        <f>G181</f>
        <v>3.9</v>
      </c>
      <c r="H179" s="117"/>
      <c r="I179" s="149"/>
      <c r="J179" s="95">
        <f>J181</f>
        <v>31</v>
      </c>
      <c r="K179" s="150"/>
      <c r="L179" s="119">
        <f>L181</f>
        <v>2.3</v>
      </c>
      <c r="M179" s="120"/>
      <c r="N179" s="99">
        <f t="shared" ref="N179:R179" si="220">N181</f>
        <v>0</v>
      </c>
      <c r="O179" s="121"/>
      <c r="P179" s="101">
        <f t="shared" si="220"/>
        <v>0</v>
      </c>
      <c r="Q179" s="122"/>
      <c r="R179" s="103">
        <f t="shared" si="220"/>
        <v>0</v>
      </c>
      <c r="S179" s="123"/>
      <c r="T179" s="105">
        <f>T181</f>
        <v>0</v>
      </c>
      <c r="U179" s="124"/>
      <c r="V179" s="107">
        <f>V181</f>
        <v>0</v>
      </c>
      <c r="W179" s="125"/>
      <c r="X179" s="109">
        <f>X181</f>
        <v>0</v>
      </c>
      <c r="Y179" s="126"/>
      <c r="Z179" s="151"/>
      <c r="AA179" s="151"/>
    </row>
    <row r="180" spans="1:27">
      <c r="A180" s="144"/>
      <c r="B180" s="145"/>
      <c r="C180" s="146" t="s">
        <v>4121</v>
      </c>
      <c r="D180" s="147" t="s">
        <v>4450</v>
      </c>
      <c r="E180" s="139" t="s">
        <v>4451</v>
      </c>
      <c r="F180" s="156" t="s">
        <v>1351</v>
      </c>
      <c r="G180" s="92">
        <v>5.9</v>
      </c>
      <c r="H180" s="117"/>
      <c r="I180" s="149"/>
      <c r="J180" s="95">
        <v>47</v>
      </c>
      <c r="K180" s="150"/>
      <c r="L180" s="119">
        <v>3.5</v>
      </c>
      <c r="M180" s="120"/>
      <c r="N180" s="99">
        <v>0</v>
      </c>
      <c r="O180" s="121"/>
      <c r="P180" s="101">
        <v>0</v>
      </c>
      <c r="Q180" s="122"/>
      <c r="R180" s="103">
        <v>0</v>
      </c>
      <c r="S180" s="123"/>
      <c r="T180" s="105">
        <v>0</v>
      </c>
      <c r="U180" s="124"/>
      <c r="V180" s="107">
        <v>0</v>
      </c>
      <c r="W180" s="125"/>
      <c r="X180" s="109">
        <v>0</v>
      </c>
      <c r="Y180" s="126"/>
      <c r="Z180" s="151"/>
      <c r="AA180" s="151"/>
    </row>
    <row r="181" spans="1:27">
      <c r="A181" s="144"/>
      <c r="B181" s="145"/>
      <c r="C181" s="146" t="s">
        <v>4124</v>
      </c>
      <c r="D181" s="147" t="s">
        <v>4452</v>
      </c>
      <c r="E181" s="139" t="s">
        <v>4453</v>
      </c>
      <c r="F181" s="61" t="s">
        <v>1347</v>
      </c>
      <c r="G181" s="92">
        <f>ROUND(G180*2/3,1)</f>
        <v>3.9</v>
      </c>
      <c r="H181" s="127"/>
      <c r="I181" s="149"/>
      <c r="J181" s="95">
        <f>ROUND(J180*2/3,0)</f>
        <v>31</v>
      </c>
      <c r="K181" s="154"/>
      <c r="L181" s="119">
        <f>ROUND(L180*2/3,1)</f>
        <v>2.3</v>
      </c>
      <c r="M181" s="128"/>
      <c r="N181" s="99">
        <f>ROUND(N180*2/3,0)</f>
        <v>0</v>
      </c>
      <c r="O181" s="129"/>
      <c r="P181" s="101">
        <f>ROUND(P180*2/3,0)</f>
        <v>0</v>
      </c>
      <c r="Q181" s="130"/>
      <c r="R181" s="103">
        <f>ROUND(R180*2/3,0)</f>
        <v>0</v>
      </c>
      <c r="S181" s="131"/>
      <c r="T181" s="105">
        <f>ROUND(T180*2/3,0)</f>
        <v>0</v>
      </c>
      <c r="U181" s="132"/>
      <c r="V181" s="107">
        <f>ROUND(V180*2/3,0)</f>
        <v>0</v>
      </c>
      <c r="W181" s="133"/>
      <c r="X181" s="109">
        <f>ROUND(X180*2/3,0)</f>
        <v>0</v>
      </c>
      <c r="Y181" s="134"/>
      <c r="Z181" s="151"/>
      <c r="AA181" s="151"/>
    </row>
    <row r="182" spans="1:27">
      <c r="A182" s="135" t="s">
        <v>7975</v>
      </c>
      <c r="B182" s="136" t="s">
        <v>6660</v>
      </c>
      <c r="C182" s="137" t="s">
        <v>4133</v>
      </c>
      <c r="D182" s="138" t="s">
        <v>4454</v>
      </c>
      <c r="E182" s="139" t="s">
        <v>4455</v>
      </c>
      <c r="F182" s="140" t="s">
        <v>3122</v>
      </c>
      <c r="G182" s="92">
        <f>G186</f>
        <v>4</v>
      </c>
      <c r="H182" s="93">
        <f t="shared" ref="H182:M182" si="221">SUM(G182:G186)</f>
        <v>26</v>
      </c>
      <c r="I182" s="141" t="s">
        <v>8055</v>
      </c>
      <c r="J182" s="95">
        <f>J186</f>
        <v>31</v>
      </c>
      <c r="K182" s="142">
        <f t="shared" si="221"/>
        <v>202</v>
      </c>
      <c r="L182" s="119">
        <f>L186</f>
        <v>2.3</v>
      </c>
      <c r="M182" s="98">
        <f t="shared" si="221"/>
        <v>15</v>
      </c>
      <c r="N182" s="99">
        <f t="shared" ref="N182:R182" si="222">N186</f>
        <v>0</v>
      </c>
      <c r="O182" s="100">
        <f t="shared" ref="O182:S182" si="223">SUM(N182:N186)</f>
        <v>0</v>
      </c>
      <c r="P182" s="101">
        <f t="shared" si="222"/>
        <v>0</v>
      </c>
      <c r="Q182" s="102">
        <f t="shared" si="223"/>
        <v>0</v>
      </c>
      <c r="R182" s="103">
        <f t="shared" si="222"/>
        <v>0</v>
      </c>
      <c r="S182" s="104">
        <f t="shared" si="223"/>
        <v>0</v>
      </c>
      <c r="T182" s="105">
        <f>T186</f>
        <v>0</v>
      </c>
      <c r="U182" s="106">
        <f t="shared" ref="U182:Y182" si="224">SUM(T182:T186)</f>
        <v>0</v>
      </c>
      <c r="V182" s="107">
        <f>V186</f>
        <v>8</v>
      </c>
      <c r="W182" s="108">
        <f t="shared" si="224"/>
        <v>52</v>
      </c>
      <c r="X182" s="109">
        <f>X186</f>
        <v>0</v>
      </c>
      <c r="Y182" s="110">
        <f t="shared" si="224"/>
        <v>0</v>
      </c>
      <c r="Z182" s="139"/>
      <c r="AA182" s="139"/>
    </row>
    <row r="183" spans="1:27">
      <c r="A183" s="144"/>
      <c r="B183" s="145"/>
      <c r="C183" s="146" t="s">
        <v>4115</v>
      </c>
      <c r="D183" s="147" t="s">
        <v>4456</v>
      </c>
      <c r="E183" s="139" t="s">
        <v>4457</v>
      </c>
      <c r="F183" s="148"/>
      <c r="G183" s="92">
        <f>G186*2</f>
        <v>8</v>
      </c>
      <c r="H183" s="117"/>
      <c r="I183" s="149"/>
      <c r="J183" s="95">
        <f>J186*2</f>
        <v>62</v>
      </c>
      <c r="K183" s="150"/>
      <c r="L183" s="119">
        <f>L186*2</f>
        <v>4.6</v>
      </c>
      <c r="M183" s="120"/>
      <c r="N183" s="99">
        <f t="shared" ref="N183:R183" si="225">N186*2</f>
        <v>0</v>
      </c>
      <c r="O183" s="121"/>
      <c r="P183" s="101">
        <f t="shared" si="225"/>
        <v>0</v>
      </c>
      <c r="Q183" s="122"/>
      <c r="R183" s="103">
        <f t="shared" si="225"/>
        <v>0</v>
      </c>
      <c r="S183" s="123"/>
      <c r="T183" s="105">
        <f>T186*2</f>
        <v>0</v>
      </c>
      <c r="U183" s="124"/>
      <c r="V183" s="107">
        <f>V186*2</f>
        <v>16</v>
      </c>
      <c r="W183" s="125"/>
      <c r="X183" s="109">
        <f>X186*2</f>
        <v>0</v>
      </c>
      <c r="Y183" s="126"/>
      <c r="Z183" s="151"/>
      <c r="AA183" s="151"/>
    </row>
    <row r="184" spans="1:27">
      <c r="A184" s="144"/>
      <c r="B184" s="145"/>
      <c r="C184" s="146" t="s">
        <v>4118</v>
      </c>
      <c r="D184" s="147" t="s">
        <v>4458</v>
      </c>
      <c r="E184" s="139" t="s">
        <v>4459</v>
      </c>
      <c r="F184" s="148"/>
      <c r="G184" s="92">
        <f>G186</f>
        <v>4</v>
      </c>
      <c r="H184" s="117"/>
      <c r="I184" s="149"/>
      <c r="J184" s="95">
        <f>J186</f>
        <v>31</v>
      </c>
      <c r="K184" s="150"/>
      <c r="L184" s="119">
        <f>L186</f>
        <v>2.3</v>
      </c>
      <c r="M184" s="120"/>
      <c r="N184" s="99">
        <f t="shared" ref="N184:R184" si="226">N186</f>
        <v>0</v>
      </c>
      <c r="O184" s="121"/>
      <c r="P184" s="101">
        <f t="shared" si="226"/>
        <v>0</v>
      </c>
      <c r="Q184" s="122"/>
      <c r="R184" s="103">
        <f t="shared" si="226"/>
        <v>0</v>
      </c>
      <c r="S184" s="123"/>
      <c r="T184" s="105">
        <f>T186</f>
        <v>0</v>
      </c>
      <c r="U184" s="124"/>
      <c r="V184" s="107">
        <f>V186</f>
        <v>8</v>
      </c>
      <c r="W184" s="125"/>
      <c r="X184" s="109">
        <f>X186</f>
        <v>0</v>
      </c>
      <c r="Y184" s="126"/>
      <c r="Z184" s="151"/>
      <c r="AA184" s="151"/>
    </row>
    <row r="185" spans="1:27">
      <c r="A185" s="144"/>
      <c r="B185" s="145"/>
      <c r="C185" s="146" t="s">
        <v>4121</v>
      </c>
      <c r="D185" s="147" t="s">
        <v>4460</v>
      </c>
      <c r="E185" s="139" t="s">
        <v>4461</v>
      </c>
      <c r="F185" s="148"/>
      <c r="G185" s="92">
        <v>6</v>
      </c>
      <c r="H185" s="117"/>
      <c r="I185" s="149"/>
      <c r="J185" s="95">
        <v>47</v>
      </c>
      <c r="K185" s="150"/>
      <c r="L185" s="119">
        <v>3.5</v>
      </c>
      <c r="M185" s="120"/>
      <c r="N185" s="99">
        <v>0</v>
      </c>
      <c r="O185" s="121"/>
      <c r="P185" s="101">
        <v>0</v>
      </c>
      <c r="Q185" s="122"/>
      <c r="R185" s="103">
        <v>0</v>
      </c>
      <c r="S185" s="123"/>
      <c r="T185" s="105">
        <v>0</v>
      </c>
      <c r="U185" s="124"/>
      <c r="V185" s="107">
        <v>12</v>
      </c>
      <c r="W185" s="125"/>
      <c r="X185" s="109">
        <v>0</v>
      </c>
      <c r="Y185" s="126"/>
      <c r="Z185" s="151"/>
      <c r="AA185" s="151"/>
    </row>
    <row r="186" spans="1:27">
      <c r="A186" s="144"/>
      <c r="B186" s="145"/>
      <c r="C186" s="146" t="s">
        <v>4124</v>
      </c>
      <c r="D186" s="147" t="s">
        <v>4462</v>
      </c>
      <c r="E186" s="139" t="s">
        <v>4463</v>
      </c>
      <c r="F186" s="153"/>
      <c r="G186" s="92">
        <f>ROUND(G185*2/3,1)</f>
        <v>4</v>
      </c>
      <c r="H186" s="127"/>
      <c r="I186" s="149"/>
      <c r="J186" s="95">
        <f>ROUND(J185*2/3,0)</f>
        <v>31</v>
      </c>
      <c r="K186" s="154"/>
      <c r="L186" s="119">
        <f>ROUND(L185*2/3,1)</f>
        <v>2.3</v>
      </c>
      <c r="M186" s="128"/>
      <c r="N186" s="99">
        <f>ROUND(N185*2/3,0)</f>
        <v>0</v>
      </c>
      <c r="O186" s="129"/>
      <c r="P186" s="101">
        <f>ROUND(P185*2/3,0)</f>
        <v>0</v>
      </c>
      <c r="Q186" s="130"/>
      <c r="R186" s="103">
        <f>ROUND(R185*2/3,0)</f>
        <v>0</v>
      </c>
      <c r="S186" s="131"/>
      <c r="T186" s="105">
        <f>ROUND(T185*2/3,0)</f>
        <v>0</v>
      </c>
      <c r="U186" s="132"/>
      <c r="V186" s="107">
        <f>ROUND(V185*2/3,0)</f>
        <v>8</v>
      </c>
      <c r="W186" s="133"/>
      <c r="X186" s="109">
        <f>ROUND(X185*2/3,0)</f>
        <v>0</v>
      </c>
      <c r="Y186" s="134"/>
      <c r="Z186" s="151"/>
      <c r="AA186" s="151"/>
    </row>
    <row r="187" spans="1:27">
      <c r="A187" s="135" t="s">
        <v>7975</v>
      </c>
      <c r="B187" s="136" t="s">
        <v>6942</v>
      </c>
      <c r="C187" s="137" t="s">
        <v>4133</v>
      </c>
      <c r="D187" s="138" t="s">
        <v>4464</v>
      </c>
      <c r="E187" s="139" t="s">
        <v>4465</v>
      </c>
      <c r="F187" s="140" t="s">
        <v>3137</v>
      </c>
      <c r="G187" s="92">
        <f>G191</f>
        <v>3.8</v>
      </c>
      <c r="H187" s="93">
        <f t="shared" ref="H187:M187" si="227">SUM(G187:G191)</f>
        <v>24.7</v>
      </c>
      <c r="I187" s="141" t="s">
        <v>8056</v>
      </c>
      <c r="J187" s="95">
        <f>J191</f>
        <v>31</v>
      </c>
      <c r="K187" s="142">
        <f t="shared" si="227"/>
        <v>202</v>
      </c>
      <c r="L187" s="119">
        <f>L191</f>
        <v>2.3</v>
      </c>
      <c r="M187" s="98">
        <f t="shared" si="227"/>
        <v>15</v>
      </c>
      <c r="N187" s="99">
        <f t="shared" ref="N187:R187" si="228">N191</f>
        <v>0</v>
      </c>
      <c r="O187" s="100">
        <f t="shared" ref="O187:S187" si="229">SUM(N187:N191)</f>
        <v>0</v>
      </c>
      <c r="P187" s="101">
        <f t="shared" si="228"/>
        <v>0</v>
      </c>
      <c r="Q187" s="102">
        <f t="shared" si="229"/>
        <v>0</v>
      </c>
      <c r="R187" s="103">
        <f t="shared" si="228"/>
        <v>8</v>
      </c>
      <c r="S187" s="104">
        <f t="shared" si="229"/>
        <v>52</v>
      </c>
      <c r="T187" s="105">
        <f>T191</f>
        <v>0</v>
      </c>
      <c r="U187" s="106">
        <f t="shared" ref="U187:Y187" si="230">SUM(T187:T191)</f>
        <v>0</v>
      </c>
      <c r="V187" s="107">
        <f>V191</f>
        <v>0</v>
      </c>
      <c r="W187" s="108">
        <f t="shared" si="230"/>
        <v>0</v>
      </c>
      <c r="X187" s="109">
        <f>X191</f>
        <v>0</v>
      </c>
      <c r="Y187" s="110">
        <f t="shared" si="230"/>
        <v>0</v>
      </c>
      <c r="Z187" s="139"/>
      <c r="AA187" s="139"/>
    </row>
    <row r="188" spans="1:27">
      <c r="A188" s="144"/>
      <c r="B188" s="145"/>
      <c r="C188" s="146" t="s">
        <v>4115</v>
      </c>
      <c r="D188" s="147" t="s">
        <v>4466</v>
      </c>
      <c r="E188" s="139" t="s">
        <v>4467</v>
      </c>
      <c r="F188" s="148"/>
      <c r="G188" s="92">
        <f>G191*2</f>
        <v>7.6</v>
      </c>
      <c r="H188" s="117"/>
      <c r="I188" s="149"/>
      <c r="J188" s="95">
        <f>J191*2</f>
        <v>62</v>
      </c>
      <c r="K188" s="150"/>
      <c r="L188" s="119">
        <f>L191*2</f>
        <v>4.6</v>
      </c>
      <c r="M188" s="120"/>
      <c r="N188" s="99">
        <f t="shared" ref="N188:R188" si="231">N191*2</f>
        <v>0</v>
      </c>
      <c r="O188" s="121"/>
      <c r="P188" s="101">
        <f t="shared" si="231"/>
        <v>0</v>
      </c>
      <c r="Q188" s="122"/>
      <c r="R188" s="103">
        <f t="shared" si="231"/>
        <v>16</v>
      </c>
      <c r="S188" s="123"/>
      <c r="T188" s="105">
        <f>T191*2</f>
        <v>0</v>
      </c>
      <c r="U188" s="124"/>
      <c r="V188" s="107">
        <f>V191*2</f>
        <v>0</v>
      </c>
      <c r="W188" s="125"/>
      <c r="X188" s="109">
        <f>X191*2</f>
        <v>0</v>
      </c>
      <c r="Y188" s="126"/>
      <c r="Z188" s="151"/>
      <c r="AA188" s="151"/>
    </row>
    <row r="189" spans="1:27">
      <c r="A189" s="144"/>
      <c r="B189" s="145"/>
      <c r="C189" s="146" t="s">
        <v>4118</v>
      </c>
      <c r="D189" s="147" t="s">
        <v>4468</v>
      </c>
      <c r="E189" s="139" t="s">
        <v>4469</v>
      </c>
      <c r="F189" s="148"/>
      <c r="G189" s="92">
        <f>G191</f>
        <v>3.8</v>
      </c>
      <c r="H189" s="117"/>
      <c r="I189" s="149"/>
      <c r="J189" s="95">
        <f>J191</f>
        <v>31</v>
      </c>
      <c r="K189" s="150"/>
      <c r="L189" s="119">
        <f>L191</f>
        <v>2.3</v>
      </c>
      <c r="M189" s="120"/>
      <c r="N189" s="99">
        <f t="shared" ref="N189:R189" si="232">N191</f>
        <v>0</v>
      </c>
      <c r="O189" s="121"/>
      <c r="P189" s="101">
        <f t="shared" si="232"/>
        <v>0</v>
      </c>
      <c r="Q189" s="122"/>
      <c r="R189" s="103">
        <f t="shared" si="232"/>
        <v>8</v>
      </c>
      <c r="S189" s="123"/>
      <c r="T189" s="105">
        <f>T191</f>
        <v>0</v>
      </c>
      <c r="U189" s="124"/>
      <c r="V189" s="107">
        <f>V191</f>
        <v>0</v>
      </c>
      <c r="W189" s="125"/>
      <c r="X189" s="109">
        <f>X191</f>
        <v>0</v>
      </c>
      <c r="Y189" s="126"/>
      <c r="Z189" s="151"/>
      <c r="AA189" s="151"/>
    </row>
    <row r="190" spans="1:27">
      <c r="A190" s="144"/>
      <c r="B190" s="145"/>
      <c r="C190" s="146" t="s">
        <v>4121</v>
      </c>
      <c r="D190" s="147" t="s">
        <v>4470</v>
      </c>
      <c r="E190" s="139" t="s">
        <v>4471</v>
      </c>
      <c r="F190" s="148"/>
      <c r="G190" s="92">
        <v>5.7</v>
      </c>
      <c r="H190" s="117"/>
      <c r="I190" s="149"/>
      <c r="J190" s="95">
        <v>47</v>
      </c>
      <c r="K190" s="150"/>
      <c r="L190" s="119">
        <v>3.5</v>
      </c>
      <c r="M190" s="120"/>
      <c r="N190" s="99">
        <v>0</v>
      </c>
      <c r="O190" s="121"/>
      <c r="P190" s="101">
        <v>0</v>
      </c>
      <c r="Q190" s="122"/>
      <c r="R190" s="103">
        <v>12</v>
      </c>
      <c r="S190" s="123"/>
      <c r="T190" s="105">
        <v>0</v>
      </c>
      <c r="U190" s="124"/>
      <c r="V190" s="107">
        <v>0</v>
      </c>
      <c r="W190" s="125"/>
      <c r="X190" s="109">
        <v>0</v>
      </c>
      <c r="Y190" s="126"/>
      <c r="Z190" s="151"/>
      <c r="AA190" s="151"/>
    </row>
    <row r="191" spans="1:27">
      <c r="A191" s="144"/>
      <c r="B191" s="145"/>
      <c r="C191" s="146" t="s">
        <v>4124</v>
      </c>
      <c r="D191" s="147" t="s">
        <v>4472</v>
      </c>
      <c r="E191" s="139" t="s">
        <v>4473</v>
      </c>
      <c r="F191" s="153"/>
      <c r="G191" s="92">
        <f>ROUND(G190*2/3,1)</f>
        <v>3.8</v>
      </c>
      <c r="H191" s="127"/>
      <c r="I191" s="149"/>
      <c r="J191" s="95">
        <f>ROUND(J190*2/3,0)</f>
        <v>31</v>
      </c>
      <c r="K191" s="154"/>
      <c r="L191" s="119">
        <f>ROUND(L190*2/3,1)</f>
        <v>2.3</v>
      </c>
      <c r="M191" s="128"/>
      <c r="N191" s="99">
        <f>ROUND(N190*2/3,0)</f>
        <v>0</v>
      </c>
      <c r="O191" s="129"/>
      <c r="P191" s="101">
        <f>ROUND(P190*2/3,0)</f>
        <v>0</v>
      </c>
      <c r="Q191" s="130"/>
      <c r="R191" s="103">
        <f>ROUND(R190*2/3,0)</f>
        <v>8</v>
      </c>
      <c r="S191" s="131"/>
      <c r="T191" s="105">
        <f>ROUND(T190*2/3,0)</f>
        <v>0</v>
      </c>
      <c r="U191" s="132"/>
      <c r="V191" s="107">
        <f>ROUND(V190*2/3,0)</f>
        <v>0</v>
      </c>
      <c r="W191" s="133"/>
      <c r="X191" s="109">
        <f>ROUND(X190*2/3,0)</f>
        <v>0</v>
      </c>
      <c r="Y191" s="134"/>
      <c r="Z191" s="151"/>
      <c r="AA191" s="151"/>
    </row>
    <row r="192" spans="1:27">
      <c r="A192" s="135" t="s">
        <v>7975</v>
      </c>
      <c r="B192" s="136" t="s">
        <v>6596</v>
      </c>
      <c r="C192" s="137" t="s">
        <v>4133</v>
      </c>
      <c r="D192" s="138" t="s">
        <v>4474</v>
      </c>
      <c r="E192" s="139" t="s">
        <v>4475</v>
      </c>
      <c r="F192" s="140" t="s">
        <v>3139</v>
      </c>
      <c r="G192" s="92">
        <f>G196</f>
        <v>3.7</v>
      </c>
      <c r="H192" s="93">
        <f t="shared" ref="H192:M192" si="233">SUM(G192:G196)</f>
        <v>24.1</v>
      </c>
      <c r="I192" s="141" t="s">
        <v>8045</v>
      </c>
      <c r="J192" s="95">
        <f>J196</f>
        <v>31</v>
      </c>
      <c r="K192" s="142">
        <f t="shared" si="233"/>
        <v>202</v>
      </c>
      <c r="L192" s="119">
        <f>L196</f>
        <v>2.3</v>
      </c>
      <c r="M192" s="98">
        <f t="shared" si="233"/>
        <v>15</v>
      </c>
      <c r="N192" s="99">
        <f t="shared" ref="N192:R192" si="234">N196</f>
        <v>4</v>
      </c>
      <c r="O192" s="100">
        <f t="shared" ref="O192:S192" si="235">SUM(N192:N196)</f>
        <v>26</v>
      </c>
      <c r="P192" s="101">
        <f t="shared" si="234"/>
        <v>0</v>
      </c>
      <c r="Q192" s="102">
        <f t="shared" si="235"/>
        <v>0</v>
      </c>
      <c r="R192" s="103">
        <f t="shared" si="234"/>
        <v>4</v>
      </c>
      <c r="S192" s="104">
        <f t="shared" si="235"/>
        <v>26</v>
      </c>
      <c r="T192" s="105">
        <f>T196</f>
        <v>0</v>
      </c>
      <c r="U192" s="106">
        <f t="shared" ref="U192:Y192" si="236">SUM(T192:T196)</f>
        <v>0</v>
      </c>
      <c r="V192" s="107">
        <f>V196</f>
        <v>0</v>
      </c>
      <c r="W192" s="108">
        <f t="shared" si="236"/>
        <v>0</v>
      </c>
      <c r="X192" s="109">
        <f>X196</f>
        <v>0</v>
      </c>
      <c r="Y192" s="110">
        <f t="shared" si="236"/>
        <v>0</v>
      </c>
      <c r="Z192" s="139" t="s">
        <v>8057</v>
      </c>
      <c r="AA192" s="139"/>
    </row>
    <row r="193" spans="1:27">
      <c r="A193" s="144"/>
      <c r="B193" s="145"/>
      <c r="C193" s="146" t="s">
        <v>4115</v>
      </c>
      <c r="D193" s="147" t="s">
        <v>4476</v>
      </c>
      <c r="E193" s="139" t="s">
        <v>4477</v>
      </c>
      <c r="F193" s="148"/>
      <c r="G193" s="92">
        <f>G196*2</f>
        <v>7.4</v>
      </c>
      <c r="H193" s="117"/>
      <c r="I193" s="149"/>
      <c r="J193" s="95">
        <f>J196*2</f>
        <v>62</v>
      </c>
      <c r="K193" s="150"/>
      <c r="L193" s="119">
        <f>L196*2</f>
        <v>4.6</v>
      </c>
      <c r="M193" s="120"/>
      <c r="N193" s="99">
        <f t="shared" ref="N193:R193" si="237">N196*2</f>
        <v>8</v>
      </c>
      <c r="O193" s="121"/>
      <c r="P193" s="101">
        <f t="shared" si="237"/>
        <v>0</v>
      </c>
      <c r="Q193" s="122"/>
      <c r="R193" s="103">
        <f t="shared" si="237"/>
        <v>8</v>
      </c>
      <c r="S193" s="123"/>
      <c r="T193" s="105">
        <f>T196*2</f>
        <v>0</v>
      </c>
      <c r="U193" s="124"/>
      <c r="V193" s="107">
        <f>V196*2</f>
        <v>0</v>
      </c>
      <c r="W193" s="125"/>
      <c r="X193" s="109">
        <f>X196*2</f>
        <v>0</v>
      </c>
      <c r="Y193" s="126"/>
      <c r="Z193" s="151"/>
      <c r="AA193" s="151"/>
    </row>
    <row r="194" spans="1:27">
      <c r="A194" s="144"/>
      <c r="B194" s="145"/>
      <c r="C194" s="146" t="s">
        <v>4118</v>
      </c>
      <c r="D194" s="147" t="s">
        <v>4478</v>
      </c>
      <c r="E194" s="139" t="s">
        <v>4479</v>
      </c>
      <c r="F194" s="148"/>
      <c r="G194" s="92">
        <f>G196</f>
        <v>3.7</v>
      </c>
      <c r="H194" s="117"/>
      <c r="I194" s="149"/>
      <c r="J194" s="95">
        <f>J196</f>
        <v>31</v>
      </c>
      <c r="K194" s="150"/>
      <c r="L194" s="119">
        <f>L196</f>
        <v>2.3</v>
      </c>
      <c r="M194" s="120"/>
      <c r="N194" s="99">
        <f t="shared" ref="N194:R194" si="238">N196</f>
        <v>4</v>
      </c>
      <c r="O194" s="121"/>
      <c r="P194" s="101">
        <f t="shared" si="238"/>
        <v>0</v>
      </c>
      <c r="Q194" s="122"/>
      <c r="R194" s="103">
        <f t="shared" si="238"/>
        <v>4</v>
      </c>
      <c r="S194" s="123"/>
      <c r="T194" s="105">
        <f>T196</f>
        <v>0</v>
      </c>
      <c r="U194" s="124"/>
      <c r="V194" s="107">
        <f>V196</f>
        <v>0</v>
      </c>
      <c r="W194" s="125"/>
      <c r="X194" s="109">
        <f>X196</f>
        <v>0</v>
      </c>
      <c r="Y194" s="126"/>
      <c r="Z194" s="151"/>
      <c r="AA194" s="151"/>
    </row>
    <row r="195" spans="1:27">
      <c r="A195" s="144"/>
      <c r="B195" s="145"/>
      <c r="C195" s="146" t="s">
        <v>4121</v>
      </c>
      <c r="D195" s="147" t="s">
        <v>4480</v>
      </c>
      <c r="E195" s="139" t="s">
        <v>4481</v>
      </c>
      <c r="F195" s="148"/>
      <c r="G195" s="92">
        <v>5.6</v>
      </c>
      <c r="H195" s="117"/>
      <c r="I195" s="149"/>
      <c r="J195" s="95">
        <v>47</v>
      </c>
      <c r="K195" s="150"/>
      <c r="L195" s="119">
        <v>3.5</v>
      </c>
      <c r="M195" s="120"/>
      <c r="N195" s="99">
        <v>6</v>
      </c>
      <c r="O195" s="121"/>
      <c r="P195" s="101">
        <v>0</v>
      </c>
      <c r="Q195" s="122"/>
      <c r="R195" s="103">
        <v>6</v>
      </c>
      <c r="S195" s="123"/>
      <c r="T195" s="105">
        <v>0</v>
      </c>
      <c r="U195" s="124"/>
      <c r="V195" s="107">
        <v>0</v>
      </c>
      <c r="W195" s="125"/>
      <c r="X195" s="109">
        <v>0</v>
      </c>
      <c r="Y195" s="126"/>
      <c r="Z195" s="151"/>
      <c r="AA195" s="151"/>
    </row>
    <row r="196" spans="1:27">
      <c r="A196" s="144"/>
      <c r="B196" s="145"/>
      <c r="C196" s="146" t="s">
        <v>4124</v>
      </c>
      <c r="D196" s="147" t="s">
        <v>4482</v>
      </c>
      <c r="E196" s="139" t="s">
        <v>4483</v>
      </c>
      <c r="F196" s="153"/>
      <c r="G196" s="92">
        <f>ROUND(G195*2/3,1)</f>
        <v>3.7</v>
      </c>
      <c r="H196" s="127"/>
      <c r="I196" s="149"/>
      <c r="J196" s="95">
        <f>ROUND(J195*2/3,0)</f>
        <v>31</v>
      </c>
      <c r="K196" s="154"/>
      <c r="L196" s="119">
        <f>ROUND(L195*2/3,1)</f>
        <v>2.3</v>
      </c>
      <c r="M196" s="128"/>
      <c r="N196" s="99">
        <f>ROUND(N195*2/3,0)</f>
        <v>4</v>
      </c>
      <c r="O196" s="129"/>
      <c r="P196" s="101">
        <f>ROUND(P195*2/3,0)</f>
        <v>0</v>
      </c>
      <c r="Q196" s="130"/>
      <c r="R196" s="103">
        <f>ROUND(R195*2/3,0)</f>
        <v>4</v>
      </c>
      <c r="S196" s="131"/>
      <c r="T196" s="105">
        <f>ROUND(T195*2/3,0)</f>
        <v>0</v>
      </c>
      <c r="U196" s="132"/>
      <c r="V196" s="107">
        <f>ROUND(V195*2/3,0)</f>
        <v>0</v>
      </c>
      <c r="W196" s="133"/>
      <c r="X196" s="109">
        <f>ROUND(X195*2/3,0)</f>
        <v>0</v>
      </c>
      <c r="Y196" s="134"/>
      <c r="Z196" s="151"/>
      <c r="AA196" s="151"/>
    </row>
    <row r="197" spans="1:27">
      <c r="A197" s="135" t="s">
        <v>7984</v>
      </c>
      <c r="B197" s="136" t="s">
        <v>8058</v>
      </c>
      <c r="C197" s="137" t="s">
        <v>4133</v>
      </c>
      <c r="D197" s="138" t="s">
        <v>4484</v>
      </c>
      <c r="E197" s="139" t="s">
        <v>4485</v>
      </c>
      <c r="F197" s="61" t="s">
        <v>8010</v>
      </c>
      <c r="G197" s="92">
        <f>G201</f>
        <v>4.5</v>
      </c>
      <c r="H197" s="93">
        <f t="shared" ref="H197:M197" si="239">SUM(G197:G201)</f>
        <v>29.3</v>
      </c>
      <c r="I197" s="141" t="s">
        <v>8059</v>
      </c>
      <c r="J197" s="95">
        <f>J201</f>
        <v>50</v>
      </c>
      <c r="K197" s="142">
        <f t="shared" si="239"/>
        <v>325</v>
      </c>
      <c r="L197" s="119">
        <f>L201</f>
        <v>3.8</v>
      </c>
      <c r="M197" s="98">
        <f t="shared" si="239"/>
        <v>24.7</v>
      </c>
      <c r="N197" s="99">
        <f t="shared" ref="N197:R197" si="240">N201</f>
        <v>0</v>
      </c>
      <c r="O197" s="100">
        <f t="shared" ref="O197:S197" si="241">SUM(N197:N201)</f>
        <v>0</v>
      </c>
      <c r="P197" s="101">
        <f t="shared" si="240"/>
        <v>0</v>
      </c>
      <c r="Q197" s="102">
        <f t="shared" si="241"/>
        <v>0</v>
      </c>
      <c r="R197" s="103">
        <f t="shared" si="240"/>
        <v>0</v>
      </c>
      <c r="S197" s="104">
        <f t="shared" si="241"/>
        <v>0</v>
      </c>
      <c r="T197" s="105">
        <f>T201</f>
        <v>0</v>
      </c>
      <c r="U197" s="106">
        <f t="shared" ref="U197:Y197" si="242">SUM(T197:T201)</f>
        <v>0</v>
      </c>
      <c r="V197" s="107">
        <f>V201</f>
        <v>0</v>
      </c>
      <c r="W197" s="108">
        <f t="shared" si="242"/>
        <v>0</v>
      </c>
      <c r="X197" s="109">
        <f>X201</f>
        <v>0</v>
      </c>
      <c r="Y197" s="110">
        <f t="shared" si="242"/>
        <v>0</v>
      </c>
      <c r="Z197" s="139"/>
      <c r="AA197" s="139"/>
    </row>
    <row r="198" spans="1:27">
      <c r="A198" s="144"/>
      <c r="B198" s="145"/>
      <c r="C198" s="146" t="s">
        <v>4115</v>
      </c>
      <c r="D198" s="147" t="s">
        <v>4486</v>
      </c>
      <c r="E198" s="139" t="s">
        <v>4487</v>
      </c>
      <c r="F198" s="61" t="s">
        <v>8012</v>
      </c>
      <c r="G198" s="92">
        <f>G201*2</f>
        <v>9</v>
      </c>
      <c r="H198" s="117"/>
      <c r="I198" s="149"/>
      <c r="J198" s="95">
        <f>J201*2</f>
        <v>100</v>
      </c>
      <c r="K198" s="150"/>
      <c r="L198" s="119">
        <f>L201*2</f>
        <v>7.6</v>
      </c>
      <c r="M198" s="120"/>
      <c r="N198" s="99">
        <f t="shared" ref="N198:R198" si="243">N201*2</f>
        <v>0</v>
      </c>
      <c r="O198" s="121"/>
      <c r="P198" s="101">
        <f t="shared" si="243"/>
        <v>0</v>
      </c>
      <c r="Q198" s="122"/>
      <c r="R198" s="103">
        <f t="shared" si="243"/>
        <v>0</v>
      </c>
      <c r="S198" s="123"/>
      <c r="T198" s="105">
        <f>T201*2</f>
        <v>0</v>
      </c>
      <c r="U198" s="124"/>
      <c r="V198" s="107">
        <f>V201*2</f>
        <v>0</v>
      </c>
      <c r="W198" s="125"/>
      <c r="X198" s="109">
        <f>X201*2</f>
        <v>0</v>
      </c>
      <c r="Y198" s="126"/>
      <c r="Z198" s="151"/>
      <c r="AA198" s="151"/>
    </row>
    <row r="199" spans="1:27">
      <c r="A199" s="144"/>
      <c r="B199" s="145"/>
      <c r="C199" s="146" t="s">
        <v>4118</v>
      </c>
      <c r="D199" s="147" t="s">
        <v>4488</v>
      </c>
      <c r="E199" s="139" t="s">
        <v>4489</v>
      </c>
      <c r="F199" s="61" t="s">
        <v>8010</v>
      </c>
      <c r="G199" s="92">
        <f>G201</f>
        <v>4.5</v>
      </c>
      <c r="H199" s="117"/>
      <c r="I199" s="149"/>
      <c r="J199" s="95">
        <f>J201</f>
        <v>50</v>
      </c>
      <c r="K199" s="150"/>
      <c r="L199" s="119">
        <f>L201</f>
        <v>3.8</v>
      </c>
      <c r="M199" s="120"/>
      <c r="N199" s="99">
        <f t="shared" ref="N199:R199" si="244">N201</f>
        <v>0</v>
      </c>
      <c r="O199" s="121"/>
      <c r="P199" s="101">
        <f t="shared" si="244"/>
        <v>0</v>
      </c>
      <c r="Q199" s="122"/>
      <c r="R199" s="103">
        <f t="shared" si="244"/>
        <v>0</v>
      </c>
      <c r="S199" s="123"/>
      <c r="T199" s="105">
        <f>T201</f>
        <v>0</v>
      </c>
      <c r="U199" s="124"/>
      <c r="V199" s="107">
        <f>V201</f>
        <v>0</v>
      </c>
      <c r="W199" s="125"/>
      <c r="X199" s="109">
        <f>X201</f>
        <v>0</v>
      </c>
      <c r="Y199" s="126"/>
      <c r="Z199" s="151"/>
      <c r="AA199" s="151"/>
    </row>
    <row r="200" spans="1:27">
      <c r="A200" s="144"/>
      <c r="B200" s="145"/>
      <c r="C200" s="146" t="s">
        <v>4121</v>
      </c>
      <c r="D200" s="147" t="s">
        <v>4490</v>
      </c>
      <c r="E200" s="139" t="s">
        <v>4491</v>
      </c>
      <c r="F200" s="156" t="s">
        <v>8013</v>
      </c>
      <c r="G200" s="92">
        <v>6.8</v>
      </c>
      <c r="H200" s="117"/>
      <c r="I200" s="149"/>
      <c r="J200" s="95">
        <v>75</v>
      </c>
      <c r="K200" s="150"/>
      <c r="L200" s="119">
        <v>5.7</v>
      </c>
      <c r="M200" s="120"/>
      <c r="N200" s="99">
        <v>0</v>
      </c>
      <c r="O200" s="121"/>
      <c r="P200" s="101">
        <v>0</v>
      </c>
      <c r="Q200" s="122"/>
      <c r="R200" s="103">
        <v>0</v>
      </c>
      <c r="S200" s="123"/>
      <c r="T200" s="105">
        <v>0</v>
      </c>
      <c r="U200" s="124"/>
      <c r="V200" s="107">
        <v>0</v>
      </c>
      <c r="W200" s="125"/>
      <c r="X200" s="109">
        <v>0</v>
      </c>
      <c r="Y200" s="126"/>
      <c r="Z200" s="151"/>
      <c r="AA200" s="151"/>
    </row>
    <row r="201" spans="1:27">
      <c r="A201" s="144"/>
      <c r="B201" s="145"/>
      <c r="C201" s="146" t="s">
        <v>4124</v>
      </c>
      <c r="D201" s="147" t="s">
        <v>4492</v>
      </c>
      <c r="E201" s="139" t="s">
        <v>4493</v>
      </c>
      <c r="F201" s="61" t="s">
        <v>8010</v>
      </c>
      <c r="G201" s="92">
        <f>ROUND(G200*2/3,1)</f>
        <v>4.5</v>
      </c>
      <c r="H201" s="127"/>
      <c r="I201" s="149"/>
      <c r="J201" s="95">
        <f>ROUND(J200*2/3,0)</f>
        <v>50</v>
      </c>
      <c r="K201" s="154"/>
      <c r="L201" s="119">
        <f>ROUND(L200*2/3,1)</f>
        <v>3.8</v>
      </c>
      <c r="M201" s="128"/>
      <c r="N201" s="99">
        <f>ROUND(N200*2/3,0)</f>
        <v>0</v>
      </c>
      <c r="O201" s="129"/>
      <c r="P201" s="101">
        <f>ROUND(P200*2/3,0)</f>
        <v>0</v>
      </c>
      <c r="Q201" s="130"/>
      <c r="R201" s="103">
        <f>ROUND(R200*2/3,0)</f>
        <v>0</v>
      </c>
      <c r="S201" s="131"/>
      <c r="T201" s="105">
        <f>ROUND(T200*2/3,0)</f>
        <v>0</v>
      </c>
      <c r="U201" s="132"/>
      <c r="V201" s="107">
        <f>ROUND(V200*2/3,0)</f>
        <v>0</v>
      </c>
      <c r="W201" s="133"/>
      <c r="X201" s="109">
        <f>ROUND(X200*2/3,0)</f>
        <v>0</v>
      </c>
      <c r="Y201" s="134"/>
      <c r="Z201" s="151"/>
      <c r="AA201" s="151"/>
    </row>
    <row r="202" spans="1:27">
      <c r="A202" s="135" t="s">
        <v>7984</v>
      </c>
      <c r="B202" s="136" t="s">
        <v>6772</v>
      </c>
      <c r="C202" s="137" t="s">
        <v>4133</v>
      </c>
      <c r="D202" s="138" t="s">
        <v>4494</v>
      </c>
      <c r="E202" s="139" t="s">
        <v>4495</v>
      </c>
      <c r="F202" s="61" t="s">
        <v>888</v>
      </c>
      <c r="G202" s="92">
        <f>G206</f>
        <v>4.8</v>
      </c>
      <c r="H202" s="93">
        <f t="shared" ref="H202:M202" si="245">SUM(G202:G206)</f>
        <v>31.2</v>
      </c>
      <c r="I202" s="141" t="s">
        <v>8060</v>
      </c>
      <c r="J202" s="95">
        <f>J206</f>
        <v>50</v>
      </c>
      <c r="K202" s="142">
        <f t="shared" si="245"/>
        <v>325</v>
      </c>
      <c r="L202" s="119">
        <f>L206</f>
        <v>3.8</v>
      </c>
      <c r="M202" s="98">
        <f t="shared" si="245"/>
        <v>24.7</v>
      </c>
      <c r="N202" s="99">
        <f t="shared" ref="N202:R202" si="246">N206</f>
        <v>0</v>
      </c>
      <c r="O202" s="100">
        <f t="shared" ref="O202:S202" si="247">SUM(N202:N206)</f>
        <v>0</v>
      </c>
      <c r="P202" s="101">
        <f t="shared" si="246"/>
        <v>0</v>
      </c>
      <c r="Q202" s="102">
        <f t="shared" si="247"/>
        <v>0</v>
      </c>
      <c r="R202" s="103">
        <f t="shared" si="246"/>
        <v>0</v>
      </c>
      <c r="S202" s="104">
        <f t="shared" si="247"/>
        <v>0</v>
      </c>
      <c r="T202" s="105">
        <f>T206</f>
        <v>0</v>
      </c>
      <c r="U202" s="106">
        <f t="shared" ref="U202:Y202" si="248">SUM(T202:T206)</f>
        <v>0</v>
      </c>
      <c r="V202" s="107">
        <f>V206</f>
        <v>0</v>
      </c>
      <c r="W202" s="108">
        <f t="shared" si="248"/>
        <v>0</v>
      </c>
      <c r="X202" s="109">
        <f>X206</f>
        <v>0</v>
      </c>
      <c r="Y202" s="110">
        <f t="shared" si="248"/>
        <v>0</v>
      </c>
      <c r="Z202" s="139"/>
      <c r="AA202" s="139"/>
    </row>
    <row r="203" spans="1:27">
      <c r="A203" s="144"/>
      <c r="B203" s="145"/>
      <c r="C203" s="146" t="s">
        <v>4115</v>
      </c>
      <c r="D203" s="147" t="s">
        <v>4496</v>
      </c>
      <c r="E203" s="139" t="s">
        <v>4497</v>
      </c>
      <c r="F203" s="61" t="s">
        <v>8061</v>
      </c>
      <c r="G203" s="92">
        <f>G206*2</f>
        <v>9.6</v>
      </c>
      <c r="H203" s="117"/>
      <c r="I203" s="149"/>
      <c r="J203" s="95">
        <f>J206*2</f>
        <v>100</v>
      </c>
      <c r="K203" s="150"/>
      <c r="L203" s="119">
        <f>L206*2</f>
        <v>7.6</v>
      </c>
      <c r="M203" s="120"/>
      <c r="N203" s="99">
        <f t="shared" ref="N203:R203" si="249">N206*2</f>
        <v>0</v>
      </c>
      <c r="O203" s="121"/>
      <c r="P203" s="101">
        <f t="shared" si="249"/>
        <v>0</v>
      </c>
      <c r="Q203" s="122"/>
      <c r="R203" s="103">
        <f t="shared" si="249"/>
        <v>0</v>
      </c>
      <c r="S203" s="123"/>
      <c r="T203" s="105">
        <f>T206*2</f>
        <v>0</v>
      </c>
      <c r="U203" s="124"/>
      <c r="V203" s="107">
        <f>V206*2</f>
        <v>0</v>
      </c>
      <c r="W203" s="125"/>
      <c r="X203" s="109">
        <f>X206*2</f>
        <v>0</v>
      </c>
      <c r="Y203" s="126"/>
      <c r="Z203" s="151"/>
      <c r="AA203" s="151"/>
    </row>
    <row r="204" spans="1:27">
      <c r="A204" s="144"/>
      <c r="B204" s="145"/>
      <c r="C204" s="146" t="s">
        <v>4118</v>
      </c>
      <c r="D204" s="147" t="s">
        <v>4498</v>
      </c>
      <c r="E204" s="139" t="s">
        <v>4499</v>
      </c>
      <c r="F204" s="61" t="s">
        <v>888</v>
      </c>
      <c r="G204" s="92">
        <f>G206</f>
        <v>4.8</v>
      </c>
      <c r="H204" s="117"/>
      <c r="I204" s="149"/>
      <c r="J204" s="95">
        <f>J206</f>
        <v>50</v>
      </c>
      <c r="K204" s="150"/>
      <c r="L204" s="119">
        <f>L206</f>
        <v>3.8</v>
      </c>
      <c r="M204" s="120"/>
      <c r="N204" s="99">
        <f t="shared" ref="N204:R204" si="250">N206</f>
        <v>0</v>
      </c>
      <c r="O204" s="121"/>
      <c r="P204" s="101">
        <f t="shared" si="250"/>
        <v>0</v>
      </c>
      <c r="Q204" s="122"/>
      <c r="R204" s="103">
        <f t="shared" si="250"/>
        <v>0</v>
      </c>
      <c r="S204" s="123"/>
      <c r="T204" s="105">
        <f>T206</f>
        <v>0</v>
      </c>
      <c r="U204" s="124"/>
      <c r="V204" s="107">
        <f>V206</f>
        <v>0</v>
      </c>
      <c r="W204" s="125"/>
      <c r="X204" s="109">
        <f>X206</f>
        <v>0</v>
      </c>
      <c r="Y204" s="126"/>
      <c r="Z204" s="151"/>
      <c r="AA204" s="151"/>
    </row>
    <row r="205" spans="1:27">
      <c r="A205" s="144"/>
      <c r="B205" s="145"/>
      <c r="C205" s="146" t="s">
        <v>4121</v>
      </c>
      <c r="D205" s="147" t="s">
        <v>4500</v>
      </c>
      <c r="E205" s="139" t="s">
        <v>4501</v>
      </c>
      <c r="F205" s="61" t="s">
        <v>8062</v>
      </c>
      <c r="G205" s="92">
        <v>7.2</v>
      </c>
      <c r="H205" s="117"/>
      <c r="I205" s="149"/>
      <c r="J205" s="95">
        <v>75</v>
      </c>
      <c r="K205" s="150"/>
      <c r="L205" s="119">
        <v>5.7</v>
      </c>
      <c r="M205" s="120"/>
      <c r="N205" s="99">
        <v>0</v>
      </c>
      <c r="O205" s="121"/>
      <c r="P205" s="101">
        <v>0</v>
      </c>
      <c r="Q205" s="122"/>
      <c r="R205" s="103">
        <v>0</v>
      </c>
      <c r="S205" s="123"/>
      <c r="T205" s="105">
        <v>0</v>
      </c>
      <c r="U205" s="124"/>
      <c r="V205" s="107">
        <v>0</v>
      </c>
      <c r="W205" s="125"/>
      <c r="X205" s="109">
        <v>0</v>
      </c>
      <c r="Y205" s="126"/>
      <c r="Z205" s="151"/>
      <c r="AA205" s="151"/>
    </row>
    <row r="206" spans="1:27">
      <c r="A206" s="144"/>
      <c r="B206" s="145"/>
      <c r="C206" s="146" t="s">
        <v>4124</v>
      </c>
      <c r="D206" s="147" t="s">
        <v>4502</v>
      </c>
      <c r="E206" s="139" t="s">
        <v>4503</v>
      </c>
      <c r="F206" s="61" t="s">
        <v>888</v>
      </c>
      <c r="G206" s="92">
        <f>ROUND(G205*2/3,1)</f>
        <v>4.8</v>
      </c>
      <c r="H206" s="127"/>
      <c r="I206" s="149"/>
      <c r="J206" s="95">
        <f>ROUND(J205*2/3,0)</f>
        <v>50</v>
      </c>
      <c r="K206" s="154"/>
      <c r="L206" s="119">
        <f>ROUND(L205*2/3,1)</f>
        <v>3.8</v>
      </c>
      <c r="M206" s="128"/>
      <c r="N206" s="99">
        <f>ROUND(N205*2/3,0)</f>
        <v>0</v>
      </c>
      <c r="O206" s="129"/>
      <c r="P206" s="101">
        <f>ROUND(P205*2/3,0)</f>
        <v>0</v>
      </c>
      <c r="Q206" s="130"/>
      <c r="R206" s="103">
        <f>ROUND(R205*2/3,0)</f>
        <v>0</v>
      </c>
      <c r="S206" s="131"/>
      <c r="T206" s="105">
        <f>ROUND(T205*2/3,0)</f>
        <v>0</v>
      </c>
      <c r="U206" s="132"/>
      <c r="V206" s="107">
        <f>ROUND(V205*2/3,0)</f>
        <v>0</v>
      </c>
      <c r="W206" s="133"/>
      <c r="X206" s="109">
        <f>ROUND(X205*2/3,0)</f>
        <v>0</v>
      </c>
      <c r="Y206" s="134"/>
      <c r="Z206" s="151"/>
      <c r="AA206" s="151"/>
    </row>
    <row r="207" spans="1:27">
      <c r="A207" s="135" t="s">
        <v>7984</v>
      </c>
      <c r="B207" s="136" t="s">
        <v>6608</v>
      </c>
      <c r="C207" s="137" t="s">
        <v>4133</v>
      </c>
      <c r="D207" s="138" t="s">
        <v>4504</v>
      </c>
      <c r="E207" s="139" t="s">
        <v>4505</v>
      </c>
      <c r="F207" s="140" t="s">
        <v>3129</v>
      </c>
      <c r="G207" s="92">
        <f>G211</f>
        <v>5.2</v>
      </c>
      <c r="H207" s="93">
        <f t="shared" ref="H207:M207" si="251">SUM(G207:G211)</f>
        <v>33.8</v>
      </c>
      <c r="I207" s="141" t="s">
        <v>8063</v>
      </c>
      <c r="J207" s="95">
        <f>J211</f>
        <v>50</v>
      </c>
      <c r="K207" s="142">
        <f t="shared" si="251"/>
        <v>325</v>
      </c>
      <c r="L207" s="119">
        <f>L211</f>
        <v>3.8</v>
      </c>
      <c r="M207" s="98">
        <f t="shared" si="251"/>
        <v>24.7</v>
      </c>
      <c r="N207" s="99">
        <f t="shared" ref="N207:R207" si="252">N211</f>
        <v>8</v>
      </c>
      <c r="O207" s="100">
        <f t="shared" ref="O207:S207" si="253">SUM(N207:N211)</f>
        <v>52</v>
      </c>
      <c r="P207" s="101">
        <f t="shared" si="252"/>
        <v>0</v>
      </c>
      <c r="Q207" s="102">
        <f t="shared" si="253"/>
        <v>0</v>
      </c>
      <c r="R207" s="103">
        <f t="shared" si="252"/>
        <v>0</v>
      </c>
      <c r="S207" s="104">
        <f t="shared" si="253"/>
        <v>0</v>
      </c>
      <c r="T207" s="105">
        <f>T211</f>
        <v>0</v>
      </c>
      <c r="U207" s="106">
        <f t="shared" ref="U207:Y207" si="254">SUM(T207:T211)</f>
        <v>0</v>
      </c>
      <c r="V207" s="107">
        <f>V211</f>
        <v>0</v>
      </c>
      <c r="W207" s="108">
        <f t="shared" si="254"/>
        <v>0</v>
      </c>
      <c r="X207" s="109">
        <f>X211</f>
        <v>0</v>
      </c>
      <c r="Y207" s="110">
        <f t="shared" si="254"/>
        <v>0</v>
      </c>
      <c r="Z207" s="139"/>
      <c r="AA207" s="139"/>
    </row>
    <row r="208" spans="1:27">
      <c r="A208" s="144"/>
      <c r="B208" s="145"/>
      <c r="C208" s="146" t="s">
        <v>4115</v>
      </c>
      <c r="D208" s="147" t="s">
        <v>4506</v>
      </c>
      <c r="E208" s="139" t="s">
        <v>4507</v>
      </c>
      <c r="F208" s="148"/>
      <c r="G208" s="92">
        <f>G211*2</f>
        <v>10.4</v>
      </c>
      <c r="H208" s="117"/>
      <c r="I208" s="149"/>
      <c r="J208" s="95">
        <f>J211*2</f>
        <v>100</v>
      </c>
      <c r="K208" s="150"/>
      <c r="L208" s="119">
        <f>L211*2</f>
        <v>7.6</v>
      </c>
      <c r="M208" s="120"/>
      <c r="N208" s="99">
        <f t="shared" ref="N208:R208" si="255">N211*2</f>
        <v>16</v>
      </c>
      <c r="O208" s="121"/>
      <c r="P208" s="101">
        <f t="shared" si="255"/>
        <v>0</v>
      </c>
      <c r="Q208" s="122"/>
      <c r="R208" s="103">
        <f t="shared" si="255"/>
        <v>0</v>
      </c>
      <c r="S208" s="123"/>
      <c r="T208" s="105">
        <f>T211*2</f>
        <v>0</v>
      </c>
      <c r="U208" s="124"/>
      <c r="V208" s="107">
        <f>V211*2</f>
        <v>0</v>
      </c>
      <c r="W208" s="125"/>
      <c r="X208" s="109">
        <f>X211*2</f>
        <v>0</v>
      </c>
      <c r="Y208" s="126"/>
      <c r="Z208" s="151"/>
      <c r="AA208" s="151"/>
    </row>
    <row r="209" spans="1:27">
      <c r="A209" s="144"/>
      <c r="B209" s="145"/>
      <c r="C209" s="146" t="s">
        <v>4118</v>
      </c>
      <c r="D209" s="147" t="s">
        <v>4508</v>
      </c>
      <c r="E209" s="139" t="s">
        <v>4509</v>
      </c>
      <c r="F209" s="148"/>
      <c r="G209" s="92">
        <f>G211</f>
        <v>5.2</v>
      </c>
      <c r="H209" s="117"/>
      <c r="I209" s="149"/>
      <c r="J209" s="95">
        <f>J211</f>
        <v>50</v>
      </c>
      <c r="K209" s="150"/>
      <c r="L209" s="119">
        <f>L211</f>
        <v>3.8</v>
      </c>
      <c r="M209" s="120"/>
      <c r="N209" s="99">
        <f t="shared" ref="N209:R209" si="256">N211</f>
        <v>8</v>
      </c>
      <c r="O209" s="121"/>
      <c r="P209" s="101">
        <f t="shared" si="256"/>
        <v>0</v>
      </c>
      <c r="Q209" s="122"/>
      <c r="R209" s="103">
        <f t="shared" si="256"/>
        <v>0</v>
      </c>
      <c r="S209" s="123"/>
      <c r="T209" s="105">
        <f>T211</f>
        <v>0</v>
      </c>
      <c r="U209" s="124"/>
      <c r="V209" s="107">
        <f>V211</f>
        <v>0</v>
      </c>
      <c r="W209" s="125"/>
      <c r="X209" s="109">
        <f>X211</f>
        <v>0</v>
      </c>
      <c r="Y209" s="126"/>
      <c r="Z209" s="151"/>
      <c r="AA209" s="151"/>
    </row>
    <row r="210" spans="1:27">
      <c r="A210" s="144"/>
      <c r="B210" s="145"/>
      <c r="C210" s="146" t="s">
        <v>4121</v>
      </c>
      <c r="D210" s="147" t="s">
        <v>4510</v>
      </c>
      <c r="E210" s="139" t="s">
        <v>4511</v>
      </c>
      <c r="F210" s="148"/>
      <c r="G210" s="92">
        <v>7.8</v>
      </c>
      <c r="H210" s="117"/>
      <c r="I210" s="149"/>
      <c r="J210" s="95">
        <v>75</v>
      </c>
      <c r="K210" s="150"/>
      <c r="L210" s="119">
        <v>5.7</v>
      </c>
      <c r="M210" s="120"/>
      <c r="N210" s="99">
        <v>12</v>
      </c>
      <c r="O210" s="121"/>
      <c r="P210" s="101">
        <v>0</v>
      </c>
      <c r="Q210" s="122"/>
      <c r="R210" s="103">
        <v>0</v>
      </c>
      <c r="S210" s="123"/>
      <c r="T210" s="105">
        <v>0</v>
      </c>
      <c r="U210" s="124"/>
      <c r="V210" s="107">
        <v>0</v>
      </c>
      <c r="W210" s="125"/>
      <c r="X210" s="109">
        <v>0</v>
      </c>
      <c r="Y210" s="126"/>
      <c r="Z210" s="151"/>
      <c r="AA210" s="151"/>
    </row>
    <row r="211" spans="1:27">
      <c r="A211" s="144"/>
      <c r="B211" s="145"/>
      <c r="C211" s="146" t="s">
        <v>4124</v>
      </c>
      <c r="D211" s="147" t="s">
        <v>4512</v>
      </c>
      <c r="E211" s="139" t="s">
        <v>4513</v>
      </c>
      <c r="F211" s="153"/>
      <c r="G211" s="92">
        <f>ROUND(G210*2/3,1)</f>
        <v>5.2</v>
      </c>
      <c r="H211" s="127"/>
      <c r="I211" s="149"/>
      <c r="J211" s="95">
        <f>ROUND(J210*2/3,0)</f>
        <v>50</v>
      </c>
      <c r="K211" s="154"/>
      <c r="L211" s="119">
        <f>ROUND(L210*2/3,1)</f>
        <v>3.8</v>
      </c>
      <c r="M211" s="128"/>
      <c r="N211" s="99">
        <f>ROUND(N210*2/3,0)</f>
        <v>8</v>
      </c>
      <c r="O211" s="129"/>
      <c r="P211" s="101">
        <f>ROUND(P210*2/3,0)</f>
        <v>0</v>
      </c>
      <c r="Q211" s="130"/>
      <c r="R211" s="103">
        <f>ROUND(R210*2/3,0)</f>
        <v>0</v>
      </c>
      <c r="S211" s="131"/>
      <c r="T211" s="105">
        <f>ROUND(T210*2/3,0)</f>
        <v>0</v>
      </c>
      <c r="U211" s="132"/>
      <c r="V211" s="107">
        <f>ROUND(V210*2/3,0)</f>
        <v>0</v>
      </c>
      <c r="W211" s="133"/>
      <c r="X211" s="109">
        <f>ROUND(X210*2/3,0)</f>
        <v>0</v>
      </c>
      <c r="Y211" s="134"/>
      <c r="Z211" s="151"/>
      <c r="AA211" s="151"/>
    </row>
    <row r="212" spans="1:27">
      <c r="A212" s="135" t="s">
        <v>7984</v>
      </c>
      <c r="B212" s="136" t="s">
        <v>7295</v>
      </c>
      <c r="C212" s="137" t="s">
        <v>4133</v>
      </c>
      <c r="D212" s="138" t="s">
        <v>4514</v>
      </c>
      <c r="E212" s="139" t="s">
        <v>4515</v>
      </c>
      <c r="F212" s="140" t="s">
        <v>3125</v>
      </c>
      <c r="G212" s="92">
        <f>G216</f>
        <v>4.7</v>
      </c>
      <c r="H212" s="93">
        <f t="shared" ref="H212:M212" si="257">SUM(G212:G216)</f>
        <v>30.6</v>
      </c>
      <c r="I212" s="141" t="s">
        <v>8064</v>
      </c>
      <c r="J212" s="95">
        <f>J216</f>
        <v>50</v>
      </c>
      <c r="K212" s="142">
        <f t="shared" si="257"/>
        <v>325</v>
      </c>
      <c r="L212" s="119">
        <f>L216</f>
        <v>3.8</v>
      </c>
      <c r="M212" s="98">
        <f t="shared" si="257"/>
        <v>24.7</v>
      </c>
      <c r="N212" s="99">
        <f t="shared" ref="N212:R212" si="258">N216</f>
        <v>0</v>
      </c>
      <c r="O212" s="100">
        <f t="shared" ref="O212:S212" si="259">SUM(N212:N216)</f>
        <v>0</v>
      </c>
      <c r="P212" s="101">
        <f t="shared" si="258"/>
        <v>0</v>
      </c>
      <c r="Q212" s="102">
        <f t="shared" si="259"/>
        <v>0</v>
      </c>
      <c r="R212" s="103">
        <f t="shared" si="258"/>
        <v>4</v>
      </c>
      <c r="S212" s="104">
        <f t="shared" si="259"/>
        <v>26</v>
      </c>
      <c r="T212" s="105">
        <f>T216</f>
        <v>0</v>
      </c>
      <c r="U212" s="106">
        <f t="shared" ref="U212:Y212" si="260">SUM(T212:T216)</f>
        <v>0</v>
      </c>
      <c r="V212" s="107">
        <f>V216</f>
        <v>0</v>
      </c>
      <c r="W212" s="108">
        <f t="shared" si="260"/>
        <v>0</v>
      </c>
      <c r="X212" s="109">
        <f>X216</f>
        <v>4</v>
      </c>
      <c r="Y212" s="110">
        <f t="shared" si="260"/>
        <v>26</v>
      </c>
      <c r="Z212" s="139"/>
      <c r="AA212" s="139"/>
    </row>
    <row r="213" spans="1:27">
      <c r="A213" s="144"/>
      <c r="B213" s="145"/>
      <c r="C213" s="146" t="s">
        <v>4115</v>
      </c>
      <c r="D213" s="147" t="s">
        <v>4516</v>
      </c>
      <c r="E213" s="139" t="s">
        <v>4517</v>
      </c>
      <c r="F213" s="148"/>
      <c r="G213" s="92">
        <f>G216*2</f>
        <v>9.4</v>
      </c>
      <c r="H213" s="117"/>
      <c r="I213" s="149"/>
      <c r="J213" s="95">
        <f>J216*2</f>
        <v>100</v>
      </c>
      <c r="K213" s="150"/>
      <c r="L213" s="119">
        <f>L216*2</f>
        <v>7.6</v>
      </c>
      <c r="M213" s="120"/>
      <c r="N213" s="99">
        <f t="shared" ref="N213:R213" si="261">N216*2</f>
        <v>0</v>
      </c>
      <c r="O213" s="121"/>
      <c r="P213" s="101">
        <f t="shared" si="261"/>
        <v>0</v>
      </c>
      <c r="Q213" s="122"/>
      <c r="R213" s="103">
        <f t="shared" si="261"/>
        <v>8</v>
      </c>
      <c r="S213" s="123"/>
      <c r="T213" s="105">
        <f>T216*2</f>
        <v>0</v>
      </c>
      <c r="U213" s="124"/>
      <c r="V213" s="107">
        <f>V216*2</f>
        <v>0</v>
      </c>
      <c r="W213" s="125"/>
      <c r="X213" s="109">
        <f>X216*2</f>
        <v>8</v>
      </c>
      <c r="Y213" s="126"/>
      <c r="Z213" s="151"/>
      <c r="AA213" s="151"/>
    </row>
    <row r="214" spans="1:27">
      <c r="A214" s="144"/>
      <c r="B214" s="145"/>
      <c r="C214" s="146" t="s">
        <v>4118</v>
      </c>
      <c r="D214" s="147" t="s">
        <v>4518</v>
      </c>
      <c r="E214" s="139" t="s">
        <v>4519</v>
      </c>
      <c r="F214" s="148"/>
      <c r="G214" s="92">
        <f>G216</f>
        <v>4.7</v>
      </c>
      <c r="H214" s="117"/>
      <c r="I214" s="149"/>
      <c r="J214" s="95">
        <f>J216</f>
        <v>50</v>
      </c>
      <c r="K214" s="150"/>
      <c r="L214" s="119">
        <f>L216</f>
        <v>3.8</v>
      </c>
      <c r="M214" s="120"/>
      <c r="N214" s="99">
        <f t="shared" ref="N214:R214" si="262">N216</f>
        <v>0</v>
      </c>
      <c r="O214" s="121"/>
      <c r="P214" s="101">
        <f t="shared" si="262"/>
        <v>0</v>
      </c>
      <c r="Q214" s="122"/>
      <c r="R214" s="103">
        <f t="shared" si="262"/>
        <v>4</v>
      </c>
      <c r="S214" s="123"/>
      <c r="T214" s="105">
        <f>T216</f>
        <v>0</v>
      </c>
      <c r="U214" s="124"/>
      <c r="V214" s="107">
        <f>V216</f>
        <v>0</v>
      </c>
      <c r="W214" s="125"/>
      <c r="X214" s="109">
        <f>X216</f>
        <v>4</v>
      </c>
      <c r="Y214" s="126"/>
      <c r="Z214" s="151"/>
      <c r="AA214" s="151"/>
    </row>
    <row r="215" spans="1:27">
      <c r="A215" s="144"/>
      <c r="B215" s="145"/>
      <c r="C215" s="146" t="s">
        <v>4121</v>
      </c>
      <c r="D215" s="147" t="s">
        <v>4520</v>
      </c>
      <c r="E215" s="139" t="s">
        <v>4521</v>
      </c>
      <c r="F215" s="148"/>
      <c r="G215" s="92">
        <v>7.1</v>
      </c>
      <c r="H215" s="117"/>
      <c r="I215" s="149"/>
      <c r="J215" s="95">
        <v>75</v>
      </c>
      <c r="K215" s="150"/>
      <c r="L215" s="119">
        <v>5.7</v>
      </c>
      <c r="M215" s="120"/>
      <c r="N215" s="99">
        <v>0</v>
      </c>
      <c r="O215" s="121"/>
      <c r="P215" s="101">
        <v>0</v>
      </c>
      <c r="Q215" s="122"/>
      <c r="R215" s="103">
        <v>6</v>
      </c>
      <c r="S215" s="123"/>
      <c r="T215" s="105">
        <v>0</v>
      </c>
      <c r="U215" s="124"/>
      <c r="V215" s="107">
        <v>0</v>
      </c>
      <c r="W215" s="125"/>
      <c r="X215" s="109">
        <v>6</v>
      </c>
      <c r="Y215" s="126"/>
      <c r="Z215" s="151"/>
      <c r="AA215" s="151"/>
    </row>
    <row r="216" spans="1:27">
      <c r="A216" s="144"/>
      <c r="B216" s="145"/>
      <c r="C216" s="146" t="s">
        <v>4124</v>
      </c>
      <c r="D216" s="147" t="s">
        <v>4522</v>
      </c>
      <c r="E216" s="139" t="s">
        <v>4523</v>
      </c>
      <c r="F216" s="153"/>
      <c r="G216" s="92">
        <f>ROUND(G215*2/3,1)</f>
        <v>4.7</v>
      </c>
      <c r="H216" s="127"/>
      <c r="I216" s="149"/>
      <c r="J216" s="95">
        <f>ROUND(J215*2/3,0)</f>
        <v>50</v>
      </c>
      <c r="K216" s="154"/>
      <c r="L216" s="119">
        <f>ROUND(L215*2/3,1)</f>
        <v>3.8</v>
      </c>
      <c r="M216" s="128"/>
      <c r="N216" s="99">
        <f>ROUND(N215*2/3,0)</f>
        <v>0</v>
      </c>
      <c r="O216" s="129"/>
      <c r="P216" s="101">
        <f>ROUND(P215*2/3,0)</f>
        <v>0</v>
      </c>
      <c r="Q216" s="130"/>
      <c r="R216" s="103">
        <f>ROUND(R215*2/3,0)</f>
        <v>4</v>
      </c>
      <c r="S216" s="131"/>
      <c r="T216" s="105">
        <f>ROUND(T215*2/3,0)</f>
        <v>0</v>
      </c>
      <c r="U216" s="132"/>
      <c r="V216" s="107">
        <f>ROUND(V215*2/3,0)</f>
        <v>0</v>
      </c>
      <c r="W216" s="133"/>
      <c r="X216" s="109">
        <f>ROUND(X215*2/3,0)</f>
        <v>4</v>
      </c>
      <c r="Y216" s="134"/>
      <c r="Z216" s="151"/>
      <c r="AA216" s="151"/>
    </row>
    <row r="217" spans="1:27">
      <c r="A217" s="135" t="s">
        <v>7984</v>
      </c>
      <c r="B217" s="136" t="s">
        <v>7216</v>
      </c>
      <c r="C217" s="137" t="s">
        <v>4133</v>
      </c>
      <c r="D217" s="138" t="s">
        <v>4524</v>
      </c>
      <c r="E217" s="139" t="s">
        <v>4525</v>
      </c>
      <c r="F217" s="140" t="s">
        <v>3135</v>
      </c>
      <c r="G217" s="92">
        <f>G221</f>
        <v>5</v>
      </c>
      <c r="H217" s="93">
        <f t="shared" ref="H217:M217" si="263">SUM(G217:G221)</f>
        <v>32.5</v>
      </c>
      <c r="I217" s="141" t="s">
        <v>8065</v>
      </c>
      <c r="J217" s="95">
        <f>J221</f>
        <v>50</v>
      </c>
      <c r="K217" s="142">
        <f t="shared" si="263"/>
        <v>325</v>
      </c>
      <c r="L217" s="119">
        <f>L221</f>
        <v>3.8</v>
      </c>
      <c r="M217" s="98">
        <f t="shared" si="263"/>
        <v>24.7</v>
      </c>
      <c r="N217" s="99">
        <f t="shared" ref="N217:R217" si="264">N221</f>
        <v>0</v>
      </c>
      <c r="O217" s="100">
        <f t="shared" ref="O217:S217" si="265">SUM(N217:N221)</f>
        <v>0</v>
      </c>
      <c r="P217" s="101">
        <f t="shared" si="264"/>
        <v>0</v>
      </c>
      <c r="Q217" s="102">
        <f t="shared" si="265"/>
        <v>0</v>
      </c>
      <c r="R217" s="103">
        <f t="shared" si="264"/>
        <v>0</v>
      </c>
      <c r="S217" s="104">
        <f t="shared" si="265"/>
        <v>0</v>
      </c>
      <c r="T217" s="105">
        <f>T221</f>
        <v>0</v>
      </c>
      <c r="U217" s="106">
        <f t="shared" ref="U217:Y217" si="266">SUM(T217:T221)</f>
        <v>0</v>
      </c>
      <c r="V217" s="107">
        <f>V221</f>
        <v>4</v>
      </c>
      <c r="W217" s="108">
        <f t="shared" si="266"/>
        <v>26</v>
      </c>
      <c r="X217" s="109">
        <f>X221</f>
        <v>4</v>
      </c>
      <c r="Y217" s="110">
        <f t="shared" si="266"/>
        <v>26</v>
      </c>
      <c r="Z217" s="139"/>
      <c r="AA217" s="139"/>
    </row>
    <row r="218" spans="1:27">
      <c r="A218" s="144"/>
      <c r="B218" s="145"/>
      <c r="C218" s="146" t="s">
        <v>4115</v>
      </c>
      <c r="D218" s="147" t="s">
        <v>4526</v>
      </c>
      <c r="E218" s="139" t="s">
        <v>4527</v>
      </c>
      <c r="F218" s="148"/>
      <c r="G218" s="92">
        <f>G221*2</f>
        <v>10</v>
      </c>
      <c r="H218" s="117"/>
      <c r="I218" s="149"/>
      <c r="J218" s="95">
        <f>J221*2</f>
        <v>100</v>
      </c>
      <c r="K218" s="150"/>
      <c r="L218" s="119">
        <f>L221*2</f>
        <v>7.6</v>
      </c>
      <c r="M218" s="120"/>
      <c r="N218" s="99">
        <f t="shared" ref="N218:R218" si="267">N221*2</f>
        <v>0</v>
      </c>
      <c r="O218" s="121"/>
      <c r="P218" s="101">
        <f t="shared" si="267"/>
        <v>0</v>
      </c>
      <c r="Q218" s="122"/>
      <c r="R218" s="103">
        <f t="shared" si="267"/>
        <v>0</v>
      </c>
      <c r="S218" s="123"/>
      <c r="T218" s="105">
        <f>T221*2</f>
        <v>0</v>
      </c>
      <c r="U218" s="124"/>
      <c r="V218" s="107">
        <f>V221*2</f>
        <v>8</v>
      </c>
      <c r="W218" s="125"/>
      <c r="X218" s="109">
        <f>X221*2</f>
        <v>8</v>
      </c>
      <c r="Y218" s="126"/>
      <c r="Z218" s="151"/>
      <c r="AA218" s="151"/>
    </row>
    <row r="219" spans="1:27">
      <c r="A219" s="144"/>
      <c r="B219" s="145"/>
      <c r="C219" s="146" t="s">
        <v>4118</v>
      </c>
      <c r="D219" s="147" t="s">
        <v>4528</v>
      </c>
      <c r="E219" s="139" t="s">
        <v>4529</v>
      </c>
      <c r="F219" s="148"/>
      <c r="G219" s="92">
        <f>G221</f>
        <v>5</v>
      </c>
      <c r="H219" s="117"/>
      <c r="I219" s="149"/>
      <c r="J219" s="95">
        <f>J221</f>
        <v>50</v>
      </c>
      <c r="K219" s="150"/>
      <c r="L219" s="119">
        <f>L221</f>
        <v>3.8</v>
      </c>
      <c r="M219" s="120"/>
      <c r="N219" s="99">
        <f t="shared" ref="N219:R219" si="268">N221</f>
        <v>0</v>
      </c>
      <c r="O219" s="121"/>
      <c r="P219" s="101">
        <f t="shared" si="268"/>
        <v>0</v>
      </c>
      <c r="Q219" s="122"/>
      <c r="R219" s="103">
        <f t="shared" si="268"/>
        <v>0</v>
      </c>
      <c r="S219" s="123"/>
      <c r="T219" s="105">
        <f>T221</f>
        <v>0</v>
      </c>
      <c r="U219" s="124"/>
      <c r="V219" s="107">
        <f>V221</f>
        <v>4</v>
      </c>
      <c r="W219" s="125"/>
      <c r="X219" s="109">
        <f>X221</f>
        <v>4</v>
      </c>
      <c r="Y219" s="126"/>
      <c r="Z219" s="151"/>
      <c r="AA219" s="151"/>
    </row>
    <row r="220" spans="1:27">
      <c r="A220" s="144"/>
      <c r="B220" s="145"/>
      <c r="C220" s="146" t="s">
        <v>4121</v>
      </c>
      <c r="D220" s="147" t="s">
        <v>4530</v>
      </c>
      <c r="E220" s="139" t="s">
        <v>4531</v>
      </c>
      <c r="F220" s="148"/>
      <c r="G220" s="92">
        <v>7.5</v>
      </c>
      <c r="H220" s="117"/>
      <c r="I220" s="149"/>
      <c r="J220" s="95">
        <v>75</v>
      </c>
      <c r="K220" s="150"/>
      <c r="L220" s="119">
        <v>5.7</v>
      </c>
      <c r="M220" s="120"/>
      <c r="N220" s="99">
        <v>0</v>
      </c>
      <c r="O220" s="121"/>
      <c r="P220" s="101">
        <v>0</v>
      </c>
      <c r="Q220" s="122"/>
      <c r="R220" s="103">
        <v>0</v>
      </c>
      <c r="S220" s="123"/>
      <c r="T220" s="105">
        <v>0</v>
      </c>
      <c r="U220" s="124"/>
      <c r="V220" s="107">
        <v>6</v>
      </c>
      <c r="W220" s="125"/>
      <c r="X220" s="109">
        <v>6</v>
      </c>
      <c r="Y220" s="126"/>
      <c r="Z220" s="151"/>
      <c r="AA220" s="151"/>
    </row>
    <row r="221" spans="1:27">
      <c r="A221" s="144"/>
      <c r="B221" s="145"/>
      <c r="C221" s="146" t="s">
        <v>4124</v>
      </c>
      <c r="D221" s="147" t="s">
        <v>4532</v>
      </c>
      <c r="E221" s="139" t="s">
        <v>4533</v>
      </c>
      <c r="F221" s="153"/>
      <c r="G221" s="92">
        <f>ROUND(G220*2/3,1)</f>
        <v>5</v>
      </c>
      <c r="H221" s="127"/>
      <c r="I221" s="149"/>
      <c r="J221" s="95">
        <f>ROUND(J220*2/3,0)</f>
        <v>50</v>
      </c>
      <c r="K221" s="154"/>
      <c r="L221" s="119">
        <f>ROUND(L220*2/3,1)</f>
        <v>3.8</v>
      </c>
      <c r="M221" s="128"/>
      <c r="N221" s="99">
        <f>ROUND(N220*2/3,0)</f>
        <v>0</v>
      </c>
      <c r="O221" s="129"/>
      <c r="P221" s="101">
        <f>ROUND(P220*2/3,0)</f>
        <v>0</v>
      </c>
      <c r="Q221" s="130"/>
      <c r="R221" s="103">
        <f>ROUND(R220*2/3,0)</f>
        <v>0</v>
      </c>
      <c r="S221" s="131"/>
      <c r="T221" s="105">
        <f>ROUND(T220*2/3,0)</f>
        <v>0</v>
      </c>
      <c r="U221" s="132"/>
      <c r="V221" s="107">
        <f>ROUND(V220*2/3,0)</f>
        <v>4</v>
      </c>
      <c r="W221" s="133"/>
      <c r="X221" s="109">
        <f>ROUND(X220*2/3,0)</f>
        <v>4</v>
      </c>
      <c r="Y221" s="134"/>
      <c r="Z221" s="151"/>
      <c r="AA221" s="151"/>
    </row>
    <row r="222" spans="1:27">
      <c r="A222" s="135" t="s">
        <v>7984</v>
      </c>
      <c r="B222" s="136" t="s">
        <v>7229</v>
      </c>
      <c r="C222" s="137" t="s">
        <v>4133</v>
      </c>
      <c r="D222" s="138" t="s">
        <v>4534</v>
      </c>
      <c r="E222" s="139" t="s">
        <v>4535</v>
      </c>
      <c r="F222" s="140" t="s">
        <v>3127</v>
      </c>
      <c r="G222" s="92">
        <f>G226</f>
        <v>5.3</v>
      </c>
      <c r="H222" s="93">
        <f t="shared" ref="H222:M222" si="269">SUM(G222:G226)</f>
        <v>34.5</v>
      </c>
      <c r="I222" s="141" t="s">
        <v>8066</v>
      </c>
      <c r="J222" s="95">
        <f>J226</f>
        <v>50</v>
      </c>
      <c r="K222" s="142">
        <f t="shared" si="269"/>
        <v>325</v>
      </c>
      <c r="L222" s="119">
        <f>L226</f>
        <v>3.8</v>
      </c>
      <c r="M222" s="98">
        <f t="shared" si="269"/>
        <v>24.7</v>
      </c>
      <c r="N222" s="99">
        <f t="shared" ref="N222:R222" si="270">N226</f>
        <v>0</v>
      </c>
      <c r="O222" s="100">
        <f t="shared" ref="O222:S222" si="271">SUM(N222:N226)</f>
        <v>0</v>
      </c>
      <c r="P222" s="101">
        <f t="shared" si="270"/>
        <v>0</v>
      </c>
      <c r="Q222" s="102">
        <f t="shared" si="271"/>
        <v>0</v>
      </c>
      <c r="R222" s="103">
        <f t="shared" si="270"/>
        <v>8</v>
      </c>
      <c r="S222" s="104">
        <f t="shared" si="271"/>
        <v>52</v>
      </c>
      <c r="T222" s="105">
        <f>T226</f>
        <v>0</v>
      </c>
      <c r="U222" s="106">
        <f t="shared" ref="U222:Y222" si="272">SUM(T222:T226)</f>
        <v>0</v>
      </c>
      <c r="V222" s="107">
        <f>V226</f>
        <v>0</v>
      </c>
      <c r="W222" s="108">
        <f t="shared" si="272"/>
        <v>0</v>
      </c>
      <c r="X222" s="109">
        <f>X226</f>
        <v>0</v>
      </c>
      <c r="Y222" s="110">
        <f t="shared" si="272"/>
        <v>0</v>
      </c>
      <c r="Z222" s="139"/>
      <c r="AA222" s="139"/>
    </row>
    <row r="223" spans="1:27">
      <c r="A223" s="144"/>
      <c r="B223" s="145"/>
      <c r="C223" s="146" t="s">
        <v>4115</v>
      </c>
      <c r="D223" s="147" t="s">
        <v>4536</v>
      </c>
      <c r="E223" s="139" t="s">
        <v>4537</v>
      </c>
      <c r="F223" s="148"/>
      <c r="G223" s="92">
        <f>G226*2</f>
        <v>10.6</v>
      </c>
      <c r="H223" s="117"/>
      <c r="I223" s="149"/>
      <c r="J223" s="95">
        <f>J226*2</f>
        <v>100</v>
      </c>
      <c r="K223" s="150"/>
      <c r="L223" s="119">
        <f>L226*2</f>
        <v>7.6</v>
      </c>
      <c r="M223" s="120"/>
      <c r="N223" s="99">
        <f t="shared" ref="N223:R223" si="273">N226*2</f>
        <v>0</v>
      </c>
      <c r="O223" s="121"/>
      <c r="P223" s="101">
        <f t="shared" si="273"/>
        <v>0</v>
      </c>
      <c r="Q223" s="122"/>
      <c r="R223" s="103">
        <f t="shared" si="273"/>
        <v>16</v>
      </c>
      <c r="S223" s="123"/>
      <c r="T223" s="105">
        <f>T226*2</f>
        <v>0</v>
      </c>
      <c r="U223" s="124"/>
      <c r="V223" s="107">
        <f>V226*2</f>
        <v>0</v>
      </c>
      <c r="W223" s="125"/>
      <c r="X223" s="109">
        <f>X226*2</f>
        <v>0</v>
      </c>
      <c r="Y223" s="126"/>
      <c r="Z223" s="151"/>
      <c r="AA223" s="151"/>
    </row>
    <row r="224" spans="1:27">
      <c r="A224" s="144"/>
      <c r="B224" s="145"/>
      <c r="C224" s="146" t="s">
        <v>4118</v>
      </c>
      <c r="D224" s="147" t="s">
        <v>4538</v>
      </c>
      <c r="E224" s="139" t="s">
        <v>4539</v>
      </c>
      <c r="F224" s="148"/>
      <c r="G224" s="92">
        <f>G226</f>
        <v>5.3</v>
      </c>
      <c r="H224" s="117"/>
      <c r="I224" s="149"/>
      <c r="J224" s="95">
        <f>J226</f>
        <v>50</v>
      </c>
      <c r="K224" s="150"/>
      <c r="L224" s="119">
        <f>L226</f>
        <v>3.8</v>
      </c>
      <c r="M224" s="120"/>
      <c r="N224" s="99">
        <f t="shared" ref="N224:R224" si="274">N226</f>
        <v>0</v>
      </c>
      <c r="O224" s="121"/>
      <c r="P224" s="101">
        <f t="shared" si="274"/>
        <v>0</v>
      </c>
      <c r="Q224" s="122"/>
      <c r="R224" s="103">
        <f t="shared" si="274"/>
        <v>8</v>
      </c>
      <c r="S224" s="123"/>
      <c r="T224" s="105">
        <f>T226</f>
        <v>0</v>
      </c>
      <c r="U224" s="124"/>
      <c r="V224" s="107">
        <f>V226</f>
        <v>0</v>
      </c>
      <c r="W224" s="125"/>
      <c r="X224" s="109">
        <f>X226</f>
        <v>0</v>
      </c>
      <c r="Y224" s="126"/>
      <c r="Z224" s="151"/>
      <c r="AA224" s="151"/>
    </row>
    <row r="225" spans="1:27">
      <c r="A225" s="144"/>
      <c r="B225" s="145"/>
      <c r="C225" s="146" t="s">
        <v>4121</v>
      </c>
      <c r="D225" s="147" t="s">
        <v>4540</v>
      </c>
      <c r="E225" s="139" t="s">
        <v>4541</v>
      </c>
      <c r="F225" s="148"/>
      <c r="G225" s="92">
        <v>8</v>
      </c>
      <c r="H225" s="117"/>
      <c r="I225" s="149"/>
      <c r="J225" s="95">
        <v>75</v>
      </c>
      <c r="K225" s="150"/>
      <c r="L225" s="119">
        <v>5.7</v>
      </c>
      <c r="M225" s="120"/>
      <c r="N225" s="99">
        <v>0</v>
      </c>
      <c r="O225" s="121"/>
      <c r="P225" s="101">
        <v>0</v>
      </c>
      <c r="Q225" s="122"/>
      <c r="R225" s="103">
        <v>12</v>
      </c>
      <c r="S225" s="123"/>
      <c r="T225" s="105">
        <v>0</v>
      </c>
      <c r="U225" s="124"/>
      <c r="V225" s="107">
        <v>0</v>
      </c>
      <c r="W225" s="125"/>
      <c r="X225" s="109">
        <v>0</v>
      </c>
      <c r="Y225" s="126"/>
      <c r="Z225" s="151"/>
      <c r="AA225" s="151"/>
    </row>
    <row r="226" spans="1:27">
      <c r="A226" s="144"/>
      <c r="B226" s="145"/>
      <c r="C226" s="146" t="s">
        <v>4124</v>
      </c>
      <c r="D226" s="147" t="s">
        <v>4542</v>
      </c>
      <c r="E226" s="139" t="s">
        <v>4543</v>
      </c>
      <c r="F226" s="153"/>
      <c r="G226" s="92">
        <f>ROUND(G225*2/3,1)</f>
        <v>5.3</v>
      </c>
      <c r="H226" s="127"/>
      <c r="I226" s="149"/>
      <c r="J226" s="95">
        <f>ROUND(J225*2/3,0)</f>
        <v>50</v>
      </c>
      <c r="K226" s="154"/>
      <c r="L226" s="119">
        <f>ROUND(L225*2/3,1)</f>
        <v>3.8</v>
      </c>
      <c r="M226" s="128"/>
      <c r="N226" s="99">
        <f>ROUND(N225*2/3,0)</f>
        <v>0</v>
      </c>
      <c r="O226" s="129"/>
      <c r="P226" s="101">
        <f>ROUND(P225*2/3,0)</f>
        <v>0</v>
      </c>
      <c r="Q226" s="130"/>
      <c r="R226" s="103">
        <f>ROUND(R225*2/3,0)</f>
        <v>8</v>
      </c>
      <c r="S226" s="131"/>
      <c r="T226" s="105">
        <f>ROUND(T225*2/3,0)</f>
        <v>0</v>
      </c>
      <c r="U226" s="132"/>
      <c r="V226" s="107">
        <f>ROUND(V225*2/3,0)</f>
        <v>0</v>
      </c>
      <c r="W226" s="133"/>
      <c r="X226" s="109">
        <f>ROUND(X225*2/3,0)</f>
        <v>0</v>
      </c>
      <c r="Y226" s="134"/>
      <c r="Z226" s="151"/>
      <c r="AA226" s="151"/>
    </row>
    <row r="227" spans="1:27">
      <c r="A227" s="135" t="s">
        <v>7984</v>
      </c>
      <c r="B227" s="136" t="s">
        <v>6817</v>
      </c>
      <c r="C227" s="137" t="s">
        <v>4133</v>
      </c>
      <c r="D227" s="138" t="s">
        <v>4544</v>
      </c>
      <c r="E227" s="139" t="s">
        <v>4545</v>
      </c>
      <c r="F227" s="140" t="s">
        <v>3141</v>
      </c>
      <c r="G227" s="92">
        <f>G231</f>
        <v>5.5</v>
      </c>
      <c r="H227" s="93">
        <f t="shared" ref="H227:M227" si="275">SUM(G227:G231)</f>
        <v>35.8</v>
      </c>
      <c r="I227" s="141" t="s">
        <v>8067</v>
      </c>
      <c r="J227" s="95">
        <f>J231</f>
        <v>50</v>
      </c>
      <c r="K227" s="142">
        <f t="shared" si="275"/>
        <v>325</v>
      </c>
      <c r="L227" s="119">
        <f>L231</f>
        <v>3.8</v>
      </c>
      <c r="M227" s="98">
        <f t="shared" si="275"/>
        <v>24.7</v>
      </c>
      <c r="N227" s="99">
        <f t="shared" ref="N227:R227" si="276">N231</f>
        <v>6</v>
      </c>
      <c r="O227" s="100">
        <f t="shared" ref="O227:S227" si="277">SUM(N227:N231)</f>
        <v>39</v>
      </c>
      <c r="P227" s="101">
        <f t="shared" si="276"/>
        <v>0</v>
      </c>
      <c r="Q227" s="102">
        <f t="shared" si="277"/>
        <v>0</v>
      </c>
      <c r="R227" s="103">
        <f t="shared" si="276"/>
        <v>0</v>
      </c>
      <c r="S227" s="104">
        <f t="shared" si="277"/>
        <v>0</v>
      </c>
      <c r="T227" s="105">
        <f>T231</f>
        <v>0</v>
      </c>
      <c r="U227" s="106">
        <f t="shared" ref="U227:Y227" si="278">SUM(T227:T231)</f>
        <v>0</v>
      </c>
      <c r="V227" s="107">
        <f>V231</f>
        <v>6</v>
      </c>
      <c r="W227" s="108">
        <f t="shared" si="278"/>
        <v>39</v>
      </c>
      <c r="X227" s="109">
        <f>X231</f>
        <v>0</v>
      </c>
      <c r="Y227" s="110">
        <f t="shared" si="278"/>
        <v>0</v>
      </c>
      <c r="Z227" s="139"/>
      <c r="AA227" s="139"/>
    </row>
    <row r="228" spans="1:27">
      <c r="A228" s="144"/>
      <c r="B228" s="145"/>
      <c r="C228" s="146" t="s">
        <v>4115</v>
      </c>
      <c r="D228" s="147" t="s">
        <v>4546</v>
      </c>
      <c r="E228" s="139" t="s">
        <v>4547</v>
      </c>
      <c r="F228" s="148"/>
      <c r="G228" s="92">
        <f>G231*2</f>
        <v>11</v>
      </c>
      <c r="H228" s="117"/>
      <c r="I228" s="149"/>
      <c r="J228" s="95">
        <f>J231*2</f>
        <v>100</v>
      </c>
      <c r="K228" s="150"/>
      <c r="L228" s="119">
        <f>L231*2</f>
        <v>7.6</v>
      </c>
      <c r="M228" s="120"/>
      <c r="N228" s="99">
        <f t="shared" ref="N228:R228" si="279">N231*2</f>
        <v>12</v>
      </c>
      <c r="O228" s="121"/>
      <c r="P228" s="101">
        <f t="shared" si="279"/>
        <v>0</v>
      </c>
      <c r="Q228" s="122"/>
      <c r="R228" s="103">
        <f t="shared" si="279"/>
        <v>0</v>
      </c>
      <c r="S228" s="123"/>
      <c r="T228" s="105">
        <f>T231*2</f>
        <v>0</v>
      </c>
      <c r="U228" s="124"/>
      <c r="V228" s="107">
        <f>V231*2</f>
        <v>12</v>
      </c>
      <c r="W228" s="125"/>
      <c r="X228" s="109">
        <f>X231*2</f>
        <v>0</v>
      </c>
      <c r="Y228" s="126"/>
      <c r="Z228" s="151"/>
      <c r="AA228" s="151"/>
    </row>
    <row r="229" spans="1:27">
      <c r="A229" s="144"/>
      <c r="B229" s="145"/>
      <c r="C229" s="146" t="s">
        <v>4118</v>
      </c>
      <c r="D229" s="147" t="s">
        <v>4548</v>
      </c>
      <c r="E229" s="139" t="s">
        <v>4549</v>
      </c>
      <c r="F229" s="148"/>
      <c r="G229" s="92">
        <f>G231</f>
        <v>5.5</v>
      </c>
      <c r="H229" s="117"/>
      <c r="I229" s="149"/>
      <c r="J229" s="95">
        <f>J231</f>
        <v>50</v>
      </c>
      <c r="K229" s="150"/>
      <c r="L229" s="119">
        <f>L231</f>
        <v>3.8</v>
      </c>
      <c r="M229" s="120"/>
      <c r="N229" s="99">
        <f t="shared" ref="N229:R229" si="280">N231</f>
        <v>6</v>
      </c>
      <c r="O229" s="121"/>
      <c r="P229" s="101">
        <f t="shared" si="280"/>
        <v>0</v>
      </c>
      <c r="Q229" s="122"/>
      <c r="R229" s="103">
        <f t="shared" si="280"/>
        <v>0</v>
      </c>
      <c r="S229" s="123"/>
      <c r="T229" s="105">
        <f>T231</f>
        <v>0</v>
      </c>
      <c r="U229" s="124"/>
      <c r="V229" s="107">
        <f>V231</f>
        <v>6</v>
      </c>
      <c r="W229" s="125"/>
      <c r="X229" s="109">
        <f>X231</f>
        <v>0</v>
      </c>
      <c r="Y229" s="126"/>
      <c r="Z229" s="151"/>
      <c r="AA229" s="151"/>
    </row>
    <row r="230" spans="1:27">
      <c r="A230" s="144"/>
      <c r="B230" s="145"/>
      <c r="C230" s="146" t="s">
        <v>4121</v>
      </c>
      <c r="D230" s="147" t="s">
        <v>4550</v>
      </c>
      <c r="E230" s="139" t="s">
        <v>4551</v>
      </c>
      <c r="F230" s="148"/>
      <c r="G230" s="92">
        <v>8.3</v>
      </c>
      <c r="H230" s="117"/>
      <c r="I230" s="149"/>
      <c r="J230" s="95">
        <v>75</v>
      </c>
      <c r="K230" s="150"/>
      <c r="L230" s="119">
        <v>5.7</v>
      </c>
      <c r="M230" s="120"/>
      <c r="N230" s="99">
        <v>9</v>
      </c>
      <c r="O230" s="121"/>
      <c r="P230" s="101">
        <v>0</v>
      </c>
      <c r="Q230" s="122"/>
      <c r="R230" s="103">
        <v>0</v>
      </c>
      <c r="S230" s="123"/>
      <c r="T230" s="105">
        <v>0</v>
      </c>
      <c r="U230" s="124"/>
      <c r="V230" s="107">
        <v>9</v>
      </c>
      <c r="W230" s="125"/>
      <c r="X230" s="109">
        <v>0</v>
      </c>
      <c r="Y230" s="126"/>
      <c r="Z230" s="151"/>
      <c r="AA230" s="151"/>
    </row>
    <row r="231" spans="1:27">
      <c r="A231" s="144"/>
      <c r="B231" s="145"/>
      <c r="C231" s="146" t="s">
        <v>4124</v>
      </c>
      <c r="D231" s="147" t="s">
        <v>4552</v>
      </c>
      <c r="E231" s="139" t="s">
        <v>4553</v>
      </c>
      <c r="F231" s="153"/>
      <c r="G231" s="92">
        <f>ROUND(G230*2/3,1)</f>
        <v>5.5</v>
      </c>
      <c r="H231" s="127"/>
      <c r="I231" s="149"/>
      <c r="J231" s="95">
        <f>ROUND(J230*2/3,0)</f>
        <v>50</v>
      </c>
      <c r="K231" s="154"/>
      <c r="L231" s="119">
        <f>ROUND(L230*2/3,1)</f>
        <v>3.8</v>
      </c>
      <c r="M231" s="128"/>
      <c r="N231" s="99">
        <f>ROUND(N230*2/3,0)</f>
        <v>6</v>
      </c>
      <c r="O231" s="129"/>
      <c r="P231" s="101">
        <f>ROUND(P230*2/3,0)</f>
        <v>0</v>
      </c>
      <c r="Q231" s="130"/>
      <c r="R231" s="103">
        <f>ROUND(R230*2/3,0)</f>
        <v>0</v>
      </c>
      <c r="S231" s="131"/>
      <c r="T231" s="105">
        <f>ROUND(T230*2/3,0)</f>
        <v>0</v>
      </c>
      <c r="U231" s="132"/>
      <c r="V231" s="107">
        <f>ROUND(V230*2/3,0)</f>
        <v>6</v>
      </c>
      <c r="W231" s="133"/>
      <c r="X231" s="109">
        <f>ROUND(X230*2/3,0)</f>
        <v>0</v>
      </c>
      <c r="Y231" s="134"/>
      <c r="Z231" s="151"/>
      <c r="AA231" s="151"/>
    </row>
    <row r="232" spans="1:27">
      <c r="A232" s="135" t="s">
        <v>7984</v>
      </c>
      <c r="B232" s="136" t="s">
        <v>6728</v>
      </c>
      <c r="C232" s="137" t="s">
        <v>4133</v>
      </c>
      <c r="D232" s="138" t="s">
        <v>4554</v>
      </c>
      <c r="E232" s="139" t="s">
        <v>4555</v>
      </c>
      <c r="F232" s="140" t="s">
        <v>3143</v>
      </c>
      <c r="G232" s="92">
        <f>G236</f>
        <v>5.5</v>
      </c>
      <c r="H232" s="93">
        <f t="shared" ref="H232:M232" si="281">SUM(G232:G236)</f>
        <v>35.8</v>
      </c>
      <c r="I232" s="141" t="s">
        <v>8068</v>
      </c>
      <c r="J232" s="95">
        <f>J236</f>
        <v>50</v>
      </c>
      <c r="K232" s="142">
        <f t="shared" si="281"/>
        <v>325</v>
      </c>
      <c r="L232" s="119">
        <f>L236</f>
        <v>3.8</v>
      </c>
      <c r="M232" s="98">
        <f t="shared" si="281"/>
        <v>24.7</v>
      </c>
      <c r="N232" s="99">
        <f t="shared" ref="N232:R232" si="282">N236</f>
        <v>0</v>
      </c>
      <c r="O232" s="100">
        <f t="shared" ref="O232:S232" si="283">SUM(N232:N236)</f>
        <v>0</v>
      </c>
      <c r="P232" s="101">
        <f t="shared" si="282"/>
        <v>0</v>
      </c>
      <c r="Q232" s="102">
        <f t="shared" si="283"/>
        <v>0</v>
      </c>
      <c r="R232" s="103">
        <f t="shared" si="282"/>
        <v>6</v>
      </c>
      <c r="S232" s="104">
        <f t="shared" si="283"/>
        <v>39</v>
      </c>
      <c r="T232" s="105">
        <f>T236</f>
        <v>0</v>
      </c>
      <c r="U232" s="106">
        <f t="shared" ref="U232:Y232" si="284">SUM(T232:T236)</f>
        <v>0</v>
      </c>
      <c r="V232" s="107">
        <f>V236</f>
        <v>0</v>
      </c>
      <c r="W232" s="108">
        <f t="shared" si="284"/>
        <v>0</v>
      </c>
      <c r="X232" s="109">
        <f>X236</f>
        <v>6</v>
      </c>
      <c r="Y232" s="110">
        <f t="shared" si="284"/>
        <v>39</v>
      </c>
      <c r="Z232" s="139"/>
      <c r="AA232" s="139"/>
    </row>
    <row r="233" spans="1:27">
      <c r="A233" s="144"/>
      <c r="B233" s="145"/>
      <c r="C233" s="146" t="s">
        <v>4115</v>
      </c>
      <c r="D233" s="147" t="s">
        <v>4556</v>
      </c>
      <c r="E233" s="139" t="s">
        <v>4557</v>
      </c>
      <c r="F233" s="148"/>
      <c r="G233" s="92">
        <f>G236*2</f>
        <v>11</v>
      </c>
      <c r="H233" s="117"/>
      <c r="I233" s="149"/>
      <c r="J233" s="95">
        <f>J236*2</f>
        <v>100</v>
      </c>
      <c r="K233" s="150"/>
      <c r="L233" s="119">
        <f>L236*2</f>
        <v>7.6</v>
      </c>
      <c r="M233" s="120"/>
      <c r="N233" s="99">
        <f t="shared" ref="N233:R233" si="285">N236*2</f>
        <v>0</v>
      </c>
      <c r="O233" s="121"/>
      <c r="P233" s="101">
        <f t="shared" si="285"/>
        <v>0</v>
      </c>
      <c r="Q233" s="122"/>
      <c r="R233" s="103">
        <f t="shared" si="285"/>
        <v>12</v>
      </c>
      <c r="S233" s="123"/>
      <c r="T233" s="105">
        <f>T236*2</f>
        <v>0</v>
      </c>
      <c r="U233" s="124"/>
      <c r="V233" s="107">
        <f>V236*2</f>
        <v>0</v>
      </c>
      <c r="W233" s="125"/>
      <c r="X233" s="109">
        <f>X236*2</f>
        <v>12</v>
      </c>
      <c r="Y233" s="126"/>
      <c r="Z233" s="151"/>
      <c r="AA233" s="151"/>
    </row>
    <row r="234" spans="1:27">
      <c r="A234" s="144"/>
      <c r="B234" s="145"/>
      <c r="C234" s="146" t="s">
        <v>4118</v>
      </c>
      <c r="D234" s="147" t="s">
        <v>4558</v>
      </c>
      <c r="E234" s="139" t="s">
        <v>4559</v>
      </c>
      <c r="F234" s="148"/>
      <c r="G234" s="92">
        <f>G236</f>
        <v>5.5</v>
      </c>
      <c r="H234" s="117"/>
      <c r="I234" s="149"/>
      <c r="J234" s="95">
        <f>J236</f>
        <v>50</v>
      </c>
      <c r="K234" s="150"/>
      <c r="L234" s="119">
        <f>L236</f>
        <v>3.8</v>
      </c>
      <c r="M234" s="120"/>
      <c r="N234" s="99">
        <f t="shared" ref="N234:R234" si="286">N236</f>
        <v>0</v>
      </c>
      <c r="O234" s="121"/>
      <c r="P234" s="101">
        <f t="shared" si="286"/>
        <v>0</v>
      </c>
      <c r="Q234" s="122"/>
      <c r="R234" s="103">
        <f t="shared" si="286"/>
        <v>6</v>
      </c>
      <c r="S234" s="123"/>
      <c r="T234" s="105">
        <f>T236</f>
        <v>0</v>
      </c>
      <c r="U234" s="124"/>
      <c r="V234" s="107">
        <f>V236</f>
        <v>0</v>
      </c>
      <c r="W234" s="125"/>
      <c r="X234" s="109">
        <f>X236</f>
        <v>6</v>
      </c>
      <c r="Y234" s="126"/>
      <c r="Z234" s="151"/>
      <c r="AA234" s="151"/>
    </row>
    <row r="235" spans="1:27">
      <c r="A235" s="144"/>
      <c r="B235" s="145"/>
      <c r="C235" s="146" t="s">
        <v>4121</v>
      </c>
      <c r="D235" s="147" t="s">
        <v>4560</v>
      </c>
      <c r="E235" s="139" t="s">
        <v>4561</v>
      </c>
      <c r="F235" s="148"/>
      <c r="G235" s="92">
        <v>8.3</v>
      </c>
      <c r="H235" s="117"/>
      <c r="I235" s="149"/>
      <c r="J235" s="95">
        <v>75</v>
      </c>
      <c r="K235" s="150"/>
      <c r="L235" s="119">
        <v>5.7</v>
      </c>
      <c r="M235" s="120"/>
      <c r="N235" s="99">
        <v>0</v>
      </c>
      <c r="O235" s="121"/>
      <c r="P235" s="101">
        <v>0</v>
      </c>
      <c r="Q235" s="122"/>
      <c r="R235" s="103">
        <v>9</v>
      </c>
      <c r="S235" s="123"/>
      <c r="T235" s="105">
        <v>0</v>
      </c>
      <c r="U235" s="124"/>
      <c r="V235" s="107">
        <v>0</v>
      </c>
      <c r="W235" s="125"/>
      <c r="X235" s="109">
        <v>9</v>
      </c>
      <c r="Y235" s="126"/>
      <c r="Z235" s="151"/>
      <c r="AA235" s="151"/>
    </row>
    <row r="236" spans="1:27">
      <c r="A236" s="144"/>
      <c r="B236" s="145"/>
      <c r="C236" s="146" t="s">
        <v>4124</v>
      </c>
      <c r="D236" s="147" t="s">
        <v>4562</v>
      </c>
      <c r="E236" s="139" t="s">
        <v>4563</v>
      </c>
      <c r="F236" s="153"/>
      <c r="G236" s="92">
        <f>ROUND(G235*2/3,1)</f>
        <v>5.5</v>
      </c>
      <c r="H236" s="127"/>
      <c r="I236" s="149"/>
      <c r="J236" s="95">
        <f>ROUND(J235*2/3,0)</f>
        <v>50</v>
      </c>
      <c r="K236" s="154"/>
      <c r="L236" s="119">
        <f>ROUND(L235*2/3,1)</f>
        <v>3.8</v>
      </c>
      <c r="M236" s="128"/>
      <c r="N236" s="99">
        <f>ROUND(N235*2/3,0)</f>
        <v>0</v>
      </c>
      <c r="O236" s="129"/>
      <c r="P236" s="101">
        <f>ROUND(P235*2/3,0)</f>
        <v>0</v>
      </c>
      <c r="Q236" s="130"/>
      <c r="R236" s="103">
        <f>ROUND(R235*2/3,0)</f>
        <v>6</v>
      </c>
      <c r="S236" s="131"/>
      <c r="T236" s="105">
        <f>ROUND(T235*2/3,0)</f>
        <v>0</v>
      </c>
      <c r="U236" s="132"/>
      <c r="V236" s="107">
        <f>ROUND(V235*2/3,0)</f>
        <v>0</v>
      </c>
      <c r="W236" s="133"/>
      <c r="X236" s="109">
        <f>ROUND(X235*2/3,0)</f>
        <v>6</v>
      </c>
      <c r="Y236" s="134"/>
      <c r="Z236" s="151"/>
      <c r="AA236" s="151"/>
    </row>
    <row r="237" spans="1:27">
      <c r="A237" s="135" t="s">
        <v>7975</v>
      </c>
      <c r="B237" s="136" t="s">
        <v>8069</v>
      </c>
      <c r="C237" s="137" t="s">
        <v>4133</v>
      </c>
      <c r="D237" s="138" t="s">
        <v>4564</v>
      </c>
      <c r="E237" s="139" t="s">
        <v>4565</v>
      </c>
      <c r="F237" s="61" t="s">
        <v>1492</v>
      </c>
      <c r="G237" s="92">
        <f>G241</f>
        <v>3.3</v>
      </c>
      <c r="H237" s="93">
        <f t="shared" ref="H237:M237" si="287">SUM(G237:G241)</f>
        <v>21.5</v>
      </c>
      <c r="I237" s="141" t="s">
        <v>8070</v>
      </c>
      <c r="J237" s="95">
        <f>J241</f>
        <v>31</v>
      </c>
      <c r="K237" s="142">
        <f t="shared" si="287"/>
        <v>202</v>
      </c>
      <c r="L237" s="119">
        <f>L241</f>
        <v>2.3</v>
      </c>
      <c r="M237" s="98">
        <f t="shared" si="287"/>
        <v>15</v>
      </c>
      <c r="N237" s="99">
        <f t="shared" ref="N237:R237" si="288">N241</f>
        <v>0</v>
      </c>
      <c r="O237" s="100">
        <f t="shared" ref="O237:S237" si="289">SUM(N237:N241)</f>
        <v>0</v>
      </c>
      <c r="P237" s="101">
        <f t="shared" si="288"/>
        <v>0</v>
      </c>
      <c r="Q237" s="102">
        <f t="shared" si="289"/>
        <v>0</v>
      </c>
      <c r="R237" s="103">
        <f t="shared" si="288"/>
        <v>0</v>
      </c>
      <c r="S237" s="104">
        <f t="shared" si="289"/>
        <v>0</v>
      </c>
      <c r="T237" s="105">
        <f>T241</f>
        <v>0</v>
      </c>
      <c r="U237" s="106">
        <f t="shared" ref="U237:Y237" si="290">SUM(T237:T241)</f>
        <v>0</v>
      </c>
      <c r="V237" s="107">
        <f>V241</f>
        <v>0</v>
      </c>
      <c r="W237" s="108">
        <f t="shared" si="290"/>
        <v>0</v>
      </c>
      <c r="X237" s="109">
        <f>X241</f>
        <v>0</v>
      </c>
      <c r="Y237" s="110">
        <f t="shared" si="290"/>
        <v>0</v>
      </c>
      <c r="Z237" s="139"/>
      <c r="AA237" s="139"/>
    </row>
    <row r="238" spans="1:27">
      <c r="A238" s="144"/>
      <c r="B238" s="145"/>
      <c r="C238" s="146" t="s">
        <v>4115</v>
      </c>
      <c r="D238" s="147" t="s">
        <v>4566</v>
      </c>
      <c r="E238" s="139" t="s">
        <v>4567</v>
      </c>
      <c r="F238" s="61" t="s">
        <v>1494</v>
      </c>
      <c r="G238" s="92">
        <f>G241*2</f>
        <v>6.6</v>
      </c>
      <c r="H238" s="117"/>
      <c r="I238" s="149"/>
      <c r="J238" s="95">
        <f>J241*2</f>
        <v>62</v>
      </c>
      <c r="K238" s="150"/>
      <c r="L238" s="119">
        <f>L241*2</f>
        <v>4.6</v>
      </c>
      <c r="M238" s="120"/>
      <c r="N238" s="99">
        <f t="shared" ref="N238:R238" si="291">N241*2</f>
        <v>0</v>
      </c>
      <c r="O238" s="121"/>
      <c r="P238" s="101">
        <f t="shared" si="291"/>
        <v>0</v>
      </c>
      <c r="Q238" s="122"/>
      <c r="R238" s="103">
        <f t="shared" si="291"/>
        <v>0</v>
      </c>
      <c r="S238" s="123"/>
      <c r="T238" s="105">
        <f>T241*2</f>
        <v>0</v>
      </c>
      <c r="U238" s="124"/>
      <c r="V238" s="107">
        <f>V241*2</f>
        <v>0</v>
      </c>
      <c r="W238" s="125"/>
      <c r="X238" s="109">
        <f>X241*2</f>
        <v>0</v>
      </c>
      <c r="Y238" s="126"/>
      <c r="Z238" s="151"/>
      <c r="AA238" s="151"/>
    </row>
    <row r="239" spans="1:27">
      <c r="A239" s="144"/>
      <c r="B239" s="145"/>
      <c r="C239" s="146" t="s">
        <v>4118</v>
      </c>
      <c r="D239" s="147" t="s">
        <v>4568</v>
      </c>
      <c r="E239" s="151" t="s">
        <v>4569</v>
      </c>
      <c r="F239" s="61" t="s">
        <v>1492</v>
      </c>
      <c r="G239" s="92">
        <f>G241</f>
        <v>3.3</v>
      </c>
      <c r="H239" s="117"/>
      <c r="I239" s="149"/>
      <c r="J239" s="95">
        <f>J241</f>
        <v>31</v>
      </c>
      <c r="K239" s="150"/>
      <c r="L239" s="119">
        <f>L241</f>
        <v>2.3</v>
      </c>
      <c r="M239" s="120"/>
      <c r="N239" s="99">
        <f t="shared" ref="N239:R239" si="292">N241</f>
        <v>0</v>
      </c>
      <c r="O239" s="121"/>
      <c r="P239" s="101">
        <f t="shared" si="292"/>
        <v>0</v>
      </c>
      <c r="Q239" s="122"/>
      <c r="R239" s="103">
        <f t="shared" si="292"/>
        <v>0</v>
      </c>
      <c r="S239" s="123"/>
      <c r="T239" s="105">
        <f>T241</f>
        <v>0</v>
      </c>
      <c r="U239" s="124"/>
      <c r="V239" s="107">
        <f>V241</f>
        <v>0</v>
      </c>
      <c r="W239" s="125"/>
      <c r="X239" s="109">
        <f>X241</f>
        <v>0</v>
      </c>
      <c r="Y239" s="126"/>
      <c r="Z239" s="151"/>
      <c r="AA239" s="151"/>
    </row>
    <row r="240" spans="1:27">
      <c r="A240" s="144"/>
      <c r="B240" s="145"/>
      <c r="C240" s="146" t="s">
        <v>4121</v>
      </c>
      <c r="D240" s="147" t="s">
        <v>4570</v>
      </c>
      <c r="E240" s="151" t="s">
        <v>4571</v>
      </c>
      <c r="F240" s="158" t="s">
        <v>1496</v>
      </c>
      <c r="G240" s="92">
        <v>5</v>
      </c>
      <c r="H240" s="117"/>
      <c r="I240" s="149"/>
      <c r="J240" s="95">
        <v>47</v>
      </c>
      <c r="K240" s="150"/>
      <c r="L240" s="119">
        <v>3.5</v>
      </c>
      <c r="M240" s="120"/>
      <c r="N240" s="99">
        <v>0</v>
      </c>
      <c r="O240" s="121"/>
      <c r="P240" s="101">
        <v>0</v>
      </c>
      <c r="Q240" s="122"/>
      <c r="R240" s="103">
        <v>0</v>
      </c>
      <c r="S240" s="123"/>
      <c r="T240" s="105">
        <v>0</v>
      </c>
      <c r="U240" s="124"/>
      <c r="V240" s="107">
        <v>0</v>
      </c>
      <c r="W240" s="125"/>
      <c r="X240" s="109">
        <v>0</v>
      </c>
      <c r="Y240" s="126"/>
      <c r="Z240" s="151"/>
      <c r="AA240" s="151"/>
    </row>
    <row r="241" spans="1:27">
      <c r="A241" s="144"/>
      <c r="B241" s="145"/>
      <c r="C241" s="146" t="s">
        <v>4124</v>
      </c>
      <c r="D241" s="147" t="s">
        <v>4572</v>
      </c>
      <c r="E241" s="151" t="s">
        <v>4573</v>
      </c>
      <c r="F241" s="61" t="s">
        <v>1492</v>
      </c>
      <c r="G241" s="92">
        <f>ROUND(G240*2/3,1)</f>
        <v>3.3</v>
      </c>
      <c r="H241" s="127"/>
      <c r="I241" s="149"/>
      <c r="J241" s="95">
        <f>ROUND(J240*2/3,0)</f>
        <v>31</v>
      </c>
      <c r="K241" s="154"/>
      <c r="L241" s="119">
        <f>ROUND(L240*2/3,1)</f>
        <v>2.3</v>
      </c>
      <c r="M241" s="128"/>
      <c r="N241" s="99">
        <f>ROUND(N240*2/3,0)</f>
        <v>0</v>
      </c>
      <c r="O241" s="129"/>
      <c r="P241" s="101">
        <f>ROUND(P240*2/3,0)</f>
        <v>0</v>
      </c>
      <c r="Q241" s="130"/>
      <c r="R241" s="103">
        <f>ROUND(R240*2/3,0)</f>
        <v>0</v>
      </c>
      <c r="S241" s="131"/>
      <c r="T241" s="105">
        <f>ROUND(T240*2/3,0)</f>
        <v>0</v>
      </c>
      <c r="U241" s="132"/>
      <c r="V241" s="107">
        <f>ROUND(V240*2/3,0)</f>
        <v>0</v>
      </c>
      <c r="W241" s="133"/>
      <c r="X241" s="109">
        <f>ROUND(X240*2/3,0)</f>
        <v>0</v>
      </c>
      <c r="Y241" s="134"/>
      <c r="Z241" s="151"/>
      <c r="AA241" s="151"/>
    </row>
    <row r="242" spans="1:27">
      <c r="A242" s="135" t="s">
        <v>7984</v>
      </c>
      <c r="B242" s="136" t="s">
        <v>6706</v>
      </c>
      <c r="C242" s="137" t="s">
        <v>4133</v>
      </c>
      <c r="D242" s="138" t="s">
        <v>4574</v>
      </c>
      <c r="E242" s="151" t="s">
        <v>4575</v>
      </c>
      <c r="F242" s="159" t="s">
        <v>3183</v>
      </c>
      <c r="G242" s="92">
        <f>G246</f>
        <v>5.3</v>
      </c>
      <c r="H242" s="93">
        <f t="shared" ref="H242:M242" si="293">SUM(G242:G246)</f>
        <v>34.5</v>
      </c>
      <c r="I242" s="141" t="s">
        <v>8071</v>
      </c>
      <c r="J242" s="95">
        <f>J246</f>
        <v>50</v>
      </c>
      <c r="K242" s="142">
        <f t="shared" si="293"/>
        <v>325</v>
      </c>
      <c r="L242" s="119">
        <f>L246</f>
        <v>3.8</v>
      </c>
      <c r="M242" s="98">
        <f t="shared" si="293"/>
        <v>24.7</v>
      </c>
      <c r="N242" s="99">
        <f t="shared" ref="N242:R242" si="294">N246</f>
        <v>0</v>
      </c>
      <c r="O242" s="100">
        <f t="shared" ref="O242:S242" si="295">SUM(N242:N246)</f>
        <v>0</v>
      </c>
      <c r="P242" s="101">
        <f t="shared" si="294"/>
        <v>0</v>
      </c>
      <c r="Q242" s="102">
        <f t="shared" si="295"/>
        <v>0</v>
      </c>
      <c r="R242" s="103">
        <f t="shared" si="294"/>
        <v>0</v>
      </c>
      <c r="S242" s="104">
        <f t="shared" si="295"/>
        <v>0</v>
      </c>
      <c r="T242" s="105">
        <f>T246</f>
        <v>6</v>
      </c>
      <c r="U242" s="106">
        <f t="shared" ref="U242:Y242" si="296">SUM(T242:T246)</f>
        <v>39</v>
      </c>
      <c r="V242" s="107">
        <f>V246</f>
        <v>6</v>
      </c>
      <c r="W242" s="108">
        <f t="shared" si="296"/>
        <v>39</v>
      </c>
      <c r="X242" s="109">
        <f>X246</f>
        <v>0</v>
      </c>
      <c r="Y242" s="110">
        <f t="shared" si="296"/>
        <v>0</v>
      </c>
      <c r="Z242" s="139"/>
      <c r="AA242" s="139"/>
    </row>
    <row r="243" spans="1:27">
      <c r="A243" s="144"/>
      <c r="B243" s="145"/>
      <c r="C243" s="146" t="s">
        <v>4115</v>
      </c>
      <c r="D243" s="147" t="s">
        <v>4576</v>
      </c>
      <c r="E243" s="151" t="s">
        <v>4577</v>
      </c>
      <c r="F243" s="148"/>
      <c r="G243" s="92">
        <f>G246*2</f>
        <v>10.6</v>
      </c>
      <c r="H243" s="117"/>
      <c r="I243" s="149"/>
      <c r="J243" s="95">
        <f>J246*2</f>
        <v>100</v>
      </c>
      <c r="K243" s="150"/>
      <c r="L243" s="119">
        <f>L246*2</f>
        <v>7.6</v>
      </c>
      <c r="M243" s="120"/>
      <c r="N243" s="99">
        <f t="shared" ref="N243:R243" si="297">N246*2</f>
        <v>0</v>
      </c>
      <c r="O243" s="121"/>
      <c r="P243" s="101">
        <f t="shared" si="297"/>
        <v>0</v>
      </c>
      <c r="Q243" s="122"/>
      <c r="R243" s="103">
        <f t="shared" si="297"/>
        <v>0</v>
      </c>
      <c r="S243" s="123"/>
      <c r="T243" s="105">
        <f>T246*2</f>
        <v>12</v>
      </c>
      <c r="U243" s="124"/>
      <c r="V243" s="107">
        <f>V246*2</f>
        <v>12</v>
      </c>
      <c r="W243" s="125"/>
      <c r="X243" s="109">
        <f>X246*2</f>
        <v>0</v>
      </c>
      <c r="Y243" s="126"/>
      <c r="Z243" s="151"/>
      <c r="AA243" s="151"/>
    </row>
    <row r="244" spans="1:27">
      <c r="A244" s="144"/>
      <c r="B244" s="145"/>
      <c r="C244" s="146" t="s">
        <v>4118</v>
      </c>
      <c r="D244" s="147" t="s">
        <v>4578</v>
      </c>
      <c r="E244" s="151" t="s">
        <v>4579</v>
      </c>
      <c r="F244" s="148"/>
      <c r="G244" s="92">
        <f>G246</f>
        <v>5.3</v>
      </c>
      <c r="H244" s="117"/>
      <c r="I244" s="149"/>
      <c r="J244" s="95">
        <f>J246</f>
        <v>50</v>
      </c>
      <c r="K244" s="150"/>
      <c r="L244" s="119">
        <f>L246</f>
        <v>3.8</v>
      </c>
      <c r="M244" s="120"/>
      <c r="N244" s="99">
        <f t="shared" ref="N244:R244" si="298">N246</f>
        <v>0</v>
      </c>
      <c r="O244" s="121"/>
      <c r="P244" s="101">
        <f t="shared" si="298"/>
        <v>0</v>
      </c>
      <c r="Q244" s="122"/>
      <c r="R244" s="103">
        <f t="shared" si="298"/>
        <v>0</v>
      </c>
      <c r="S244" s="123"/>
      <c r="T244" s="105">
        <f>T246</f>
        <v>6</v>
      </c>
      <c r="U244" s="124"/>
      <c r="V244" s="107">
        <f>V246</f>
        <v>6</v>
      </c>
      <c r="W244" s="125"/>
      <c r="X244" s="109">
        <f>X246</f>
        <v>0</v>
      </c>
      <c r="Y244" s="126"/>
      <c r="Z244" s="151"/>
      <c r="AA244" s="151"/>
    </row>
    <row r="245" spans="1:27">
      <c r="A245" s="144"/>
      <c r="B245" s="145"/>
      <c r="C245" s="146" t="s">
        <v>4121</v>
      </c>
      <c r="D245" s="147" t="s">
        <v>4580</v>
      </c>
      <c r="E245" s="151" t="s">
        <v>4581</v>
      </c>
      <c r="F245" s="148"/>
      <c r="G245" s="92">
        <v>8</v>
      </c>
      <c r="H245" s="117"/>
      <c r="I245" s="149"/>
      <c r="J245" s="95">
        <v>75</v>
      </c>
      <c r="K245" s="150"/>
      <c r="L245" s="119">
        <v>5.7</v>
      </c>
      <c r="M245" s="120"/>
      <c r="N245" s="99">
        <v>0</v>
      </c>
      <c r="O245" s="121"/>
      <c r="P245" s="101">
        <v>0</v>
      </c>
      <c r="Q245" s="122"/>
      <c r="R245" s="103">
        <v>0</v>
      </c>
      <c r="S245" s="123"/>
      <c r="T245" s="105">
        <v>9</v>
      </c>
      <c r="U245" s="124"/>
      <c r="V245" s="107">
        <v>9</v>
      </c>
      <c r="W245" s="125"/>
      <c r="X245" s="109">
        <v>0</v>
      </c>
      <c r="Y245" s="126"/>
      <c r="Z245" s="151"/>
      <c r="AA245" s="151"/>
    </row>
    <row r="246" spans="1:27">
      <c r="A246" s="144"/>
      <c r="B246" s="145"/>
      <c r="C246" s="146" t="s">
        <v>4124</v>
      </c>
      <c r="D246" s="147" t="s">
        <v>4582</v>
      </c>
      <c r="E246" s="151" t="s">
        <v>4583</v>
      </c>
      <c r="F246" s="153"/>
      <c r="G246" s="92">
        <f>ROUND(G245*2/3,1)</f>
        <v>5.3</v>
      </c>
      <c r="H246" s="127"/>
      <c r="I246" s="149"/>
      <c r="J246" s="95">
        <f>ROUND(J245*2/3,0)</f>
        <v>50</v>
      </c>
      <c r="K246" s="154"/>
      <c r="L246" s="119">
        <f>ROUND(L245*2/3,1)</f>
        <v>3.8</v>
      </c>
      <c r="M246" s="128"/>
      <c r="N246" s="99">
        <f>ROUND(N245*2/3,0)</f>
        <v>0</v>
      </c>
      <c r="O246" s="129"/>
      <c r="P246" s="101">
        <f>ROUND(P245*2/3,0)</f>
        <v>0</v>
      </c>
      <c r="Q246" s="130"/>
      <c r="R246" s="103">
        <f>ROUND(R245*2/3,0)</f>
        <v>0</v>
      </c>
      <c r="S246" s="131"/>
      <c r="T246" s="105">
        <f>ROUND(T245*2/3,0)</f>
        <v>6</v>
      </c>
      <c r="U246" s="132"/>
      <c r="V246" s="107">
        <f>ROUND(V245*2/3,0)</f>
        <v>6</v>
      </c>
      <c r="W246" s="133"/>
      <c r="X246" s="109">
        <f>ROUND(X245*2/3,0)</f>
        <v>0</v>
      </c>
      <c r="Y246" s="134"/>
      <c r="Z246" s="151"/>
      <c r="AA246" s="151"/>
    </row>
    <row r="247" spans="1:27">
      <c r="A247" s="135" t="s">
        <v>7975</v>
      </c>
      <c r="B247" s="136" t="s">
        <v>7136</v>
      </c>
      <c r="C247" s="137" t="s">
        <v>4133</v>
      </c>
      <c r="D247" s="138" t="s">
        <v>4584</v>
      </c>
      <c r="E247" s="151" t="s">
        <v>4585</v>
      </c>
      <c r="F247" s="159" t="s">
        <v>3187</v>
      </c>
      <c r="G247" s="92">
        <f>G251</f>
        <v>3.4</v>
      </c>
      <c r="H247" s="93">
        <f t="shared" ref="H247:M247" si="299">SUM(G247:G251)</f>
        <v>22.1</v>
      </c>
      <c r="I247" s="141" t="s">
        <v>8071</v>
      </c>
      <c r="J247" s="95">
        <f>J251</f>
        <v>31</v>
      </c>
      <c r="K247" s="142">
        <f t="shared" si="299"/>
        <v>202</v>
      </c>
      <c r="L247" s="119">
        <f>L251</f>
        <v>2.3</v>
      </c>
      <c r="M247" s="98">
        <f t="shared" si="299"/>
        <v>15</v>
      </c>
      <c r="N247" s="99">
        <f t="shared" ref="N247:R247" si="300">N251</f>
        <v>4</v>
      </c>
      <c r="O247" s="100">
        <f t="shared" ref="O247:S247" si="301">SUM(N247:N251)</f>
        <v>26</v>
      </c>
      <c r="P247" s="101">
        <f t="shared" si="300"/>
        <v>0</v>
      </c>
      <c r="Q247" s="102">
        <f t="shared" si="301"/>
        <v>0</v>
      </c>
      <c r="R247" s="103">
        <f t="shared" si="300"/>
        <v>0</v>
      </c>
      <c r="S247" s="104">
        <f t="shared" si="301"/>
        <v>0</v>
      </c>
      <c r="T247" s="105">
        <f>T251</f>
        <v>0</v>
      </c>
      <c r="U247" s="106">
        <f t="shared" ref="U247:Y247" si="302">SUM(T247:T251)</f>
        <v>0</v>
      </c>
      <c r="V247" s="107">
        <f>V251</f>
        <v>0</v>
      </c>
      <c r="W247" s="108">
        <f t="shared" si="302"/>
        <v>0</v>
      </c>
      <c r="X247" s="109">
        <f>X251</f>
        <v>0</v>
      </c>
      <c r="Y247" s="110">
        <f t="shared" si="302"/>
        <v>0</v>
      </c>
      <c r="Z247" s="139"/>
      <c r="AA247" s="139"/>
    </row>
    <row r="248" spans="1:27">
      <c r="A248" s="144"/>
      <c r="B248" s="145"/>
      <c r="C248" s="146" t="s">
        <v>4115</v>
      </c>
      <c r="D248" s="147" t="s">
        <v>4586</v>
      </c>
      <c r="E248" s="151" t="s">
        <v>4587</v>
      </c>
      <c r="F248" s="148"/>
      <c r="G248" s="92">
        <f>G251*2</f>
        <v>6.8</v>
      </c>
      <c r="H248" s="117"/>
      <c r="I248" s="149"/>
      <c r="J248" s="95">
        <f>J251*2</f>
        <v>62</v>
      </c>
      <c r="K248" s="150"/>
      <c r="L248" s="119">
        <f>L251*2</f>
        <v>4.6</v>
      </c>
      <c r="M248" s="120"/>
      <c r="N248" s="99">
        <f t="shared" ref="N248:R248" si="303">N251*2</f>
        <v>8</v>
      </c>
      <c r="O248" s="121"/>
      <c r="P248" s="101">
        <f t="shared" si="303"/>
        <v>0</v>
      </c>
      <c r="Q248" s="122"/>
      <c r="R248" s="103">
        <f t="shared" si="303"/>
        <v>0</v>
      </c>
      <c r="S248" s="123"/>
      <c r="T248" s="105">
        <f>T251*2</f>
        <v>0</v>
      </c>
      <c r="U248" s="124"/>
      <c r="V248" s="107">
        <f>V251*2</f>
        <v>0</v>
      </c>
      <c r="W248" s="125"/>
      <c r="X248" s="109">
        <f>X251*2</f>
        <v>0</v>
      </c>
      <c r="Y248" s="126"/>
      <c r="Z248" s="151"/>
      <c r="AA248" s="151"/>
    </row>
    <row r="249" spans="1:27">
      <c r="A249" s="144"/>
      <c r="B249" s="145"/>
      <c r="C249" s="146" t="s">
        <v>4118</v>
      </c>
      <c r="D249" s="147" t="s">
        <v>4588</v>
      </c>
      <c r="E249" s="151" t="s">
        <v>4589</v>
      </c>
      <c r="F249" s="148"/>
      <c r="G249" s="92">
        <f>G251</f>
        <v>3.4</v>
      </c>
      <c r="H249" s="117"/>
      <c r="I249" s="149"/>
      <c r="J249" s="95">
        <f>J251</f>
        <v>31</v>
      </c>
      <c r="K249" s="150"/>
      <c r="L249" s="119">
        <f>L251</f>
        <v>2.3</v>
      </c>
      <c r="M249" s="120"/>
      <c r="N249" s="99">
        <f t="shared" ref="N249:R249" si="304">N251</f>
        <v>4</v>
      </c>
      <c r="O249" s="121"/>
      <c r="P249" s="101">
        <f t="shared" si="304"/>
        <v>0</v>
      </c>
      <c r="Q249" s="122"/>
      <c r="R249" s="103">
        <f t="shared" si="304"/>
        <v>0</v>
      </c>
      <c r="S249" s="123"/>
      <c r="T249" s="105">
        <f>T251</f>
        <v>0</v>
      </c>
      <c r="U249" s="124"/>
      <c r="V249" s="107">
        <f>V251</f>
        <v>0</v>
      </c>
      <c r="W249" s="125"/>
      <c r="X249" s="109">
        <f>X251</f>
        <v>0</v>
      </c>
      <c r="Y249" s="126"/>
      <c r="Z249" s="151"/>
      <c r="AA249" s="151"/>
    </row>
    <row r="250" spans="1:27">
      <c r="A250" s="144"/>
      <c r="B250" s="145"/>
      <c r="C250" s="146" t="s">
        <v>4121</v>
      </c>
      <c r="D250" s="147" t="s">
        <v>4590</v>
      </c>
      <c r="E250" s="151" t="s">
        <v>4591</v>
      </c>
      <c r="F250" s="148"/>
      <c r="G250" s="92">
        <v>5.1</v>
      </c>
      <c r="H250" s="117"/>
      <c r="I250" s="149"/>
      <c r="J250" s="95">
        <v>47</v>
      </c>
      <c r="K250" s="150"/>
      <c r="L250" s="119">
        <v>3.5</v>
      </c>
      <c r="M250" s="120"/>
      <c r="N250" s="99">
        <v>6</v>
      </c>
      <c r="O250" s="121"/>
      <c r="P250" s="101">
        <v>0</v>
      </c>
      <c r="Q250" s="122"/>
      <c r="R250" s="103">
        <v>0</v>
      </c>
      <c r="S250" s="123"/>
      <c r="T250" s="105">
        <v>0</v>
      </c>
      <c r="U250" s="124"/>
      <c r="V250" s="107">
        <v>0</v>
      </c>
      <c r="W250" s="125"/>
      <c r="X250" s="109">
        <v>0</v>
      </c>
      <c r="Y250" s="126"/>
      <c r="Z250" s="151"/>
      <c r="AA250" s="151"/>
    </row>
    <row r="251" spans="1:27">
      <c r="A251" s="144"/>
      <c r="B251" s="145"/>
      <c r="C251" s="146" t="s">
        <v>4124</v>
      </c>
      <c r="D251" s="147" t="s">
        <v>4592</v>
      </c>
      <c r="E251" s="151" t="s">
        <v>4593</v>
      </c>
      <c r="F251" s="153"/>
      <c r="G251" s="92">
        <f>ROUND(G250*2/3,1)</f>
        <v>3.4</v>
      </c>
      <c r="H251" s="127"/>
      <c r="I251" s="149"/>
      <c r="J251" s="95">
        <f>ROUND(J250*2/3,0)</f>
        <v>31</v>
      </c>
      <c r="K251" s="154"/>
      <c r="L251" s="119">
        <f>ROUND(L250*2/3,1)</f>
        <v>2.3</v>
      </c>
      <c r="M251" s="128"/>
      <c r="N251" s="99">
        <f>ROUND(N250*2/3,0)</f>
        <v>4</v>
      </c>
      <c r="O251" s="129"/>
      <c r="P251" s="101">
        <f>ROUND(P250*2/3,0)</f>
        <v>0</v>
      </c>
      <c r="Q251" s="130"/>
      <c r="R251" s="103">
        <f>ROUND(R250*2/3,0)</f>
        <v>0</v>
      </c>
      <c r="S251" s="131"/>
      <c r="T251" s="105">
        <f>ROUND(T250*2/3,0)</f>
        <v>0</v>
      </c>
      <c r="U251" s="132"/>
      <c r="V251" s="107">
        <f>ROUND(V250*2/3,0)</f>
        <v>0</v>
      </c>
      <c r="W251" s="133"/>
      <c r="X251" s="109">
        <f>ROUND(X250*2/3,0)</f>
        <v>0</v>
      </c>
      <c r="Y251" s="134"/>
      <c r="Z251" s="151"/>
      <c r="AA251" s="151"/>
    </row>
    <row r="252" spans="1:27">
      <c r="A252" s="135" t="s">
        <v>7984</v>
      </c>
      <c r="B252" s="136" t="s">
        <v>7139</v>
      </c>
      <c r="C252" s="137" t="s">
        <v>4133</v>
      </c>
      <c r="D252" s="138" t="s">
        <v>4594</v>
      </c>
      <c r="E252" s="151" t="s">
        <v>4595</v>
      </c>
      <c r="F252" s="159" t="s">
        <v>3185</v>
      </c>
      <c r="G252" s="92">
        <f>G256</f>
        <v>5.1</v>
      </c>
      <c r="H252" s="93">
        <f t="shared" ref="H252:M252" si="305">SUM(G252:G256)</f>
        <v>33.2</v>
      </c>
      <c r="I252" s="141" t="s">
        <v>8072</v>
      </c>
      <c r="J252" s="95">
        <f>J256</f>
        <v>50</v>
      </c>
      <c r="K252" s="142">
        <f t="shared" si="305"/>
        <v>325</v>
      </c>
      <c r="L252" s="119">
        <f>L256</f>
        <v>3.8</v>
      </c>
      <c r="M252" s="98">
        <f t="shared" si="305"/>
        <v>24.7</v>
      </c>
      <c r="N252" s="99">
        <f t="shared" ref="N252:R252" si="306">N256</f>
        <v>0</v>
      </c>
      <c r="O252" s="100">
        <f t="shared" ref="O252:S252" si="307">SUM(N252:N256)</f>
        <v>0</v>
      </c>
      <c r="P252" s="101">
        <f t="shared" si="306"/>
        <v>0</v>
      </c>
      <c r="Q252" s="102">
        <f t="shared" si="307"/>
        <v>0</v>
      </c>
      <c r="R252" s="103">
        <f t="shared" si="306"/>
        <v>6</v>
      </c>
      <c r="S252" s="104">
        <f t="shared" si="307"/>
        <v>39</v>
      </c>
      <c r="T252" s="105">
        <f>T256</f>
        <v>0</v>
      </c>
      <c r="U252" s="106">
        <f t="shared" ref="U252:Y252" si="308">SUM(T252:T256)</f>
        <v>0</v>
      </c>
      <c r="V252" s="107">
        <f>V256</f>
        <v>0</v>
      </c>
      <c r="W252" s="108">
        <f t="shared" si="308"/>
        <v>0</v>
      </c>
      <c r="X252" s="109">
        <f>X256</f>
        <v>6</v>
      </c>
      <c r="Y252" s="110">
        <f t="shared" si="308"/>
        <v>39</v>
      </c>
      <c r="Z252" s="139"/>
      <c r="AA252" s="139"/>
    </row>
    <row r="253" spans="1:27">
      <c r="A253" s="144"/>
      <c r="B253" s="145"/>
      <c r="C253" s="146" t="s">
        <v>4115</v>
      </c>
      <c r="D253" s="147" t="s">
        <v>4596</v>
      </c>
      <c r="E253" s="151" t="s">
        <v>4597</v>
      </c>
      <c r="F253" s="148"/>
      <c r="G253" s="92">
        <f>G256*2</f>
        <v>10.2</v>
      </c>
      <c r="H253" s="117"/>
      <c r="I253" s="149"/>
      <c r="J253" s="95">
        <f>J256*2</f>
        <v>100</v>
      </c>
      <c r="K253" s="150"/>
      <c r="L253" s="119">
        <f>L256*2</f>
        <v>7.6</v>
      </c>
      <c r="M253" s="120"/>
      <c r="N253" s="99">
        <f t="shared" ref="N253:R253" si="309">N256*2</f>
        <v>0</v>
      </c>
      <c r="O253" s="121"/>
      <c r="P253" s="101">
        <f t="shared" si="309"/>
        <v>0</v>
      </c>
      <c r="Q253" s="122"/>
      <c r="R253" s="103">
        <f t="shared" si="309"/>
        <v>12</v>
      </c>
      <c r="S253" s="123"/>
      <c r="T253" s="105">
        <f>T256*2</f>
        <v>0</v>
      </c>
      <c r="U253" s="124"/>
      <c r="V253" s="107">
        <f>V256*2</f>
        <v>0</v>
      </c>
      <c r="W253" s="125"/>
      <c r="X253" s="109">
        <f>X256*2</f>
        <v>12</v>
      </c>
      <c r="Y253" s="126"/>
      <c r="Z253" s="151"/>
      <c r="AA253" s="151"/>
    </row>
    <row r="254" spans="1:27">
      <c r="A254" s="144"/>
      <c r="B254" s="145"/>
      <c r="C254" s="146" t="s">
        <v>4118</v>
      </c>
      <c r="D254" s="147" t="s">
        <v>4598</v>
      </c>
      <c r="E254" s="151" t="s">
        <v>4599</v>
      </c>
      <c r="F254" s="148"/>
      <c r="G254" s="92">
        <f>G256</f>
        <v>5.1</v>
      </c>
      <c r="H254" s="117"/>
      <c r="I254" s="149"/>
      <c r="J254" s="95">
        <f>J256</f>
        <v>50</v>
      </c>
      <c r="K254" s="150"/>
      <c r="L254" s="119">
        <f>L256</f>
        <v>3.8</v>
      </c>
      <c r="M254" s="120"/>
      <c r="N254" s="99">
        <f t="shared" ref="N254:R254" si="310">N256</f>
        <v>0</v>
      </c>
      <c r="O254" s="121"/>
      <c r="P254" s="101">
        <f t="shared" si="310"/>
        <v>0</v>
      </c>
      <c r="Q254" s="122"/>
      <c r="R254" s="103">
        <f t="shared" si="310"/>
        <v>6</v>
      </c>
      <c r="S254" s="123"/>
      <c r="T254" s="105">
        <f>T256</f>
        <v>0</v>
      </c>
      <c r="U254" s="124"/>
      <c r="V254" s="107">
        <f>V256</f>
        <v>0</v>
      </c>
      <c r="W254" s="125"/>
      <c r="X254" s="109">
        <f>X256</f>
        <v>6</v>
      </c>
      <c r="Y254" s="126"/>
      <c r="Z254" s="151"/>
      <c r="AA254" s="151"/>
    </row>
    <row r="255" spans="1:27">
      <c r="A255" s="144"/>
      <c r="B255" s="145"/>
      <c r="C255" s="146" t="s">
        <v>4121</v>
      </c>
      <c r="D255" s="147" t="s">
        <v>4600</v>
      </c>
      <c r="E255" s="151" t="s">
        <v>4601</v>
      </c>
      <c r="F255" s="148"/>
      <c r="G255" s="92">
        <v>7.7</v>
      </c>
      <c r="H255" s="117"/>
      <c r="I255" s="149"/>
      <c r="J255" s="95">
        <v>75</v>
      </c>
      <c r="K255" s="150"/>
      <c r="L255" s="119">
        <v>5.7</v>
      </c>
      <c r="M255" s="120"/>
      <c r="N255" s="99">
        <v>0</v>
      </c>
      <c r="O255" s="121"/>
      <c r="P255" s="101">
        <v>0</v>
      </c>
      <c r="Q255" s="122"/>
      <c r="R255" s="103">
        <v>9</v>
      </c>
      <c r="S255" s="123"/>
      <c r="T255" s="105">
        <v>0</v>
      </c>
      <c r="U255" s="124"/>
      <c r="V255" s="107">
        <v>0</v>
      </c>
      <c r="W255" s="125"/>
      <c r="X255" s="109">
        <v>9</v>
      </c>
      <c r="Y255" s="126"/>
      <c r="Z255" s="151"/>
      <c r="AA255" s="151"/>
    </row>
    <row r="256" spans="1:27">
      <c r="A256" s="144"/>
      <c r="B256" s="145"/>
      <c r="C256" s="146" t="s">
        <v>4124</v>
      </c>
      <c r="D256" s="147" t="s">
        <v>4602</v>
      </c>
      <c r="E256" s="151" t="s">
        <v>4603</v>
      </c>
      <c r="F256" s="153"/>
      <c r="G256" s="92">
        <f>ROUND(G255*2/3,1)</f>
        <v>5.1</v>
      </c>
      <c r="H256" s="127"/>
      <c r="I256" s="149"/>
      <c r="J256" s="95">
        <f>ROUND(J255*2/3,0)</f>
        <v>50</v>
      </c>
      <c r="K256" s="154"/>
      <c r="L256" s="119">
        <f>ROUND(L255*2/3,1)</f>
        <v>3.8</v>
      </c>
      <c r="M256" s="128"/>
      <c r="N256" s="99">
        <f>ROUND(N255*2/3,0)</f>
        <v>0</v>
      </c>
      <c r="O256" s="129"/>
      <c r="P256" s="101">
        <f>ROUND(P255*2/3,0)</f>
        <v>0</v>
      </c>
      <c r="Q256" s="130"/>
      <c r="R256" s="103">
        <f>ROUND(R255*2/3,0)</f>
        <v>6</v>
      </c>
      <c r="S256" s="131"/>
      <c r="T256" s="105">
        <f>ROUND(T255*2/3,0)</f>
        <v>0</v>
      </c>
      <c r="U256" s="132"/>
      <c r="V256" s="107">
        <f>ROUND(V255*2/3,0)</f>
        <v>0</v>
      </c>
      <c r="W256" s="133"/>
      <c r="X256" s="109">
        <f>ROUND(X255*2/3,0)</f>
        <v>6</v>
      </c>
      <c r="Y256" s="134"/>
      <c r="Z256" s="151"/>
      <c r="AA256" s="151"/>
    </row>
    <row r="257" spans="1:27">
      <c r="A257" s="135" t="s">
        <v>7989</v>
      </c>
      <c r="B257" s="136" t="s">
        <v>7280</v>
      </c>
      <c r="C257" s="137" t="s">
        <v>4133</v>
      </c>
      <c r="D257" s="138" t="s">
        <v>4604</v>
      </c>
      <c r="E257" s="151" t="s">
        <v>4605</v>
      </c>
      <c r="F257" s="159" t="s">
        <v>3181</v>
      </c>
      <c r="G257" s="92">
        <f>G261</f>
        <v>1.4</v>
      </c>
      <c r="H257" s="93">
        <f t="shared" ref="H257:M257" si="311">SUM(G257:G261)</f>
        <v>9.1</v>
      </c>
      <c r="I257" s="141" t="s">
        <v>8073</v>
      </c>
      <c r="J257" s="95">
        <f>J261</f>
        <v>19</v>
      </c>
      <c r="K257" s="142">
        <f t="shared" si="311"/>
        <v>124</v>
      </c>
      <c r="L257" s="119">
        <f>L261</f>
        <v>1.2</v>
      </c>
      <c r="M257" s="98">
        <f t="shared" si="311"/>
        <v>7.8</v>
      </c>
      <c r="N257" s="99">
        <f t="shared" ref="N257:R257" si="312">N261</f>
        <v>5</v>
      </c>
      <c r="O257" s="100">
        <f t="shared" ref="O257:S257" si="313">SUM(N257:N261)</f>
        <v>33</v>
      </c>
      <c r="P257" s="101">
        <f t="shared" si="312"/>
        <v>5</v>
      </c>
      <c r="Q257" s="102">
        <f t="shared" si="313"/>
        <v>33</v>
      </c>
      <c r="R257" s="103">
        <f t="shared" si="312"/>
        <v>0</v>
      </c>
      <c r="S257" s="104">
        <f t="shared" si="313"/>
        <v>0</v>
      </c>
      <c r="T257" s="105">
        <f>T261</f>
        <v>0</v>
      </c>
      <c r="U257" s="106">
        <f t="shared" ref="U257:Y257" si="314">SUM(T257:T261)</f>
        <v>0</v>
      </c>
      <c r="V257" s="107">
        <f>V261</f>
        <v>0</v>
      </c>
      <c r="W257" s="108">
        <f t="shared" si="314"/>
        <v>0</v>
      </c>
      <c r="X257" s="109">
        <f>X261</f>
        <v>0</v>
      </c>
      <c r="Y257" s="110">
        <f t="shared" si="314"/>
        <v>0</v>
      </c>
      <c r="Z257" s="139"/>
      <c r="AA257" s="139"/>
    </row>
    <row r="258" spans="1:27">
      <c r="A258" s="144"/>
      <c r="B258" s="145"/>
      <c r="C258" s="146" t="s">
        <v>4115</v>
      </c>
      <c r="D258" s="147" t="s">
        <v>4606</v>
      </c>
      <c r="E258" s="151" t="s">
        <v>4607</v>
      </c>
      <c r="F258" s="148"/>
      <c r="G258" s="92">
        <f>G261*2</f>
        <v>2.8</v>
      </c>
      <c r="H258" s="117"/>
      <c r="I258" s="149"/>
      <c r="J258" s="95">
        <f>J261*2</f>
        <v>38</v>
      </c>
      <c r="K258" s="150"/>
      <c r="L258" s="119">
        <f>L261*2</f>
        <v>2.4</v>
      </c>
      <c r="M258" s="120"/>
      <c r="N258" s="99">
        <f t="shared" ref="N258:R258" si="315">N261*2</f>
        <v>10</v>
      </c>
      <c r="O258" s="121"/>
      <c r="P258" s="101">
        <f t="shared" si="315"/>
        <v>10</v>
      </c>
      <c r="Q258" s="122"/>
      <c r="R258" s="103">
        <f t="shared" si="315"/>
        <v>0</v>
      </c>
      <c r="S258" s="123"/>
      <c r="T258" s="105">
        <f>T261*2</f>
        <v>0</v>
      </c>
      <c r="U258" s="124"/>
      <c r="V258" s="107">
        <f>V261*2</f>
        <v>0</v>
      </c>
      <c r="W258" s="125"/>
      <c r="X258" s="109">
        <f>X261*2</f>
        <v>0</v>
      </c>
      <c r="Y258" s="126"/>
      <c r="Z258" s="151"/>
      <c r="AA258" s="151"/>
    </row>
    <row r="259" spans="1:27">
      <c r="A259" s="144"/>
      <c r="B259" s="145"/>
      <c r="C259" s="146" t="s">
        <v>4118</v>
      </c>
      <c r="D259" s="147" t="s">
        <v>4608</v>
      </c>
      <c r="E259" s="151" t="s">
        <v>4609</v>
      </c>
      <c r="F259" s="148"/>
      <c r="G259" s="92">
        <f>G261</f>
        <v>1.4</v>
      </c>
      <c r="H259" s="117"/>
      <c r="I259" s="149"/>
      <c r="J259" s="95">
        <f>J261</f>
        <v>19</v>
      </c>
      <c r="K259" s="150"/>
      <c r="L259" s="119">
        <f>L261</f>
        <v>1.2</v>
      </c>
      <c r="M259" s="120"/>
      <c r="N259" s="99">
        <f t="shared" ref="N259:R259" si="316">N261</f>
        <v>5</v>
      </c>
      <c r="O259" s="121"/>
      <c r="P259" s="101">
        <f t="shared" si="316"/>
        <v>5</v>
      </c>
      <c r="Q259" s="122"/>
      <c r="R259" s="103">
        <f t="shared" si="316"/>
        <v>0</v>
      </c>
      <c r="S259" s="123"/>
      <c r="T259" s="105">
        <f>T261</f>
        <v>0</v>
      </c>
      <c r="U259" s="124"/>
      <c r="V259" s="107">
        <f>V261</f>
        <v>0</v>
      </c>
      <c r="W259" s="125"/>
      <c r="X259" s="109">
        <f>X261</f>
        <v>0</v>
      </c>
      <c r="Y259" s="126"/>
      <c r="Z259" s="151"/>
      <c r="AA259" s="151"/>
    </row>
    <row r="260" spans="1:27">
      <c r="A260" s="144"/>
      <c r="B260" s="145"/>
      <c r="C260" s="146" t="s">
        <v>4121</v>
      </c>
      <c r="D260" s="147" t="s">
        <v>4610</v>
      </c>
      <c r="E260" s="151" t="s">
        <v>4611</v>
      </c>
      <c r="F260" s="148"/>
      <c r="G260" s="92">
        <v>2.1</v>
      </c>
      <c r="H260" s="117"/>
      <c r="I260" s="149"/>
      <c r="J260" s="95">
        <v>29</v>
      </c>
      <c r="K260" s="150"/>
      <c r="L260" s="119">
        <v>1.8</v>
      </c>
      <c r="M260" s="120"/>
      <c r="N260" s="99">
        <v>8</v>
      </c>
      <c r="O260" s="121"/>
      <c r="P260" s="101">
        <v>8</v>
      </c>
      <c r="Q260" s="122"/>
      <c r="R260" s="103">
        <v>0</v>
      </c>
      <c r="S260" s="123"/>
      <c r="T260" s="105">
        <v>0</v>
      </c>
      <c r="U260" s="124"/>
      <c r="V260" s="107">
        <v>0</v>
      </c>
      <c r="W260" s="125"/>
      <c r="X260" s="109">
        <v>0</v>
      </c>
      <c r="Y260" s="126"/>
      <c r="Z260" s="151"/>
      <c r="AA260" s="151"/>
    </row>
    <row r="261" spans="1:27">
      <c r="A261" s="144"/>
      <c r="B261" s="145"/>
      <c r="C261" s="146" t="s">
        <v>4124</v>
      </c>
      <c r="D261" s="147" t="s">
        <v>4612</v>
      </c>
      <c r="E261" s="151" t="s">
        <v>4613</v>
      </c>
      <c r="F261" s="153"/>
      <c r="G261" s="92">
        <f>ROUND(G260*2/3,1)</f>
        <v>1.4</v>
      </c>
      <c r="H261" s="127"/>
      <c r="I261" s="149"/>
      <c r="J261" s="95">
        <f>ROUND(J260*2/3,0)</f>
        <v>19</v>
      </c>
      <c r="K261" s="154"/>
      <c r="L261" s="119">
        <f>ROUND(L260*2/3,1)</f>
        <v>1.2</v>
      </c>
      <c r="M261" s="128"/>
      <c r="N261" s="99">
        <f>ROUND(N260*2/3,0)</f>
        <v>5</v>
      </c>
      <c r="O261" s="129"/>
      <c r="P261" s="101">
        <f>ROUND(P260*2/3,0)</f>
        <v>5</v>
      </c>
      <c r="Q261" s="130"/>
      <c r="R261" s="103">
        <f>ROUND(R260*2/3,0)</f>
        <v>0</v>
      </c>
      <c r="S261" s="131"/>
      <c r="T261" s="105">
        <f>ROUND(T260*2/3,0)</f>
        <v>0</v>
      </c>
      <c r="U261" s="132"/>
      <c r="V261" s="107">
        <f>ROUND(V260*2/3,0)</f>
        <v>0</v>
      </c>
      <c r="W261" s="133"/>
      <c r="X261" s="109">
        <f>ROUND(X260*2/3,0)</f>
        <v>0</v>
      </c>
      <c r="Y261" s="134"/>
      <c r="Z261" s="151"/>
      <c r="AA261" s="151"/>
    </row>
    <row r="262" spans="1:27">
      <c r="A262" s="135" t="s">
        <v>7989</v>
      </c>
      <c r="B262" s="136" t="s">
        <v>6795</v>
      </c>
      <c r="C262" s="137"/>
      <c r="D262" s="138"/>
      <c r="E262" s="151"/>
      <c r="F262" s="159" t="s">
        <v>3189</v>
      </c>
      <c r="G262" s="92">
        <f>G266</f>
        <v>1.6</v>
      </c>
      <c r="H262" s="93">
        <f t="shared" ref="H262:M262" si="317">SUM(G262:G266)</f>
        <v>10.4</v>
      </c>
      <c r="I262" s="141" t="s">
        <v>8074</v>
      </c>
      <c r="J262" s="95">
        <f>J266</f>
        <v>19</v>
      </c>
      <c r="K262" s="142">
        <f t="shared" si="317"/>
        <v>124</v>
      </c>
      <c r="L262" s="119">
        <f>L266</f>
        <v>1.2</v>
      </c>
      <c r="M262" s="98">
        <f t="shared" si="317"/>
        <v>7.8</v>
      </c>
      <c r="N262" s="99">
        <f t="shared" ref="N262:R262" si="318">N266</f>
        <v>0</v>
      </c>
      <c r="O262" s="100">
        <f t="shared" ref="O262:S262" si="319">SUM(N262:N266)</f>
        <v>0</v>
      </c>
      <c r="P262" s="101">
        <f t="shared" si="318"/>
        <v>0</v>
      </c>
      <c r="Q262" s="102">
        <f t="shared" si="319"/>
        <v>0</v>
      </c>
      <c r="R262" s="103">
        <f t="shared" si="318"/>
        <v>0</v>
      </c>
      <c r="S262" s="104">
        <f t="shared" si="319"/>
        <v>0</v>
      </c>
      <c r="T262" s="105">
        <f>T266</f>
        <v>0</v>
      </c>
      <c r="U262" s="106">
        <f t="shared" ref="U262:Y262" si="320">SUM(T262:T266)</f>
        <v>0</v>
      </c>
      <c r="V262" s="107">
        <f>V266</f>
        <v>0</v>
      </c>
      <c r="W262" s="108">
        <f t="shared" si="320"/>
        <v>0</v>
      </c>
      <c r="X262" s="109">
        <f>X266</f>
        <v>0</v>
      </c>
      <c r="Y262" s="110">
        <f t="shared" si="320"/>
        <v>0</v>
      </c>
      <c r="Z262" s="139"/>
      <c r="AA262" s="139"/>
    </row>
    <row r="263" spans="1:27">
      <c r="A263" s="144"/>
      <c r="B263" s="145"/>
      <c r="C263" s="146" t="s">
        <v>4115</v>
      </c>
      <c r="D263" s="147" t="s">
        <v>4614</v>
      </c>
      <c r="E263" s="151" t="s">
        <v>4615</v>
      </c>
      <c r="F263" s="148"/>
      <c r="G263" s="92">
        <f>G266*2</f>
        <v>3.2</v>
      </c>
      <c r="H263" s="117"/>
      <c r="I263" s="149"/>
      <c r="J263" s="95">
        <f>J266*2</f>
        <v>38</v>
      </c>
      <c r="K263" s="150"/>
      <c r="L263" s="119">
        <f>L266*2</f>
        <v>2.4</v>
      </c>
      <c r="M263" s="120"/>
      <c r="N263" s="99">
        <f t="shared" ref="N263:R263" si="321">N266*2</f>
        <v>0</v>
      </c>
      <c r="O263" s="121"/>
      <c r="P263" s="101">
        <f t="shared" si="321"/>
        <v>0</v>
      </c>
      <c r="Q263" s="122"/>
      <c r="R263" s="103">
        <f t="shared" si="321"/>
        <v>0</v>
      </c>
      <c r="S263" s="123"/>
      <c r="T263" s="105">
        <f>T266*2</f>
        <v>0</v>
      </c>
      <c r="U263" s="124"/>
      <c r="V263" s="107">
        <f>V266*2</f>
        <v>0</v>
      </c>
      <c r="W263" s="125"/>
      <c r="X263" s="109">
        <f>X266*2</f>
        <v>0</v>
      </c>
      <c r="Y263" s="126"/>
      <c r="Z263" s="151"/>
      <c r="AA263" s="151"/>
    </row>
    <row r="264" spans="1:27">
      <c r="A264" s="144"/>
      <c r="B264" s="145"/>
      <c r="C264" s="146" t="s">
        <v>4118</v>
      </c>
      <c r="D264" s="147" t="s">
        <v>4616</v>
      </c>
      <c r="E264" s="151" t="s">
        <v>4617</v>
      </c>
      <c r="F264" s="148"/>
      <c r="G264" s="92">
        <f>G266</f>
        <v>1.6</v>
      </c>
      <c r="H264" s="117"/>
      <c r="I264" s="149"/>
      <c r="J264" s="95">
        <f>J266</f>
        <v>19</v>
      </c>
      <c r="K264" s="150"/>
      <c r="L264" s="119">
        <f>L266</f>
        <v>1.2</v>
      </c>
      <c r="M264" s="120"/>
      <c r="N264" s="99">
        <f t="shared" ref="N264:R264" si="322">N266</f>
        <v>0</v>
      </c>
      <c r="O264" s="121"/>
      <c r="P264" s="101">
        <f t="shared" si="322"/>
        <v>0</v>
      </c>
      <c r="Q264" s="122"/>
      <c r="R264" s="103">
        <f t="shared" si="322"/>
        <v>0</v>
      </c>
      <c r="S264" s="123"/>
      <c r="T264" s="105">
        <f>T266</f>
        <v>0</v>
      </c>
      <c r="U264" s="124"/>
      <c r="V264" s="107">
        <f>V266</f>
        <v>0</v>
      </c>
      <c r="W264" s="125"/>
      <c r="X264" s="109">
        <f>X266</f>
        <v>0</v>
      </c>
      <c r="Y264" s="126"/>
      <c r="Z264" s="151"/>
      <c r="AA264" s="151"/>
    </row>
    <row r="265" spans="1:27">
      <c r="A265" s="144"/>
      <c r="B265" s="145"/>
      <c r="C265" s="146" t="s">
        <v>4121</v>
      </c>
      <c r="D265" s="147" t="s">
        <v>4618</v>
      </c>
      <c r="E265" s="151" t="s">
        <v>4619</v>
      </c>
      <c r="F265" s="148"/>
      <c r="G265" s="92">
        <v>2.4</v>
      </c>
      <c r="H265" s="117"/>
      <c r="I265" s="149"/>
      <c r="J265" s="95">
        <v>29</v>
      </c>
      <c r="K265" s="150"/>
      <c r="L265" s="119">
        <v>1.8</v>
      </c>
      <c r="M265" s="120"/>
      <c r="N265" s="99">
        <v>0</v>
      </c>
      <c r="O265" s="121"/>
      <c r="P265" s="101">
        <v>0</v>
      </c>
      <c r="Q265" s="122"/>
      <c r="R265" s="103">
        <v>0</v>
      </c>
      <c r="S265" s="123"/>
      <c r="T265" s="105">
        <v>0</v>
      </c>
      <c r="U265" s="124"/>
      <c r="V265" s="107">
        <v>0</v>
      </c>
      <c r="W265" s="125"/>
      <c r="X265" s="109">
        <v>0</v>
      </c>
      <c r="Y265" s="126"/>
      <c r="Z265" s="151"/>
      <c r="AA265" s="151"/>
    </row>
    <row r="266" spans="1:27">
      <c r="A266" s="144"/>
      <c r="B266" s="145"/>
      <c r="C266" s="146" t="s">
        <v>4124</v>
      </c>
      <c r="D266" s="147" t="s">
        <v>4620</v>
      </c>
      <c r="E266" s="151" t="s">
        <v>4621</v>
      </c>
      <c r="F266" s="153"/>
      <c r="G266" s="92">
        <f>ROUND(G265*2/3,1)</f>
        <v>1.6</v>
      </c>
      <c r="H266" s="127"/>
      <c r="I266" s="149"/>
      <c r="J266" s="95">
        <f>ROUND(J265*2/3,0)</f>
        <v>19</v>
      </c>
      <c r="K266" s="154"/>
      <c r="L266" s="119">
        <f>ROUND(L265*2/3,1)</f>
        <v>1.2</v>
      </c>
      <c r="M266" s="128"/>
      <c r="N266" s="99">
        <f>ROUND(N265*2/3,0)</f>
        <v>0</v>
      </c>
      <c r="O266" s="129"/>
      <c r="P266" s="101">
        <f>ROUND(P265*2/3,0)</f>
        <v>0</v>
      </c>
      <c r="Q266" s="130"/>
      <c r="R266" s="103">
        <f>ROUND(R265*2/3,0)</f>
        <v>0</v>
      </c>
      <c r="S266" s="131"/>
      <c r="T266" s="105">
        <f>ROUND(T265*2/3,0)</f>
        <v>0</v>
      </c>
      <c r="U266" s="132"/>
      <c r="V266" s="107">
        <f>ROUND(V265*2/3,0)</f>
        <v>0</v>
      </c>
      <c r="W266" s="133"/>
      <c r="X266" s="109">
        <f>ROUND(X265*2/3,0)</f>
        <v>0</v>
      </c>
      <c r="Y266" s="134"/>
      <c r="Z266" s="151"/>
      <c r="AA266" s="151"/>
    </row>
    <row r="267" spans="1:27">
      <c r="A267" s="144" t="s">
        <v>7975</v>
      </c>
      <c r="B267" s="145" t="s">
        <v>7284</v>
      </c>
      <c r="C267" s="146" t="s">
        <v>4133</v>
      </c>
      <c r="D267" s="147" t="s">
        <v>4622</v>
      </c>
      <c r="E267" s="151" t="s">
        <v>4623</v>
      </c>
      <c r="F267" s="159" t="s">
        <v>3179</v>
      </c>
      <c r="G267" s="92">
        <f>G271</f>
        <v>3.3</v>
      </c>
      <c r="H267" s="93">
        <f t="shared" ref="H267:M267" si="323">SUM(G267:G271)</f>
        <v>21.5</v>
      </c>
      <c r="I267" s="149" t="s">
        <v>8075</v>
      </c>
      <c r="J267" s="95">
        <f>J271</f>
        <v>31</v>
      </c>
      <c r="K267" s="160">
        <f t="shared" si="323"/>
        <v>202</v>
      </c>
      <c r="L267" s="119">
        <f>L271</f>
        <v>2.3</v>
      </c>
      <c r="M267" s="98">
        <f t="shared" si="323"/>
        <v>15</v>
      </c>
      <c r="N267" s="99">
        <f t="shared" ref="N267:R267" si="324">N271</f>
        <v>0</v>
      </c>
      <c r="O267" s="100">
        <f t="shared" ref="O267:S267" si="325">SUM(N267:N271)</f>
        <v>0</v>
      </c>
      <c r="P267" s="101">
        <f t="shared" si="324"/>
        <v>0</v>
      </c>
      <c r="Q267" s="102">
        <f t="shared" si="325"/>
        <v>0</v>
      </c>
      <c r="R267" s="103">
        <f t="shared" si="324"/>
        <v>0</v>
      </c>
      <c r="S267" s="104">
        <f t="shared" si="325"/>
        <v>0</v>
      </c>
      <c r="T267" s="105">
        <f>T271</f>
        <v>0</v>
      </c>
      <c r="U267" s="106">
        <f t="shared" ref="U267:Y267" si="326">SUM(T267:T271)</f>
        <v>0</v>
      </c>
      <c r="V267" s="107">
        <f>V271</f>
        <v>0</v>
      </c>
      <c r="W267" s="108">
        <f t="shared" si="326"/>
        <v>0</v>
      </c>
      <c r="X267" s="109">
        <f>X271</f>
        <v>0</v>
      </c>
      <c r="Y267" s="110">
        <f t="shared" si="326"/>
        <v>0</v>
      </c>
      <c r="Z267" s="151"/>
      <c r="AA267" s="151"/>
    </row>
    <row r="268" spans="1:27">
      <c r="A268" s="144"/>
      <c r="B268" s="145"/>
      <c r="C268" s="146" t="s">
        <v>4115</v>
      </c>
      <c r="D268" s="147" t="s">
        <v>4624</v>
      </c>
      <c r="E268" s="151" t="s">
        <v>4625</v>
      </c>
      <c r="F268" s="148"/>
      <c r="G268" s="92">
        <f>G271*2</f>
        <v>6.6</v>
      </c>
      <c r="H268" s="117"/>
      <c r="I268" s="149"/>
      <c r="J268" s="95">
        <f>J271*2</f>
        <v>62</v>
      </c>
      <c r="K268" s="160"/>
      <c r="L268" s="119">
        <f>L271*2</f>
        <v>4.6</v>
      </c>
      <c r="M268" s="120"/>
      <c r="N268" s="99">
        <f t="shared" ref="N268:R268" si="327">N271*2</f>
        <v>0</v>
      </c>
      <c r="O268" s="121"/>
      <c r="P268" s="101">
        <f t="shared" si="327"/>
        <v>0</v>
      </c>
      <c r="Q268" s="122"/>
      <c r="R268" s="103">
        <f t="shared" si="327"/>
        <v>0</v>
      </c>
      <c r="S268" s="123"/>
      <c r="T268" s="105">
        <f>T271*2</f>
        <v>0</v>
      </c>
      <c r="U268" s="124"/>
      <c r="V268" s="107">
        <f>V271*2</f>
        <v>0</v>
      </c>
      <c r="W268" s="125"/>
      <c r="X268" s="109">
        <f>X271*2</f>
        <v>0</v>
      </c>
      <c r="Y268" s="126"/>
      <c r="Z268" s="151"/>
      <c r="AA268" s="151"/>
    </row>
    <row r="269" spans="1:27">
      <c r="A269" s="144"/>
      <c r="B269" s="145"/>
      <c r="C269" s="146" t="s">
        <v>4118</v>
      </c>
      <c r="D269" s="147" t="s">
        <v>4626</v>
      </c>
      <c r="E269" s="151" t="s">
        <v>4627</v>
      </c>
      <c r="F269" s="148"/>
      <c r="G269" s="92">
        <f>G271</f>
        <v>3.3</v>
      </c>
      <c r="H269" s="117"/>
      <c r="I269" s="149"/>
      <c r="J269" s="95">
        <f>J271</f>
        <v>31</v>
      </c>
      <c r="K269" s="160"/>
      <c r="L269" s="119">
        <f>L271</f>
        <v>2.3</v>
      </c>
      <c r="M269" s="120"/>
      <c r="N269" s="99">
        <f t="shared" ref="N269:R269" si="328">N271</f>
        <v>0</v>
      </c>
      <c r="O269" s="121"/>
      <c r="P269" s="101">
        <f t="shared" si="328"/>
        <v>0</v>
      </c>
      <c r="Q269" s="122"/>
      <c r="R269" s="103">
        <f t="shared" si="328"/>
        <v>0</v>
      </c>
      <c r="S269" s="123"/>
      <c r="T269" s="105">
        <f>T271</f>
        <v>0</v>
      </c>
      <c r="U269" s="124"/>
      <c r="V269" s="107">
        <f>V271</f>
        <v>0</v>
      </c>
      <c r="W269" s="125"/>
      <c r="X269" s="109">
        <f>X271</f>
        <v>0</v>
      </c>
      <c r="Y269" s="126"/>
      <c r="Z269" s="151"/>
      <c r="AA269" s="151"/>
    </row>
    <row r="270" spans="1:27">
      <c r="A270" s="144"/>
      <c r="B270" s="145"/>
      <c r="C270" s="146" t="s">
        <v>4121</v>
      </c>
      <c r="D270" s="147" t="s">
        <v>4628</v>
      </c>
      <c r="E270" s="151" t="s">
        <v>4629</v>
      </c>
      <c r="F270" s="148"/>
      <c r="G270" s="92">
        <v>5</v>
      </c>
      <c r="H270" s="117"/>
      <c r="I270" s="149"/>
      <c r="J270" s="95">
        <v>47</v>
      </c>
      <c r="K270" s="160"/>
      <c r="L270" s="119">
        <v>3.5</v>
      </c>
      <c r="M270" s="120"/>
      <c r="N270" s="99">
        <v>0</v>
      </c>
      <c r="O270" s="121"/>
      <c r="P270" s="101">
        <v>0</v>
      </c>
      <c r="Q270" s="122"/>
      <c r="R270" s="103">
        <v>0</v>
      </c>
      <c r="S270" s="123"/>
      <c r="T270" s="105">
        <v>0</v>
      </c>
      <c r="U270" s="124"/>
      <c r="V270" s="107">
        <v>0</v>
      </c>
      <c r="W270" s="125"/>
      <c r="X270" s="109">
        <v>0</v>
      </c>
      <c r="Y270" s="126"/>
      <c r="Z270" s="151"/>
      <c r="AA270" s="151"/>
    </row>
    <row r="271" spans="1:27">
      <c r="A271" s="144"/>
      <c r="B271" s="145"/>
      <c r="C271" s="146" t="s">
        <v>4124</v>
      </c>
      <c r="D271" s="147" t="s">
        <v>4630</v>
      </c>
      <c r="E271" s="151" t="s">
        <v>4631</v>
      </c>
      <c r="F271" s="153"/>
      <c r="G271" s="92">
        <f>ROUND(G270*2/3,1)</f>
        <v>3.3</v>
      </c>
      <c r="H271" s="127"/>
      <c r="I271" s="149"/>
      <c r="J271" s="95">
        <f>ROUND(J270*2/3,0)</f>
        <v>31</v>
      </c>
      <c r="K271" s="160"/>
      <c r="L271" s="119">
        <f>ROUND(L270*2/3,1)</f>
        <v>2.3</v>
      </c>
      <c r="M271" s="128"/>
      <c r="N271" s="99">
        <f>ROUND(N270*2/3,0)</f>
        <v>0</v>
      </c>
      <c r="O271" s="129"/>
      <c r="P271" s="101">
        <f>ROUND(P270*2/3,0)</f>
        <v>0</v>
      </c>
      <c r="Q271" s="130"/>
      <c r="R271" s="103">
        <f>ROUND(R270*2/3,0)</f>
        <v>0</v>
      </c>
      <c r="S271" s="131"/>
      <c r="T271" s="105">
        <f>ROUND(T270*2/3,0)</f>
        <v>0</v>
      </c>
      <c r="U271" s="132"/>
      <c r="V271" s="107">
        <f>ROUND(V270*2/3,0)</f>
        <v>0</v>
      </c>
      <c r="W271" s="133"/>
      <c r="X271" s="109">
        <f>ROUND(X270*2/3,0)</f>
        <v>0</v>
      </c>
      <c r="Y271" s="134"/>
      <c r="Z271" s="151"/>
      <c r="AA271" s="151"/>
    </row>
    <row r="272" spans="1:27">
      <c r="A272" s="144" t="s">
        <v>8076</v>
      </c>
      <c r="B272" s="145" t="s">
        <v>8077</v>
      </c>
      <c r="C272" s="146" t="s">
        <v>4133</v>
      </c>
      <c r="D272" s="147" t="s">
        <v>4632</v>
      </c>
      <c r="E272" s="161" t="s">
        <v>4633</v>
      </c>
      <c r="F272" s="156" t="s">
        <v>8078</v>
      </c>
      <c r="G272" s="162">
        <v>4.5</v>
      </c>
      <c r="H272" s="163"/>
      <c r="I272" s="149" t="s">
        <v>8059</v>
      </c>
      <c r="J272" s="164">
        <v>50</v>
      </c>
      <c r="K272" s="165"/>
      <c r="L272" s="166">
        <v>3.8</v>
      </c>
      <c r="M272" s="167"/>
      <c r="N272" s="168">
        <v>0</v>
      </c>
      <c r="O272" s="169"/>
      <c r="P272" s="170">
        <v>0</v>
      </c>
      <c r="Q272" s="171"/>
      <c r="R272" s="172">
        <v>0</v>
      </c>
      <c r="S272" s="173"/>
      <c r="T272" s="174">
        <v>0</v>
      </c>
      <c r="U272" s="175"/>
      <c r="V272" s="176">
        <v>0</v>
      </c>
      <c r="W272" s="177"/>
      <c r="X272" s="178">
        <v>0</v>
      </c>
      <c r="Y272" s="179"/>
      <c r="Z272" s="151"/>
      <c r="AA272" s="151"/>
    </row>
    <row r="273" spans="1:27">
      <c r="A273" s="144" t="s">
        <v>8076</v>
      </c>
      <c r="B273" s="145" t="s">
        <v>8079</v>
      </c>
      <c r="C273" s="146" t="s">
        <v>4133</v>
      </c>
      <c r="D273" s="147" t="s">
        <v>4634</v>
      </c>
      <c r="E273" s="139" t="s">
        <v>4635</v>
      </c>
      <c r="F273" s="156" t="s">
        <v>8080</v>
      </c>
      <c r="G273" s="162">
        <v>3.3</v>
      </c>
      <c r="H273" s="163"/>
      <c r="I273" s="149" t="s">
        <v>8081</v>
      </c>
      <c r="J273" s="164">
        <v>31</v>
      </c>
      <c r="K273" s="165"/>
      <c r="L273" s="166">
        <v>2.3</v>
      </c>
      <c r="M273" s="167"/>
      <c r="N273" s="168">
        <v>5</v>
      </c>
      <c r="O273" s="169"/>
      <c r="P273" s="170">
        <v>0</v>
      </c>
      <c r="Q273" s="171"/>
      <c r="R273" s="172">
        <v>0</v>
      </c>
      <c r="S273" s="173"/>
      <c r="T273" s="174">
        <v>0</v>
      </c>
      <c r="U273" s="175"/>
      <c r="V273" s="176">
        <v>0</v>
      </c>
      <c r="W273" s="177"/>
      <c r="X273" s="178">
        <v>0</v>
      </c>
      <c r="Y273" s="179"/>
      <c r="Z273" s="151"/>
      <c r="AA273" s="151"/>
    </row>
    <row r="274" spans="1:27">
      <c r="A274" s="144" t="s">
        <v>8076</v>
      </c>
      <c r="B274" s="145" t="s">
        <v>8079</v>
      </c>
      <c r="C274" s="146" t="s">
        <v>4133</v>
      </c>
      <c r="D274" s="147" t="s">
        <v>4636</v>
      </c>
      <c r="E274" s="139" t="s">
        <v>4637</v>
      </c>
      <c r="F274" s="156" t="s">
        <v>8082</v>
      </c>
      <c r="G274" s="162">
        <v>3.3</v>
      </c>
      <c r="H274" s="163"/>
      <c r="I274" s="149" t="s">
        <v>8083</v>
      </c>
      <c r="J274" s="164">
        <v>31</v>
      </c>
      <c r="K274" s="165"/>
      <c r="L274" s="166">
        <v>2.3</v>
      </c>
      <c r="M274" s="167"/>
      <c r="N274" s="168">
        <v>0</v>
      </c>
      <c r="O274" s="169"/>
      <c r="P274" s="170">
        <v>0</v>
      </c>
      <c r="Q274" s="171"/>
      <c r="R274" s="172">
        <v>0</v>
      </c>
      <c r="S274" s="173"/>
      <c r="T274" s="174">
        <v>0</v>
      </c>
      <c r="U274" s="175"/>
      <c r="V274" s="176">
        <v>0</v>
      </c>
      <c r="W274" s="177"/>
      <c r="X274" s="178">
        <v>0</v>
      </c>
      <c r="Y274" s="179"/>
      <c r="Z274" s="151"/>
      <c r="AA274" s="151"/>
    </row>
    <row r="275" spans="1:27">
      <c r="A275" s="144" t="s">
        <v>8076</v>
      </c>
      <c r="B275" s="145" t="s">
        <v>8079</v>
      </c>
      <c r="C275" s="146" t="s">
        <v>4133</v>
      </c>
      <c r="D275" s="147" t="s">
        <v>4638</v>
      </c>
      <c r="E275" s="139" t="s">
        <v>4639</v>
      </c>
      <c r="F275" s="156" t="s">
        <v>8084</v>
      </c>
      <c r="G275" s="162">
        <v>3.3</v>
      </c>
      <c r="H275" s="163"/>
      <c r="I275" s="149" t="s">
        <v>8081</v>
      </c>
      <c r="J275" s="164">
        <v>31</v>
      </c>
      <c r="K275" s="165"/>
      <c r="L275" s="166">
        <v>2.3</v>
      </c>
      <c r="M275" s="167"/>
      <c r="N275" s="168">
        <v>0</v>
      </c>
      <c r="O275" s="169"/>
      <c r="P275" s="170">
        <v>0</v>
      </c>
      <c r="Q275" s="171"/>
      <c r="R275" s="172">
        <v>0</v>
      </c>
      <c r="S275" s="173"/>
      <c r="T275" s="174">
        <v>0</v>
      </c>
      <c r="U275" s="175"/>
      <c r="V275" s="176">
        <v>0</v>
      </c>
      <c r="W275" s="177"/>
      <c r="X275" s="178">
        <v>0</v>
      </c>
      <c r="Y275" s="179"/>
      <c r="Z275" s="151"/>
      <c r="AA275" s="151"/>
    </row>
    <row r="276" spans="1:27">
      <c r="A276" s="144" t="s">
        <v>8076</v>
      </c>
      <c r="B276" s="145" t="s">
        <v>8079</v>
      </c>
      <c r="C276" s="146" t="s">
        <v>4133</v>
      </c>
      <c r="D276" s="147" t="s">
        <v>4640</v>
      </c>
      <c r="E276" s="139" t="s">
        <v>4641</v>
      </c>
      <c r="F276" s="156" t="s">
        <v>8085</v>
      </c>
      <c r="G276" s="162">
        <v>3.3</v>
      </c>
      <c r="H276" s="163"/>
      <c r="I276" s="149" t="s">
        <v>7977</v>
      </c>
      <c r="J276" s="164">
        <v>31</v>
      </c>
      <c r="K276" s="165"/>
      <c r="L276" s="166">
        <v>2.3</v>
      </c>
      <c r="M276" s="167"/>
      <c r="N276" s="168">
        <v>0</v>
      </c>
      <c r="O276" s="169"/>
      <c r="P276" s="170">
        <v>0</v>
      </c>
      <c r="Q276" s="171"/>
      <c r="R276" s="172">
        <v>0</v>
      </c>
      <c r="S276" s="173"/>
      <c r="T276" s="174">
        <v>0</v>
      </c>
      <c r="U276" s="175"/>
      <c r="V276" s="176">
        <v>10</v>
      </c>
      <c r="W276" s="177"/>
      <c r="X276" s="178">
        <v>0</v>
      </c>
      <c r="Y276" s="179"/>
      <c r="Z276" s="151"/>
      <c r="AA276" s="151"/>
    </row>
    <row r="277" spans="1:27">
      <c r="A277" s="144" t="s">
        <v>8076</v>
      </c>
      <c r="B277" s="145" t="s">
        <v>8077</v>
      </c>
      <c r="C277" s="146" t="s">
        <v>4133</v>
      </c>
      <c r="D277" s="147" t="s">
        <v>4642</v>
      </c>
      <c r="E277" s="139" t="s">
        <v>4643</v>
      </c>
      <c r="F277" s="156" t="s">
        <v>872</v>
      </c>
      <c r="G277" s="162">
        <v>4.7</v>
      </c>
      <c r="H277" s="163"/>
      <c r="I277" s="149" t="s">
        <v>8086</v>
      </c>
      <c r="J277" s="164">
        <v>50</v>
      </c>
      <c r="K277" s="165"/>
      <c r="L277" s="166">
        <v>3.8</v>
      </c>
      <c r="M277" s="167"/>
      <c r="N277" s="168">
        <v>0</v>
      </c>
      <c r="O277" s="169"/>
      <c r="P277" s="170">
        <v>0</v>
      </c>
      <c r="Q277" s="171"/>
      <c r="R277" s="172">
        <v>0</v>
      </c>
      <c r="S277" s="173"/>
      <c r="T277" s="174">
        <v>0</v>
      </c>
      <c r="U277" s="175"/>
      <c r="V277" s="176">
        <v>0</v>
      </c>
      <c r="W277" s="177"/>
      <c r="X277" s="178">
        <v>0</v>
      </c>
      <c r="Y277" s="179"/>
      <c r="Z277" s="151"/>
      <c r="AA277" s="151"/>
    </row>
    <row r="278" spans="1:27">
      <c r="A278" s="144" t="s">
        <v>8076</v>
      </c>
      <c r="B278" s="145" t="s">
        <v>8079</v>
      </c>
      <c r="C278" s="146" t="s">
        <v>4133</v>
      </c>
      <c r="D278" s="147" t="s">
        <v>4644</v>
      </c>
      <c r="E278" s="139" t="s">
        <v>4645</v>
      </c>
      <c r="F278" s="156" t="s">
        <v>8005</v>
      </c>
      <c r="G278" s="162">
        <v>3.3</v>
      </c>
      <c r="H278" s="163"/>
      <c r="I278" s="149" t="s">
        <v>8081</v>
      </c>
      <c r="J278" s="164">
        <v>31</v>
      </c>
      <c r="K278" s="165"/>
      <c r="L278" s="166">
        <v>2.3</v>
      </c>
      <c r="M278" s="167"/>
      <c r="N278" s="168">
        <v>0</v>
      </c>
      <c r="O278" s="169"/>
      <c r="P278" s="170">
        <v>0</v>
      </c>
      <c r="Q278" s="171"/>
      <c r="R278" s="172">
        <v>0</v>
      </c>
      <c r="S278" s="173"/>
      <c r="T278" s="174">
        <v>0</v>
      </c>
      <c r="U278" s="175"/>
      <c r="V278" s="176">
        <v>0</v>
      </c>
      <c r="W278" s="177"/>
      <c r="X278" s="178">
        <v>0</v>
      </c>
      <c r="Y278" s="179"/>
      <c r="Z278" s="151"/>
      <c r="AA278" s="151"/>
    </row>
    <row r="279" spans="1:27">
      <c r="A279" s="144" t="s">
        <v>8076</v>
      </c>
      <c r="B279" s="145" t="s">
        <v>8087</v>
      </c>
      <c r="C279" s="146" t="s">
        <v>4133</v>
      </c>
      <c r="D279" s="147" t="s">
        <v>4646</v>
      </c>
      <c r="E279" s="139" t="s">
        <v>4647</v>
      </c>
      <c r="F279" s="156" t="s">
        <v>8088</v>
      </c>
      <c r="G279" s="162">
        <v>1.7</v>
      </c>
      <c r="H279" s="163"/>
      <c r="I279" s="149" t="s">
        <v>8047</v>
      </c>
      <c r="J279" s="164">
        <v>19</v>
      </c>
      <c r="K279" s="165"/>
      <c r="L279" s="166">
        <v>1.2</v>
      </c>
      <c r="M279" s="167"/>
      <c r="N279" s="168">
        <v>0</v>
      </c>
      <c r="O279" s="169"/>
      <c r="P279" s="170">
        <v>0</v>
      </c>
      <c r="Q279" s="171"/>
      <c r="R279" s="172">
        <v>0</v>
      </c>
      <c r="S279" s="173"/>
      <c r="T279" s="174">
        <v>0</v>
      </c>
      <c r="U279" s="175"/>
      <c r="V279" s="176">
        <v>0</v>
      </c>
      <c r="W279" s="177"/>
      <c r="X279" s="178">
        <v>0</v>
      </c>
      <c r="Y279" s="179"/>
      <c r="Z279" s="151"/>
      <c r="AA279" s="151"/>
    </row>
    <row r="280" spans="1:27">
      <c r="A280" s="144" t="s">
        <v>8076</v>
      </c>
      <c r="B280" s="145" t="s">
        <v>8077</v>
      </c>
      <c r="C280" s="146" t="s">
        <v>4133</v>
      </c>
      <c r="D280" s="147" t="s">
        <v>4648</v>
      </c>
      <c r="E280" s="139" t="s">
        <v>4649</v>
      </c>
      <c r="F280" s="156" t="s">
        <v>1407</v>
      </c>
      <c r="G280" s="162">
        <v>5.5</v>
      </c>
      <c r="H280" s="163"/>
      <c r="I280" s="149" t="s">
        <v>8089</v>
      </c>
      <c r="J280" s="164">
        <v>50</v>
      </c>
      <c r="K280" s="165"/>
      <c r="L280" s="166">
        <v>3.8</v>
      </c>
      <c r="M280" s="167"/>
      <c r="N280" s="168">
        <v>0</v>
      </c>
      <c r="O280" s="169"/>
      <c r="P280" s="170">
        <v>0</v>
      </c>
      <c r="Q280" s="171"/>
      <c r="R280" s="172">
        <v>0</v>
      </c>
      <c r="S280" s="173"/>
      <c r="T280" s="174">
        <v>0</v>
      </c>
      <c r="U280" s="175"/>
      <c r="V280" s="176">
        <v>0</v>
      </c>
      <c r="W280" s="177"/>
      <c r="X280" s="178">
        <v>0</v>
      </c>
      <c r="Y280" s="179"/>
      <c r="Z280" s="151"/>
      <c r="AA280" s="151"/>
    </row>
    <row r="281" spans="1:27">
      <c r="A281" s="144" t="s">
        <v>8076</v>
      </c>
      <c r="B281" s="145" t="s">
        <v>8087</v>
      </c>
      <c r="C281" s="146" t="s">
        <v>4133</v>
      </c>
      <c r="D281" s="147" t="s">
        <v>4650</v>
      </c>
      <c r="E281" s="139" t="s">
        <v>4651</v>
      </c>
      <c r="F281" s="156" t="s">
        <v>1247</v>
      </c>
      <c r="G281" s="162">
        <v>1.5</v>
      </c>
      <c r="H281" s="163"/>
      <c r="I281" s="149" t="s">
        <v>8081</v>
      </c>
      <c r="J281" s="164">
        <v>19</v>
      </c>
      <c r="K281" s="165"/>
      <c r="L281" s="166">
        <v>1.2</v>
      </c>
      <c r="M281" s="167"/>
      <c r="N281" s="168">
        <v>0</v>
      </c>
      <c r="O281" s="169"/>
      <c r="P281" s="170">
        <v>0</v>
      </c>
      <c r="Q281" s="171"/>
      <c r="R281" s="172">
        <v>0</v>
      </c>
      <c r="S281" s="173"/>
      <c r="T281" s="174">
        <v>0</v>
      </c>
      <c r="U281" s="175"/>
      <c r="V281" s="176">
        <v>0</v>
      </c>
      <c r="W281" s="177"/>
      <c r="X281" s="178">
        <v>0</v>
      </c>
      <c r="Y281" s="179"/>
      <c r="Z281" s="151"/>
      <c r="AA281" s="151"/>
    </row>
    <row r="282" spans="1:27">
      <c r="A282" s="144" t="s">
        <v>8076</v>
      </c>
      <c r="B282" s="145" t="s">
        <v>8087</v>
      </c>
      <c r="C282" s="146" t="s">
        <v>4133</v>
      </c>
      <c r="D282" s="147" t="s">
        <v>4652</v>
      </c>
      <c r="E282" s="139" t="s">
        <v>4653</v>
      </c>
      <c r="F282" s="156" t="s">
        <v>888</v>
      </c>
      <c r="G282" s="162">
        <v>1.5</v>
      </c>
      <c r="H282" s="163"/>
      <c r="I282" s="149" t="s">
        <v>8090</v>
      </c>
      <c r="J282" s="164">
        <v>19</v>
      </c>
      <c r="K282" s="165"/>
      <c r="L282" s="166">
        <v>1.2</v>
      </c>
      <c r="M282" s="167"/>
      <c r="N282" s="168">
        <v>0</v>
      </c>
      <c r="O282" s="169"/>
      <c r="P282" s="170">
        <v>0</v>
      </c>
      <c r="Q282" s="171"/>
      <c r="R282" s="172">
        <v>0</v>
      </c>
      <c r="S282" s="173"/>
      <c r="T282" s="174">
        <v>0</v>
      </c>
      <c r="U282" s="175"/>
      <c r="V282" s="176">
        <v>0</v>
      </c>
      <c r="W282" s="177"/>
      <c r="X282" s="178">
        <v>0</v>
      </c>
      <c r="Y282" s="179"/>
      <c r="Z282" s="151"/>
      <c r="AA282" s="151"/>
    </row>
    <row r="283" spans="1:27">
      <c r="A283" s="144" t="s">
        <v>8076</v>
      </c>
      <c r="B283" s="145" t="s">
        <v>8077</v>
      </c>
      <c r="C283" s="146" t="s">
        <v>4133</v>
      </c>
      <c r="D283" s="147" t="s">
        <v>4654</v>
      </c>
      <c r="E283" s="139" t="s">
        <v>4655</v>
      </c>
      <c r="F283" s="156" t="s">
        <v>8091</v>
      </c>
      <c r="G283" s="162">
        <v>4.7</v>
      </c>
      <c r="H283" s="163"/>
      <c r="I283" s="149" t="s">
        <v>8032</v>
      </c>
      <c r="J283" s="164">
        <v>50</v>
      </c>
      <c r="K283" s="165"/>
      <c r="L283" s="166">
        <v>3.8</v>
      </c>
      <c r="M283" s="167"/>
      <c r="N283" s="168">
        <v>0</v>
      </c>
      <c r="O283" s="169"/>
      <c r="P283" s="170">
        <v>0</v>
      </c>
      <c r="Q283" s="171"/>
      <c r="R283" s="172">
        <v>0</v>
      </c>
      <c r="S283" s="173"/>
      <c r="T283" s="174">
        <v>0</v>
      </c>
      <c r="U283" s="175"/>
      <c r="V283" s="176">
        <v>0</v>
      </c>
      <c r="W283" s="177"/>
      <c r="X283" s="178">
        <v>0</v>
      </c>
      <c r="Y283" s="179"/>
      <c r="Z283" s="151"/>
      <c r="AA283" s="151"/>
    </row>
    <row r="284" spans="1:27">
      <c r="A284" s="144" t="s">
        <v>8076</v>
      </c>
      <c r="B284" s="145" t="s">
        <v>8077</v>
      </c>
      <c r="C284" s="146" t="s">
        <v>4133</v>
      </c>
      <c r="D284" s="147" t="s">
        <v>4656</v>
      </c>
      <c r="E284" s="139" t="s">
        <v>4657</v>
      </c>
      <c r="F284" s="156" t="s">
        <v>8010</v>
      </c>
      <c r="G284" s="162">
        <v>4.7</v>
      </c>
      <c r="H284" s="163"/>
      <c r="I284" s="149" t="s">
        <v>8086</v>
      </c>
      <c r="J284" s="164">
        <v>50</v>
      </c>
      <c r="K284" s="165"/>
      <c r="L284" s="166">
        <v>3.8</v>
      </c>
      <c r="M284" s="167"/>
      <c r="N284" s="168">
        <v>0</v>
      </c>
      <c r="O284" s="169"/>
      <c r="P284" s="170">
        <v>0</v>
      </c>
      <c r="Q284" s="171"/>
      <c r="R284" s="172">
        <v>0</v>
      </c>
      <c r="S284" s="173"/>
      <c r="T284" s="174">
        <v>0</v>
      </c>
      <c r="U284" s="175"/>
      <c r="V284" s="176">
        <v>0</v>
      </c>
      <c r="W284" s="177"/>
      <c r="X284" s="178">
        <v>0</v>
      </c>
      <c r="Y284" s="179"/>
      <c r="Z284" s="151"/>
      <c r="AA284" s="151"/>
    </row>
    <row r="285" spans="1:27">
      <c r="A285" s="144" t="s">
        <v>8076</v>
      </c>
      <c r="B285" s="145" t="s">
        <v>8087</v>
      </c>
      <c r="C285" s="146" t="s">
        <v>4133</v>
      </c>
      <c r="D285" s="147" t="s">
        <v>4658</v>
      </c>
      <c r="E285" s="139" t="s">
        <v>4659</v>
      </c>
      <c r="F285" s="156" t="s">
        <v>894</v>
      </c>
      <c r="G285" s="162">
        <v>4.7</v>
      </c>
      <c r="H285" s="163"/>
      <c r="I285" s="149" t="s">
        <v>8086</v>
      </c>
      <c r="J285" s="164">
        <v>19</v>
      </c>
      <c r="K285" s="165"/>
      <c r="L285" s="166">
        <v>1.2</v>
      </c>
      <c r="M285" s="167"/>
      <c r="N285" s="168">
        <v>0</v>
      </c>
      <c r="O285" s="169"/>
      <c r="P285" s="170">
        <v>0</v>
      </c>
      <c r="Q285" s="171"/>
      <c r="R285" s="172">
        <v>0</v>
      </c>
      <c r="S285" s="173"/>
      <c r="T285" s="174">
        <v>0</v>
      </c>
      <c r="U285" s="175"/>
      <c r="V285" s="176">
        <v>0</v>
      </c>
      <c r="W285" s="177"/>
      <c r="X285" s="178">
        <v>0</v>
      </c>
      <c r="Y285" s="179"/>
      <c r="Z285" s="151"/>
      <c r="AA285" s="151"/>
    </row>
    <row r="286" spans="1:27">
      <c r="A286" s="144" t="s">
        <v>8076</v>
      </c>
      <c r="B286" s="145" t="s">
        <v>8087</v>
      </c>
      <c r="C286" s="146" t="s">
        <v>4133</v>
      </c>
      <c r="D286" s="147" t="s">
        <v>4660</v>
      </c>
      <c r="E286" s="157" t="s">
        <v>4661</v>
      </c>
      <c r="F286" s="156" t="s">
        <v>2934</v>
      </c>
      <c r="G286" s="162">
        <v>1.5</v>
      </c>
      <c r="H286" s="163"/>
      <c r="I286" s="149" t="s">
        <v>8032</v>
      </c>
      <c r="J286" s="164">
        <v>19</v>
      </c>
      <c r="K286" s="165"/>
      <c r="L286" s="166">
        <v>1.2</v>
      </c>
      <c r="M286" s="167"/>
      <c r="N286" s="168">
        <v>0</v>
      </c>
      <c r="O286" s="169"/>
      <c r="P286" s="170">
        <v>0</v>
      </c>
      <c r="Q286" s="171"/>
      <c r="R286" s="172">
        <v>0</v>
      </c>
      <c r="S286" s="173"/>
      <c r="T286" s="174">
        <v>0</v>
      </c>
      <c r="U286" s="175"/>
      <c r="V286" s="176">
        <v>0</v>
      </c>
      <c r="W286" s="177"/>
      <c r="X286" s="178">
        <v>0</v>
      </c>
      <c r="Y286" s="179"/>
      <c r="Z286" s="151"/>
      <c r="AA286" s="151"/>
    </row>
    <row r="287" spans="1:27">
      <c r="A287" s="144" t="s">
        <v>8076</v>
      </c>
      <c r="B287" s="145" t="s">
        <v>8079</v>
      </c>
      <c r="C287" s="146" t="s">
        <v>4133</v>
      </c>
      <c r="D287" s="147" t="s">
        <v>4662</v>
      </c>
      <c r="E287" s="139" t="s">
        <v>4663</v>
      </c>
      <c r="F287" s="156" t="s">
        <v>8092</v>
      </c>
      <c r="G287" s="162">
        <v>1.5</v>
      </c>
      <c r="H287" s="163"/>
      <c r="I287" s="149" t="s">
        <v>8032</v>
      </c>
      <c r="J287" s="164">
        <v>31</v>
      </c>
      <c r="K287" s="165"/>
      <c r="L287" s="166">
        <v>2.3</v>
      </c>
      <c r="M287" s="167"/>
      <c r="N287" s="168">
        <v>0</v>
      </c>
      <c r="O287" s="169"/>
      <c r="P287" s="170">
        <v>0</v>
      </c>
      <c r="Q287" s="171"/>
      <c r="R287" s="172">
        <v>0</v>
      </c>
      <c r="S287" s="173"/>
      <c r="T287" s="174">
        <v>0</v>
      </c>
      <c r="U287" s="175"/>
      <c r="V287" s="176">
        <v>0</v>
      </c>
      <c r="W287" s="177"/>
      <c r="X287" s="178">
        <v>0</v>
      </c>
      <c r="Y287" s="179"/>
      <c r="Z287" s="151"/>
      <c r="AA287" s="151"/>
    </row>
    <row r="288" spans="1:27">
      <c r="A288" s="144" t="s">
        <v>8076</v>
      </c>
      <c r="B288" s="145" t="s">
        <v>8079</v>
      </c>
      <c r="C288" s="146" t="s">
        <v>4133</v>
      </c>
      <c r="D288" s="147" t="s">
        <v>4664</v>
      </c>
      <c r="E288" s="139" t="s">
        <v>4665</v>
      </c>
      <c r="F288" s="156" t="s">
        <v>484</v>
      </c>
      <c r="G288" s="162">
        <v>3.3</v>
      </c>
      <c r="H288" s="163"/>
      <c r="I288" s="149" t="s">
        <v>7977</v>
      </c>
      <c r="J288" s="164">
        <v>31</v>
      </c>
      <c r="K288" s="165"/>
      <c r="L288" s="166">
        <v>2.3</v>
      </c>
      <c r="M288" s="167"/>
      <c r="N288" s="168">
        <v>0</v>
      </c>
      <c r="O288" s="169"/>
      <c r="P288" s="170">
        <v>0</v>
      </c>
      <c r="Q288" s="171"/>
      <c r="R288" s="172">
        <v>0</v>
      </c>
      <c r="S288" s="173"/>
      <c r="T288" s="174">
        <v>0</v>
      </c>
      <c r="U288" s="175"/>
      <c r="V288" s="176">
        <v>0</v>
      </c>
      <c r="W288" s="177"/>
      <c r="X288" s="178">
        <v>0</v>
      </c>
      <c r="Y288" s="179"/>
      <c r="Z288" s="151"/>
      <c r="AA288" s="151"/>
    </row>
    <row r="289" ht="27" spans="1:27">
      <c r="A289" s="144" t="s">
        <v>8076</v>
      </c>
      <c r="B289" s="145" t="s">
        <v>8077</v>
      </c>
      <c r="C289" s="146" t="s">
        <v>4133</v>
      </c>
      <c r="D289" s="147" t="s">
        <v>4666</v>
      </c>
      <c r="E289" s="139" t="s">
        <v>4667</v>
      </c>
      <c r="F289" s="180" t="s">
        <v>8093</v>
      </c>
      <c r="G289" s="162">
        <v>4.5</v>
      </c>
      <c r="H289" s="163"/>
      <c r="I289" s="149" t="s">
        <v>8059</v>
      </c>
      <c r="J289" s="164">
        <v>50</v>
      </c>
      <c r="K289" s="165"/>
      <c r="L289" s="166">
        <v>3.8</v>
      </c>
      <c r="M289" s="167"/>
      <c r="N289" s="168">
        <v>0</v>
      </c>
      <c r="O289" s="169"/>
      <c r="P289" s="170">
        <v>0</v>
      </c>
      <c r="Q289" s="171"/>
      <c r="R289" s="172">
        <v>0</v>
      </c>
      <c r="S289" s="173"/>
      <c r="T289" s="174">
        <v>0</v>
      </c>
      <c r="U289" s="175"/>
      <c r="V289" s="176">
        <v>0</v>
      </c>
      <c r="W289" s="177"/>
      <c r="X289" s="178">
        <v>0</v>
      </c>
      <c r="Y289" s="179"/>
      <c r="Z289" s="151"/>
      <c r="AA289" s="151"/>
    </row>
    <row r="290" spans="1:27">
      <c r="A290" s="144" t="s">
        <v>8076</v>
      </c>
      <c r="B290" s="145" t="s">
        <v>8079</v>
      </c>
      <c r="C290" s="146" t="s">
        <v>4133</v>
      </c>
      <c r="D290" s="147" t="s">
        <v>4668</v>
      </c>
      <c r="E290" s="139" t="s">
        <v>4669</v>
      </c>
      <c r="F290" s="156" t="s">
        <v>8094</v>
      </c>
      <c r="G290" s="162">
        <v>3.4</v>
      </c>
      <c r="H290" s="163"/>
      <c r="I290" s="149" t="s">
        <v>8095</v>
      </c>
      <c r="J290" s="164">
        <v>31</v>
      </c>
      <c r="K290" s="165"/>
      <c r="L290" s="166">
        <v>2.3</v>
      </c>
      <c r="M290" s="167"/>
      <c r="N290" s="168">
        <v>0</v>
      </c>
      <c r="O290" s="169"/>
      <c r="P290" s="170">
        <v>0</v>
      </c>
      <c r="Q290" s="171"/>
      <c r="R290" s="172">
        <v>0</v>
      </c>
      <c r="S290" s="173"/>
      <c r="T290" s="174">
        <v>0</v>
      </c>
      <c r="U290" s="175"/>
      <c r="V290" s="176">
        <v>0</v>
      </c>
      <c r="W290" s="177"/>
      <c r="X290" s="178">
        <v>0</v>
      </c>
      <c r="Y290" s="179"/>
      <c r="Z290" s="151"/>
      <c r="AA290" s="151"/>
    </row>
    <row r="291" spans="1:27">
      <c r="A291" s="144" t="s">
        <v>8076</v>
      </c>
      <c r="B291" s="145" t="s">
        <v>8079</v>
      </c>
      <c r="C291" s="146" t="s">
        <v>4133</v>
      </c>
      <c r="D291" s="147" t="s">
        <v>4670</v>
      </c>
      <c r="E291" s="139" t="s">
        <v>4671</v>
      </c>
      <c r="F291" s="156" t="s">
        <v>2934</v>
      </c>
      <c r="G291" s="162">
        <v>3.4</v>
      </c>
      <c r="H291" s="163"/>
      <c r="I291" s="149" t="s">
        <v>8095</v>
      </c>
      <c r="J291" s="164">
        <v>31</v>
      </c>
      <c r="K291" s="165"/>
      <c r="L291" s="166">
        <v>2.3</v>
      </c>
      <c r="M291" s="167"/>
      <c r="N291" s="168">
        <v>0</v>
      </c>
      <c r="O291" s="169"/>
      <c r="P291" s="170">
        <v>0</v>
      </c>
      <c r="Q291" s="171"/>
      <c r="R291" s="172">
        <v>0</v>
      </c>
      <c r="S291" s="173"/>
      <c r="T291" s="174">
        <v>0</v>
      </c>
      <c r="U291" s="175"/>
      <c r="V291" s="176">
        <v>0</v>
      </c>
      <c r="W291" s="177"/>
      <c r="X291" s="178">
        <v>0</v>
      </c>
      <c r="Y291" s="179"/>
      <c r="Z291" s="151"/>
      <c r="AA291" s="151"/>
    </row>
    <row r="292" spans="1:27">
      <c r="A292" s="144" t="s">
        <v>8076</v>
      </c>
      <c r="B292" s="145" t="s">
        <v>8077</v>
      </c>
      <c r="C292" s="146" t="s">
        <v>4133</v>
      </c>
      <c r="D292" s="147" t="s">
        <v>4672</v>
      </c>
      <c r="E292" s="139" t="s">
        <v>4673</v>
      </c>
      <c r="F292" s="156" t="s">
        <v>8049</v>
      </c>
      <c r="G292" s="162">
        <v>4.6</v>
      </c>
      <c r="H292" s="163"/>
      <c r="I292" s="149" t="s">
        <v>8086</v>
      </c>
      <c r="J292" s="164">
        <v>50</v>
      </c>
      <c r="K292" s="165"/>
      <c r="L292" s="166">
        <v>3.8</v>
      </c>
      <c r="M292" s="167"/>
      <c r="N292" s="168">
        <v>0</v>
      </c>
      <c r="O292" s="169"/>
      <c r="P292" s="170">
        <v>0</v>
      </c>
      <c r="Q292" s="171"/>
      <c r="R292" s="172">
        <v>0</v>
      </c>
      <c r="S292" s="173"/>
      <c r="T292" s="174">
        <v>0</v>
      </c>
      <c r="U292" s="175"/>
      <c r="V292" s="176">
        <v>0</v>
      </c>
      <c r="W292" s="177"/>
      <c r="X292" s="178">
        <v>0</v>
      </c>
      <c r="Y292" s="179"/>
      <c r="Z292" s="151"/>
      <c r="AA292" s="151"/>
    </row>
    <row r="293" spans="1:27">
      <c r="A293" s="144" t="s">
        <v>8076</v>
      </c>
      <c r="B293" s="145" t="s">
        <v>8087</v>
      </c>
      <c r="C293" s="146" t="s">
        <v>4133</v>
      </c>
      <c r="D293" s="147" t="s">
        <v>4674</v>
      </c>
      <c r="E293" s="139" t="s">
        <v>4675</v>
      </c>
      <c r="F293" s="156" t="s">
        <v>8094</v>
      </c>
      <c r="G293" s="162">
        <v>1.5</v>
      </c>
      <c r="H293" s="163"/>
      <c r="I293" s="149" t="s">
        <v>8090</v>
      </c>
      <c r="J293" s="164">
        <v>19</v>
      </c>
      <c r="K293" s="165"/>
      <c r="L293" s="166">
        <v>1.2</v>
      </c>
      <c r="M293" s="167"/>
      <c r="N293" s="168">
        <v>0</v>
      </c>
      <c r="O293" s="169"/>
      <c r="P293" s="170">
        <v>0</v>
      </c>
      <c r="Q293" s="171"/>
      <c r="R293" s="172">
        <v>0</v>
      </c>
      <c r="S293" s="173"/>
      <c r="T293" s="174">
        <v>0</v>
      </c>
      <c r="U293" s="175"/>
      <c r="V293" s="176">
        <v>0</v>
      </c>
      <c r="W293" s="177"/>
      <c r="X293" s="178">
        <v>0</v>
      </c>
      <c r="Y293" s="179"/>
      <c r="Z293" s="151"/>
      <c r="AA293" s="151"/>
    </row>
    <row r="294" spans="1:27">
      <c r="A294" s="144" t="s">
        <v>8076</v>
      </c>
      <c r="B294" s="145" t="s">
        <v>8077</v>
      </c>
      <c r="C294" s="146" t="s">
        <v>4133</v>
      </c>
      <c r="D294" s="147" t="s">
        <v>4676</v>
      </c>
      <c r="E294" s="139" t="s">
        <v>4677</v>
      </c>
      <c r="F294" s="156" t="s">
        <v>1297</v>
      </c>
      <c r="G294" s="162">
        <v>5</v>
      </c>
      <c r="H294" s="163"/>
      <c r="I294" s="149" t="s">
        <v>8089</v>
      </c>
      <c r="J294" s="164">
        <v>50</v>
      </c>
      <c r="K294" s="165"/>
      <c r="L294" s="166">
        <v>3.8</v>
      </c>
      <c r="M294" s="167"/>
      <c r="N294" s="168">
        <v>0</v>
      </c>
      <c r="O294" s="169"/>
      <c r="P294" s="170">
        <v>0</v>
      </c>
      <c r="Q294" s="171"/>
      <c r="R294" s="172">
        <v>0</v>
      </c>
      <c r="S294" s="173"/>
      <c r="T294" s="174">
        <v>0</v>
      </c>
      <c r="U294" s="175"/>
      <c r="V294" s="176">
        <v>0</v>
      </c>
      <c r="W294" s="177"/>
      <c r="X294" s="178">
        <v>0</v>
      </c>
      <c r="Y294" s="179"/>
      <c r="Z294" s="151"/>
      <c r="AA294" s="151"/>
    </row>
    <row r="295" spans="1:27">
      <c r="A295" s="144" t="s">
        <v>8076</v>
      </c>
      <c r="B295" s="145" t="s">
        <v>8087</v>
      </c>
      <c r="C295" s="146" t="s">
        <v>4133</v>
      </c>
      <c r="D295" s="147" t="s">
        <v>4678</v>
      </c>
      <c r="E295" s="139" t="s">
        <v>4679</v>
      </c>
      <c r="F295" s="156" t="s">
        <v>8049</v>
      </c>
      <c r="G295" s="162">
        <v>1.6</v>
      </c>
      <c r="H295" s="163"/>
      <c r="I295" s="149" t="s">
        <v>8096</v>
      </c>
      <c r="J295" s="164">
        <v>19</v>
      </c>
      <c r="K295" s="165"/>
      <c r="L295" s="166">
        <v>1.2</v>
      </c>
      <c r="M295" s="167"/>
      <c r="N295" s="168">
        <v>0</v>
      </c>
      <c r="O295" s="169"/>
      <c r="P295" s="170">
        <v>0</v>
      </c>
      <c r="Q295" s="171"/>
      <c r="R295" s="172">
        <v>0</v>
      </c>
      <c r="S295" s="173"/>
      <c r="T295" s="174">
        <v>0</v>
      </c>
      <c r="U295" s="175"/>
      <c r="V295" s="176">
        <v>0</v>
      </c>
      <c r="W295" s="177"/>
      <c r="X295" s="178">
        <v>0</v>
      </c>
      <c r="Y295" s="179"/>
      <c r="Z295" s="151"/>
      <c r="AA295" s="151"/>
    </row>
    <row r="296" spans="1:27">
      <c r="A296" s="144" t="s">
        <v>8097</v>
      </c>
      <c r="B296" s="145" t="s">
        <v>8098</v>
      </c>
      <c r="C296" s="146" t="s">
        <v>4133</v>
      </c>
      <c r="D296" s="147" t="s">
        <v>4681</v>
      </c>
      <c r="E296" s="139" t="s">
        <v>4682</v>
      </c>
      <c r="F296" s="147" t="s">
        <v>1492</v>
      </c>
      <c r="G296" s="92">
        <f t="shared" ref="G296:L296" si="329">G300</f>
        <v>0.6</v>
      </c>
      <c r="H296" s="93">
        <f t="shared" ref="H296:M296" si="330">SUM(G296:G300)</f>
        <v>3.9</v>
      </c>
      <c r="I296" s="149" t="s">
        <v>8032</v>
      </c>
      <c r="J296" s="95">
        <f t="shared" si="329"/>
        <v>18</v>
      </c>
      <c r="K296" s="160">
        <f t="shared" si="330"/>
        <v>117</v>
      </c>
      <c r="L296" s="119">
        <f t="shared" si="329"/>
        <v>1.2</v>
      </c>
      <c r="M296" s="98">
        <f t="shared" si="330"/>
        <v>7.8</v>
      </c>
      <c r="N296" s="99">
        <f t="shared" ref="N296:R296" si="331">N300</f>
        <v>0</v>
      </c>
      <c r="O296" s="100">
        <f t="shared" ref="O296:S296" si="332">SUM(N296:N300)</f>
        <v>0</v>
      </c>
      <c r="P296" s="101">
        <f t="shared" si="331"/>
        <v>0</v>
      </c>
      <c r="Q296" s="102">
        <f t="shared" si="332"/>
        <v>0</v>
      </c>
      <c r="R296" s="103">
        <f t="shared" si="331"/>
        <v>0</v>
      </c>
      <c r="S296" s="104">
        <f t="shared" si="332"/>
        <v>0</v>
      </c>
      <c r="T296" s="105">
        <f t="shared" ref="T296:X296" si="333">T300</f>
        <v>0</v>
      </c>
      <c r="U296" s="106">
        <f t="shared" ref="U296:Y296" si="334">SUM(T296:T300)</f>
        <v>0</v>
      </c>
      <c r="V296" s="107">
        <f t="shared" si="333"/>
        <v>0</v>
      </c>
      <c r="W296" s="108">
        <f t="shared" si="334"/>
        <v>0</v>
      </c>
      <c r="X296" s="109">
        <f t="shared" si="333"/>
        <v>0</v>
      </c>
      <c r="Y296" s="110">
        <f t="shared" si="334"/>
        <v>0</v>
      </c>
      <c r="Z296" s="151"/>
      <c r="AA296" s="151"/>
    </row>
    <row r="297" spans="1:27">
      <c r="A297" s="144"/>
      <c r="B297" s="145"/>
      <c r="C297" s="146" t="s">
        <v>4115</v>
      </c>
      <c r="D297" s="147" t="s">
        <v>4683</v>
      </c>
      <c r="E297" s="139" t="s">
        <v>4684</v>
      </c>
      <c r="F297" s="147" t="s">
        <v>1494</v>
      </c>
      <c r="G297" s="92">
        <f t="shared" ref="G297:L297" si="335">G300*2</f>
        <v>1.2</v>
      </c>
      <c r="H297" s="117"/>
      <c r="I297" s="149"/>
      <c r="J297" s="95">
        <f t="shared" si="335"/>
        <v>36</v>
      </c>
      <c r="K297" s="160"/>
      <c r="L297" s="119">
        <f t="shared" si="335"/>
        <v>2.4</v>
      </c>
      <c r="M297" s="120"/>
      <c r="N297" s="99">
        <f t="shared" ref="N297:R297" si="336">N300*2</f>
        <v>0</v>
      </c>
      <c r="O297" s="121"/>
      <c r="P297" s="101">
        <f t="shared" si="336"/>
        <v>0</v>
      </c>
      <c r="Q297" s="122"/>
      <c r="R297" s="103">
        <f t="shared" si="336"/>
        <v>0</v>
      </c>
      <c r="S297" s="123"/>
      <c r="T297" s="105">
        <f t="shared" ref="T297:X297" si="337">T300*2</f>
        <v>0</v>
      </c>
      <c r="U297" s="124"/>
      <c r="V297" s="107">
        <f t="shared" si="337"/>
        <v>0</v>
      </c>
      <c r="W297" s="125"/>
      <c r="X297" s="109">
        <f t="shared" si="337"/>
        <v>0</v>
      </c>
      <c r="Y297" s="126"/>
      <c r="Z297" s="151"/>
      <c r="AA297" s="151"/>
    </row>
    <row r="298" spans="1:27">
      <c r="A298" s="144"/>
      <c r="B298" s="145"/>
      <c r="C298" s="146" t="s">
        <v>4118</v>
      </c>
      <c r="D298" s="147" t="s">
        <v>4685</v>
      </c>
      <c r="E298" s="139" t="s">
        <v>4686</v>
      </c>
      <c r="F298" s="147" t="s">
        <v>1492</v>
      </c>
      <c r="G298" s="92">
        <f t="shared" ref="G298:L298" si="338">G300</f>
        <v>0.6</v>
      </c>
      <c r="H298" s="117"/>
      <c r="I298" s="149"/>
      <c r="J298" s="95">
        <f t="shared" si="338"/>
        <v>18</v>
      </c>
      <c r="K298" s="160"/>
      <c r="L298" s="119">
        <f t="shared" si="338"/>
        <v>1.2</v>
      </c>
      <c r="M298" s="120"/>
      <c r="N298" s="99">
        <f t="shared" ref="N298:R298" si="339">N300</f>
        <v>0</v>
      </c>
      <c r="O298" s="121"/>
      <c r="P298" s="101">
        <f t="shared" si="339"/>
        <v>0</v>
      </c>
      <c r="Q298" s="122"/>
      <c r="R298" s="103">
        <f t="shared" si="339"/>
        <v>0</v>
      </c>
      <c r="S298" s="123"/>
      <c r="T298" s="105">
        <f t="shared" ref="T298:X298" si="340">T300</f>
        <v>0</v>
      </c>
      <c r="U298" s="124"/>
      <c r="V298" s="107">
        <f t="shared" si="340"/>
        <v>0</v>
      </c>
      <c r="W298" s="125"/>
      <c r="X298" s="109">
        <f t="shared" si="340"/>
        <v>0</v>
      </c>
      <c r="Y298" s="126"/>
      <c r="Z298" s="151"/>
      <c r="AA298" s="151"/>
    </row>
    <row r="299" spans="1:27">
      <c r="A299" s="144"/>
      <c r="B299" s="145"/>
      <c r="C299" s="146" t="s">
        <v>4121</v>
      </c>
      <c r="D299" s="147" t="s">
        <v>4687</v>
      </c>
      <c r="E299" s="139" t="s">
        <v>4688</v>
      </c>
      <c r="F299" s="147" t="s">
        <v>1496</v>
      </c>
      <c r="G299" s="92">
        <v>0.9</v>
      </c>
      <c r="H299" s="117"/>
      <c r="I299" s="149"/>
      <c r="J299" s="95">
        <v>27</v>
      </c>
      <c r="K299" s="160"/>
      <c r="L299" s="119">
        <v>1.8</v>
      </c>
      <c r="M299" s="120"/>
      <c r="N299" s="99">
        <v>0</v>
      </c>
      <c r="O299" s="121"/>
      <c r="P299" s="101">
        <v>0</v>
      </c>
      <c r="Q299" s="122"/>
      <c r="R299" s="103">
        <v>0</v>
      </c>
      <c r="S299" s="123"/>
      <c r="T299" s="105">
        <v>0</v>
      </c>
      <c r="U299" s="124"/>
      <c r="V299" s="107">
        <v>0</v>
      </c>
      <c r="W299" s="125"/>
      <c r="X299" s="109">
        <v>0</v>
      </c>
      <c r="Y299" s="126"/>
      <c r="Z299" s="151"/>
      <c r="AA299" s="151"/>
    </row>
    <row r="300" spans="1:27">
      <c r="A300" s="144"/>
      <c r="B300" s="145"/>
      <c r="C300" s="146" t="s">
        <v>4124</v>
      </c>
      <c r="D300" s="147" t="s">
        <v>4689</v>
      </c>
      <c r="E300" s="139" t="s">
        <v>4690</v>
      </c>
      <c r="F300" s="147" t="s">
        <v>1492</v>
      </c>
      <c r="G300" s="92">
        <f>ROUND(G299*2/3,1)</f>
        <v>0.6</v>
      </c>
      <c r="H300" s="127"/>
      <c r="I300" s="149"/>
      <c r="J300" s="95">
        <f>ROUND(J299*2/3,0)</f>
        <v>18</v>
      </c>
      <c r="K300" s="160"/>
      <c r="L300" s="119">
        <f>ROUND(L299*2/3,1)</f>
        <v>1.2</v>
      </c>
      <c r="M300" s="128"/>
      <c r="N300" s="99">
        <f>ROUND(N299*2/3,0)</f>
        <v>0</v>
      </c>
      <c r="O300" s="129"/>
      <c r="P300" s="101">
        <f>ROUND(P299*2/3,0)</f>
        <v>0</v>
      </c>
      <c r="Q300" s="130"/>
      <c r="R300" s="103">
        <f>ROUND(R299*2/3,0)</f>
        <v>0</v>
      </c>
      <c r="S300" s="131"/>
      <c r="T300" s="105">
        <f>ROUND(T299*2/3,0)</f>
        <v>0</v>
      </c>
      <c r="U300" s="132"/>
      <c r="V300" s="107">
        <f>ROUND(V299*2/3,0)</f>
        <v>0</v>
      </c>
      <c r="W300" s="133"/>
      <c r="X300" s="109">
        <f>ROUND(X299*2/3,0)</f>
        <v>0</v>
      </c>
      <c r="Y300" s="134"/>
      <c r="Z300" s="151"/>
      <c r="AA300" s="151"/>
    </row>
    <row r="301" spans="1:27">
      <c r="A301" s="144" t="s">
        <v>8097</v>
      </c>
      <c r="B301" s="145" t="s">
        <v>7015</v>
      </c>
      <c r="C301" s="146" t="s">
        <v>4133</v>
      </c>
      <c r="D301" s="147" t="s">
        <v>4691</v>
      </c>
      <c r="E301" s="139" t="s">
        <v>4692</v>
      </c>
      <c r="F301" s="159" t="s">
        <v>3210</v>
      </c>
      <c r="G301" s="92">
        <f t="shared" ref="G301:L301" si="341">G305</f>
        <v>0.8</v>
      </c>
      <c r="H301" s="93">
        <f t="shared" ref="H301:M301" si="342">SUM(G301:G305)</f>
        <v>5.2</v>
      </c>
      <c r="I301" s="149" t="s">
        <v>8099</v>
      </c>
      <c r="J301" s="95">
        <f t="shared" si="341"/>
        <v>18</v>
      </c>
      <c r="K301" s="160">
        <f t="shared" si="342"/>
        <v>117</v>
      </c>
      <c r="L301" s="119">
        <f t="shared" si="341"/>
        <v>1.2</v>
      </c>
      <c r="M301" s="98">
        <f t="shared" si="342"/>
        <v>7.8</v>
      </c>
      <c r="N301" s="99">
        <f t="shared" ref="N301:R301" si="343">N305</f>
        <v>4</v>
      </c>
      <c r="O301" s="100">
        <f t="shared" ref="O301:S301" si="344">SUM(N301:N305)</f>
        <v>26</v>
      </c>
      <c r="P301" s="101">
        <f t="shared" si="343"/>
        <v>4</v>
      </c>
      <c r="Q301" s="102">
        <f t="shared" si="344"/>
        <v>26</v>
      </c>
      <c r="R301" s="103">
        <f t="shared" si="343"/>
        <v>0</v>
      </c>
      <c r="S301" s="104">
        <f t="shared" si="344"/>
        <v>0</v>
      </c>
      <c r="T301" s="105">
        <f t="shared" ref="T301:X301" si="345">T305</f>
        <v>0</v>
      </c>
      <c r="U301" s="106">
        <f t="shared" ref="U301:Y301" si="346">SUM(T301:T305)</f>
        <v>0</v>
      </c>
      <c r="V301" s="107">
        <f t="shared" si="345"/>
        <v>0</v>
      </c>
      <c r="W301" s="108">
        <f t="shared" si="346"/>
        <v>0</v>
      </c>
      <c r="X301" s="109">
        <f t="shared" si="345"/>
        <v>0</v>
      </c>
      <c r="Y301" s="110">
        <f t="shared" si="346"/>
        <v>0</v>
      </c>
      <c r="Z301" s="151"/>
      <c r="AA301" s="151"/>
    </row>
    <row r="302" spans="1:27">
      <c r="A302" s="144"/>
      <c r="B302" s="145"/>
      <c r="C302" s="146" t="s">
        <v>4115</v>
      </c>
      <c r="D302" s="147" t="s">
        <v>4693</v>
      </c>
      <c r="E302" s="139" t="s">
        <v>4694</v>
      </c>
      <c r="F302" s="148"/>
      <c r="G302" s="92">
        <f t="shared" ref="G302:L302" si="347">G305*2</f>
        <v>1.6</v>
      </c>
      <c r="H302" s="117"/>
      <c r="I302" s="149"/>
      <c r="J302" s="95">
        <f t="shared" si="347"/>
        <v>36</v>
      </c>
      <c r="K302" s="160"/>
      <c r="L302" s="119">
        <f t="shared" si="347"/>
        <v>2.4</v>
      </c>
      <c r="M302" s="120"/>
      <c r="N302" s="99">
        <f t="shared" ref="N302:R302" si="348">N305*2</f>
        <v>8</v>
      </c>
      <c r="O302" s="121"/>
      <c r="P302" s="101">
        <f t="shared" si="348"/>
        <v>8</v>
      </c>
      <c r="Q302" s="122"/>
      <c r="R302" s="103">
        <f t="shared" si="348"/>
        <v>0</v>
      </c>
      <c r="S302" s="123"/>
      <c r="T302" s="105">
        <f t="shared" ref="T302:X302" si="349">T305*2</f>
        <v>0</v>
      </c>
      <c r="U302" s="124"/>
      <c r="V302" s="107">
        <f t="shared" si="349"/>
        <v>0</v>
      </c>
      <c r="W302" s="125"/>
      <c r="X302" s="109">
        <f t="shared" si="349"/>
        <v>0</v>
      </c>
      <c r="Y302" s="126"/>
      <c r="Z302" s="151"/>
      <c r="AA302" s="151"/>
    </row>
    <row r="303" spans="1:27">
      <c r="A303" s="144"/>
      <c r="B303" s="145"/>
      <c r="C303" s="146" t="s">
        <v>4118</v>
      </c>
      <c r="D303" s="147" t="s">
        <v>4695</v>
      </c>
      <c r="E303" s="139" t="s">
        <v>4696</v>
      </c>
      <c r="F303" s="148"/>
      <c r="G303" s="92">
        <f t="shared" ref="G303:L303" si="350">G305</f>
        <v>0.8</v>
      </c>
      <c r="H303" s="117"/>
      <c r="I303" s="149"/>
      <c r="J303" s="95">
        <f t="shared" si="350"/>
        <v>18</v>
      </c>
      <c r="K303" s="160"/>
      <c r="L303" s="119">
        <f t="shared" si="350"/>
        <v>1.2</v>
      </c>
      <c r="M303" s="120"/>
      <c r="N303" s="99">
        <f t="shared" ref="N303:R303" si="351">N305</f>
        <v>4</v>
      </c>
      <c r="O303" s="121"/>
      <c r="P303" s="101">
        <f t="shared" si="351"/>
        <v>4</v>
      </c>
      <c r="Q303" s="122"/>
      <c r="R303" s="103">
        <f t="shared" si="351"/>
        <v>0</v>
      </c>
      <c r="S303" s="123"/>
      <c r="T303" s="105">
        <f t="shared" ref="T303:X303" si="352">T305</f>
        <v>0</v>
      </c>
      <c r="U303" s="124"/>
      <c r="V303" s="107">
        <f t="shared" si="352"/>
        <v>0</v>
      </c>
      <c r="W303" s="125"/>
      <c r="X303" s="109">
        <f t="shared" si="352"/>
        <v>0</v>
      </c>
      <c r="Y303" s="126"/>
      <c r="Z303" s="151"/>
      <c r="AA303" s="151"/>
    </row>
    <row r="304" spans="1:27">
      <c r="A304" s="144"/>
      <c r="B304" s="145"/>
      <c r="C304" s="146" t="s">
        <v>4121</v>
      </c>
      <c r="D304" s="147" t="s">
        <v>4697</v>
      </c>
      <c r="E304" s="139" t="s">
        <v>4698</v>
      </c>
      <c r="F304" s="148"/>
      <c r="G304" s="92">
        <v>1.2</v>
      </c>
      <c r="H304" s="117"/>
      <c r="I304" s="149"/>
      <c r="J304" s="95">
        <v>27</v>
      </c>
      <c r="K304" s="160"/>
      <c r="L304" s="119">
        <v>1.8</v>
      </c>
      <c r="M304" s="120"/>
      <c r="N304" s="99">
        <v>6</v>
      </c>
      <c r="O304" s="121"/>
      <c r="P304" s="101">
        <v>6</v>
      </c>
      <c r="Q304" s="122"/>
      <c r="R304" s="103">
        <v>0</v>
      </c>
      <c r="S304" s="123"/>
      <c r="T304" s="105">
        <v>0</v>
      </c>
      <c r="U304" s="124"/>
      <c r="V304" s="107">
        <v>0</v>
      </c>
      <c r="W304" s="125"/>
      <c r="X304" s="109">
        <v>0</v>
      </c>
      <c r="Y304" s="126"/>
      <c r="Z304" s="151"/>
      <c r="AA304" s="151"/>
    </row>
    <row r="305" spans="1:27">
      <c r="A305" s="144"/>
      <c r="B305" s="145"/>
      <c r="C305" s="146" t="s">
        <v>4124</v>
      </c>
      <c r="D305" s="147" t="s">
        <v>4699</v>
      </c>
      <c r="E305" s="139" t="s">
        <v>4700</v>
      </c>
      <c r="F305" s="153"/>
      <c r="G305" s="92">
        <f>ROUND(G304*2/3,1)</f>
        <v>0.8</v>
      </c>
      <c r="H305" s="127"/>
      <c r="I305" s="149"/>
      <c r="J305" s="95">
        <f>ROUND(J304*2/3,0)</f>
        <v>18</v>
      </c>
      <c r="K305" s="160"/>
      <c r="L305" s="119">
        <f>ROUND(L304*2/3,1)</f>
        <v>1.2</v>
      </c>
      <c r="M305" s="128"/>
      <c r="N305" s="99">
        <f>ROUND(N304*2/3,0)</f>
        <v>4</v>
      </c>
      <c r="O305" s="129"/>
      <c r="P305" s="101">
        <f>ROUND(P304*2/3,0)</f>
        <v>4</v>
      </c>
      <c r="Q305" s="130"/>
      <c r="R305" s="103">
        <f>ROUND(R304*2/3,0)</f>
        <v>0</v>
      </c>
      <c r="S305" s="131"/>
      <c r="T305" s="105">
        <f>ROUND(T304*2/3,0)</f>
        <v>0</v>
      </c>
      <c r="U305" s="132"/>
      <c r="V305" s="107">
        <f>ROUND(V304*2/3,0)</f>
        <v>0</v>
      </c>
      <c r="W305" s="133"/>
      <c r="X305" s="109">
        <f>ROUND(X304*2/3,0)</f>
        <v>0</v>
      </c>
      <c r="Y305" s="134"/>
      <c r="Z305" s="151"/>
      <c r="AA305" s="151"/>
    </row>
    <row r="306" spans="1:27">
      <c r="A306" s="144" t="s">
        <v>8100</v>
      </c>
      <c r="B306" s="145" t="s">
        <v>6849</v>
      </c>
      <c r="C306" s="146"/>
      <c r="D306" s="147"/>
      <c r="E306" s="139"/>
      <c r="F306" s="156"/>
      <c r="G306" s="92"/>
      <c r="H306" s="93">
        <f t="shared" ref="H306:M306" si="353">SUM(G306:G310)</f>
        <v>9.9</v>
      </c>
      <c r="I306" s="149" t="s">
        <v>8101</v>
      </c>
      <c r="J306" s="95"/>
      <c r="K306" s="160">
        <f t="shared" si="353"/>
        <v>154</v>
      </c>
      <c r="L306" s="119"/>
      <c r="M306" s="98">
        <f t="shared" si="353"/>
        <v>12.7</v>
      </c>
      <c r="N306" s="99"/>
      <c r="O306" s="100">
        <f t="shared" ref="O306:S306" si="354">SUM(N306:N310)</f>
        <v>0</v>
      </c>
      <c r="P306" s="101"/>
      <c r="Q306" s="102">
        <f t="shared" si="354"/>
        <v>0</v>
      </c>
      <c r="R306" s="103"/>
      <c r="S306" s="104">
        <f t="shared" si="354"/>
        <v>0</v>
      </c>
      <c r="T306" s="105"/>
      <c r="U306" s="106">
        <f t="shared" ref="U306:Y306" si="355">SUM(T306:T310)</f>
        <v>0</v>
      </c>
      <c r="V306" s="107"/>
      <c r="W306" s="108">
        <f t="shared" si="355"/>
        <v>0</v>
      </c>
      <c r="X306" s="109"/>
      <c r="Y306" s="110">
        <f t="shared" si="355"/>
        <v>44</v>
      </c>
      <c r="Z306" s="151"/>
      <c r="AA306" s="151"/>
    </row>
    <row r="307" spans="1:27">
      <c r="A307" s="144"/>
      <c r="B307" s="145"/>
      <c r="C307" s="146" t="s">
        <v>4115</v>
      </c>
      <c r="D307" s="147" t="s">
        <v>4701</v>
      </c>
      <c r="E307" s="139" t="s">
        <v>4702</v>
      </c>
      <c r="F307" s="159" t="s">
        <v>3222</v>
      </c>
      <c r="G307" s="92">
        <f t="shared" ref="G307:L307" si="356">G310*2</f>
        <v>3.6</v>
      </c>
      <c r="H307" s="117"/>
      <c r="I307" s="149"/>
      <c r="J307" s="95">
        <f t="shared" si="356"/>
        <v>56</v>
      </c>
      <c r="K307" s="160"/>
      <c r="L307" s="119">
        <f t="shared" si="356"/>
        <v>4.6</v>
      </c>
      <c r="M307" s="120"/>
      <c r="N307" s="99">
        <f t="shared" ref="N307:R307" si="357">N310*2</f>
        <v>0</v>
      </c>
      <c r="O307" s="121"/>
      <c r="P307" s="101">
        <f t="shared" si="357"/>
        <v>0</v>
      </c>
      <c r="Q307" s="122"/>
      <c r="R307" s="103">
        <f t="shared" si="357"/>
        <v>0</v>
      </c>
      <c r="S307" s="123"/>
      <c r="T307" s="105">
        <f t="shared" ref="T307:X307" si="358">T310*2</f>
        <v>0</v>
      </c>
      <c r="U307" s="124"/>
      <c r="V307" s="107">
        <f t="shared" si="358"/>
        <v>0</v>
      </c>
      <c r="W307" s="125"/>
      <c r="X307" s="109">
        <f t="shared" si="358"/>
        <v>16</v>
      </c>
      <c r="Y307" s="126"/>
      <c r="Z307" s="151"/>
      <c r="AA307" s="151"/>
    </row>
    <row r="308" spans="1:27">
      <c r="A308" s="144"/>
      <c r="B308" s="145"/>
      <c r="C308" s="146" t="s">
        <v>4118</v>
      </c>
      <c r="D308" s="147" t="s">
        <v>4703</v>
      </c>
      <c r="E308" s="139" t="s">
        <v>4704</v>
      </c>
      <c r="F308" s="148"/>
      <c r="G308" s="92">
        <f t="shared" ref="G308:L308" si="359">G310</f>
        <v>1.8</v>
      </c>
      <c r="H308" s="117"/>
      <c r="I308" s="149"/>
      <c r="J308" s="95">
        <f t="shared" si="359"/>
        <v>28</v>
      </c>
      <c r="K308" s="160"/>
      <c r="L308" s="119">
        <f t="shared" si="359"/>
        <v>2.3</v>
      </c>
      <c r="M308" s="120"/>
      <c r="N308" s="99">
        <f t="shared" ref="N308:R308" si="360">N310</f>
        <v>0</v>
      </c>
      <c r="O308" s="121"/>
      <c r="P308" s="101">
        <f t="shared" si="360"/>
        <v>0</v>
      </c>
      <c r="Q308" s="122"/>
      <c r="R308" s="103">
        <f t="shared" si="360"/>
        <v>0</v>
      </c>
      <c r="S308" s="123"/>
      <c r="T308" s="105">
        <f t="shared" ref="T308:X308" si="361">T310</f>
        <v>0</v>
      </c>
      <c r="U308" s="124"/>
      <c r="V308" s="107">
        <f t="shared" si="361"/>
        <v>0</v>
      </c>
      <c r="W308" s="125"/>
      <c r="X308" s="109">
        <f t="shared" si="361"/>
        <v>8</v>
      </c>
      <c r="Y308" s="126"/>
      <c r="Z308" s="151"/>
      <c r="AA308" s="151"/>
    </row>
    <row r="309" spans="1:27">
      <c r="A309" s="144"/>
      <c r="B309" s="145"/>
      <c r="C309" s="146" t="s">
        <v>4121</v>
      </c>
      <c r="D309" s="147" t="s">
        <v>4705</v>
      </c>
      <c r="E309" s="139" t="s">
        <v>4706</v>
      </c>
      <c r="F309" s="148"/>
      <c r="G309" s="92">
        <v>2.7</v>
      </c>
      <c r="H309" s="117"/>
      <c r="I309" s="149"/>
      <c r="J309" s="95">
        <v>42</v>
      </c>
      <c r="K309" s="160"/>
      <c r="L309" s="119">
        <v>3.5</v>
      </c>
      <c r="M309" s="120"/>
      <c r="N309" s="99">
        <v>0</v>
      </c>
      <c r="O309" s="121"/>
      <c r="P309" s="101">
        <v>0</v>
      </c>
      <c r="Q309" s="122"/>
      <c r="R309" s="103">
        <v>0</v>
      </c>
      <c r="S309" s="123"/>
      <c r="T309" s="105">
        <v>0</v>
      </c>
      <c r="U309" s="124"/>
      <c r="V309" s="107">
        <v>0</v>
      </c>
      <c r="W309" s="125"/>
      <c r="X309" s="109">
        <v>12</v>
      </c>
      <c r="Y309" s="126"/>
      <c r="Z309" s="151"/>
      <c r="AA309" s="151"/>
    </row>
    <row r="310" spans="1:27">
      <c r="A310" s="144"/>
      <c r="B310" s="145"/>
      <c r="C310" s="146" t="s">
        <v>4124</v>
      </c>
      <c r="D310" s="147" t="s">
        <v>4707</v>
      </c>
      <c r="E310" s="139" t="s">
        <v>4708</v>
      </c>
      <c r="F310" s="153"/>
      <c r="G310" s="92">
        <f>ROUND(G309*2/3,1)</f>
        <v>1.8</v>
      </c>
      <c r="H310" s="127"/>
      <c r="I310" s="149"/>
      <c r="J310" s="95">
        <f>ROUND(J309*2/3,0)</f>
        <v>28</v>
      </c>
      <c r="K310" s="160"/>
      <c r="L310" s="119">
        <f>ROUND(L309*2/3,1)</f>
        <v>2.3</v>
      </c>
      <c r="M310" s="128"/>
      <c r="N310" s="99">
        <f>ROUND(N309*2/3,0)</f>
        <v>0</v>
      </c>
      <c r="O310" s="129"/>
      <c r="P310" s="101">
        <f>ROUND(P309*2/3,0)</f>
        <v>0</v>
      </c>
      <c r="Q310" s="130"/>
      <c r="R310" s="103">
        <f>ROUND(R309*2/3,0)</f>
        <v>0</v>
      </c>
      <c r="S310" s="131"/>
      <c r="T310" s="105">
        <f>ROUND(T309*2/3,0)</f>
        <v>0</v>
      </c>
      <c r="U310" s="132"/>
      <c r="V310" s="107">
        <f>ROUND(V309*2/3,0)</f>
        <v>0</v>
      </c>
      <c r="W310" s="133"/>
      <c r="X310" s="109">
        <f>ROUND(X309*2/3,0)</f>
        <v>8</v>
      </c>
      <c r="Y310" s="134"/>
      <c r="Z310" s="151"/>
      <c r="AA310" s="151"/>
    </row>
    <row r="311" spans="1:27">
      <c r="A311" s="144" t="s">
        <v>8097</v>
      </c>
      <c r="B311" s="145" t="s">
        <v>7575</v>
      </c>
      <c r="C311" s="146" t="s">
        <v>4133</v>
      </c>
      <c r="D311" s="147" t="s">
        <v>4709</v>
      </c>
      <c r="E311" s="139" t="s">
        <v>4710</v>
      </c>
      <c r="F311" s="61" t="s">
        <v>2934</v>
      </c>
      <c r="G311" s="92">
        <f t="shared" ref="G311:L311" si="362">G315</f>
        <v>0.8</v>
      </c>
      <c r="H311" s="93">
        <f t="shared" ref="H311:M311" si="363">SUM(G311:G315)</f>
        <v>4.4</v>
      </c>
      <c r="I311" s="149" t="s">
        <v>8102</v>
      </c>
      <c r="J311" s="95">
        <f t="shared" si="362"/>
        <v>18</v>
      </c>
      <c r="K311" s="160">
        <f t="shared" si="363"/>
        <v>99</v>
      </c>
      <c r="L311" s="119">
        <f t="shared" si="362"/>
        <v>2.3</v>
      </c>
      <c r="M311" s="98">
        <f t="shared" si="363"/>
        <v>12.7</v>
      </c>
      <c r="N311" s="99">
        <f t="shared" ref="N311:R311" si="364">N315</f>
        <v>0</v>
      </c>
      <c r="O311" s="100">
        <f t="shared" ref="O311:S311" si="365">SUM(N311:N315)</f>
        <v>0</v>
      </c>
      <c r="P311" s="101">
        <f t="shared" si="364"/>
        <v>0</v>
      </c>
      <c r="Q311" s="102">
        <f t="shared" si="365"/>
        <v>0</v>
      </c>
      <c r="R311" s="103">
        <f t="shared" si="364"/>
        <v>0</v>
      </c>
      <c r="S311" s="104">
        <f t="shared" si="365"/>
        <v>0</v>
      </c>
      <c r="T311" s="105">
        <f t="shared" ref="T311:X311" si="366">T315</f>
        <v>0</v>
      </c>
      <c r="U311" s="106">
        <f t="shared" ref="U311:Y311" si="367">SUM(T311:T315)</f>
        <v>0</v>
      </c>
      <c r="V311" s="107">
        <f t="shared" si="366"/>
        <v>0</v>
      </c>
      <c r="W311" s="108">
        <f t="shared" si="367"/>
        <v>0</v>
      </c>
      <c r="X311" s="109">
        <f t="shared" si="366"/>
        <v>0</v>
      </c>
      <c r="Y311" s="110">
        <f t="shared" si="367"/>
        <v>0</v>
      </c>
      <c r="Z311" s="151"/>
      <c r="AA311" s="151"/>
    </row>
    <row r="312" spans="1:27">
      <c r="A312" s="144"/>
      <c r="B312" s="145"/>
      <c r="C312" s="146" t="s">
        <v>4115</v>
      </c>
      <c r="D312" s="147" t="s">
        <v>4711</v>
      </c>
      <c r="E312" s="139" t="s">
        <v>4712</v>
      </c>
      <c r="F312" s="61" t="s">
        <v>420</v>
      </c>
      <c r="G312" s="92">
        <f t="shared" ref="G312:L312" si="368">G315*2</f>
        <v>1.6</v>
      </c>
      <c r="H312" s="117"/>
      <c r="I312" s="149"/>
      <c r="J312" s="95">
        <f t="shared" si="368"/>
        <v>36</v>
      </c>
      <c r="K312" s="160"/>
      <c r="L312" s="119">
        <f t="shared" si="368"/>
        <v>4.6</v>
      </c>
      <c r="M312" s="120"/>
      <c r="N312" s="99">
        <f t="shared" ref="N312:R312" si="369">N315*2</f>
        <v>0</v>
      </c>
      <c r="O312" s="121"/>
      <c r="P312" s="101">
        <f t="shared" si="369"/>
        <v>0</v>
      </c>
      <c r="Q312" s="122"/>
      <c r="R312" s="103">
        <f t="shared" si="369"/>
        <v>0</v>
      </c>
      <c r="S312" s="123"/>
      <c r="T312" s="105">
        <f t="shared" ref="T312:X312" si="370">T315*2</f>
        <v>0</v>
      </c>
      <c r="U312" s="124"/>
      <c r="V312" s="107">
        <f t="shared" si="370"/>
        <v>0</v>
      </c>
      <c r="W312" s="125"/>
      <c r="X312" s="109">
        <f t="shared" si="370"/>
        <v>0</v>
      </c>
      <c r="Y312" s="126"/>
      <c r="Z312" s="151"/>
      <c r="AA312" s="151"/>
    </row>
    <row r="313" spans="1:27">
      <c r="A313" s="144"/>
      <c r="B313" s="145"/>
      <c r="C313" s="146"/>
      <c r="D313" s="147"/>
      <c r="E313" s="139"/>
      <c r="G313" s="92"/>
      <c r="H313" s="117"/>
      <c r="I313" s="149"/>
      <c r="J313" s="95"/>
      <c r="K313" s="160"/>
      <c r="L313" s="119"/>
      <c r="M313" s="120"/>
      <c r="N313" s="99"/>
      <c r="O313" s="121"/>
      <c r="P313" s="101"/>
      <c r="Q313" s="122"/>
      <c r="R313" s="103"/>
      <c r="S313" s="123"/>
      <c r="T313" s="105"/>
      <c r="U313" s="124"/>
      <c r="V313" s="107"/>
      <c r="W313" s="125"/>
      <c r="X313" s="109"/>
      <c r="Y313" s="126"/>
      <c r="Z313" s="151"/>
      <c r="AA313" s="151"/>
    </row>
    <row r="314" spans="1:27">
      <c r="A314" s="144"/>
      <c r="B314" s="145"/>
      <c r="C314" s="146" t="s">
        <v>4121</v>
      </c>
      <c r="D314" s="147" t="s">
        <v>4713</v>
      </c>
      <c r="E314" s="139" t="s">
        <v>4714</v>
      </c>
      <c r="F314" s="61" t="s">
        <v>8103</v>
      </c>
      <c r="G314" s="92">
        <v>1.2</v>
      </c>
      <c r="H314" s="117"/>
      <c r="I314" s="149"/>
      <c r="J314" s="95">
        <v>27</v>
      </c>
      <c r="K314" s="160"/>
      <c r="L314" s="119">
        <v>3.5</v>
      </c>
      <c r="M314" s="120"/>
      <c r="N314" s="99">
        <v>0</v>
      </c>
      <c r="O314" s="121"/>
      <c r="P314" s="101">
        <v>0</v>
      </c>
      <c r="Q314" s="122"/>
      <c r="R314" s="103">
        <v>0</v>
      </c>
      <c r="S314" s="123"/>
      <c r="T314" s="105">
        <v>0</v>
      </c>
      <c r="U314" s="124"/>
      <c r="V314" s="107">
        <v>0</v>
      </c>
      <c r="W314" s="125"/>
      <c r="X314" s="109">
        <v>0</v>
      </c>
      <c r="Y314" s="126"/>
      <c r="Z314" s="151"/>
      <c r="AA314" s="151"/>
    </row>
    <row r="315" spans="1:27">
      <c r="A315" s="144"/>
      <c r="B315" s="145"/>
      <c r="C315" s="146" t="s">
        <v>4124</v>
      </c>
      <c r="D315" s="147" t="s">
        <v>4715</v>
      </c>
      <c r="E315" s="139" t="s">
        <v>4716</v>
      </c>
      <c r="F315" s="61" t="s">
        <v>2934</v>
      </c>
      <c r="G315" s="92">
        <f>ROUND(G314*2/3,1)</f>
        <v>0.8</v>
      </c>
      <c r="H315" s="127"/>
      <c r="I315" s="149"/>
      <c r="J315" s="95">
        <f>ROUND(J314*2/3,0)</f>
        <v>18</v>
      </c>
      <c r="K315" s="160"/>
      <c r="L315" s="119">
        <f>ROUND(L314*2/3,1)</f>
        <v>2.3</v>
      </c>
      <c r="M315" s="128"/>
      <c r="N315" s="99">
        <f>ROUND(N314*2/3,0)</f>
        <v>0</v>
      </c>
      <c r="O315" s="129"/>
      <c r="P315" s="101">
        <f>ROUND(P314*2/3,0)</f>
        <v>0</v>
      </c>
      <c r="Q315" s="130"/>
      <c r="R315" s="103">
        <f>ROUND(R314*2/3,0)</f>
        <v>0</v>
      </c>
      <c r="S315" s="131"/>
      <c r="T315" s="105">
        <f>ROUND(T314*2/3,0)</f>
        <v>0</v>
      </c>
      <c r="U315" s="132"/>
      <c r="V315" s="107">
        <f>ROUND(V314*2/3,0)</f>
        <v>0</v>
      </c>
      <c r="W315" s="133"/>
      <c r="X315" s="109">
        <f>ROUND(X314*2/3,0)</f>
        <v>0</v>
      </c>
      <c r="Y315" s="134"/>
      <c r="Z315" s="151"/>
      <c r="AA315" s="151"/>
    </row>
    <row r="316" spans="1:27">
      <c r="A316" s="144" t="s">
        <v>8100</v>
      </c>
      <c r="B316" s="145" t="s">
        <v>8104</v>
      </c>
      <c r="C316" s="146" t="s">
        <v>4133</v>
      </c>
      <c r="D316" s="147" t="s">
        <v>4717</v>
      </c>
      <c r="E316" s="139" t="s">
        <v>4718</v>
      </c>
      <c r="F316" s="61" t="s">
        <v>888</v>
      </c>
      <c r="G316" s="92">
        <f t="shared" ref="G316:L316" si="371">G320</f>
        <v>1.8</v>
      </c>
      <c r="H316" s="93">
        <f t="shared" ref="H316:M316" si="372">SUM(G316:G320)</f>
        <v>11.7</v>
      </c>
      <c r="I316" s="149" t="s">
        <v>8105</v>
      </c>
      <c r="J316" s="95">
        <f t="shared" si="371"/>
        <v>28</v>
      </c>
      <c r="K316" s="160">
        <f t="shared" si="372"/>
        <v>182</v>
      </c>
      <c r="L316" s="119">
        <f t="shared" si="371"/>
        <v>2.3</v>
      </c>
      <c r="M316" s="98">
        <f t="shared" si="372"/>
        <v>15</v>
      </c>
      <c r="N316" s="99">
        <f t="shared" ref="N316:R316" si="373">N320</f>
        <v>0</v>
      </c>
      <c r="O316" s="100">
        <f t="shared" ref="O316:S316" si="374">SUM(N316:N320)</f>
        <v>0</v>
      </c>
      <c r="P316" s="101">
        <f t="shared" si="373"/>
        <v>0</v>
      </c>
      <c r="Q316" s="102">
        <f t="shared" si="374"/>
        <v>0</v>
      </c>
      <c r="R316" s="103">
        <f t="shared" si="373"/>
        <v>0</v>
      </c>
      <c r="S316" s="104">
        <f t="shared" si="374"/>
        <v>0</v>
      </c>
      <c r="T316" s="105">
        <f t="shared" ref="T316:X316" si="375">T320</f>
        <v>0</v>
      </c>
      <c r="U316" s="106">
        <f t="shared" ref="U316:Y316" si="376">SUM(T316:T320)</f>
        <v>0</v>
      </c>
      <c r="V316" s="107">
        <f t="shared" si="375"/>
        <v>0</v>
      </c>
      <c r="W316" s="108">
        <f t="shared" si="376"/>
        <v>0</v>
      </c>
      <c r="X316" s="109">
        <f t="shared" si="375"/>
        <v>0</v>
      </c>
      <c r="Y316" s="110">
        <f t="shared" si="376"/>
        <v>0</v>
      </c>
      <c r="Z316" s="151"/>
      <c r="AA316" s="151"/>
    </row>
    <row r="317" spans="1:27">
      <c r="A317" s="144"/>
      <c r="B317" s="145"/>
      <c r="C317" s="146" t="s">
        <v>4115</v>
      </c>
      <c r="D317" s="147" t="s">
        <v>4719</v>
      </c>
      <c r="E317" s="139" t="s">
        <v>4720</v>
      </c>
      <c r="F317" s="61" t="s">
        <v>8061</v>
      </c>
      <c r="G317" s="92">
        <f t="shared" ref="G317:L317" si="377">G320*2</f>
        <v>3.6</v>
      </c>
      <c r="H317" s="117"/>
      <c r="I317" s="149"/>
      <c r="J317" s="95">
        <f t="shared" si="377"/>
        <v>56</v>
      </c>
      <c r="K317" s="160"/>
      <c r="L317" s="119">
        <f t="shared" si="377"/>
        <v>4.6</v>
      </c>
      <c r="M317" s="120"/>
      <c r="N317" s="99">
        <f t="shared" ref="N317:R317" si="378">N320*2</f>
        <v>0</v>
      </c>
      <c r="O317" s="121"/>
      <c r="P317" s="101">
        <f t="shared" si="378"/>
        <v>0</v>
      </c>
      <c r="Q317" s="122"/>
      <c r="R317" s="103">
        <f t="shared" si="378"/>
        <v>0</v>
      </c>
      <c r="S317" s="123"/>
      <c r="T317" s="105">
        <f t="shared" ref="T317:X317" si="379">T320*2</f>
        <v>0</v>
      </c>
      <c r="U317" s="124"/>
      <c r="V317" s="107">
        <f t="shared" si="379"/>
        <v>0</v>
      </c>
      <c r="W317" s="125"/>
      <c r="X317" s="109">
        <f t="shared" si="379"/>
        <v>0</v>
      </c>
      <c r="Y317" s="126"/>
      <c r="Z317" s="151"/>
      <c r="AA317" s="151"/>
    </row>
    <row r="318" spans="1:27">
      <c r="A318" s="144"/>
      <c r="B318" s="145"/>
      <c r="C318" s="146" t="s">
        <v>4118</v>
      </c>
      <c r="D318" s="147" t="s">
        <v>4721</v>
      </c>
      <c r="E318" s="139" t="s">
        <v>4722</v>
      </c>
      <c r="F318" s="61" t="s">
        <v>888</v>
      </c>
      <c r="G318" s="92">
        <f t="shared" ref="G318:L318" si="380">G320</f>
        <v>1.8</v>
      </c>
      <c r="H318" s="117"/>
      <c r="I318" s="149"/>
      <c r="J318" s="95">
        <f t="shared" si="380"/>
        <v>28</v>
      </c>
      <c r="K318" s="160"/>
      <c r="L318" s="119">
        <f t="shared" si="380"/>
        <v>2.3</v>
      </c>
      <c r="M318" s="120"/>
      <c r="N318" s="99">
        <f t="shared" ref="N318:R318" si="381">N320</f>
        <v>0</v>
      </c>
      <c r="O318" s="121"/>
      <c r="P318" s="101">
        <f t="shared" si="381"/>
        <v>0</v>
      </c>
      <c r="Q318" s="122"/>
      <c r="R318" s="103">
        <f t="shared" si="381"/>
        <v>0</v>
      </c>
      <c r="S318" s="123"/>
      <c r="T318" s="105">
        <f t="shared" ref="T318:X318" si="382">T320</f>
        <v>0</v>
      </c>
      <c r="U318" s="124"/>
      <c r="V318" s="107">
        <f t="shared" si="382"/>
        <v>0</v>
      </c>
      <c r="W318" s="125"/>
      <c r="X318" s="109">
        <f t="shared" si="382"/>
        <v>0</v>
      </c>
      <c r="Y318" s="126"/>
      <c r="Z318" s="151"/>
      <c r="AA318" s="151"/>
    </row>
    <row r="319" spans="1:27">
      <c r="A319" s="144"/>
      <c r="B319" s="145"/>
      <c r="C319" s="146" t="s">
        <v>4121</v>
      </c>
      <c r="D319" s="147" t="s">
        <v>4723</v>
      </c>
      <c r="E319" s="139" t="s">
        <v>4724</v>
      </c>
      <c r="F319" s="61" t="s">
        <v>8062</v>
      </c>
      <c r="G319" s="92">
        <v>2.7</v>
      </c>
      <c r="H319" s="117"/>
      <c r="I319" s="149"/>
      <c r="J319" s="95">
        <v>42</v>
      </c>
      <c r="K319" s="160"/>
      <c r="L319" s="119">
        <v>3.5</v>
      </c>
      <c r="M319" s="120"/>
      <c r="N319" s="99">
        <v>0</v>
      </c>
      <c r="O319" s="121"/>
      <c r="P319" s="101">
        <v>0</v>
      </c>
      <c r="Q319" s="122"/>
      <c r="R319" s="103">
        <v>0</v>
      </c>
      <c r="S319" s="123"/>
      <c r="T319" s="105">
        <v>0</v>
      </c>
      <c r="U319" s="124"/>
      <c r="V319" s="107">
        <v>0</v>
      </c>
      <c r="W319" s="125"/>
      <c r="X319" s="109">
        <v>0</v>
      </c>
      <c r="Y319" s="126"/>
      <c r="Z319" s="151"/>
      <c r="AA319" s="151"/>
    </row>
    <row r="320" spans="1:27">
      <c r="A320" s="144"/>
      <c r="B320" s="145"/>
      <c r="C320" s="146" t="s">
        <v>4124</v>
      </c>
      <c r="D320" s="147" t="s">
        <v>4725</v>
      </c>
      <c r="E320" s="139" t="s">
        <v>4726</v>
      </c>
      <c r="F320" s="61" t="s">
        <v>888</v>
      </c>
      <c r="G320" s="92">
        <f>ROUND(G319*2/3,1)</f>
        <v>1.8</v>
      </c>
      <c r="H320" s="127"/>
      <c r="I320" s="149"/>
      <c r="J320" s="95">
        <f>ROUND(J319*2/3,0)</f>
        <v>28</v>
      </c>
      <c r="K320" s="160"/>
      <c r="L320" s="119">
        <f>ROUND(L319*2/3,1)</f>
        <v>2.3</v>
      </c>
      <c r="M320" s="128"/>
      <c r="N320" s="99">
        <f>ROUND(N319*2/3,0)</f>
        <v>0</v>
      </c>
      <c r="O320" s="129"/>
      <c r="P320" s="101">
        <f>ROUND(P319*2/3,0)</f>
        <v>0</v>
      </c>
      <c r="Q320" s="130"/>
      <c r="R320" s="103">
        <f>ROUND(R319*2/3,0)</f>
        <v>0</v>
      </c>
      <c r="S320" s="131"/>
      <c r="T320" s="105">
        <f>ROUND(T319*2/3,0)</f>
        <v>0</v>
      </c>
      <c r="U320" s="132"/>
      <c r="V320" s="107">
        <f>ROUND(V319*2/3,0)</f>
        <v>0</v>
      </c>
      <c r="W320" s="133"/>
      <c r="X320" s="109">
        <f>ROUND(X319*2/3,0)</f>
        <v>0</v>
      </c>
      <c r="Y320" s="134"/>
      <c r="Z320" s="151"/>
      <c r="AA320" s="151"/>
    </row>
    <row r="321" spans="1:27">
      <c r="A321" s="144" t="s">
        <v>8100</v>
      </c>
      <c r="B321" s="145" t="s">
        <v>6916</v>
      </c>
      <c r="C321" s="146" t="s">
        <v>4133</v>
      </c>
      <c r="D321" s="147" t="s">
        <v>4727</v>
      </c>
      <c r="E321" s="139" t="s">
        <v>4728</v>
      </c>
      <c r="F321" s="159" t="s">
        <v>3228</v>
      </c>
      <c r="G321" s="92">
        <f t="shared" ref="G321:L321" si="383">G325</f>
        <v>1.7</v>
      </c>
      <c r="H321" s="93">
        <f t="shared" ref="H321:M321" si="384">SUM(G321:G325)</f>
        <v>11.1</v>
      </c>
      <c r="I321" s="149" t="s">
        <v>8106</v>
      </c>
      <c r="J321" s="95">
        <f t="shared" si="383"/>
        <v>28</v>
      </c>
      <c r="K321" s="160">
        <f t="shared" si="384"/>
        <v>182</v>
      </c>
      <c r="L321" s="119">
        <f t="shared" si="383"/>
        <v>1.2</v>
      </c>
      <c r="M321" s="98">
        <f t="shared" si="384"/>
        <v>7.8</v>
      </c>
      <c r="N321" s="99">
        <f t="shared" ref="N321:R321" si="385">N325</f>
        <v>0</v>
      </c>
      <c r="O321" s="100">
        <f t="shared" ref="O321:S321" si="386">SUM(N321:N325)</f>
        <v>0</v>
      </c>
      <c r="P321" s="101">
        <f t="shared" si="385"/>
        <v>0</v>
      </c>
      <c r="Q321" s="102">
        <f t="shared" si="386"/>
        <v>0</v>
      </c>
      <c r="R321" s="103">
        <f t="shared" si="385"/>
        <v>0</v>
      </c>
      <c r="S321" s="104">
        <f t="shared" si="386"/>
        <v>0</v>
      </c>
      <c r="T321" s="105">
        <f t="shared" ref="T321:X321" si="387">T325</f>
        <v>6</v>
      </c>
      <c r="U321" s="106">
        <f t="shared" ref="U321:Y321" si="388">SUM(T321:T325)</f>
        <v>39</v>
      </c>
      <c r="V321" s="107">
        <f t="shared" si="387"/>
        <v>0</v>
      </c>
      <c r="W321" s="108">
        <f t="shared" si="388"/>
        <v>0</v>
      </c>
      <c r="X321" s="109">
        <f t="shared" si="387"/>
        <v>6</v>
      </c>
      <c r="Y321" s="110">
        <f t="shared" si="388"/>
        <v>39</v>
      </c>
      <c r="Z321" s="151"/>
      <c r="AA321" s="151"/>
    </row>
    <row r="322" spans="1:27">
      <c r="A322" s="144"/>
      <c r="B322" s="145"/>
      <c r="C322" s="146" t="s">
        <v>4115</v>
      </c>
      <c r="D322" s="147" t="s">
        <v>4729</v>
      </c>
      <c r="E322" s="139" t="s">
        <v>4730</v>
      </c>
      <c r="F322" s="148"/>
      <c r="G322" s="92">
        <f t="shared" ref="G322:L322" si="389">G325*2</f>
        <v>3.4</v>
      </c>
      <c r="H322" s="117"/>
      <c r="I322" s="149"/>
      <c r="J322" s="95">
        <f t="shared" si="389"/>
        <v>56</v>
      </c>
      <c r="K322" s="160"/>
      <c r="L322" s="119">
        <f t="shared" si="389"/>
        <v>2.4</v>
      </c>
      <c r="M322" s="120"/>
      <c r="N322" s="99">
        <f t="shared" ref="N322:R322" si="390">N325*2</f>
        <v>0</v>
      </c>
      <c r="O322" s="121"/>
      <c r="P322" s="101">
        <f t="shared" si="390"/>
        <v>0</v>
      </c>
      <c r="Q322" s="122"/>
      <c r="R322" s="103">
        <f t="shared" si="390"/>
        <v>0</v>
      </c>
      <c r="S322" s="123"/>
      <c r="T322" s="105">
        <f t="shared" ref="T322:X322" si="391">T325*2</f>
        <v>12</v>
      </c>
      <c r="U322" s="124"/>
      <c r="V322" s="107">
        <f t="shared" si="391"/>
        <v>0</v>
      </c>
      <c r="W322" s="125"/>
      <c r="X322" s="109">
        <f t="shared" si="391"/>
        <v>12</v>
      </c>
      <c r="Y322" s="126"/>
      <c r="Z322" s="151"/>
      <c r="AA322" s="151"/>
    </row>
    <row r="323" spans="1:27">
      <c r="A323" s="144"/>
      <c r="B323" s="145"/>
      <c r="C323" s="146" t="s">
        <v>4118</v>
      </c>
      <c r="D323" s="147" t="s">
        <v>4731</v>
      </c>
      <c r="E323" s="139" t="s">
        <v>4732</v>
      </c>
      <c r="F323" s="148"/>
      <c r="G323" s="92">
        <f t="shared" ref="G323:L323" si="392">G325</f>
        <v>1.7</v>
      </c>
      <c r="H323" s="117"/>
      <c r="I323" s="149"/>
      <c r="J323" s="95">
        <f t="shared" si="392"/>
        <v>28</v>
      </c>
      <c r="K323" s="160"/>
      <c r="L323" s="119">
        <f t="shared" si="392"/>
        <v>1.2</v>
      </c>
      <c r="M323" s="120"/>
      <c r="N323" s="99">
        <f t="shared" ref="N323:R323" si="393">N325</f>
        <v>0</v>
      </c>
      <c r="O323" s="121"/>
      <c r="P323" s="101">
        <f t="shared" si="393"/>
        <v>0</v>
      </c>
      <c r="Q323" s="122"/>
      <c r="R323" s="103">
        <f t="shared" si="393"/>
        <v>0</v>
      </c>
      <c r="S323" s="123"/>
      <c r="T323" s="105">
        <f t="shared" ref="T323:X323" si="394">T325</f>
        <v>6</v>
      </c>
      <c r="U323" s="124"/>
      <c r="V323" s="107">
        <f t="shared" si="394"/>
        <v>0</v>
      </c>
      <c r="W323" s="125"/>
      <c r="X323" s="109">
        <f t="shared" si="394"/>
        <v>6</v>
      </c>
      <c r="Y323" s="126"/>
      <c r="Z323" s="151"/>
      <c r="AA323" s="151"/>
    </row>
    <row r="324" spans="1:27">
      <c r="A324" s="144"/>
      <c r="B324" s="145"/>
      <c r="C324" s="146" t="s">
        <v>4121</v>
      </c>
      <c r="D324" s="147" t="s">
        <v>4733</v>
      </c>
      <c r="E324" s="139" t="s">
        <v>4734</v>
      </c>
      <c r="F324" s="148"/>
      <c r="G324" s="92">
        <v>2.6</v>
      </c>
      <c r="H324" s="117"/>
      <c r="I324" s="149"/>
      <c r="J324" s="95">
        <v>42</v>
      </c>
      <c r="K324" s="160"/>
      <c r="L324" s="119">
        <v>1.8</v>
      </c>
      <c r="M324" s="120"/>
      <c r="N324" s="99">
        <v>0</v>
      </c>
      <c r="O324" s="121"/>
      <c r="P324" s="101">
        <v>0</v>
      </c>
      <c r="Q324" s="122"/>
      <c r="R324" s="103">
        <v>0</v>
      </c>
      <c r="S324" s="123"/>
      <c r="T324" s="105">
        <v>9</v>
      </c>
      <c r="U324" s="124"/>
      <c r="V324" s="107">
        <v>0</v>
      </c>
      <c r="W324" s="125"/>
      <c r="X324" s="109">
        <v>9</v>
      </c>
      <c r="Y324" s="126"/>
      <c r="Z324" s="151"/>
      <c r="AA324" s="151"/>
    </row>
    <row r="325" spans="1:27">
      <c r="A325" s="144"/>
      <c r="B325" s="145"/>
      <c r="C325" s="146" t="s">
        <v>4124</v>
      </c>
      <c r="D325" s="147" t="s">
        <v>4735</v>
      </c>
      <c r="E325" s="139" t="s">
        <v>4736</v>
      </c>
      <c r="F325" s="153"/>
      <c r="G325" s="92">
        <f>ROUND(G324*2/3,1)</f>
        <v>1.7</v>
      </c>
      <c r="H325" s="127"/>
      <c r="I325" s="149"/>
      <c r="J325" s="95">
        <f>ROUND(J324*2/3,0)</f>
        <v>28</v>
      </c>
      <c r="K325" s="160"/>
      <c r="L325" s="119">
        <f>ROUND(L324*2/3,1)</f>
        <v>1.2</v>
      </c>
      <c r="M325" s="128"/>
      <c r="N325" s="99">
        <f>ROUND(N324*2/3,0)</f>
        <v>0</v>
      </c>
      <c r="O325" s="129"/>
      <c r="P325" s="101">
        <f>ROUND(P324*2/3,0)</f>
        <v>0</v>
      </c>
      <c r="Q325" s="130"/>
      <c r="R325" s="103">
        <f>ROUND(R324*2/3,0)</f>
        <v>0</v>
      </c>
      <c r="S325" s="131"/>
      <c r="T325" s="105">
        <f>ROUND(T324*2/3,0)</f>
        <v>6</v>
      </c>
      <c r="U325" s="132"/>
      <c r="V325" s="107">
        <f>ROUND(V324*2/3,0)</f>
        <v>0</v>
      </c>
      <c r="W325" s="133"/>
      <c r="X325" s="109">
        <f>ROUND(X324*2/3,0)</f>
        <v>6</v>
      </c>
      <c r="Y325" s="134"/>
      <c r="Z325" s="151"/>
      <c r="AA325" s="151"/>
    </row>
    <row r="326" spans="1:27">
      <c r="A326" s="144" t="s">
        <v>8100</v>
      </c>
      <c r="B326" s="145" t="s">
        <v>7092</v>
      </c>
      <c r="C326" s="146" t="s">
        <v>4133</v>
      </c>
      <c r="D326" s="147" t="s">
        <v>4737</v>
      </c>
      <c r="E326" s="139" t="s">
        <v>4738</v>
      </c>
      <c r="F326" s="159" t="s">
        <v>3218</v>
      </c>
      <c r="G326" s="92">
        <f t="shared" ref="G326:L326" si="395">G330</f>
        <v>2.6</v>
      </c>
      <c r="H326" s="93">
        <f t="shared" ref="H326:M326" si="396">SUM(G326:G330)</f>
        <v>16.9</v>
      </c>
      <c r="I326" s="149" t="s">
        <v>8107</v>
      </c>
      <c r="J326" s="95">
        <f t="shared" si="395"/>
        <v>49</v>
      </c>
      <c r="K326" s="160">
        <f t="shared" si="396"/>
        <v>319</v>
      </c>
      <c r="L326" s="119">
        <f t="shared" si="395"/>
        <v>2.3</v>
      </c>
      <c r="M326" s="98">
        <f t="shared" si="396"/>
        <v>15</v>
      </c>
      <c r="N326" s="99">
        <f t="shared" ref="N326:R326" si="397">N330</f>
        <v>0</v>
      </c>
      <c r="O326" s="100">
        <f t="shared" ref="O326:S326" si="398">SUM(N326:N330)</f>
        <v>0</v>
      </c>
      <c r="P326" s="101">
        <f t="shared" si="397"/>
        <v>0</v>
      </c>
      <c r="Q326" s="102">
        <f t="shared" si="398"/>
        <v>0</v>
      </c>
      <c r="R326" s="103">
        <f t="shared" si="397"/>
        <v>0</v>
      </c>
      <c r="S326" s="104">
        <f t="shared" si="398"/>
        <v>0</v>
      </c>
      <c r="T326" s="105">
        <f t="shared" ref="T326:X326" si="399">T330</f>
        <v>6</v>
      </c>
      <c r="U326" s="106">
        <f t="shared" ref="U326:Y326" si="400">SUM(T326:T330)</f>
        <v>39</v>
      </c>
      <c r="V326" s="107">
        <f t="shared" si="399"/>
        <v>0</v>
      </c>
      <c r="W326" s="108">
        <f t="shared" si="400"/>
        <v>0</v>
      </c>
      <c r="X326" s="109">
        <f t="shared" si="399"/>
        <v>0</v>
      </c>
      <c r="Y326" s="110">
        <f t="shared" si="400"/>
        <v>0</v>
      </c>
      <c r="Z326" s="151"/>
      <c r="AA326" s="151"/>
    </row>
    <row r="327" spans="1:27">
      <c r="A327" s="144"/>
      <c r="B327" s="145"/>
      <c r="C327" s="146" t="s">
        <v>4115</v>
      </c>
      <c r="D327" s="147" t="s">
        <v>4739</v>
      </c>
      <c r="E327" s="139" t="s">
        <v>4740</v>
      </c>
      <c r="F327" s="148"/>
      <c r="G327" s="92">
        <f t="shared" ref="G327:L327" si="401">G330*2</f>
        <v>5.2</v>
      </c>
      <c r="H327" s="117"/>
      <c r="I327" s="149"/>
      <c r="J327" s="95">
        <f t="shared" si="401"/>
        <v>98</v>
      </c>
      <c r="K327" s="160"/>
      <c r="L327" s="119">
        <f t="shared" si="401"/>
        <v>4.6</v>
      </c>
      <c r="M327" s="120"/>
      <c r="N327" s="99">
        <f t="shared" ref="N327:R327" si="402">N330*2</f>
        <v>0</v>
      </c>
      <c r="O327" s="121"/>
      <c r="P327" s="101">
        <f t="shared" si="402"/>
        <v>0</v>
      </c>
      <c r="Q327" s="122"/>
      <c r="R327" s="103">
        <f t="shared" si="402"/>
        <v>0</v>
      </c>
      <c r="S327" s="123"/>
      <c r="T327" s="105">
        <f t="shared" ref="T327:X327" si="403">T330*2</f>
        <v>12</v>
      </c>
      <c r="U327" s="124"/>
      <c r="V327" s="107">
        <f t="shared" si="403"/>
        <v>0</v>
      </c>
      <c r="W327" s="125"/>
      <c r="X327" s="109">
        <f t="shared" si="403"/>
        <v>0</v>
      </c>
      <c r="Y327" s="126"/>
      <c r="Z327" s="151"/>
      <c r="AA327" s="151"/>
    </row>
    <row r="328" spans="1:27">
      <c r="A328" s="144"/>
      <c r="B328" s="145"/>
      <c r="C328" s="146" t="s">
        <v>4118</v>
      </c>
      <c r="D328" s="147" t="s">
        <v>4741</v>
      </c>
      <c r="E328" s="139" t="s">
        <v>4742</v>
      </c>
      <c r="F328" s="148"/>
      <c r="G328" s="92">
        <f>G330</f>
        <v>2.6</v>
      </c>
      <c r="H328" s="117"/>
      <c r="I328" s="149"/>
      <c r="J328" s="95">
        <f>J330</f>
        <v>49</v>
      </c>
      <c r="K328" s="160"/>
      <c r="L328" s="119">
        <f>L330</f>
        <v>2.3</v>
      </c>
      <c r="M328" s="120"/>
      <c r="N328" s="99">
        <f t="shared" ref="N328:R328" si="404">N330</f>
        <v>0</v>
      </c>
      <c r="O328" s="121"/>
      <c r="P328" s="101">
        <f t="shared" si="404"/>
        <v>0</v>
      </c>
      <c r="Q328" s="122"/>
      <c r="R328" s="103">
        <f t="shared" si="404"/>
        <v>0</v>
      </c>
      <c r="S328" s="123"/>
      <c r="T328" s="105">
        <f t="shared" ref="T328:X328" si="405">T330</f>
        <v>6</v>
      </c>
      <c r="U328" s="124"/>
      <c r="V328" s="107">
        <f t="shared" si="405"/>
        <v>0</v>
      </c>
      <c r="W328" s="125"/>
      <c r="X328" s="109">
        <f t="shared" si="405"/>
        <v>0</v>
      </c>
      <c r="Y328" s="126"/>
      <c r="Z328" s="151"/>
      <c r="AA328" s="151"/>
    </row>
    <row r="329" spans="1:27">
      <c r="A329" s="144"/>
      <c r="B329" s="145"/>
      <c r="C329" s="146" t="s">
        <v>4121</v>
      </c>
      <c r="D329" s="147" t="s">
        <v>4743</v>
      </c>
      <c r="E329" s="139" t="s">
        <v>4744</v>
      </c>
      <c r="F329" s="148"/>
      <c r="G329" s="92">
        <v>3.9</v>
      </c>
      <c r="H329" s="117"/>
      <c r="I329" s="149"/>
      <c r="J329" s="95">
        <v>74</v>
      </c>
      <c r="K329" s="160"/>
      <c r="L329" s="119">
        <v>3.5</v>
      </c>
      <c r="M329" s="120"/>
      <c r="N329" s="99">
        <v>0</v>
      </c>
      <c r="O329" s="121"/>
      <c r="P329" s="101">
        <v>0</v>
      </c>
      <c r="Q329" s="122"/>
      <c r="R329" s="103">
        <v>0</v>
      </c>
      <c r="S329" s="123"/>
      <c r="T329" s="105">
        <v>9</v>
      </c>
      <c r="U329" s="124"/>
      <c r="V329" s="107">
        <v>0</v>
      </c>
      <c r="W329" s="125"/>
      <c r="X329" s="109">
        <v>0</v>
      </c>
      <c r="Y329" s="126"/>
      <c r="Z329" s="151"/>
      <c r="AA329" s="151"/>
    </row>
    <row r="330" spans="1:27">
      <c r="A330" s="144"/>
      <c r="B330" s="145"/>
      <c r="C330" s="146" t="s">
        <v>4124</v>
      </c>
      <c r="D330" s="147" t="s">
        <v>4745</v>
      </c>
      <c r="E330" s="139" t="s">
        <v>4746</v>
      </c>
      <c r="F330" s="153"/>
      <c r="G330" s="92">
        <f>ROUND(G329*2/3,1)</f>
        <v>2.6</v>
      </c>
      <c r="H330" s="127"/>
      <c r="I330" s="149"/>
      <c r="J330" s="95">
        <f>ROUND(J329*2/3,0)</f>
        <v>49</v>
      </c>
      <c r="K330" s="160"/>
      <c r="L330" s="119">
        <f>ROUND(L329*2/3,1)</f>
        <v>2.3</v>
      </c>
      <c r="M330" s="128"/>
      <c r="N330" s="99">
        <f>ROUND(N329*2/3,0)</f>
        <v>0</v>
      </c>
      <c r="O330" s="129"/>
      <c r="P330" s="101">
        <f>ROUND(P329*2/3,0)</f>
        <v>0</v>
      </c>
      <c r="Q330" s="130"/>
      <c r="R330" s="103">
        <f>ROUND(R329*2/3,0)</f>
        <v>0</v>
      </c>
      <c r="S330" s="131"/>
      <c r="T330" s="105">
        <f>ROUND(T329*2/3,0)</f>
        <v>6</v>
      </c>
      <c r="U330" s="132"/>
      <c r="V330" s="107">
        <f>ROUND(V329*2/3,0)</f>
        <v>0</v>
      </c>
      <c r="W330" s="133"/>
      <c r="X330" s="109">
        <f>ROUND(X329*2/3,0)</f>
        <v>0</v>
      </c>
      <c r="Y330" s="134"/>
      <c r="Z330" s="151"/>
      <c r="AA330" s="151"/>
    </row>
    <row r="331" spans="1:27">
      <c r="A331" s="144" t="s">
        <v>8100</v>
      </c>
      <c r="B331" s="145" t="s">
        <v>6955</v>
      </c>
      <c r="C331" s="146" t="s">
        <v>4133</v>
      </c>
      <c r="D331" s="147" t="s">
        <v>4747</v>
      </c>
      <c r="E331" s="139" t="s">
        <v>4748</v>
      </c>
      <c r="F331" s="159" t="s">
        <v>3220</v>
      </c>
      <c r="G331" s="92">
        <f t="shared" ref="G331:L331" si="406">G335</f>
        <v>1.9</v>
      </c>
      <c r="H331" s="93">
        <f t="shared" ref="H331:M331" si="407">SUM(G331:G335)</f>
        <v>12.4</v>
      </c>
      <c r="I331" s="149" t="s">
        <v>8108</v>
      </c>
      <c r="J331" s="95">
        <f t="shared" si="406"/>
        <v>28</v>
      </c>
      <c r="K331" s="160">
        <f t="shared" si="407"/>
        <v>182</v>
      </c>
      <c r="L331" s="119">
        <f t="shared" si="406"/>
        <v>2.3</v>
      </c>
      <c r="M331" s="98">
        <f t="shared" si="407"/>
        <v>15</v>
      </c>
      <c r="N331" s="99">
        <f t="shared" ref="N331:R331" si="408">N335</f>
        <v>0</v>
      </c>
      <c r="O331" s="100">
        <f t="shared" ref="O331:S331" si="409">SUM(N331:N335)</f>
        <v>0</v>
      </c>
      <c r="P331" s="101">
        <f t="shared" si="408"/>
        <v>0</v>
      </c>
      <c r="Q331" s="102">
        <f t="shared" si="409"/>
        <v>0</v>
      </c>
      <c r="R331" s="103">
        <f t="shared" si="408"/>
        <v>0</v>
      </c>
      <c r="S331" s="104">
        <f t="shared" si="409"/>
        <v>0</v>
      </c>
      <c r="T331" s="105">
        <f t="shared" ref="T331:X331" si="410">T335</f>
        <v>0</v>
      </c>
      <c r="U331" s="106">
        <f t="shared" ref="U331:Y331" si="411">SUM(T331:T335)</f>
        <v>0</v>
      </c>
      <c r="V331" s="107">
        <f t="shared" si="410"/>
        <v>4</v>
      </c>
      <c r="W331" s="108">
        <f t="shared" si="411"/>
        <v>26</v>
      </c>
      <c r="X331" s="109">
        <f t="shared" si="410"/>
        <v>4</v>
      </c>
      <c r="Y331" s="110">
        <f t="shared" si="411"/>
        <v>26</v>
      </c>
      <c r="Z331" s="151"/>
      <c r="AA331" s="151"/>
    </row>
    <row r="332" spans="1:27">
      <c r="A332" s="144"/>
      <c r="B332" s="145"/>
      <c r="C332" s="146" t="s">
        <v>4115</v>
      </c>
      <c r="D332" s="147" t="s">
        <v>4749</v>
      </c>
      <c r="E332" s="139" t="s">
        <v>4750</v>
      </c>
      <c r="F332" s="148"/>
      <c r="G332" s="92">
        <f t="shared" ref="G332:L332" si="412">G335*2</f>
        <v>3.8</v>
      </c>
      <c r="H332" s="117"/>
      <c r="I332" s="149"/>
      <c r="J332" s="95">
        <f t="shared" si="412"/>
        <v>56</v>
      </c>
      <c r="K332" s="160"/>
      <c r="L332" s="119">
        <f t="shared" si="412"/>
        <v>4.6</v>
      </c>
      <c r="M332" s="120"/>
      <c r="N332" s="99">
        <f t="shared" ref="N332:R332" si="413">N335*2</f>
        <v>0</v>
      </c>
      <c r="O332" s="121"/>
      <c r="P332" s="101">
        <f t="shared" si="413"/>
        <v>0</v>
      </c>
      <c r="Q332" s="122"/>
      <c r="R332" s="103">
        <f t="shared" si="413"/>
        <v>0</v>
      </c>
      <c r="S332" s="123"/>
      <c r="T332" s="105">
        <f t="shared" ref="T332:X332" si="414">T335*2</f>
        <v>0</v>
      </c>
      <c r="U332" s="124"/>
      <c r="V332" s="107">
        <f t="shared" si="414"/>
        <v>8</v>
      </c>
      <c r="W332" s="125"/>
      <c r="X332" s="109">
        <f t="shared" si="414"/>
        <v>8</v>
      </c>
      <c r="Y332" s="126"/>
      <c r="Z332" s="151"/>
      <c r="AA332" s="151"/>
    </row>
    <row r="333" spans="1:27">
      <c r="A333" s="144"/>
      <c r="B333" s="145"/>
      <c r="C333" s="146" t="s">
        <v>4118</v>
      </c>
      <c r="D333" s="147" t="s">
        <v>4751</v>
      </c>
      <c r="E333" s="139" t="s">
        <v>4752</v>
      </c>
      <c r="F333" s="148"/>
      <c r="G333" s="92">
        <f t="shared" ref="G333:L333" si="415">G335</f>
        <v>1.9</v>
      </c>
      <c r="H333" s="117"/>
      <c r="I333" s="149"/>
      <c r="J333" s="95">
        <f t="shared" si="415"/>
        <v>28</v>
      </c>
      <c r="K333" s="160"/>
      <c r="L333" s="119">
        <f t="shared" si="415"/>
        <v>2.3</v>
      </c>
      <c r="M333" s="120"/>
      <c r="N333" s="99">
        <f t="shared" ref="N333:R333" si="416">N335</f>
        <v>0</v>
      </c>
      <c r="O333" s="121"/>
      <c r="P333" s="101">
        <f t="shared" si="416"/>
        <v>0</v>
      </c>
      <c r="Q333" s="122"/>
      <c r="R333" s="103">
        <f t="shared" si="416"/>
        <v>0</v>
      </c>
      <c r="S333" s="123"/>
      <c r="T333" s="105">
        <f t="shared" ref="T333:X333" si="417">T335</f>
        <v>0</v>
      </c>
      <c r="U333" s="124"/>
      <c r="V333" s="107">
        <f t="shared" si="417"/>
        <v>4</v>
      </c>
      <c r="W333" s="125"/>
      <c r="X333" s="109">
        <f t="shared" si="417"/>
        <v>4</v>
      </c>
      <c r="Y333" s="126"/>
      <c r="Z333" s="151"/>
      <c r="AA333" s="151"/>
    </row>
    <row r="334" spans="1:27">
      <c r="A334" s="144"/>
      <c r="B334" s="145"/>
      <c r="C334" s="146" t="s">
        <v>4121</v>
      </c>
      <c r="D334" s="147" t="s">
        <v>4753</v>
      </c>
      <c r="E334" s="139" t="s">
        <v>4754</v>
      </c>
      <c r="F334" s="148"/>
      <c r="G334" s="92">
        <v>2.9</v>
      </c>
      <c r="H334" s="117"/>
      <c r="I334" s="149"/>
      <c r="J334" s="95">
        <v>42</v>
      </c>
      <c r="K334" s="160"/>
      <c r="L334" s="119">
        <v>3.5</v>
      </c>
      <c r="M334" s="120"/>
      <c r="N334" s="99">
        <v>0</v>
      </c>
      <c r="O334" s="121"/>
      <c r="P334" s="101">
        <v>0</v>
      </c>
      <c r="Q334" s="122"/>
      <c r="R334" s="103">
        <v>0</v>
      </c>
      <c r="S334" s="123"/>
      <c r="T334" s="105">
        <v>0</v>
      </c>
      <c r="U334" s="124"/>
      <c r="V334" s="107">
        <v>6</v>
      </c>
      <c r="W334" s="125"/>
      <c r="X334" s="109">
        <v>6</v>
      </c>
      <c r="Y334" s="126"/>
      <c r="Z334" s="151"/>
      <c r="AA334" s="151"/>
    </row>
    <row r="335" spans="1:27">
      <c r="A335" s="144"/>
      <c r="B335" s="145"/>
      <c r="C335" s="146" t="s">
        <v>4124</v>
      </c>
      <c r="D335" s="147" t="s">
        <v>4755</v>
      </c>
      <c r="E335" s="139" t="s">
        <v>4756</v>
      </c>
      <c r="F335" s="153"/>
      <c r="G335" s="92">
        <f>ROUND(G334*2/3,1)</f>
        <v>1.9</v>
      </c>
      <c r="H335" s="127"/>
      <c r="I335" s="149"/>
      <c r="J335" s="95">
        <f>ROUND(J334*2/3,0)</f>
        <v>28</v>
      </c>
      <c r="K335" s="160"/>
      <c r="L335" s="119">
        <f>ROUND(L334*2/3,1)</f>
        <v>2.3</v>
      </c>
      <c r="M335" s="128"/>
      <c r="N335" s="99">
        <f>ROUND(N334*2/3,0)</f>
        <v>0</v>
      </c>
      <c r="O335" s="129"/>
      <c r="P335" s="101">
        <f>ROUND(P334*2/3,0)</f>
        <v>0</v>
      </c>
      <c r="Q335" s="130"/>
      <c r="R335" s="103">
        <f>ROUND(R334*2/3,0)</f>
        <v>0</v>
      </c>
      <c r="S335" s="131"/>
      <c r="T335" s="105">
        <f>ROUND(T334*2/3,0)</f>
        <v>0</v>
      </c>
      <c r="U335" s="132"/>
      <c r="V335" s="107">
        <f>ROUND(V334*2/3,0)</f>
        <v>4</v>
      </c>
      <c r="W335" s="133"/>
      <c r="X335" s="109">
        <f>ROUND(X334*2/3,0)</f>
        <v>4</v>
      </c>
      <c r="Y335" s="134"/>
      <c r="Z335" s="151"/>
      <c r="AA335" s="151"/>
    </row>
    <row r="336" spans="1:27">
      <c r="A336" s="144" t="s">
        <v>8097</v>
      </c>
      <c r="B336" s="145" t="s">
        <v>8109</v>
      </c>
      <c r="C336" s="146" t="s">
        <v>4133</v>
      </c>
      <c r="D336" s="147" t="s">
        <v>4757</v>
      </c>
      <c r="E336" s="139" t="s">
        <v>4758</v>
      </c>
      <c r="F336" s="61" t="s">
        <v>8049</v>
      </c>
      <c r="G336" s="92">
        <f t="shared" ref="G336:L336" si="418">G340</f>
        <v>0.8</v>
      </c>
      <c r="H336" s="93">
        <f t="shared" ref="H336:M336" si="419">SUM(G336:G340)</f>
        <v>5.2</v>
      </c>
      <c r="I336" s="149" t="s">
        <v>8006</v>
      </c>
      <c r="J336" s="95">
        <f t="shared" si="418"/>
        <v>18</v>
      </c>
      <c r="K336" s="160">
        <f t="shared" si="419"/>
        <v>117</v>
      </c>
      <c r="L336" s="119">
        <f t="shared" si="418"/>
        <v>1.2</v>
      </c>
      <c r="M336" s="98">
        <f t="shared" si="419"/>
        <v>7.8</v>
      </c>
      <c r="N336" s="99">
        <f t="shared" ref="N336:R336" si="420">N340</f>
        <v>0</v>
      </c>
      <c r="O336" s="100">
        <f t="shared" ref="O336:S336" si="421">SUM(N336:N340)</f>
        <v>0</v>
      </c>
      <c r="P336" s="101">
        <f t="shared" si="420"/>
        <v>0</v>
      </c>
      <c r="Q336" s="102">
        <f t="shared" si="421"/>
        <v>0</v>
      </c>
      <c r="R336" s="103">
        <f t="shared" si="420"/>
        <v>0</v>
      </c>
      <c r="S336" s="104">
        <f t="shared" si="421"/>
        <v>0</v>
      </c>
      <c r="T336" s="105">
        <f t="shared" ref="T336:X336" si="422">T340</f>
        <v>0</v>
      </c>
      <c r="U336" s="106">
        <f t="shared" ref="U336:Y336" si="423">SUM(T336:T340)</f>
        <v>0</v>
      </c>
      <c r="V336" s="107">
        <f t="shared" si="422"/>
        <v>0</v>
      </c>
      <c r="W336" s="108">
        <f t="shared" si="423"/>
        <v>0</v>
      </c>
      <c r="X336" s="109">
        <f t="shared" si="422"/>
        <v>0</v>
      </c>
      <c r="Y336" s="110">
        <f t="shared" si="423"/>
        <v>0</v>
      </c>
      <c r="Z336" s="151"/>
      <c r="AA336" s="151"/>
    </row>
    <row r="337" spans="1:27">
      <c r="A337" s="144"/>
      <c r="B337" s="145"/>
      <c r="C337" s="146" t="s">
        <v>4115</v>
      </c>
      <c r="D337" s="147" t="s">
        <v>4759</v>
      </c>
      <c r="E337" s="139" t="s">
        <v>4760</v>
      </c>
      <c r="F337" s="61" t="s">
        <v>8051</v>
      </c>
      <c r="G337" s="92">
        <f t="shared" ref="G337:L337" si="424">G340*2</f>
        <v>1.6</v>
      </c>
      <c r="H337" s="117"/>
      <c r="I337" s="149"/>
      <c r="J337" s="95">
        <f t="shared" si="424"/>
        <v>36</v>
      </c>
      <c r="K337" s="160"/>
      <c r="L337" s="119">
        <f t="shared" si="424"/>
        <v>2.4</v>
      </c>
      <c r="M337" s="120"/>
      <c r="N337" s="99">
        <f t="shared" ref="N337:R337" si="425">N340*2</f>
        <v>0</v>
      </c>
      <c r="O337" s="121"/>
      <c r="P337" s="101">
        <f t="shared" si="425"/>
        <v>0</v>
      </c>
      <c r="Q337" s="122"/>
      <c r="R337" s="103">
        <f t="shared" si="425"/>
        <v>0</v>
      </c>
      <c r="S337" s="123"/>
      <c r="T337" s="105">
        <f t="shared" ref="T337:X337" si="426">T340*2</f>
        <v>0</v>
      </c>
      <c r="U337" s="124"/>
      <c r="V337" s="107">
        <f t="shared" si="426"/>
        <v>0</v>
      </c>
      <c r="W337" s="125"/>
      <c r="X337" s="109">
        <f t="shared" si="426"/>
        <v>0</v>
      </c>
      <c r="Y337" s="126"/>
      <c r="Z337" s="151"/>
      <c r="AA337" s="151"/>
    </row>
    <row r="338" spans="1:27">
      <c r="A338" s="144"/>
      <c r="B338" s="145"/>
      <c r="C338" s="146" t="s">
        <v>4118</v>
      </c>
      <c r="D338" s="147" t="s">
        <v>4761</v>
      </c>
      <c r="E338" s="139" t="s">
        <v>4762</v>
      </c>
      <c r="F338" s="61" t="s">
        <v>8049</v>
      </c>
      <c r="G338" s="92">
        <f t="shared" ref="G338:L338" si="427">G340</f>
        <v>0.8</v>
      </c>
      <c r="H338" s="117"/>
      <c r="I338" s="149"/>
      <c r="J338" s="95">
        <f t="shared" si="427"/>
        <v>18</v>
      </c>
      <c r="K338" s="160"/>
      <c r="L338" s="119">
        <f t="shared" si="427"/>
        <v>1.2</v>
      </c>
      <c r="M338" s="120"/>
      <c r="N338" s="99">
        <f t="shared" ref="N338:R338" si="428">N340</f>
        <v>0</v>
      </c>
      <c r="O338" s="121"/>
      <c r="P338" s="101">
        <f t="shared" si="428"/>
        <v>0</v>
      </c>
      <c r="Q338" s="122"/>
      <c r="R338" s="103">
        <f t="shared" si="428"/>
        <v>0</v>
      </c>
      <c r="S338" s="123"/>
      <c r="T338" s="105">
        <f t="shared" ref="T338:X338" si="429">T340</f>
        <v>0</v>
      </c>
      <c r="U338" s="124"/>
      <c r="V338" s="107">
        <f t="shared" si="429"/>
        <v>0</v>
      </c>
      <c r="W338" s="125"/>
      <c r="X338" s="109">
        <f t="shared" si="429"/>
        <v>0</v>
      </c>
      <c r="Y338" s="126"/>
      <c r="Z338" s="151"/>
      <c r="AA338" s="151"/>
    </row>
    <row r="339" spans="1:27">
      <c r="A339" s="144"/>
      <c r="B339" s="145"/>
      <c r="C339" s="146" t="s">
        <v>4121</v>
      </c>
      <c r="D339" s="147" t="s">
        <v>4763</v>
      </c>
      <c r="E339" s="139" t="s">
        <v>4764</v>
      </c>
      <c r="F339" s="61" t="s">
        <v>8052</v>
      </c>
      <c r="G339" s="92">
        <v>1.2</v>
      </c>
      <c r="H339" s="117"/>
      <c r="I339" s="149"/>
      <c r="J339" s="95">
        <v>27</v>
      </c>
      <c r="K339" s="160"/>
      <c r="L339" s="119">
        <v>1.8</v>
      </c>
      <c r="M339" s="120"/>
      <c r="N339" s="99">
        <v>0</v>
      </c>
      <c r="O339" s="121"/>
      <c r="P339" s="101">
        <v>0</v>
      </c>
      <c r="Q339" s="122"/>
      <c r="R339" s="103">
        <v>0</v>
      </c>
      <c r="S339" s="123"/>
      <c r="T339" s="105">
        <v>0</v>
      </c>
      <c r="U339" s="124"/>
      <c r="V339" s="107">
        <v>0</v>
      </c>
      <c r="W339" s="125"/>
      <c r="X339" s="109">
        <v>0</v>
      </c>
      <c r="Y339" s="126"/>
      <c r="Z339" s="151"/>
      <c r="AA339" s="151"/>
    </row>
    <row r="340" spans="1:27">
      <c r="A340" s="144"/>
      <c r="B340" s="145"/>
      <c r="C340" s="146" t="s">
        <v>4124</v>
      </c>
      <c r="D340" s="147" t="s">
        <v>4765</v>
      </c>
      <c r="E340" s="139" t="s">
        <v>4766</v>
      </c>
      <c r="F340" s="61" t="s">
        <v>8049</v>
      </c>
      <c r="G340" s="92">
        <f>ROUND(G339*2/3,1)</f>
        <v>0.8</v>
      </c>
      <c r="H340" s="127"/>
      <c r="I340" s="149"/>
      <c r="J340" s="95">
        <f>ROUND(J339*2/3,0)</f>
        <v>18</v>
      </c>
      <c r="K340" s="160"/>
      <c r="L340" s="119">
        <f>ROUND(L339*2/3,1)</f>
        <v>1.2</v>
      </c>
      <c r="M340" s="128"/>
      <c r="N340" s="99">
        <f>ROUND(N339*2/3,0)</f>
        <v>0</v>
      </c>
      <c r="O340" s="129"/>
      <c r="P340" s="101">
        <f>ROUND(P339*2/3,0)</f>
        <v>0</v>
      </c>
      <c r="Q340" s="130"/>
      <c r="R340" s="103">
        <f>ROUND(R339*2/3,0)</f>
        <v>0</v>
      </c>
      <c r="S340" s="131"/>
      <c r="T340" s="105">
        <f>ROUND(T339*2/3,0)</f>
        <v>0</v>
      </c>
      <c r="U340" s="132"/>
      <c r="V340" s="107">
        <f>ROUND(V339*2/3,0)</f>
        <v>0</v>
      </c>
      <c r="W340" s="133"/>
      <c r="X340" s="109">
        <f>ROUND(X339*2/3,0)</f>
        <v>0</v>
      </c>
      <c r="Y340" s="134"/>
      <c r="Z340" s="151"/>
      <c r="AA340" s="151"/>
    </row>
    <row r="341" spans="1:27">
      <c r="A341" s="144" t="s">
        <v>8097</v>
      </c>
      <c r="B341" s="145" t="s">
        <v>7580</v>
      </c>
      <c r="C341" s="146" t="s">
        <v>4133</v>
      </c>
      <c r="D341" s="147" t="s">
        <v>4767</v>
      </c>
      <c r="E341" s="139" t="s">
        <v>4768</v>
      </c>
      <c r="F341" s="58" t="s">
        <v>8110</v>
      </c>
      <c r="G341" s="92">
        <f t="shared" ref="G341:L341" si="430">G345</f>
        <v>0.8</v>
      </c>
      <c r="H341" s="93">
        <f t="shared" ref="H341:M341" si="431">SUM(G341:G345)</f>
        <v>5.2</v>
      </c>
      <c r="I341" s="149" t="s">
        <v>8111</v>
      </c>
      <c r="J341" s="95">
        <f t="shared" si="430"/>
        <v>18</v>
      </c>
      <c r="K341" s="160">
        <f t="shared" si="431"/>
        <v>117</v>
      </c>
      <c r="L341" s="119">
        <f t="shared" si="430"/>
        <v>1.2</v>
      </c>
      <c r="M341" s="98">
        <f t="shared" si="431"/>
        <v>7.8</v>
      </c>
      <c r="N341" s="99">
        <f t="shared" ref="N341:R341" si="432">N345</f>
        <v>0</v>
      </c>
      <c r="O341" s="100">
        <f t="shared" ref="O341:S341" si="433">SUM(N341:N345)</f>
        <v>0</v>
      </c>
      <c r="P341" s="101">
        <f t="shared" si="432"/>
        <v>0</v>
      </c>
      <c r="Q341" s="102">
        <f t="shared" si="433"/>
        <v>0</v>
      </c>
      <c r="R341" s="103">
        <f t="shared" si="432"/>
        <v>0</v>
      </c>
      <c r="S341" s="104">
        <f t="shared" si="433"/>
        <v>0</v>
      </c>
      <c r="T341" s="105">
        <f t="shared" ref="T341:X341" si="434">T345</f>
        <v>0</v>
      </c>
      <c r="U341" s="106">
        <f t="shared" ref="U341:Y341" si="435">SUM(T341:T345)</f>
        <v>0</v>
      </c>
      <c r="V341" s="107">
        <f t="shared" si="434"/>
        <v>0</v>
      </c>
      <c r="W341" s="108">
        <f t="shared" si="435"/>
        <v>0</v>
      </c>
      <c r="X341" s="109">
        <f t="shared" si="434"/>
        <v>0</v>
      </c>
      <c r="Y341" s="110">
        <f t="shared" si="435"/>
        <v>0</v>
      </c>
      <c r="Z341" s="151"/>
      <c r="AA341" s="151"/>
    </row>
    <row r="342" spans="1:27">
      <c r="A342" s="144"/>
      <c r="B342" s="145"/>
      <c r="C342" s="146" t="s">
        <v>4115</v>
      </c>
      <c r="D342" s="147" t="s">
        <v>4769</v>
      </c>
      <c r="E342" s="139" t="s">
        <v>4770</v>
      </c>
      <c r="F342" s="58" t="s">
        <v>8110</v>
      </c>
      <c r="G342" s="92">
        <f t="shared" ref="G342:L342" si="436">G345*2</f>
        <v>1.6</v>
      </c>
      <c r="H342" s="117"/>
      <c r="I342" s="149"/>
      <c r="J342" s="95">
        <f t="shared" si="436"/>
        <v>36</v>
      </c>
      <c r="K342" s="160"/>
      <c r="L342" s="119">
        <f t="shared" si="436"/>
        <v>2.4</v>
      </c>
      <c r="M342" s="120"/>
      <c r="N342" s="99">
        <f t="shared" ref="N342:R342" si="437">N345*2</f>
        <v>0</v>
      </c>
      <c r="O342" s="121"/>
      <c r="P342" s="101">
        <f t="shared" si="437"/>
        <v>0</v>
      </c>
      <c r="Q342" s="122"/>
      <c r="R342" s="103">
        <f t="shared" si="437"/>
        <v>0</v>
      </c>
      <c r="S342" s="123"/>
      <c r="T342" s="105">
        <f t="shared" ref="T342:X342" si="438">T345*2</f>
        <v>0</v>
      </c>
      <c r="U342" s="124"/>
      <c r="V342" s="107">
        <f t="shared" si="438"/>
        <v>0</v>
      </c>
      <c r="W342" s="125"/>
      <c r="X342" s="109">
        <f t="shared" si="438"/>
        <v>0</v>
      </c>
      <c r="Y342" s="126"/>
      <c r="Z342" s="151"/>
      <c r="AA342" s="151"/>
    </row>
    <row r="343" spans="1:27">
      <c r="A343" s="144"/>
      <c r="B343" s="145"/>
      <c r="C343" s="146" t="s">
        <v>4118</v>
      </c>
      <c r="D343" s="147" t="s">
        <v>4771</v>
      </c>
      <c r="E343" s="139" t="s">
        <v>4772</v>
      </c>
      <c r="F343" s="58" t="s">
        <v>8110</v>
      </c>
      <c r="G343" s="92">
        <f t="shared" ref="G343:L343" si="439">G345</f>
        <v>0.8</v>
      </c>
      <c r="H343" s="117"/>
      <c r="I343" s="149"/>
      <c r="J343" s="95">
        <f t="shared" si="439"/>
        <v>18</v>
      </c>
      <c r="K343" s="160"/>
      <c r="L343" s="119">
        <f t="shared" si="439"/>
        <v>1.2</v>
      </c>
      <c r="M343" s="120"/>
      <c r="N343" s="99">
        <f t="shared" ref="N343:R343" si="440">N345</f>
        <v>0</v>
      </c>
      <c r="O343" s="121"/>
      <c r="P343" s="101">
        <f t="shared" si="440"/>
        <v>0</v>
      </c>
      <c r="Q343" s="122"/>
      <c r="R343" s="103">
        <f t="shared" si="440"/>
        <v>0</v>
      </c>
      <c r="S343" s="123"/>
      <c r="T343" s="105">
        <f t="shared" ref="T343:X343" si="441">T345</f>
        <v>0</v>
      </c>
      <c r="U343" s="124"/>
      <c r="V343" s="107">
        <f t="shared" si="441"/>
        <v>0</v>
      </c>
      <c r="W343" s="125"/>
      <c r="X343" s="109">
        <f t="shared" si="441"/>
        <v>0</v>
      </c>
      <c r="Y343" s="126"/>
      <c r="Z343" s="151"/>
      <c r="AA343" s="151"/>
    </row>
    <row r="344" spans="1:27">
      <c r="A344" s="144"/>
      <c r="B344" s="145"/>
      <c r="C344" s="146" t="s">
        <v>4121</v>
      </c>
      <c r="D344" s="147" t="s">
        <v>4773</v>
      </c>
      <c r="E344" s="139" t="s">
        <v>4774</v>
      </c>
      <c r="F344" s="58" t="s">
        <v>8110</v>
      </c>
      <c r="G344" s="92">
        <v>1.2</v>
      </c>
      <c r="H344" s="117"/>
      <c r="I344" s="149"/>
      <c r="J344" s="95">
        <v>27</v>
      </c>
      <c r="K344" s="160"/>
      <c r="L344" s="119">
        <v>1.8</v>
      </c>
      <c r="M344" s="120"/>
      <c r="N344" s="99">
        <v>0</v>
      </c>
      <c r="O344" s="121"/>
      <c r="P344" s="101">
        <v>0</v>
      </c>
      <c r="Q344" s="122"/>
      <c r="R344" s="103">
        <v>0</v>
      </c>
      <c r="S344" s="123"/>
      <c r="T344" s="105">
        <v>0</v>
      </c>
      <c r="U344" s="124"/>
      <c r="V344" s="107">
        <v>0</v>
      </c>
      <c r="W344" s="125"/>
      <c r="X344" s="109">
        <v>0</v>
      </c>
      <c r="Y344" s="126"/>
      <c r="Z344" s="151"/>
      <c r="AA344" s="151"/>
    </row>
    <row r="345" spans="1:27">
      <c r="A345" s="144"/>
      <c r="B345" s="145"/>
      <c r="C345" s="146" t="s">
        <v>4124</v>
      </c>
      <c r="D345" s="147" t="s">
        <v>4775</v>
      </c>
      <c r="E345" s="139" t="s">
        <v>4776</v>
      </c>
      <c r="F345" s="58" t="s">
        <v>8110</v>
      </c>
      <c r="G345" s="92">
        <f>ROUND(G344*2/3,1)</f>
        <v>0.8</v>
      </c>
      <c r="H345" s="127"/>
      <c r="I345" s="149"/>
      <c r="J345" s="95">
        <f>ROUND(J344*2/3,0)</f>
        <v>18</v>
      </c>
      <c r="K345" s="160"/>
      <c r="L345" s="119">
        <f>ROUND(L344*2/3,1)</f>
        <v>1.2</v>
      </c>
      <c r="M345" s="128"/>
      <c r="N345" s="99">
        <f>ROUND(N344*2/3,0)</f>
        <v>0</v>
      </c>
      <c r="O345" s="129"/>
      <c r="P345" s="101">
        <f>ROUND(P344*2/3,0)</f>
        <v>0</v>
      </c>
      <c r="Q345" s="130"/>
      <c r="R345" s="103">
        <f>ROUND(R344*2/3,0)</f>
        <v>0</v>
      </c>
      <c r="S345" s="131"/>
      <c r="T345" s="105">
        <f>ROUND(T344*2/3,0)</f>
        <v>0</v>
      </c>
      <c r="U345" s="132"/>
      <c r="V345" s="107">
        <f>ROUND(V344*2/3,0)</f>
        <v>0</v>
      </c>
      <c r="W345" s="133"/>
      <c r="X345" s="109">
        <f>ROUND(X344*2/3,0)</f>
        <v>0</v>
      </c>
      <c r="Y345" s="134"/>
      <c r="Z345" s="151"/>
      <c r="AA345" s="151"/>
    </row>
    <row r="346" spans="1:27">
      <c r="A346" s="144" t="s">
        <v>8100</v>
      </c>
      <c r="B346" s="145" t="s">
        <v>7563</v>
      </c>
      <c r="C346" s="146" t="s">
        <v>4133</v>
      </c>
      <c r="D346" s="147" t="s">
        <v>4777</v>
      </c>
      <c r="E346" s="139" t="s">
        <v>4778</v>
      </c>
      <c r="F346" s="61" t="s">
        <v>8026</v>
      </c>
      <c r="G346" s="92">
        <f t="shared" ref="G346:L346" si="442">G350</f>
        <v>1.8</v>
      </c>
      <c r="H346" s="93">
        <f t="shared" ref="H346:M346" si="443">SUM(G346:G350)</f>
        <v>11.7</v>
      </c>
      <c r="I346" s="149" t="s">
        <v>8112</v>
      </c>
      <c r="J346" s="95">
        <f t="shared" si="442"/>
        <v>28</v>
      </c>
      <c r="K346" s="160">
        <f t="shared" si="443"/>
        <v>182</v>
      </c>
      <c r="L346" s="119">
        <f t="shared" si="442"/>
        <v>2.3</v>
      </c>
      <c r="M346" s="98">
        <f t="shared" si="443"/>
        <v>15</v>
      </c>
      <c r="N346" s="99">
        <f t="shared" ref="N346:R346" si="444">N350</f>
        <v>0</v>
      </c>
      <c r="O346" s="100">
        <f t="shared" ref="O346:S346" si="445">SUM(N346:N350)</f>
        <v>0</v>
      </c>
      <c r="P346" s="101">
        <f t="shared" si="444"/>
        <v>0</v>
      </c>
      <c r="Q346" s="102">
        <f t="shared" si="445"/>
        <v>0</v>
      </c>
      <c r="R346" s="103">
        <f t="shared" si="444"/>
        <v>0</v>
      </c>
      <c r="S346" s="104">
        <f t="shared" si="445"/>
        <v>0</v>
      </c>
      <c r="T346" s="105">
        <f t="shared" ref="T346:X346" si="446">T350</f>
        <v>0</v>
      </c>
      <c r="U346" s="106">
        <f t="shared" ref="U346:Y346" si="447">SUM(T346:T350)</f>
        <v>0</v>
      </c>
      <c r="V346" s="107">
        <f t="shared" si="446"/>
        <v>0</v>
      </c>
      <c r="W346" s="108">
        <f t="shared" si="447"/>
        <v>0</v>
      </c>
      <c r="X346" s="109">
        <f t="shared" si="446"/>
        <v>0</v>
      </c>
      <c r="Y346" s="110">
        <f t="shared" si="447"/>
        <v>0</v>
      </c>
      <c r="Z346" s="151"/>
      <c r="AA346" s="151"/>
    </row>
    <row r="347" spans="1:27">
      <c r="A347" s="144"/>
      <c r="B347" s="145"/>
      <c r="C347" s="146" t="s">
        <v>4115</v>
      </c>
      <c r="D347" s="147" t="s">
        <v>4779</v>
      </c>
      <c r="E347" s="139" t="s">
        <v>4780</v>
      </c>
      <c r="F347" s="61" t="s">
        <v>8113</v>
      </c>
      <c r="G347" s="92">
        <f t="shared" ref="G347:L347" si="448">G350*2</f>
        <v>3.6</v>
      </c>
      <c r="H347" s="117"/>
      <c r="I347" s="149"/>
      <c r="J347" s="95">
        <f t="shared" si="448"/>
        <v>56</v>
      </c>
      <c r="K347" s="160"/>
      <c r="L347" s="119">
        <f t="shared" si="448"/>
        <v>4.6</v>
      </c>
      <c r="M347" s="120"/>
      <c r="N347" s="99">
        <f t="shared" ref="N347:R347" si="449">N350*2</f>
        <v>0</v>
      </c>
      <c r="O347" s="121"/>
      <c r="P347" s="101">
        <f t="shared" si="449"/>
        <v>0</v>
      </c>
      <c r="Q347" s="122"/>
      <c r="R347" s="103">
        <f t="shared" si="449"/>
        <v>0</v>
      </c>
      <c r="S347" s="123"/>
      <c r="T347" s="105">
        <f t="shared" ref="T347:X347" si="450">T350*2</f>
        <v>0</v>
      </c>
      <c r="U347" s="124"/>
      <c r="V347" s="107">
        <f t="shared" si="450"/>
        <v>0</v>
      </c>
      <c r="W347" s="125"/>
      <c r="X347" s="109">
        <f t="shared" si="450"/>
        <v>0</v>
      </c>
      <c r="Y347" s="126"/>
      <c r="Z347" s="151"/>
      <c r="AA347" s="151"/>
    </row>
    <row r="348" spans="1:27">
      <c r="A348" s="144"/>
      <c r="B348" s="145"/>
      <c r="C348" s="146" t="s">
        <v>4118</v>
      </c>
      <c r="D348" s="147" t="s">
        <v>4781</v>
      </c>
      <c r="E348" s="139" t="s">
        <v>4782</v>
      </c>
      <c r="F348" s="61" t="s">
        <v>8026</v>
      </c>
      <c r="G348" s="92">
        <f t="shared" ref="G348:L348" si="451">G350</f>
        <v>1.8</v>
      </c>
      <c r="H348" s="117"/>
      <c r="I348" s="149"/>
      <c r="J348" s="95">
        <f t="shared" si="451"/>
        <v>28</v>
      </c>
      <c r="K348" s="160"/>
      <c r="L348" s="119">
        <f t="shared" si="451"/>
        <v>2.3</v>
      </c>
      <c r="M348" s="120"/>
      <c r="N348" s="99">
        <f t="shared" ref="N348:R348" si="452">N350</f>
        <v>0</v>
      </c>
      <c r="O348" s="121"/>
      <c r="P348" s="101">
        <f t="shared" si="452"/>
        <v>0</v>
      </c>
      <c r="Q348" s="122"/>
      <c r="R348" s="103">
        <f t="shared" si="452"/>
        <v>0</v>
      </c>
      <c r="S348" s="123"/>
      <c r="T348" s="105">
        <f t="shared" ref="T348:X348" si="453">T350</f>
        <v>0</v>
      </c>
      <c r="U348" s="124"/>
      <c r="V348" s="107">
        <f t="shared" si="453"/>
        <v>0</v>
      </c>
      <c r="W348" s="125"/>
      <c r="X348" s="109">
        <f t="shared" si="453"/>
        <v>0</v>
      </c>
      <c r="Y348" s="126"/>
      <c r="Z348" s="151"/>
      <c r="AA348" s="151"/>
    </row>
    <row r="349" spans="1:27">
      <c r="A349" s="144"/>
      <c r="B349" s="145"/>
      <c r="C349" s="146" t="s">
        <v>4121</v>
      </c>
      <c r="D349" s="147" t="s">
        <v>4783</v>
      </c>
      <c r="E349" s="139" t="s">
        <v>4784</v>
      </c>
      <c r="F349" s="61" t="s">
        <v>8114</v>
      </c>
      <c r="G349" s="92">
        <v>2.7</v>
      </c>
      <c r="H349" s="117"/>
      <c r="I349" s="149"/>
      <c r="J349" s="95">
        <v>42</v>
      </c>
      <c r="K349" s="160"/>
      <c r="L349" s="119">
        <v>3.5</v>
      </c>
      <c r="M349" s="120"/>
      <c r="N349" s="99">
        <v>0</v>
      </c>
      <c r="O349" s="121"/>
      <c r="P349" s="101">
        <v>0</v>
      </c>
      <c r="Q349" s="122"/>
      <c r="R349" s="103">
        <v>0</v>
      </c>
      <c r="S349" s="123"/>
      <c r="T349" s="105">
        <v>0</v>
      </c>
      <c r="U349" s="124"/>
      <c r="V349" s="107">
        <v>0</v>
      </c>
      <c r="W349" s="125"/>
      <c r="X349" s="109">
        <v>0</v>
      </c>
      <c r="Y349" s="126"/>
      <c r="Z349" s="151"/>
      <c r="AA349" s="151"/>
    </row>
    <row r="350" spans="1:27">
      <c r="A350" s="144"/>
      <c r="B350" s="145"/>
      <c r="C350" s="146" t="s">
        <v>4124</v>
      </c>
      <c r="D350" s="147" t="s">
        <v>4785</v>
      </c>
      <c r="E350" s="139" t="s">
        <v>4786</v>
      </c>
      <c r="F350" s="61" t="s">
        <v>8026</v>
      </c>
      <c r="G350" s="92">
        <f>ROUND(G349*2/3,1)</f>
        <v>1.8</v>
      </c>
      <c r="H350" s="127"/>
      <c r="I350" s="149"/>
      <c r="J350" s="95">
        <f>ROUND(J349*2/3,0)</f>
        <v>28</v>
      </c>
      <c r="K350" s="160"/>
      <c r="L350" s="119">
        <f>ROUND(L349*2/3,1)</f>
        <v>2.3</v>
      </c>
      <c r="M350" s="128"/>
      <c r="N350" s="99">
        <f>ROUND(N349*2/3,0)</f>
        <v>0</v>
      </c>
      <c r="O350" s="129"/>
      <c r="P350" s="101">
        <f>ROUND(P349*2/3,0)</f>
        <v>0</v>
      </c>
      <c r="Q350" s="130"/>
      <c r="R350" s="103">
        <f>ROUND(R349*2/3,0)</f>
        <v>0</v>
      </c>
      <c r="S350" s="131"/>
      <c r="T350" s="105">
        <f>ROUND(T349*2/3,0)</f>
        <v>0</v>
      </c>
      <c r="U350" s="132"/>
      <c r="V350" s="107">
        <f>ROUND(V349*2/3,0)</f>
        <v>0</v>
      </c>
      <c r="W350" s="133"/>
      <c r="X350" s="109">
        <f>ROUND(X349*2/3,0)</f>
        <v>0</v>
      </c>
      <c r="Y350" s="134"/>
      <c r="Z350" s="151"/>
      <c r="AA350" s="151"/>
    </row>
    <row r="351" spans="1:27">
      <c r="A351" s="144" t="s">
        <v>8100</v>
      </c>
      <c r="B351" s="145" t="s">
        <v>8115</v>
      </c>
      <c r="C351" s="146" t="s">
        <v>4133</v>
      </c>
      <c r="D351" s="147" t="s">
        <v>4787</v>
      </c>
      <c r="E351" s="139" t="s">
        <v>4788</v>
      </c>
      <c r="F351" s="61" t="s">
        <v>1492</v>
      </c>
      <c r="G351" s="92">
        <f t="shared" ref="G351:L351" si="454">G355</f>
        <v>2.3</v>
      </c>
      <c r="H351" s="93">
        <f t="shared" ref="H351:M351" si="455">SUM(G351:G355)</f>
        <v>15</v>
      </c>
      <c r="I351" s="149" t="s">
        <v>8116</v>
      </c>
      <c r="J351" s="95">
        <f t="shared" si="454"/>
        <v>49</v>
      </c>
      <c r="K351" s="160">
        <f t="shared" si="455"/>
        <v>319</v>
      </c>
      <c r="L351" s="119">
        <f t="shared" si="454"/>
        <v>1.2</v>
      </c>
      <c r="M351" s="98">
        <f t="shared" si="455"/>
        <v>7.8</v>
      </c>
      <c r="N351" s="99">
        <f t="shared" ref="N351:R351" si="456">N355</f>
        <v>0</v>
      </c>
      <c r="O351" s="100">
        <f t="shared" ref="O351:S351" si="457">SUM(N351:N355)</f>
        <v>0</v>
      </c>
      <c r="P351" s="101">
        <f t="shared" si="456"/>
        <v>0</v>
      </c>
      <c r="Q351" s="102">
        <f t="shared" si="457"/>
        <v>0</v>
      </c>
      <c r="R351" s="103">
        <f t="shared" si="456"/>
        <v>0</v>
      </c>
      <c r="S351" s="104">
        <f t="shared" si="457"/>
        <v>0</v>
      </c>
      <c r="T351" s="105">
        <f t="shared" ref="T351:X351" si="458">T355</f>
        <v>0</v>
      </c>
      <c r="U351" s="106">
        <f t="shared" ref="U351:Y351" si="459">SUM(T351:T355)</f>
        <v>0</v>
      </c>
      <c r="V351" s="107">
        <f t="shared" si="458"/>
        <v>0</v>
      </c>
      <c r="W351" s="108">
        <f t="shared" si="459"/>
        <v>0</v>
      </c>
      <c r="X351" s="109">
        <f t="shared" si="458"/>
        <v>0</v>
      </c>
      <c r="Y351" s="110">
        <f t="shared" si="459"/>
        <v>0</v>
      </c>
      <c r="Z351" s="151"/>
      <c r="AA351" s="151"/>
    </row>
    <row r="352" spans="1:27">
      <c r="A352" s="144"/>
      <c r="B352" s="145"/>
      <c r="C352" s="146" t="s">
        <v>4115</v>
      </c>
      <c r="D352" s="147" t="s">
        <v>4789</v>
      </c>
      <c r="E352" s="139" t="s">
        <v>4790</v>
      </c>
      <c r="F352" s="61" t="s">
        <v>1494</v>
      </c>
      <c r="G352" s="92">
        <f t="shared" ref="G352:L352" si="460">G355*2</f>
        <v>4.6</v>
      </c>
      <c r="H352" s="117"/>
      <c r="I352" s="149"/>
      <c r="J352" s="95">
        <f t="shared" si="460"/>
        <v>98</v>
      </c>
      <c r="K352" s="160"/>
      <c r="L352" s="119">
        <f t="shared" si="460"/>
        <v>2.4</v>
      </c>
      <c r="M352" s="120"/>
      <c r="N352" s="99">
        <f t="shared" ref="N352:R352" si="461">N355*2</f>
        <v>0</v>
      </c>
      <c r="O352" s="121"/>
      <c r="P352" s="101">
        <f t="shared" si="461"/>
        <v>0</v>
      </c>
      <c r="Q352" s="122"/>
      <c r="R352" s="103">
        <f t="shared" si="461"/>
        <v>0</v>
      </c>
      <c r="S352" s="123"/>
      <c r="T352" s="105">
        <f t="shared" ref="T352:X352" si="462">T355*2</f>
        <v>0</v>
      </c>
      <c r="U352" s="124"/>
      <c r="V352" s="107">
        <f t="shared" si="462"/>
        <v>0</v>
      </c>
      <c r="W352" s="125"/>
      <c r="X352" s="109">
        <f t="shared" si="462"/>
        <v>0</v>
      </c>
      <c r="Y352" s="126"/>
      <c r="Z352" s="151"/>
      <c r="AA352" s="151"/>
    </row>
    <row r="353" spans="1:27">
      <c r="A353" s="144"/>
      <c r="B353" s="145"/>
      <c r="C353" s="146" t="s">
        <v>4118</v>
      </c>
      <c r="D353" s="147" t="s">
        <v>4791</v>
      </c>
      <c r="E353" s="139" t="s">
        <v>4792</v>
      </c>
      <c r="F353" s="61" t="s">
        <v>1492</v>
      </c>
      <c r="G353" s="92">
        <f t="shared" ref="G353:L353" si="463">G355</f>
        <v>2.3</v>
      </c>
      <c r="H353" s="117"/>
      <c r="I353" s="149"/>
      <c r="J353" s="95">
        <f t="shared" si="463"/>
        <v>49</v>
      </c>
      <c r="K353" s="160"/>
      <c r="L353" s="119">
        <f t="shared" si="463"/>
        <v>1.2</v>
      </c>
      <c r="M353" s="120"/>
      <c r="N353" s="99">
        <f t="shared" ref="N353:R353" si="464">N355</f>
        <v>0</v>
      </c>
      <c r="O353" s="121"/>
      <c r="P353" s="101">
        <f t="shared" si="464"/>
        <v>0</v>
      </c>
      <c r="Q353" s="122"/>
      <c r="R353" s="103">
        <f t="shared" si="464"/>
        <v>0</v>
      </c>
      <c r="S353" s="123"/>
      <c r="T353" s="105">
        <f t="shared" ref="T353:X353" si="465">T355</f>
        <v>0</v>
      </c>
      <c r="U353" s="124"/>
      <c r="V353" s="107">
        <f t="shared" si="465"/>
        <v>0</v>
      </c>
      <c r="W353" s="125"/>
      <c r="X353" s="109">
        <f t="shared" si="465"/>
        <v>0</v>
      </c>
      <c r="Y353" s="126"/>
      <c r="Z353" s="151"/>
      <c r="AA353" s="151"/>
    </row>
    <row r="354" spans="1:27">
      <c r="A354" s="144"/>
      <c r="B354" s="145"/>
      <c r="C354" s="146" t="s">
        <v>4121</v>
      </c>
      <c r="D354" s="147" t="s">
        <v>4793</v>
      </c>
      <c r="E354" s="139" t="s">
        <v>4794</v>
      </c>
      <c r="F354" s="156" t="s">
        <v>1496</v>
      </c>
      <c r="G354" s="92">
        <v>3.5</v>
      </c>
      <c r="H354" s="117"/>
      <c r="I354" s="149"/>
      <c r="J354" s="95">
        <v>74</v>
      </c>
      <c r="K354" s="160"/>
      <c r="L354" s="119">
        <v>1.8</v>
      </c>
      <c r="M354" s="120"/>
      <c r="N354" s="99">
        <v>0</v>
      </c>
      <c r="O354" s="121"/>
      <c r="P354" s="101">
        <v>0</v>
      </c>
      <c r="Q354" s="122"/>
      <c r="R354" s="103">
        <v>0</v>
      </c>
      <c r="S354" s="123"/>
      <c r="T354" s="105">
        <v>0</v>
      </c>
      <c r="U354" s="124"/>
      <c r="V354" s="107">
        <v>0</v>
      </c>
      <c r="W354" s="125"/>
      <c r="X354" s="109">
        <v>0</v>
      </c>
      <c r="Y354" s="126"/>
      <c r="Z354" s="151"/>
      <c r="AA354" s="151"/>
    </row>
    <row r="355" spans="1:27">
      <c r="A355" s="144"/>
      <c r="B355" s="145"/>
      <c r="C355" s="146" t="s">
        <v>4124</v>
      </c>
      <c r="D355" s="147" t="s">
        <v>4795</v>
      </c>
      <c r="E355" s="139" t="s">
        <v>4796</v>
      </c>
      <c r="F355" s="61" t="s">
        <v>1492</v>
      </c>
      <c r="G355" s="92">
        <f>ROUND(G354*2/3,1)</f>
        <v>2.3</v>
      </c>
      <c r="H355" s="127"/>
      <c r="I355" s="149"/>
      <c r="J355" s="95">
        <f>ROUND(J354*2/3,0)</f>
        <v>49</v>
      </c>
      <c r="K355" s="160"/>
      <c r="L355" s="119">
        <f>ROUND(L354*2/3,1)</f>
        <v>1.2</v>
      </c>
      <c r="M355" s="128"/>
      <c r="N355" s="99">
        <f>ROUND(N354*2/3,0)</f>
        <v>0</v>
      </c>
      <c r="O355" s="129"/>
      <c r="P355" s="101">
        <f>ROUND(P354*2/3,0)</f>
        <v>0</v>
      </c>
      <c r="Q355" s="130"/>
      <c r="R355" s="103">
        <f>ROUND(R354*2/3,0)</f>
        <v>0</v>
      </c>
      <c r="S355" s="131"/>
      <c r="T355" s="105">
        <f>ROUND(T354*2/3,0)</f>
        <v>0</v>
      </c>
      <c r="U355" s="132"/>
      <c r="V355" s="107">
        <f>ROUND(V354*2/3,0)</f>
        <v>0</v>
      </c>
      <c r="W355" s="133"/>
      <c r="X355" s="109">
        <f>ROUND(X354*2/3,0)</f>
        <v>0</v>
      </c>
      <c r="Y355" s="134"/>
      <c r="Z355" s="151"/>
      <c r="AA355" s="151"/>
    </row>
    <row r="356" spans="1:27">
      <c r="A356" s="144" t="s">
        <v>8097</v>
      </c>
      <c r="B356" s="145" t="s">
        <v>7272</v>
      </c>
      <c r="C356" s="146" t="s">
        <v>4133</v>
      </c>
      <c r="D356" s="147" t="s">
        <v>4797</v>
      </c>
      <c r="E356" s="139" t="s">
        <v>4798</v>
      </c>
      <c r="F356" s="61" t="s">
        <v>8117</v>
      </c>
      <c r="G356" s="92">
        <f t="shared" ref="G356:L356" si="466">G360</f>
        <v>0.8</v>
      </c>
      <c r="H356" s="93">
        <f t="shared" ref="H356:M356" si="467">SUM(G356:G360)</f>
        <v>5.2</v>
      </c>
      <c r="I356" s="149" t="s">
        <v>8118</v>
      </c>
      <c r="J356" s="95">
        <f t="shared" si="466"/>
        <v>18</v>
      </c>
      <c r="K356" s="160">
        <f t="shared" si="467"/>
        <v>117</v>
      </c>
      <c r="L356" s="119">
        <f t="shared" si="466"/>
        <v>1.2</v>
      </c>
      <c r="M356" s="98">
        <f t="shared" si="467"/>
        <v>7.8</v>
      </c>
      <c r="N356" s="99">
        <f t="shared" ref="N356:R356" si="468">N360</f>
        <v>0</v>
      </c>
      <c r="O356" s="100">
        <f t="shared" ref="O356:S356" si="469">SUM(N356:N360)</f>
        <v>0</v>
      </c>
      <c r="P356" s="101">
        <f t="shared" si="468"/>
        <v>6</v>
      </c>
      <c r="Q356" s="102">
        <f t="shared" si="469"/>
        <v>39</v>
      </c>
      <c r="R356" s="103">
        <f t="shared" si="468"/>
        <v>0</v>
      </c>
      <c r="S356" s="104">
        <f t="shared" si="469"/>
        <v>0</v>
      </c>
      <c r="T356" s="105">
        <f t="shared" ref="T356:X356" si="470">T360</f>
        <v>0</v>
      </c>
      <c r="U356" s="106">
        <f t="shared" ref="U356:Y356" si="471">SUM(T356:T360)</f>
        <v>0</v>
      </c>
      <c r="V356" s="107">
        <f t="shared" si="470"/>
        <v>0</v>
      </c>
      <c r="W356" s="108">
        <f t="shared" si="471"/>
        <v>0</v>
      </c>
      <c r="X356" s="109">
        <f t="shared" si="470"/>
        <v>0</v>
      </c>
      <c r="Y356" s="110">
        <f t="shared" si="471"/>
        <v>0</v>
      </c>
      <c r="Z356" s="151"/>
      <c r="AA356" s="151"/>
    </row>
    <row r="357" spans="1:27">
      <c r="A357" s="144"/>
      <c r="B357" s="145"/>
      <c r="C357" s="146" t="s">
        <v>4115</v>
      </c>
      <c r="D357" s="147" t="s">
        <v>4799</v>
      </c>
      <c r="E357" s="139" t="s">
        <v>4800</v>
      </c>
      <c r="F357" s="61" t="s">
        <v>8119</v>
      </c>
      <c r="G357" s="92">
        <f t="shared" ref="G357:L357" si="472">G360*2</f>
        <v>1.6</v>
      </c>
      <c r="H357" s="117"/>
      <c r="I357" s="149"/>
      <c r="J357" s="95">
        <f t="shared" si="472"/>
        <v>36</v>
      </c>
      <c r="K357" s="160"/>
      <c r="L357" s="119">
        <f t="shared" si="472"/>
        <v>2.4</v>
      </c>
      <c r="M357" s="120"/>
      <c r="N357" s="99">
        <f t="shared" ref="N357:R357" si="473">N360*2</f>
        <v>0</v>
      </c>
      <c r="O357" s="121"/>
      <c r="P357" s="101">
        <f t="shared" si="473"/>
        <v>12</v>
      </c>
      <c r="Q357" s="122"/>
      <c r="R357" s="103">
        <f t="shared" si="473"/>
        <v>0</v>
      </c>
      <c r="S357" s="123"/>
      <c r="T357" s="105">
        <f t="shared" ref="T357:X357" si="474">T360*2</f>
        <v>0</v>
      </c>
      <c r="U357" s="124"/>
      <c r="V357" s="107">
        <f t="shared" si="474"/>
        <v>0</v>
      </c>
      <c r="W357" s="125"/>
      <c r="X357" s="109">
        <f t="shared" si="474"/>
        <v>0</v>
      </c>
      <c r="Y357" s="126"/>
      <c r="Z357" s="151"/>
      <c r="AA357" s="151"/>
    </row>
    <row r="358" spans="1:27">
      <c r="A358" s="144"/>
      <c r="B358" s="145"/>
      <c r="C358" s="146" t="s">
        <v>4118</v>
      </c>
      <c r="D358" s="147" t="s">
        <v>4801</v>
      </c>
      <c r="E358" s="139" t="s">
        <v>4802</v>
      </c>
      <c r="F358" s="61" t="s">
        <v>8117</v>
      </c>
      <c r="G358" s="92">
        <f t="shared" ref="G358:L358" si="475">G360</f>
        <v>0.8</v>
      </c>
      <c r="H358" s="117"/>
      <c r="I358" s="149"/>
      <c r="J358" s="95">
        <f t="shared" si="475"/>
        <v>18</v>
      </c>
      <c r="K358" s="160"/>
      <c r="L358" s="119">
        <f t="shared" si="475"/>
        <v>1.2</v>
      </c>
      <c r="M358" s="120"/>
      <c r="N358" s="99">
        <f t="shared" ref="N358:R358" si="476">N360</f>
        <v>0</v>
      </c>
      <c r="O358" s="121"/>
      <c r="P358" s="101">
        <f t="shared" si="476"/>
        <v>6</v>
      </c>
      <c r="Q358" s="122"/>
      <c r="R358" s="103">
        <f t="shared" si="476"/>
        <v>0</v>
      </c>
      <c r="S358" s="123"/>
      <c r="T358" s="105">
        <f t="shared" ref="T358:X358" si="477">T360</f>
        <v>0</v>
      </c>
      <c r="U358" s="124"/>
      <c r="V358" s="107">
        <f t="shared" si="477"/>
        <v>0</v>
      </c>
      <c r="W358" s="125"/>
      <c r="X358" s="109">
        <f t="shared" si="477"/>
        <v>0</v>
      </c>
      <c r="Y358" s="126"/>
      <c r="Z358" s="151"/>
      <c r="AA358" s="151"/>
    </row>
    <row r="359" spans="1:27">
      <c r="A359" s="144"/>
      <c r="B359" s="145"/>
      <c r="C359" s="146" t="s">
        <v>4121</v>
      </c>
      <c r="D359" s="147" t="s">
        <v>4803</v>
      </c>
      <c r="E359" s="139" t="s">
        <v>4804</v>
      </c>
      <c r="F359" s="61" t="s">
        <v>8120</v>
      </c>
      <c r="G359" s="92">
        <v>1.2</v>
      </c>
      <c r="H359" s="117"/>
      <c r="I359" s="149"/>
      <c r="J359" s="95">
        <v>27</v>
      </c>
      <c r="K359" s="160"/>
      <c r="L359" s="119">
        <v>1.8</v>
      </c>
      <c r="M359" s="120"/>
      <c r="N359" s="99">
        <v>0</v>
      </c>
      <c r="O359" s="121"/>
      <c r="P359" s="101">
        <v>9</v>
      </c>
      <c r="Q359" s="122"/>
      <c r="R359" s="103">
        <v>0</v>
      </c>
      <c r="S359" s="123"/>
      <c r="T359" s="105">
        <v>0</v>
      </c>
      <c r="U359" s="124"/>
      <c r="V359" s="107">
        <v>0</v>
      </c>
      <c r="W359" s="125"/>
      <c r="X359" s="109">
        <v>0</v>
      </c>
      <c r="Y359" s="126"/>
      <c r="Z359" s="151"/>
      <c r="AA359" s="151"/>
    </row>
    <row r="360" spans="1:27">
      <c r="A360" s="144"/>
      <c r="B360" s="145"/>
      <c r="C360" s="146" t="s">
        <v>4124</v>
      </c>
      <c r="D360" s="147" t="s">
        <v>4805</v>
      </c>
      <c r="E360" s="139" t="s">
        <v>4806</v>
      </c>
      <c r="F360" s="61" t="s">
        <v>8117</v>
      </c>
      <c r="G360" s="92">
        <f>ROUND(G359*2/3,1)</f>
        <v>0.8</v>
      </c>
      <c r="H360" s="127"/>
      <c r="I360" s="149"/>
      <c r="J360" s="95">
        <f>ROUND(J359*2/3,0)</f>
        <v>18</v>
      </c>
      <c r="K360" s="160"/>
      <c r="L360" s="119">
        <f>ROUND(L359*2/3,1)</f>
        <v>1.2</v>
      </c>
      <c r="M360" s="128"/>
      <c r="N360" s="99">
        <f>ROUND(N359*2/3,0)</f>
        <v>0</v>
      </c>
      <c r="O360" s="129"/>
      <c r="P360" s="101">
        <f>ROUND(P359*2/3,0)</f>
        <v>6</v>
      </c>
      <c r="Q360" s="130"/>
      <c r="R360" s="103">
        <f>ROUND(R359*2/3,0)</f>
        <v>0</v>
      </c>
      <c r="S360" s="131"/>
      <c r="T360" s="105">
        <f>ROUND(T359*2/3,0)</f>
        <v>0</v>
      </c>
      <c r="U360" s="132"/>
      <c r="V360" s="107">
        <f>ROUND(V359*2/3,0)</f>
        <v>0</v>
      </c>
      <c r="W360" s="133"/>
      <c r="X360" s="109">
        <f>ROUND(X359*2/3,0)</f>
        <v>0</v>
      </c>
      <c r="Y360" s="134"/>
      <c r="Z360" s="151"/>
      <c r="AA360" s="151"/>
    </row>
    <row r="361" spans="1:27">
      <c r="A361" s="144" t="s">
        <v>8100</v>
      </c>
      <c r="B361" s="145" t="s">
        <v>8121</v>
      </c>
      <c r="C361" s="146" t="s">
        <v>4133</v>
      </c>
      <c r="D361" s="147" t="s">
        <v>4807</v>
      </c>
      <c r="E361" s="139" t="s">
        <v>4808</v>
      </c>
      <c r="F361" s="58" t="s">
        <v>7912</v>
      </c>
      <c r="G361" s="92">
        <f t="shared" ref="G361:L361" si="478">G365</f>
        <v>1.8</v>
      </c>
      <c r="H361" s="93">
        <f t="shared" ref="H361:M361" si="479">SUM(G361:G365)</f>
        <v>11.7</v>
      </c>
      <c r="I361" s="149" t="s">
        <v>8122</v>
      </c>
      <c r="J361" s="95">
        <f t="shared" si="478"/>
        <v>28</v>
      </c>
      <c r="K361" s="160">
        <f t="shared" si="479"/>
        <v>182</v>
      </c>
      <c r="L361" s="119">
        <f t="shared" si="478"/>
        <v>2.3</v>
      </c>
      <c r="M361" s="98">
        <f t="shared" si="479"/>
        <v>15</v>
      </c>
      <c r="N361" s="99">
        <f t="shared" ref="N361:R361" si="480">N365</f>
        <v>0</v>
      </c>
      <c r="O361" s="100">
        <f t="shared" ref="O361:S361" si="481">SUM(N361:N365)</f>
        <v>0</v>
      </c>
      <c r="P361" s="101">
        <f t="shared" si="480"/>
        <v>0</v>
      </c>
      <c r="Q361" s="102">
        <f t="shared" si="481"/>
        <v>0</v>
      </c>
      <c r="R361" s="103">
        <f t="shared" si="480"/>
        <v>0</v>
      </c>
      <c r="S361" s="104">
        <f t="shared" si="481"/>
        <v>0</v>
      </c>
      <c r="T361" s="105">
        <f t="shared" ref="T361:X361" si="482">T365</f>
        <v>0</v>
      </c>
      <c r="U361" s="106">
        <f t="shared" ref="U361:Y361" si="483">SUM(T361:T365)</f>
        <v>0</v>
      </c>
      <c r="V361" s="107">
        <f t="shared" si="482"/>
        <v>0</v>
      </c>
      <c r="W361" s="108">
        <f t="shared" si="483"/>
        <v>0</v>
      </c>
      <c r="X361" s="109">
        <f t="shared" si="482"/>
        <v>0</v>
      </c>
      <c r="Y361" s="110">
        <f t="shared" si="483"/>
        <v>0</v>
      </c>
      <c r="Z361" s="151"/>
      <c r="AA361" s="151"/>
    </row>
    <row r="362" spans="1:27">
      <c r="A362" s="144"/>
      <c r="B362" s="145"/>
      <c r="C362" s="146" t="s">
        <v>4115</v>
      </c>
      <c r="D362" s="147" t="s">
        <v>4809</v>
      </c>
      <c r="E362" s="139" t="s">
        <v>4810</v>
      </c>
      <c r="F362" s="58" t="s">
        <v>8040</v>
      </c>
      <c r="G362" s="92">
        <f t="shared" ref="G362:L362" si="484">G365*2</f>
        <v>3.6</v>
      </c>
      <c r="H362" s="117"/>
      <c r="I362" s="149"/>
      <c r="J362" s="95">
        <f t="shared" si="484"/>
        <v>56</v>
      </c>
      <c r="K362" s="160"/>
      <c r="L362" s="119">
        <f t="shared" si="484"/>
        <v>4.6</v>
      </c>
      <c r="M362" s="120"/>
      <c r="N362" s="99">
        <f t="shared" ref="N362:R362" si="485">N365*2</f>
        <v>0</v>
      </c>
      <c r="O362" s="121"/>
      <c r="P362" s="101">
        <f t="shared" si="485"/>
        <v>0</v>
      </c>
      <c r="Q362" s="122"/>
      <c r="R362" s="103">
        <f t="shared" si="485"/>
        <v>0</v>
      </c>
      <c r="S362" s="123"/>
      <c r="T362" s="105">
        <f t="shared" ref="T362:X362" si="486">T365*2</f>
        <v>0</v>
      </c>
      <c r="U362" s="124"/>
      <c r="V362" s="107">
        <f t="shared" si="486"/>
        <v>0</v>
      </c>
      <c r="W362" s="125"/>
      <c r="X362" s="109">
        <f t="shared" si="486"/>
        <v>0</v>
      </c>
      <c r="Y362" s="126"/>
      <c r="Z362" s="151"/>
      <c r="AA362" s="151"/>
    </row>
    <row r="363" spans="1:27">
      <c r="A363" s="144"/>
      <c r="B363" s="145"/>
      <c r="C363" s="146" t="s">
        <v>4118</v>
      </c>
      <c r="D363" s="147" t="s">
        <v>4811</v>
      </c>
      <c r="E363" s="139" t="s">
        <v>4812</v>
      </c>
      <c r="F363" s="58" t="s">
        <v>7912</v>
      </c>
      <c r="G363" s="92">
        <f t="shared" ref="G363:L363" si="487">G365</f>
        <v>1.8</v>
      </c>
      <c r="H363" s="117"/>
      <c r="I363" s="149"/>
      <c r="J363" s="95">
        <f t="shared" si="487"/>
        <v>28</v>
      </c>
      <c r="K363" s="160"/>
      <c r="L363" s="119">
        <f t="shared" si="487"/>
        <v>2.3</v>
      </c>
      <c r="M363" s="120"/>
      <c r="N363" s="99">
        <f t="shared" ref="N363:R363" si="488">N365</f>
        <v>0</v>
      </c>
      <c r="O363" s="121"/>
      <c r="P363" s="101">
        <f t="shared" si="488"/>
        <v>0</v>
      </c>
      <c r="Q363" s="122"/>
      <c r="R363" s="103">
        <f t="shared" si="488"/>
        <v>0</v>
      </c>
      <c r="S363" s="123"/>
      <c r="T363" s="105">
        <f t="shared" ref="T363:X363" si="489">T365</f>
        <v>0</v>
      </c>
      <c r="U363" s="124"/>
      <c r="V363" s="107">
        <f t="shared" si="489"/>
        <v>0</v>
      </c>
      <c r="W363" s="125"/>
      <c r="X363" s="109">
        <f t="shared" si="489"/>
        <v>0</v>
      </c>
      <c r="Y363" s="126"/>
      <c r="Z363" s="151"/>
      <c r="AA363" s="151"/>
    </row>
    <row r="364" spans="1:27">
      <c r="A364" s="144"/>
      <c r="B364" s="145"/>
      <c r="C364" s="146" t="s">
        <v>4121</v>
      </c>
      <c r="D364" s="147" t="s">
        <v>4813</v>
      </c>
      <c r="E364" s="139" t="s">
        <v>4814</v>
      </c>
      <c r="F364" s="156" t="s">
        <v>8041</v>
      </c>
      <c r="G364" s="92">
        <v>2.7</v>
      </c>
      <c r="H364" s="117"/>
      <c r="I364" s="149"/>
      <c r="J364" s="95">
        <v>42</v>
      </c>
      <c r="K364" s="160"/>
      <c r="L364" s="119">
        <v>3.5</v>
      </c>
      <c r="M364" s="120"/>
      <c r="N364" s="99">
        <v>0</v>
      </c>
      <c r="O364" s="121"/>
      <c r="P364" s="101">
        <v>0</v>
      </c>
      <c r="Q364" s="122"/>
      <c r="R364" s="103">
        <v>0</v>
      </c>
      <c r="S364" s="123"/>
      <c r="T364" s="105">
        <v>0</v>
      </c>
      <c r="U364" s="124"/>
      <c r="V364" s="107">
        <v>0</v>
      </c>
      <c r="W364" s="125"/>
      <c r="X364" s="109">
        <v>0</v>
      </c>
      <c r="Y364" s="126"/>
      <c r="Z364" s="151"/>
      <c r="AA364" s="151"/>
    </row>
    <row r="365" spans="1:27">
      <c r="A365" s="144"/>
      <c r="B365" s="145"/>
      <c r="C365" s="146" t="s">
        <v>4124</v>
      </c>
      <c r="D365" s="147" t="s">
        <v>4815</v>
      </c>
      <c r="E365" s="139" t="s">
        <v>4816</v>
      </c>
      <c r="F365" s="58" t="s">
        <v>7912</v>
      </c>
      <c r="G365" s="92">
        <f>ROUND(G364*2/3,1)</f>
        <v>1.8</v>
      </c>
      <c r="H365" s="127"/>
      <c r="I365" s="149"/>
      <c r="J365" s="95">
        <f>ROUND(J364*2/3,0)</f>
        <v>28</v>
      </c>
      <c r="K365" s="160"/>
      <c r="L365" s="119">
        <f>ROUND(L364*2/3,1)</f>
        <v>2.3</v>
      </c>
      <c r="M365" s="128"/>
      <c r="N365" s="99">
        <f>ROUND(N364*2/3,0)</f>
        <v>0</v>
      </c>
      <c r="O365" s="129"/>
      <c r="P365" s="101">
        <f>ROUND(P364*2/3,0)</f>
        <v>0</v>
      </c>
      <c r="Q365" s="130"/>
      <c r="R365" s="103">
        <f>ROUND(R364*2/3,0)</f>
        <v>0</v>
      </c>
      <c r="S365" s="131"/>
      <c r="T365" s="105">
        <f>ROUND(T364*2/3,0)</f>
        <v>0</v>
      </c>
      <c r="U365" s="132"/>
      <c r="V365" s="107">
        <f>ROUND(V364*2/3,0)</f>
        <v>0</v>
      </c>
      <c r="W365" s="133"/>
      <c r="X365" s="109">
        <f>ROUND(X364*2/3,0)</f>
        <v>0</v>
      </c>
      <c r="Y365" s="134"/>
      <c r="Z365" s="151"/>
      <c r="AA365" s="151"/>
    </row>
    <row r="366" spans="1:27">
      <c r="A366" s="144" t="s">
        <v>8097</v>
      </c>
      <c r="B366" s="145" t="s">
        <v>6886</v>
      </c>
      <c r="C366" s="146"/>
      <c r="F366" s="156"/>
      <c r="G366" s="92"/>
      <c r="H366" s="93">
        <f t="shared" ref="H366:M366" si="490">SUM(G366:G370)</f>
        <v>4.4</v>
      </c>
      <c r="I366" s="149" t="s">
        <v>8123</v>
      </c>
      <c r="J366" s="95"/>
      <c r="K366" s="160">
        <f t="shared" si="490"/>
        <v>99</v>
      </c>
      <c r="L366" s="119"/>
      <c r="M366" s="98">
        <f t="shared" si="490"/>
        <v>6.6</v>
      </c>
      <c r="N366" s="99"/>
      <c r="O366" s="100">
        <f t="shared" ref="O366:S366" si="491">SUM(N366:N370)</f>
        <v>0</v>
      </c>
      <c r="P366" s="101"/>
      <c r="Q366" s="102">
        <f t="shared" si="491"/>
        <v>0</v>
      </c>
      <c r="R366" s="103"/>
      <c r="S366" s="104">
        <f t="shared" si="491"/>
        <v>0</v>
      </c>
      <c r="T366" s="105"/>
      <c r="U366" s="106">
        <f t="shared" ref="U366:Y366" si="492">SUM(T366:T370)</f>
        <v>0</v>
      </c>
      <c r="V366" s="107"/>
      <c r="W366" s="108">
        <f t="shared" si="492"/>
        <v>0</v>
      </c>
      <c r="X366" s="109"/>
      <c r="Y366" s="110">
        <f t="shared" si="492"/>
        <v>0</v>
      </c>
      <c r="Z366" s="151"/>
      <c r="AA366" s="151"/>
    </row>
    <row r="367" spans="1:27">
      <c r="A367" s="144"/>
      <c r="B367" s="145"/>
      <c r="C367" s="146" t="s">
        <v>4115</v>
      </c>
      <c r="D367" s="147" t="s">
        <v>4817</v>
      </c>
      <c r="E367" s="139" t="s">
        <v>4818</v>
      </c>
      <c r="F367" s="159" t="s">
        <v>3206</v>
      </c>
      <c r="G367" s="92">
        <f t="shared" ref="G367:L367" si="493">G370*2</f>
        <v>1.6</v>
      </c>
      <c r="H367" s="117"/>
      <c r="I367" s="149"/>
      <c r="J367" s="95">
        <f t="shared" si="493"/>
        <v>36</v>
      </c>
      <c r="K367" s="160"/>
      <c r="L367" s="119">
        <f t="shared" si="493"/>
        <v>2.4</v>
      </c>
      <c r="M367" s="120"/>
      <c r="N367" s="99">
        <f t="shared" ref="N367:R367" si="494">N370*2</f>
        <v>0</v>
      </c>
      <c r="O367" s="121"/>
      <c r="P367" s="101">
        <f t="shared" si="494"/>
        <v>0</v>
      </c>
      <c r="Q367" s="122"/>
      <c r="R367" s="103">
        <f t="shared" si="494"/>
        <v>0</v>
      </c>
      <c r="S367" s="123"/>
      <c r="T367" s="105">
        <f t="shared" ref="T367:X367" si="495">T370*2</f>
        <v>0</v>
      </c>
      <c r="U367" s="124"/>
      <c r="V367" s="107">
        <f t="shared" si="495"/>
        <v>0</v>
      </c>
      <c r="W367" s="125"/>
      <c r="X367" s="109">
        <f t="shared" si="495"/>
        <v>0</v>
      </c>
      <c r="Y367" s="126"/>
      <c r="Z367" s="151"/>
      <c r="AA367" s="151"/>
    </row>
    <row r="368" spans="1:27">
      <c r="A368" s="144"/>
      <c r="B368" s="145"/>
      <c r="C368" s="146" t="s">
        <v>4118</v>
      </c>
      <c r="D368" s="147" t="s">
        <v>4819</v>
      </c>
      <c r="E368" s="139" t="s">
        <v>4820</v>
      </c>
      <c r="F368" s="148"/>
      <c r="G368" s="92">
        <f t="shared" ref="G368:L368" si="496">G370</f>
        <v>0.8</v>
      </c>
      <c r="H368" s="117"/>
      <c r="I368" s="149"/>
      <c r="J368" s="95">
        <f t="shared" si="496"/>
        <v>18</v>
      </c>
      <c r="K368" s="160"/>
      <c r="L368" s="119">
        <f t="shared" si="496"/>
        <v>1.2</v>
      </c>
      <c r="M368" s="120"/>
      <c r="N368" s="99">
        <f t="shared" ref="N368:R368" si="497">N370</f>
        <v>0</v>
      </c>
      <c r="O368" s="121"/>
      <c r="P368" s="101">
        <f t="shared" si="497"/>
        <v>0</v>
      </c>
      <c r="Q368" s="122"/>
      <c r="R368" s="103">
        <f t="shared" si="497"/>
        <v>0</v>
      </c>
      <c r="S368" s="123"/>
      <c r="T368" s="105">
        <f t="shared" ref="T368:X368" si="498">T370</f>
        <v>0</v>
      </c>
      <c r="U368" s="124"/>
      <c r="V368" s="107">
        <f t="shared" si="498"/>
        <v>0</v>
      </c>
      <c r="W368" s="125"/>
      <c r="X368" s="109">
        <f t="shared" si="498"/>
        <v>0</v>
      </c>
      <c r="Y368" s="126"/>
      <c r="Z368" s="151"/>
      <c r="AA368" s="151"/>
    </row>
    <row r="369" spans="1:27">
      <c r="A369" s="144"/>
      <c r="B369" s="145"/>
      <c r="C369" s="146" t="s">
        <v>4121</v>
      </c>
      <c r="D369" s="147" t="s">
        <v>4821</v>
      </c>
      <c r="E369" s="139" t="s">
        <v>4822</v>
      </c>
      <c r="F369" s="148"/>
      <c r="G369" s="92">
        <v>1.2</v>
      </c>
      <c r="H369" s="117"/>
      <c r="I369" s="149"/>
      <c r="J369" s="95">
        <v>27</v>
      </c>
      <c r="K369" s="160"/>
      <c r="L369" s="119">
        <v>1.8</v>
      </c>
      <c r="M369" s="120"/>
      <c r="N369" s="99">
        <v>0</v>
      </c>
      <c r="O369" s="121"/>
      <c r="P369" s="101">
        <v>0</v>
      </c>
      <c r="Q369" s="122"/>
      <c r="R369" s="103">
        <v>0</v>
      </c>
      <c r="S369" s="123"/>
      <c r="T369" s="105">
        <v>0</v>
      </c>
      <c r="U369" s="124"/>
      <c r="V369" s="107">
        <v>0</v>
      </c>
      <c r="W369" s="125"/>
      <c r="X369" s="109">
        <v>0</v>
      </c>
      <c r="Y369" s="126"/>
      <c r="Z369" s="151"/>
      <c r="AA369" s="151"/>
    </row>
    <row r="370" spans="1:27">
      <c r="A370" s="144"/>
      <c r="B370" s="145"/>
      <c r="C370" s="146" t="s">
        <v>4124</v>
      </c>
      <c r="D370" s="147" t="s">
        <v>4823</v>
      </c>
      <c r="E370" s="139" t="s">
        <v>4824</v>
      </c>
      <c r="F370" s="153"/>
      <c r="G370" s="92">
        <f>ROUND(G369*2/3,1)</f>
        <v>0.8</v>
      </c>
      <c r="H370" s="127"/>
      <c r="I370" s="149"/>
      <c r="J370" s="95">
        <f>ROUND(J369*2/3,0)</f>
        <v>18</v>
      </c>
      <c r="K370" s="160"/>
      <c r="L370" s="119">
        <f>ROUND(L369*2/3,1)</f>
        <v>1.2</v>
      </c>
      <c r="M370" s="128"/>
      <c r="N370" s="99">
        <f>ROUND(N369*2/3,0)</f>
        <v>0</v>
      </c>
      <c r="O370" s="129"/>
      <c r="P370" s="101">
        <f>ROUND(P369*2/3,0)</f>
        <v>0</v>
      </c>
      <c r="Q370" s="130"/>
      <c r="R370" s="103">
        <f>ROUND(R369*2/3,0)</f>
        <v>0</v>
      </c>
      <c r="S370" s="131"/>
      <c r="T370" s="105">
        <f>ROUND(T369*2/3,0)</f>
        <v>0</v>
      </c>
      <c r="U370" s="132"/>
      <c r="V370" s="107">
        <f>ROUND(V369*2/3,0)</f>
        <v>0</v>
      </c>
      <c r="W370" s="133"/>
      <c r="X370" s="109">
        <f>ROUND(X369*2/3,0)</f>
        <v>0</v>
      </c>
      <c r="Y370" s="134"/>
      <c r="Z370" s="151"/>
      <c r="AA370" s="151"/>
    </row>
    <row r="371" spans="1:27">
      <c r="A371" s="144" t="s">
        <v>8100</v>
      </c>
      <c r="B371" s="145" t="s">
        <v>7089</v>
      </c>
      <c r="C371" s="146" t="s">
        <v>4133</v>
      </c>
      <c r="D371" s="147" t="s">
        <v>4825</v>
      </c>
      <c r="E371" s="139" t="s">
        <v>4826</v>
      </c>
      <c r="F371" s="61" t="s">
        <v>1388</v>
      </c>
      <c r="G371" s="92">
        <f t="shared" ref="G371:L371" si="499">G375</f>
        <v>2.7</v>
      </c>
      <c r="H371" s="93">
        <f t="shared" ref="H371:M371" si="500">SUM(G371:G375)</f>
        <v>17.6</v>
      </c>
      <c r="I371" s="149" t="s">
        <v>8124</v>
      </c>
      <c r="J371" s="95">
        <f t="shared" si="499"/>
        <v>49</v>
      </c>
      <c r="K371" s="160">
        <f t="shared" si="500"/>
        <v>319</v>
      </c>
      <c r="L371" s="119">
        <f t="shared" si="499"/>
        <v>2.3</v>
      </c>
      <c r="M371" s="98">
        <f t="shared" si="500"/>
        <v>15</v>
      </c>
      <c r="N371" s="99">
        <f t="shared" ref="N371:R371" si="501">N375</f>
        <v>0</v>
      </c>
      <c r="O371" s="100">
        <f t="shared" ref="O371:S371" si="502">SUM(N371:N375)</f>
        <v>0</v>
      </c>
      <c r="P371" s="101">
        <f t="shared" si="501"/>
        <v>0</v>
      </c>
      <c r="Q371" s="102">
        <f t="shared" si="502"/>
        <v>0</v>
      </c>
      <c r="R371" s="103">
        <f t="shared" si="501"/>
        <v>0</v>
      </c>
      <c r="S371" s="104">
        <f t="shared" si="502"/>
        <v>0</v>
      </c>
      <c r="T371" s="105">
        <f t="shared" ref="T371:X371" si="503">T375</f>
        <v>0</v>
      </c>
      <c r="U371" s="106">
        <f t="shared" ref="U371:Y371" si="504">SUM(T371:T375)</f>
        <v>0</v>
      </c>
      <c r="V371" s="107">
        <f t="shared" si="503"/>
        <v>0</v>
      </c>
      <c r="W371" s="108">
        <f t="shared" si="504"/>
        <v>0</v>
      </c>
      <c r="X371" s="109">
        <f t="shared" si="503"/>
        <v>8</v>
      </c>
      <c r="Y371" s="110">
        <f t="shared" si="504"/>
        <v>52</v>
      </c>
      <c r="Z371" s="151"/>
      <c r="AA371" s="151"/>
    </row>
    <row r="372" spans="1:27">
      <c r="A372" s="144"/>
      <c r="B372" s="145"/>
      <c r="C372" s="146" t="s">
        <v>4115</v>
      </c>
      <c r="D372" s="147" t="s">
        <v>4827</v>
      </c>
      <c r="E372" s="139" t="s">
        <v>4828</v>
      </c>
      <c r="F372" s="61" t="s">
        <v>1390</v>
      </c>
      <c r="G372" s="92">
        <f t="shared" ref="G372:L372" si="505">G375*2</f>
        <v>5.4</v>
      </c>
      <c r="H372" s="117"/>
      <c r="I372" s="149"/>
      <c r="J372" s="95">
        <f t="shared" si="505"/>
        <v>98</v>
      </c>
      <c r="K372" s="160"/>
      <c r="L372" s="119">
        <f t="shared" si="505"/>
        <v>4.6</v>
      </c>
      <c r="M372" s="120"/>
      <c r="N372" s="99">
        <f t="shared" ref="N372:R372" si="506">N375*2</f>
        <v>0</v>
      </c>
      <c r="O372" s="121"/>
      <c r="P372" s="101">
        <f t="shared" si="506"/>
        <v>0</v>
      </c>
      <c r="Q372" s="122"/>
      <c r="R372" s="103">
        <f t="shared" si="506"/>
        <v>0</v>
      </c>
      <c r="S372" s="123"/>
      <c r="T372" s="105">
        <f t="shared" ref="T372:X372" si="507">T375*2</f>
        <v>0</v>
      </c>
      <c r="U372" s="124"/>
      <c r="V372" s="107">
        <f t="shared" si="507"/>
        <v>0</v>
      </c>
      <c r="W372" s="125"/>
      <c r="X372" s="109">
        <f t="shared" si="507"/>
        <v>16</v>
      </c>
      <c r="Y372" s="126"/>
      <c r="Z372" s="151"/>
      <c r="AA372" s="151"/>
    </row>
    <row r="373" spans="1:27">
      <c r="A373" s="144"/>
      <c r="B373" s="145"/>
      <c r="C373" s="146" t="s">
        <v>4118</v>
      </c>
      <c r="D373" s="147" t="s">
        <v>4829</v>
      </c>
      <c r="E373" s="139" t="s">
        <v>4830</v>
      </c>
      <c r="F373" s="61" t="s">
        <v>1388</v>
      </c>
      <c r="G373" s="92">
        <f t="shared" ref="G373:L373" si="508">G375</f>
        <v>2.7</v>
      </c>
      <c r="H373" s="117"/>
      <c r="I373" s="149"/>
      <c r="J373" s="95">
        <f t="shared" si="508"/>
        <v>49</v>
      </c>
      <c r="K373" s="160"/>
      <c r="L373" s="119">
        <f t="shared" si="508"/>
        <v>2.3</v>
      </c>
      <c r="M373" s="120"/>
      <c r="N373" s="99">
        <f t="shared" ref="N373:R373" si="509">N375</f>
        <v>0</v>
      </c>
      <c r="O373" s="121"/>
      <c r="P373" s="101">
        <f t="shared" si="509"/>
        <v>0</v>
      </c>
      <c r="Q373" s="122"/>
      <c r="R373" s="103">
        <f t="shared" si="509"/>
        <v>0</v>
      </c>
      <c r="S373" s="123"/>
      <c r="T373" s="105">
        <f t="shared" ref="T373:X373" si="510">T375</f>
        <v>0</v>
      </c>
      <c r="U373" s="124"/>
      <c r="V373" s="107">
        <f t="shared" si="510"/>
        <v>0</v>
      </c>
      <c r="W373" s="125"/>
      <c r="X373" s="109">
        <f t="shared" si="510"/>
        <v>8</v>
      </c>
      <c r="Y373" s="126"/>
      <c r="Z373" s="151"/>
      <c r="AA373" s="151"/>
    </row>
    <row r="374" spans="1:27">
      <c r="A374" s="144"/>
      <c r="B374" s="145"/>
      <c r="C374" s="146" t="s">
        <v>4121</v>
      </c>
      <c r="D374" s="147" t="s">
        <v>4831</v>
      </c>
      <c r="E374" s="139" t="s">
        <v>4832</v>
      </c>
      <c r="F374" s="156" t="s">
        <v>1388</v>
      </c>
      <c r="G374" s="92">
        <v>4.1</v>
      </c>
      <c r="H374" s="117"/>
      <c r="I374" s="149"/>
      <c r="J374" s="95">
        <v>74</v>
      </c>
      <c r="K374" s="160"/>
      <c r="L374" s="119">
        <v>3.5</v>
      </c>
      <c r="M374" s="120"/>
      <c r="N374" s="99">
        <v>0</v>
      </c>
      <c r="O374" s="121"/>
      <c r="P374" s="101">
        <v>0</v>
      </c>
      <c r="Q374" s="122"/>
      <c r="R374" s="103">
        <v>0</v>
      </c>
      <c r="S374" s="123"/>
      <c r="T374" s="105">
        <v>0</v>
      </c>
      <c r="U374" s="124"/>
      <c r="V374" s="107">
        <v>0</v>
      </c>
      <c r="W374" s="125"/>
      <c r="X374" s="109">
        <v>12</v>
      </c>
      <c r="Y374" s="126"/>
      <c r="Z374" s="151"/>
      <c r="AA374" s="151"/>
    </row>
    <row r="375" spans="1:27">
      <c r="A375" s="144"/>
      <c r="B375" s="145"/>
      <c r="C375" s="146" t="s">
        <v>4124</v>
      </c>
      <c r="D375" s="147" t="s">
        <v>4833</v>
      </c>
      <c r="E375" s="139" t="s">
        <v>4834</v>
      </c>
      <c r="F375" s="61" t="s">
        <v>1388</v>
      </c>
      <c r="G375" s="92">
        <f>ROUND(G374*2/3,1)</f>
        <v>2.7</v>
      </c>
      <c r="H375" s="127"/>
      <c r="I375" s="149"/>
      <c r="J375" s="95">
        <f>ROUND(J374*2/3,0)</f>
        <v>49</v>
      </c>
      <c r="K375" s="160"/>
      <c r="L375" s="119">
        <f>ROUND(L374*2/3,1)</f>
        <v>2.3</v>
      </c>
      <c r="M375" s="128"/>
      <c r="N375" s="99">
        <f>ROUND(N374*2/3,0)</f>
        <v>0</v>
      </c>
      <c r="O375" s="129"/>
      <c r="P375" s="101">
        <f>ROUND(P374*2/3,0)</f>
        <v>0</v>
      </c>
      <c r="Q375" s="130"/>
      <c r="R375" s="103">
        <f>ROUND(R374*2/3,0)</f>
        <v>0</v>
      </c>
      <c r="S375" s="131"/>
      <c r="T375" s="105">
        <f>ROUND(T374*2/3,0)</f>
        <v>0</v>
      </c>
      <c r="U375" s="132"/>
      <c r="V375" s="107">
        <f>ROUND(V374*2/3,0)</f>
        <v>0</v>
      </c>
      <c r="W375" s="133"/>
      <c r="X375" s="109">
        <f>ROUND(X374*2/3,0)</f>
        <v>8</v>
      </c>
      <c r="Y375" s="134"/>
      <c r="Z375" s="151"/>
      <c r="AA375" s="151"/>
    </row>
    <row r="376" spans="1:27">
      <c r="A376" s="144" t="s">
        <v>8100</v>
      </c>
      <c r="B376" s="145" t="s">
        <v>7226</v>
      </c>
      <c r="C376" s="146" t="s">
        <v>4133</v>
      </c>
      <c r="D376" s="147" t="s">
        <v>4835</v>
      </c>
      <c r="E376" s="139" t="s">
        <v>4836</v>
      </c>
      <c r="F376" s="156"/>
      <c r="G376" s="92">
        <f t="shared" ref="G376:L376" si="511">G380</f>
        <v>1.7</v>
      </c>
      <c r="H376" s="93">
        <f t="shared" ref="H376:M376" si="512">SUM(G376:G380)</f>
        <v>11.1</v>
      </c>
      <c r="I376" s="149" t="s">
        <v>8125</v>
      </c>
      <c r="J376" s="95">
        <f t="shared" si="511"/>
        <v>28</v>
      </c>
      <c r="K376" s="160">
        <f t="shared" si="512"/>
        <v>182</v>
      </c>
      <c r="L376" s="119">
        <f t="shared" si="511"/>
        <v>1.2</v>
      </c>
      <c r="M376" s="98">
        <f t="shared" si="512"/>
        <v>7.8</v>
      </c>
      <c r="N376" s="99">
        <f t="shared" ref="N376:R376" si="513">N380</f>
        <v>0</v>
      </c>
      <c r="O376" s="100">
        <f t="shared" ref="O376:S376" si="514">SUM(N376:N380)</f>
        <v>0</v>
      </c>
      <c r="P376" s="101">
        <f t="shared" si="513"/>
        <v>0</v>
      </c>
      <c r="Q376" s="102">
        <f t="shared" si="514"/>
        <v>0</v>
      </c>
      <c r="R376" s="103">
        <f t="shared" si="513"/>
        <v>0</v>
      </c>
      <c r="S376" s="104">
        <f t="shared" si="514"/>
        <v>0</v>
      </c>
      <c r="T376" s="105">
        <f t="shared" ref="T376:X376" si="515">T380</f>
        <v>0</v>
      </c>
      <c r="U376" s="106">
        <f t="shared" ref="U376:Y376" si="516">SUM(T376:T380)</f>
        <v>0</v>
      </c>
      <c r="V376" s="107">
        <f t="shared" si="515"/>
        <v>0</v>
      </c>
      <c r="W376" s="108">
        <f t="shared" si="516"/>
        <v>0</v>
      </c>
      <c r="X376" s="109">
        <f t="shared" si="515"/>
        <v>0</v>
      </c>
      <c r="Y376" s="110">
        <f t="shared" si="516"/>
        <v>0</v>
      </c>
      <c r="Z376" s="151"/>
      <c r="AA376" s="151"/>
    </row>
    <row r="377" spans="1:27">
      <c r="A377" s="144"/>
      <c r="B377" s="145"/>
      <c r="C377" s="146" t="s">
        <v>4115</v>
      </c>
      <c r="D377" s="147" t="s">
        <v>4837</v>
      </c>
      <c r="E377" s="139" t="s">
        <v>4838</v>
      </c>
      <c r="F377" s="156"/>
      <c r="G377" s="92">
        <f t="shared" ref="G377:L377" si="517">G380*2</f>
        <v>3.4</v>
      </c>
      <c r="H377" s="117"/>
      <c r="I377" s="149"/>
      <c r="J377" s="95">
        <f t="shared" si="517"/>
        <v>56</v>
      </c>
      <c r="K377" s="160"/>
      <c r="L377" s="119">
        <f t="shared" si="517"/>
        <v>2.4</v>
      </c>
      <c r="M377" s="120"/>
      <c r="N377" s="99">
        <f t="shared" ref="N377:R377" si="518">N380*2</f>
        <v>0</v>
      </c>
      <c r="O377" s="121"/>
      <c r="P377" s="101">
        <f t="shared" si="518"/>
        <v>0</v>
      </c>
      <c r="Q377" s="122"/>
      <c r="R377" s="103">
        <f t="shared" si="518"/>
        <v>0</v>
      </c>
      <c r="S377" s="123"/>
      <c r="T377" s="105">
        <f t="shared" ref="T377:X377" si="519">T380*2</f>
        <v>0</v>
      </c>
      <c r="U377" s="124"/>
      <c r="V377" s="107">
        <f t="shared" si="519"/>
        <v>0</v>
      </c>
      <c r="W377" s="125"/>
      <c r="X377" s="109">
        <f t="shared" si="519"/>
        <v>0</v>
      </c>
      <c r="Y377" s="126"/>
      <c r="Z377" s="151"/>
      <c r="AA377" s="151"/>
    </row>
    <row r="378" spans="1:27">
      <c r="A378" s="144"/>
      <c r="B378" s="145"/>
      <c r="C378" s="146" t="s">
        <v>4118</v>
      </c>
      <c r="D378" s="147" t="s">
        <v>4839</v>
      </c>
      <c r="E378" s="139" t="s">
        <v>4840</v>
      </c>
      <c r="F378" s="156"/>
      <c r="G378" s="92">
        <f t="shared" ref="G378:L378" si="520">G380</f>
        <v>1.7</v>
      </c>
      <c r="H378" s="117"/>
      <c r="I378" s="149"/>
      <c r="J378" s="95">
        <f t="shared" si="520"/>
        <v>28</v>
      </c>
      <c r="K378" s="160"/>
      <c r="L378" s="119">
        <f t="shared" si="520"/>
        <v>1.2</v>
      </c>
      <c r="M378" s="120"/>
      <c r="N378" s="99">
        <f t="shared" ref="N378:R378" si="521">N380</f>
        <v>0</v>
      </c>
      <c r="O378" s="121"/>
      <c r="P378" s="101">
        <f t="shared" si="521"/>
        <v>0</v>
      </c>
      <c r="Q378" s="122"/>
      <c r="R378" s="103">
        <f t="shared" si="521"/>
        <v>0</v>
      </c>
      <c r="S378" s="123"/>
      <c r="T378" s="105">
        <f t="shared" ref="T378:X378" si="522">T380</f>
        <v>0</v>
      </c>
      <c r="U378" s="124"/>
      <c r="V378" s="107">
        <f t="shared" si="522"/>
        <v>0</v>
      </c>
      <c r="W378" s="125"/>
      <c r="X378" s="109">
        <f t="shared" si="522"/>
        <v>0</v>
      </c>
      <c r="Y378" s="126"/>
      <c r="Z378" s="151"/>
      <c r="AA378" s="151"/>
    </row>
    <row r="379" spans="1:27">
      <c r="A379" s="144"/>
      <c r="B379" s="145"/>
      <c r="C379" s="146" t="s">
        <v>4121</v>
      </c>
      <c r="D379" s="147" t="s">
        <v>4841</v>
      </c>
      <c r="E379" s="139" t="s">
        <v>4842</v>
      </c>
      <c r="F379" s="156"/>
      <c r="G379" s="92">
        <v>2.6</v>
      </c>
      <c r="H379" s="117"/>
      <c r="I379" s="149"/>
      <c r="J379" s="95">
        <v>42</v>
      </c>
      <c r="K379" s="160"/>
      <c r="L379" s="119">
        <v>1.8</v>
      </c>
      <c r="M379" s="120"/>
      <c r="N379" s="99">
        <v>0</v>
      </c>
      <c r="O379" s="121"/>
      <c r="P379" s="101">
        <v>0</v>
      </c>
      <c r="Q379" s="122"/>
      <c r="R379" s="103">
        <v>0</v>
      </c>
      <c r="S379" s="123"/>
      <c r="T379" s="105">
        <v>0</v>
      </c>
      <c r="U379" s="124"/>
      <c r="V379" s="107">
        <v>0</v>
      </c>
      <c r="W379" s="125"/>
      <c r="X379" s="109">
        <v>0</v>
      </c>
      <c r="Y379" s="126"/>
      <c r="Z379" s="151"/>
      <c r="AA379" s="151"/>
    </row>
    <row r="380" spans="1:27">
      <c r="A380" s="144"/>
      <c r="B380" s="145"/>
      <c r="C380" s="146" t="s">
        <v>4124</v>
      </c>
      <c r="D380" s="147" t="s">
        <v>4843</v>
      </c>
      <c r="E380" s="139" t="s">
        <v>4844</v>
      </c>
      <c r="F380" s="156"/>
      <c r="G380" s="92">
        <f>ROUND(G379*2/3,1)</f>
        <v>1.7</v>
      </c>
      <c r="H380" s="127"/>
      <c r="I380" s="149"/>
      <c r="J380" s="95">
        <f>ROUND(J379*2/3,0)</f>
        <v>28</v>
      </c>
      <c r="K380" s="160"/>
      <c r="L380" s="119">
        <f>ROUND(L379*2/3,1)</f>
        <v>1.2</v>
      </c>
      <c r="M380" s="128"/>
      <c r="N380" s="99">
        <f>ROUND(N379*2/3,0)</f>
        <v>0</v>
      </c>
      <c r="O380" s="129"/>
      <c r="P380" s="101">
        <f>ROUND(P379*2/3,0)</f>
        <v>0</v>
      </c>
      <c r="Q380" s="130"/>
      <c r="R380" s="103">
        <f>ROUND(R379*2/3,0)</f>
        <v>0</v>
      </c>
      <c r="S380" s="131"/>
      <c r="T380" s="105">
        <f>ROUND(T379*2/3,0)</f>
        <v>0</v>
      </c>
      <c r="U380" s="132"/>
      <c r="V380" s="107">
        <f>ROUND(V379*2/3,0)</f>
        <v>0</v>
      </c>
      <c r="W380" s="133"/>
      <c r="X380" s="109">
        <f>ROUND(X379*2/3,0)</f>
        <v>0</v>
      </c>
      <c r="Y380" s="134"/>
      <c r="Z380" s="151"/>
      <c r="AA380" s="151"/>
    </row>
    <row r="381" spans="1:27">
      <c r="A381" s="144" t="s">
        <v>8100</v>
      </c>
      <c r="B381" s="145" t="s">
        <v>6716</v>
      </c>
      <c r="C381" s="146" t="s">
        <v>4133</v>
      </c>
      <c r="D381" s="147" t="s">
        <v>4845</v>
      </c>
      <c r="E381" s="139" t="s">
        <v>4846</v>
      </c>
      <c r="F381" s="159" t="s">
        <v>3216</v>
      </c>
      <c r="G381" s="92">
        <f t="shared" ref="G381:L381" si="523">G385</f>
        <v>2.5</v>
      </c>
      <c r="H381" s="93">
        <f t="shared" ref="H381:M381" si="524">SUM(G381:G385)</f>
        <v>16.3</v>
      </c>
      <c r="I381" s="149" t="s">
        <v>8126</v>
      </c>
      <c r="J381" s="95">
        <f t="shared" si="523"/>
        <v>49</v>
      </c>
      <c r="K381" s="160">
        <f t="shared" si="524"/>
        <v>319</v>
      </c>
      <c r="L381" s="119">
        <f t="shared" si="523"/>
        <v>2.3</v>
      </c>
      <c r="M381" s="98">
        <f t="shared" si="524"/>
        <v>15</v>
      </c>
      <c r="N381" s="99">
        <f t="shared" ref="N381:R381" si="525">N385</f>
        <v>0</v>
      </c>
      <c r="O381" s="100">
        <f t="shared" ref="O381:S381" si="526">SUM(N381:N385)</f>
        <v>0</v>
      </c>
      <c r="P381" s="101">
        <f t="shared" si="525"/>
        <v>0</v>
      </c>
      <c r="Q381" s="102">
        <f t="shared" si="526"/>
        <v>0</v>
      </c>
      <c r="R381" s="103">
        <f t="shared" si="525"/>
        <v>0</v>
      </c>
      <c r="S381" s="104">
        <f t="shared" si="526"/>
        <v>0</v>
      </c>
      <c r="T381" s="105">
        <f t="shared" ref="T381:X381" si="527">T385</f>
        <v>0</v>
      </c>
      <c r="U381" s="106">
        <f t="shared" ref="U381:Y381" si="528">SUM(T381:T385)</f>
        <v>0</v>
      </c>
      <c r="V381" s="107">
        <f t="shared" si="527"/>
        <v>0</v>
      </c>
      <c r="W381" s="108">
        <f t="shared" si="528"/>
        <v>0</v>
      </c>
      <c r="X381" s="109">
        <f t="shared" si="527"/>
        <v>0</v>
      </c>
      <c r="Y381" s="110">
        <f t="shared" si="528"/>
        <v>0</v>
      </c>
      <c r="Z381" s="151"/>
      <c r="AA381" s="151"/>
    </row>
    <row r="382" spans="1:27">
      <c r="A382" s="144"/>
      <c r="B382" s="145"/>
      <c r="C382" s="146" t="s">
        <v>4115</v>
      </c>
      <c r="D382" s="147" t="s">
        <v>4847</v>
      </c>
      <c r="E382" s="139" t="s">
        <v>4848</v>
      </c>
      <c r="F382" s="148"/>
      <c r="G382" s="92">
        <f t="shared" ref="G382:L382" si="529">G385*2</f>
        <v>5</v>
      </c>
      <c r="H382" s="117"/>
      <c r="I382" s="149"/>
      <c r="J382" s="95">
        <f t="shared" si="529"/>
        <v>98</v>
      </c>
      <c r="K382" s="160"/>
      <c r="L382" s="119">
        <f t="shared" si="529"/>
        <v>4.6</v>
      </c>
      <c r="M382" s="120"/>
      <c r="N382" s="99">
        <f t="shared" ref="N382:R382" si="530">N385*2</f>
        <v>0</v>
      </c>
      <c r="O382" s="121"/>
      <c r="P382" s="101">
        <f t="shared" si="530"/>
        <v>0</v>
      </c>
      <c r="Q382" s="122"/>
      <c r="R382" s="103">
        <f t="shared" si="530"/>
        <v>0</v>
      </c>
      <c r="S382" s="123"/>
      <c r="T382" s="105">
        <f t="shared" ref="T382:X382" si="531">T385*2</f>
        <v>0</v>
      </c>
      <c r="U382" s="124"/>
      <c r="V382" s="107">
        <f t="shared" si="531"/>
        <v>0</v>
      </c>
      <c r="W382" s="125"/>
      <c r="X382" s="109">
        <f t="shared" si="531"/>
        <v>0</v>
      </c>
      <c r="Y382" s="126"/>
      <c r="Z382" s="151"/>
      <c r="AA382" s="151"/>
    </row>
    <row r="383" spans="1:27">
      <c r="A383" s="144"/>
      <c r="B383" s="145"/>
      <c r="C383" s="146" t="s">
        <v>4118</v>
      </c>
      <c r="D383" s="147" t="s">
        <v>4849</v>
      </c>
      <c r="E383" s="139" t="s">
        <v>4850</v>
      </c>
      <c r="F383" s="148"/>
      <c r="G383" s="92">
        <f t="shared" ref="G383:L383" si="532">G385</f>
        <v>2.5</v>
      </c>
      <c r="H383" s="117"/>
      <c r="I383" s="149"/>
      <c r="J383" s="95">
        <f t="shared" si="532"/>
        <v>49</v>
      </c>
      <c r="K383" s="160"/>
      <c r="L383" s="119">
        <f t="shared" si="532"/>
        <v>2.3</v>
      </c>
      <c r="M383" s="120"/>
      <c r="N383" s="99">
        <f t="shared" ref="N383:R383" si="533">N385</f>
        <v>0</v>
      </c>
      <c r="O383" s="121"/>
      <c r="P383" s="101">
        <f t="shared" si="533"/>
        <v>0</v>
      </c>
      <c r="Q383" s="122"/>
      <c r="R383" s="103">
        <f t="shared" si="533"/>
        <v>0</v>
      </c>
      <c r="S383" s="123"/>
      <c r="T383" s="105">
        <f t="shared" ref="T383:X383" si="534">T385</f>
        <v>0</v>
      </c>
      <c r="U383" s="124"/>
      <c r="V383" s="107">
        <f t="shared" si="534"/>
        <v>0</v>
      </c>
      <c r="W383" s="125"/>
      <c r="X383" s="109">
        <f t="shared" si="534"/>
        <v>0</v>
      </c>
      <c r="Y383" s="126"/>
      <c r="Z383" s="151"/>
      <c r="AA383" s="151"/>
    </row>
    <row r="384" spans="1:27">
      <c r="A384" s="144"/>
      <c r="B384" s="145"/>
      <c r="C384" s="146" t="s">
        <v>4121</v>
      </c>
      <c r="D384" s="147" t="s">
        <v>4851</v>
      </c>
      <c r="E384" s="139" t="s">
        <v>4852</v>
      </c>
      <c r="F384" s="148"/>
      <c r="G384" s="92">
        <v>3.8</v>
      </c>
      <c r="H384" s="117"/>
      <c r="I384" s="149"/>
      <c r="J384" s="95">
        <v>74</v>
      </c>
      <c r="K384" s="160"/>
      <c r="L384" s="119">
        <v>3.5</v>
      </c>
      <c r="M384" s="120"/>
      <c r="N384" s="99">
        <v>0</v>
      </c>
      <c r="O384" s="121"/>
      <c r="P384" s="101">
        <v>0</v>
      </c>
      <c r="Q384" s="122"/>
      <c r="R384" s="103">
        <v>0</v>
      </c>
      <c r="S384" s="123"/>
      <c r="T384" s="105">
        <v>0</v>
      </c>
      <c r="U384" s="124"/>
      <c r="V384" s="107">
        <v>0</v>
      </c>
      <c r="W384" s="125"/>
      <c r="X384" s="109">
        <v>0</v>
      </c>
      <c r="Y384" s="126"/>
      <c r="Z384" s="151"/>
      <c r="AA384" s="151"/>
    </row>
    <row r="385" spans="1:27">
      <c r="A385" s="144"/>
      <c r="B385" s="145"/>
      <c r="C385" s="146" t="s">
        <v>4124</v>
      </c>
      <c r="D385" s="147" t="s">
        <v>4853</v>
      </c>
      <c r="E385" s="139" t="s">
        <v>4854</v>
      </c>
      <c r="F385" s="153"/>
      <c r="G385" s="92">
        <f>ROUND(G384*2/3,1)</f>
        <v>2.5</v>
      </c>
      <c r="H385" s="127"/>
      <c r="I385" s="149"/>
      <c r="J385" s="95">
        <f>ROUND(J384*2/3,0)</f>
        <v>49</v>
      </c>
      <c r="K385" s="160"/>
      <c r="L385" s="119">
        <f>ROUND(L384*2/3,1)</f>
        <v>2.3</v>
      </c>
      <c r="M385" s="128"/>
      <c r="N385" s="99">
        <f>ROUND(N384*2/3,0)</f>
        <v>0</v>
      </c>
      <c r="O385" s="129"/>
      <c r="P385" s="101">
        <f>ROUND(P384*2/3,0)</f>
        <v>0</v>
      </c>
      <c r="Q385" s="130"/>
      <c r="R385" s="103">
        <f>ROUND(R384*2/3,0)</f>
        <v>0</v>
      </c>
      <c r="S385" s="131"/>
      <c r="T385" s="105">
        <f>ROUND(T384*2/3,0)</f>
        <v>0</v>
      </c>
      <c r="U385" s="132"/>
      <c r="V385" s="107">
        <f>ROUND(V384*2/3,0)</f>
        <v>0</v>
      </c>
      <c r="W385" s="133"/>
      <c r="X385" s="109">
        <f>ROUND(X384*2/3,0)</f>
        <v>0</v>
      </c>
      <c r="Y385" s="134"/>
      <c r="Z385" s="151"/>
      <c r="AA385" s="151"/>
    </row>
    <row r="386" spans="1:27">
      <c r="A386" s="144" t="s">
        <v>8097</v>
      </c>
      <c r="B386" s="145" t="s">
        <v>6743</v>
      </c>
      <c r="C386" s="146" t="s">
        <v>4133</v>
      </c>
      <c r="D386" s="147" t="s">
        <v>4855</v>
      </c>
      <c r="E386" s="139" t="s">
        <v>4856</v>
      </c>
      <c r="F386" s="159" t="s">
        <v>3208</v>
      </c>
      <c r="G386" s="92">
        <f t="shared" ref="G386:L386" si="535">G390</f>
        <v>0.8</v>
      </c>
      <c r="H386" s="93">
        <f t="shared" ref="H386:M386" si="536">SUM(G386:G390)</f>
        <v>5.2</v>
      </c>
      <c r="I386" s="149" t="s">
        <v>8127</v>
      </c>
      <c r="J386" s="95">
        <f t="shared" si="535"/>
        <v>18</v>
      </c>
      <c r="K386" s="160">
        <f t="shared" si="536"/>
        <v>117</v>
      </c>
      <c r="L386" s="119">
        <f t="shared" si="535"/>
        <v>1.2</v>
      </c>
      <c r="M386" s="98">
        <f t="shared" si="536"/>
        <v>7.8</v>
      </c>
      <c r="N386" s="99">
        <f t="shared" ref="N386:R386" si="537">N390</f>
        <v>0</v>
      </c>
      <c r="O386" s="100">
        <f t="shared" ref="O386:S386" si="538">SUM(N386:N390)</f>
        <v>0</v>
      </c>
      <c r="P386" s="101">
        <f t="shared" si="537"/>
        <v>0</v>
      </c>
      <c r="Q386" s="102">
        <f t="shared" si="538"/>
        <v>0</v>
      </c>
      <c r="R386" s="103">
        <f t="shared" si="537"/>
        <v>0</v>
      </c>
      <c r="S386" s="104">
        <f t="shared" si="538"/>
        <v>0</v>
      </c>
      <c r="T386" s="105">
        <f t="shared" ref="T386:X386" si="539">T390</f>
        <v>0</v>
      </c>
      <c r="U386" s="106">
        <f t="shared" ref="U386:Y386" si="540">SUM(T386:T390)</f>
        <v>0</v>
      </c>
      <c r="V386" s="107">
        <f t="shared" si="539"/>
        <v>0</v>
      </c>
      <c r="W386" s="108">
        <f t="shared" si="540"/>
        <v>0</v>
      </c>
      <c r="X386" s="109">
        <f t="shared" si="539"/>
        <v>0</v>
      </c>
      <c r="Y386" s="110">
        <f t="shared" si="540"/>
        <v>0</v>
      </c>
      <c r="Z386" s="151"/>
      <c r="AA386" s="151"/>
    </row>
    <row r="387" spans="1:27">
      <c r="A387" s="144"/>
      <c r="B387" s="145"/>
      <c r="C387" s="146" t="s">
        <v>4115</v>
      </c>
      <c r="D387" s="147" t="s">
        <v>4857</v>
      </c>
      <c r="E387" s="139" t="s">
        <v>4858</v>
      </c>
      <c r="F387" s="148"/>
      <c r="G387" s="92">
        <f t="shared" ref="G387:L387" si="541">G390*2</f>
        <v>1.6</v>
      </c>
      <c r="H387" s="117"/>
      <c r="I387" s="149"/>
      <c r="J387" s="95">
        <f t="shared" si="541"/>
        <v>36</v>
      </c>
      <c r="K387" s="160"/>
      <c r="L387" s="119">
        <f t="shared" si="541"/>
        <v>2.4</v>
      </c>
      <c r="M387" s="120"/>
      <c r="N387" s="99">
        <f t="shared" ref="N387:R387" si="542">N390*2</f>
        <v>0</v>
      </c>
      <c r="O387" s="121"/>
      <c r="P387" s="101">
        <f t="shared" si="542"/>
        <v>0</v>
      </c>
      <c r="Q387" s="122"/>
      <c r="R387" s="103">
        <f t="shared" si="542"/>
        <v>0</v>
      </c>
      <c r="S387" s="123"/>
      <c r="T387" s="105">
        <f t="shared" ref="T387:X387" si="543">T390*2</f>
        <v>0</v>
      </c>
      <c r="U387" s="124"/>
      <c r="V387" s="107">
        <f t="shared" si="543"/>
        <v>0</v>
      </c>
      <c r="W387" s="125"/>
      <c r="X387" s="109">
        <f t="shared" si="543"/>
        <v>0</v>
      </c>
      <c r="Y387" s="126"/>
      <c r="Z387" s="151"/>
      <c r="AA387" s="151"/>
    </row>
    <row r="388" spans="1:27">
      <c r="A388" s="144"/>
      <c r="B388" s="145"/>
      <c r="C388" s="146" t="s">
        <v>4118</v>
      </c>
      <c r="D388" s="147" t="s">
        <v>4859</v>
      </c>
      <c r="E388" s="139" t="s">
        <v>4860</v>
      </c>
      <c r="F388" s="148"/>
      <c r="G388" s="92">
        <f t="shared" ref="G388:L388" si="544">G390</f>
        <v>0.8</v>
      </c>
      <c r="H388" s="117"/>
      <c r="I388" s="149"/>
      <c r="J388" s="95">
        <f t="shared" si="544"/>
        <v>18</v>
      </c>
      <c r="K388" s="160"/>
      <c r="L388" s="119">
        <f t="shared" si="544"/>
        <v>1.2</v>
      </c>
      <c r="M388" s="120"/>
      <c r="N388" s="99">
        <f t="shared" ref="N388:R388" si="545">N390</f>
        <v>0</v>
      </c>
      <c r="O388" s="121"/>
      <c r="P388" s="101">
        <f t="shared" si="545"/>
        <v>0</v>
      </c>
      <c r="Q388" s="122"/>
      <c r="R388" s="103">
        <f t="shared" si="545"/>
        <v>0</v>
      </c>
      <c r="S388" s="123"/>
      <c r="T388" s="105">
        <f t="shared" ref="T388:X388" si="546">T390</f>
        <v>0</v>
      </c>
      <c r="U388" s="124"/>
      <c r="V388" s="107">
        <f t="shared" si="546"/>
        <v>0</v>
      </c>
      <c r="W388" s="125"/>
      <c r="X388" s="109">
        <f t="shared" si="546"/>
        <v>0</v>
      </c>
      <c r="Y388" s="126"/>
      <c r="Z388" s="151"/>
      <c r="AA388" s="151"/>
    </row>
    <row r="389" spans="1:27">
      <c r="A389" s="144"/>
      <c r="B389" s="145"/>
      <c r="C389" s="146" t="s">
        <v>4121</v>
      </c>
      <c r="D389" s="147" t="s">
        <v>4861</v>
      </c>
      <c r="E389" s="139" t="s">
        <v>4862</v>
      </c>
      <c r="F389" s="148"/>
      <c r="G389" s="92">
        <v>1.2</v>
      </c>
      <c r="H389" s="117"/>
      <c r="I389" s="149"/>
      <c r="J389" s="95">
        <v>27</v>
      </c>
      <c r="K389" s="160"/>
      <c r="L389" s="119">
        <v>1.8</v>
      </c>
      <c r="M389" s="120"/>
      <c r="N389" s="99">
        <v>0</v>
      </c>
      <c r="O389" s="121"/>
      <c r="P389" s="101">
        <v>0</v>
      </c>
      <c r="Q389" s="122"/>
      <c r="R389" s="103">
        <v>0</v>
      </c>
      <c r="S389" s="123"/>
      <c r="T389" s="105">
        <v>0</v>
      </c>
      <c r="U389" s="124"/>
      <c r="V389" s="107">
        <v>0</v>
      </c>
      <c r="W389" s="125"/>
      <c r="X389" s="109">
        <v>0</v>
      </c>
      <c r="Y389" s="126"/>
      <c r="Z389" s="151"/>
      <c r="AA389" s="151"/>
    </row>
    <row r="390" spans="1:27">
      <c r="A390" s="144"/>
      <c r="B390" s="145"/>
      <c r="C390" s="146" t="s">
        <v>4124</v>
      </c>
      <c r="D390" s="147" t="s">
        <v>4863</v>
      </c>
      <c r="E390" s="139" t="s">
        <v>4864</v>
      </c>
      <c r="F390" s="153"/>
      <c r="G390" s="92">
        <f>ROUND(G389*2/3,1)</f>
        <v>0.8</v>
      </c>
      <c r="H390" s="127"/>
      <c r="I390" s="149"/>
      <c r="J390" s="95">
        <f>ROUND(J389*2/3,0)</f>
        <v>18</v>
      </c>
      <c r="K390" s="160"/>
      <c r="L390" s="119">
        <f>ROUND(L389*2/3,1)</f>
        <v>1.2</v>
      </c>
      <c r="M390" s="128"/>
      <c r="N390" s="99">
        <f>ROUND(N389*2/3,0)</f>
        <v>0</v>
      </c>
      <c r="O390" s="129"/>
      <c r="P390" s="101">
        <f>ROUND(P389*2/3,0)</f>
        <v>0</v>
      </c>
      <c r="Q390" s="130"/>
      <c r="R390" s="103">
        <f>ROUND(R389*2/3,0)</f>
        <v>0</v>
      </c>
      <c r="S390" s="131"/>
      <c r="T390" s="105">
        <f>ROUND(T389*2/3,0)</f>
        <v>0</v>
      </c>
      <c r="U390" s="132"/>
      <c r="V390" s="107">
        <f>ROUND(V389*2/3,0)</f>
        <v>0</v>
      </c>
      <c r="W390" s="133"/>
      <c r="X390" s="109">
        <f>ROUND(X389*2/3,0)</f>
        <v>0</v>
      </c>
      <c r="Y390" s="134"/>
      <c r="Z390" s="151"/>
      <c r="AA390" s="151"/>
    </row>
    <row r="391" spans="1:27">
      <c r="A391" s="144" t="s">
        <v>8100</v>
      </c>
      <c r="B391" s="145" t="s">
        <v>6971</v>
      </c>
      <c r="C391" s="146" t="s">
        <v>4133</v>
      </c>
      <c r="D391" s="147" t="s">
        <v>4865</v>
      </c>
      <c r="E391" s="139" t="s">
        <v>4866</v>
      </c>
      <c r="F391" s="159" t="s">
        <v>3224</v>
      </c>
      <c r="G391" s="92">
        <f t="shared" ref="G391:L391" si="547">G395</f>
        <v>2.6</v>
      </c>
      <c r="H391" s="93">
        <f t="shared" ref="H391:M391" si="548">SUM(G391:G395)</f>
        <v>16.9</v>
      </c>
      <c r="I391" s="149" t="s">
        <v>8128</v>
      </c>
      <c r="J391" s="95">
        <f t="shared" si="547"/>
        <v>49</v>
      </c>
      <c r="K391" s="160">
        <f t="shared" si="548"/>
        <v>319</v>
      </c>
      <c r="L391" s="119">
        <f t="shared" si="547"/>
        <v>2.3</v>
      </c>
      <c r="M391" s="98">
        <f t="shared" si="548"/>
        <v>15</v>
      </c>
      <c r="N391" s="99">
        <f t="shared" ref="N391:R391" si="549">N395</f>
        <v>0</v>
      </c>
      <c r="O391" s="100">
        <f t="shared" ref="O391:S391" si="550">SUM(N391:N395)</f>
        <v>0</v>
      </c>
      <c r="P391" s="101">
        <f t="shared" si="549"/>
        <v>0</v>
      </c>
      <c r="Q391" s="102">
        <f t="shared" si="550"/>
        <v>0</v>
      </c>
      <c r="R391" s="103">
        <f t="shared" si="549"/>
        <v>4</v>
      </c>
      <c r="S391" s="104">
        <f t="shared" si="550"/>
        <v>26</v>
      </c>
      <c r="T391" s="105">
        <f t="shared" ref="T391:X391" si="551">T395</f>
        <v>0</v>
      </c>
      <c r="U391" s="106">
        <f t="shared" ref="U391:Y391" si="552">SUM(T391:T395)</f>
        <v>0</v>
      </c>
      <c r="V391" s="107">
        <f t="shared" si="551"/>
        <v>0</v>
      </c>
      <c r="W391" s="108">
        <f t="shared" si="552"/>
        <v>0</v>
      </c>
      <c r="X391" s="109">
        <f t="shared" si="551"/>
        <v>4</v>
      </c>
      <c r="Y391" s="110">
        <f t="shared" si="552"/>
        <v>26</v>
      </c>
      <c r="Z391" s="151"/>
      <c r="AA391" s="151"/>
    </row>
    <row r="392" spans="1:27">
      <c r="A392" s="144"/>
      <c r="B392" s="145"/>
      <c r="C392" s="146" t="s">
        <v>4115</v>
      </c>
      <c r="D392" s="147" t="s">
        <v>4867</v>
      </c>
      <c r="E392" s="139" t="s">
        <v>4868</v>
      </c>
      <c r="F392" s="148"/>
      <c r="G392" s="92">
        <f t="shared" ref="G392:L392" si="553">G395*2</f>
        <v>5.2</v>
      </c>
      <c r="H392" s="117"/>
      <c r="I392" s="149"/>
      <c r="J392" s="95">
        <f t="shared" si="553"/>
        <v>98</v>
      </c>
      <c r="K392" s="160"/>
      <c r="L392" s="119">
        <f t="shared" si="553"/>
        <v>4.6</v>
      </c>
      <c r="M392" s="120"/>
      <c r="N392" s="99">
        <f t="shared" ref="N392:R392" si="554">N395*2</f>
        <v>0</v>
      </c>
      <c r="O392" s="121"/>
      <c r="P392" s="101">
        <f t="shared" si="554"/>
        <v>0</v>
      </c>
      <c r="Q392" s="122"/>
      <c r="R392" s="103">
        <f t="shared" si="554"/>
        <v>8</v>
      </c>
      <c r="S392" s="123"/>
      <c r="T392" s="105">
        <f t="shared" ref="T392:X392" si="555">T395*2</f>
        <v>0</v>
      </c>
      <c r="U392" s="124"/>
      <c r="V392" s="107">
        <f t="shared" si="555"/>
        <v>0</v>
      </c>
      <c r="W392" s="125"/>
      <c r="X392" s="109">
        <f t="shared" si="555"/>
        <v>8</v>
      </c>
      <c r="Y392" s="126"/>
      <c r="Z392" s="151"/>
      <c r="AA392" s="151"/>
    </row>
    <row r="393" spans="1:27">
      <c r="A393" s="144"/>
      <c r="B393" s="145"/>
      <c r="C393" s="146" t="s">
        <v>4118</v>
      </c>
      <c r="D393" s="147" t="s">
        <v>4869</v>
      </c>
      <c r="E393" s="139" t="s">
        <v>4870</v>
      </c>
      <c r="F393" s="148"/>
      <c r="G393" s="92">
        <f t="shared" ref="G393:L393" si="556">G395</f>
        <v>2.6</v>
      </c>
      <c r="H393" s="117"/>
      <c r="I393" s="149"/>
      <c r="J393" s="95">
        <f t="shared" si="556"/>
        <v>49</v>
      </c>
      <c r="K393" s="160"/>
      <c r="L393" s="119">
        <f t="shared" si="556"/>
        <v>2.3</v>
      </c>
      <c r="M393" s="120"/>
      <c r="N393" s="99">
        <f t="shared" ref="N393:R393" si="557">N395</f>
        <v>0</v>
      </c>
      <c r="O393" s="121"/>
      <c r="P393" s="101">
        <f t="shared" si="557"/>
        <v>0</v>
      </c>
      <c r="Q393" s="122"/>
      <c r="R393" s="103">
        <f t="shared" si="557"/>
        <v>4</v>
      </c>
      <c r="S393" s="123"/>
      <c r="T393" s="105">
        <f t="shared" ref="T393:X393" si="558">T395</f>
        <v>0</v>
      </c>
      <c r="U393" s="124"/>
      <c r="V393" s="107">
        <f t="shared" si="558"/>
        <v>0</v>
      </c>
      <c r="W393" s="125"/>
      <c r="X393" s="109">
        <f t="shared" si="558"/>
        <v>4</v>
      </c>
      <c r="Y393" s="126"/>
      <c r="Z393" s="151"/>
      <c r="AA393" s="151"/>
    </row>
    <row r="394" spans="1:27">
      <c r="A394" s="144"/>
      <c r="B394" s="145"/>
      <c r="C394" s="146" t="s">
        <v>4121</v>
      </c>
      <c r="D394" s="147" t="s">
        <v>4871</v>
      </c>
      <c r="E394" s="139" t="s">
        <v>4872</v>
      </c>
      <c r="F394" s="148"/>
      <c r="G394" s="92">
        <v>3.9</v>
      </c>
      <c r="H394" s="117"/>
      <c r="I394" s="149"/>
      <c r="J394" s="95">
        <v>74</v>
      </c>
      <c r="K394" s="160"/>
      <c r="L394" s="119">
        <v>3.5</v>
      </c>
      <c r="M394" s="120"/>
      <c r="N394" s="99">
        <v>0</v>
      </c>
      <c r="O394" s="121"/>
      <c r="P394" s="101">
        <v>0</v>
      </c>
      <c r="Q394" s="122"/>
      <c r="R394" s="103">
        <v>6</v>
      </c>
      <c r="S394" s="123"/>
      <c r="T394" s="105">
        <v>0</v>
      </c>
      <c r="U394" s="124"/>
      <c r="V394" s="107">
        <v>0</v>
      </c>
      <c r="W394" s="125"/>
      <c r="X394" s="109">
        <v>6</v>
      </c>
      <c r="Y394" s="126"/>
      <c r="Z394" s="151"/>
      <c r="AA394" s="151"/>
    </row>
    <row r="395" spans="1:27">
      <c r="A395" s="144"/>
      <c r="B395" s="145"/>
      <c r="C395" s="146" t="s">
        <v>4124</v>
      </c>
      <c r="D395" s="147" t="s">
        <v>4873</v>
      </c>
      <c r="E395" s="139" t="s">
        <v>4874</v>
      </c>
      <c r="F395" s="153"/>
      <c r="G395" s="92">
        <f>ROUND(G394*2/3,1)</f>
        <v>2.6</v>
      </c>
      <c r="H395" s="127"/>
      <c r="I395" s="149"/>
      <c r="J395" s="95">
        <f>ROUND(J394*2/3,0)</f>
        <v>49</v>
      </c>
      <c r="K395" s="160"/>
      <c r="L395" s="119">
        <f>ROUND(L394*2/3,1)</f>
        <v>2.3</v>
      </c>
      <c r="M395" s="128"/>
      <c r="N395" s="99">
        <f>ROUND(N394*2/3,0)</f>
        <v>0</v>
      </c>
      <c r="O395" s="129"/>
      <c r="P395" s="101">
        <f>ROUND(P394*2/3,0)</f>
        <v>0</v>
      </c>
      <c r="Q395" s="130"/>
      <c r="R395" s="103">
        <f>ROUND(R394*2/3,0)</f>
        <v>4</v>
      </c>
      <c r="S395" s="131"/>
      <c r="T395" s="105">
        <f>ROUND(T394*2/3,0)</f>
        <v>0</v>
      </c>
      <c r="U395" s="132"/>
      <c r="V395" s="107">
        <f>ROUND(V394*2/3,0)</f>
        <v>0</v>
      </c>
      <c r="W395" s="133"/>
      <c r="X395" s="109">
        <f>ROUND(X394*2/3,0)</f>
        <v>4</v>
      </c>
      <c r="Y395" s="134"/>
      <c r="Z395" s="151"/>
      <c r="AA395" s="151"/>
    </row>
    <row r="396" spans="1:27">
      <c r="A396" s="144" t="s">
        <v>8097</v>
      </c>
      <c r="B396" s="145" t="s">
        <v>7112</v>
      </c>
      <c r="C396" s="146"/>
      <c r="D396" s="147"/>
      <c r="E396" s="139"/>
      <c r="F396" s="156"/>
      <c r="G396" s="92"/>
      <c r="H396" s="93">
        <f t="shared" ref="H396:M396" si="559">SUM(G396:G400)</f>
        <v>4.4</v>
      </c>
      <c r="I396" s="149" t="s">
        <v>8047</v>
      </c>
      <c r="J396" s="95"/>
      <c r="K396" s="160">
        <f t="shared" si="559"/>
        <v>99</v>
      </c>
      <c r="L396" s="119"/>
      <c r="M396" s="98">
        <f t="shared" si="559"/>
        <v>6.6</v>
      </c>
      <c r="N396" s="99"/>
      <c r="O396" s="100">
        <f t="shared" ref="O396:S396" si="560">SUM(N396:N400)</f>
        <v>22</v>
      </c>
      <c r="P396" s="101"/>
      <c r="Q396" s="102">
        <f t="shared" si="560"/>
        <v>0</v>
      </c>
      <c r="R396" s="103"/>
      <c r="S396" s="104">
        <f t="shared" si="560"/>
        <v>0</v>
      </c>
      <c r="T396" s="105"/>
      <c r="U396" s="106">
        <f t="shared" ref="U396:Y396" si="561">SUM(T396:T400)</f>
        <v>22</v>
      </c>
      <c r="V396" s="107"/>
      <c r="W396" s="108">
        <f t="shared" si="561"/>
        <v>0</v>
      </c>
      <c r="X396" s="109"/>
      <c r="Y396" s="110">
        <f t="shared" si="561"/>
        <v>0</v>
      </c>
      <c r="Z396" s="151"/>
      <c r="AA396" s="151"/>
    </row>
    <row r="397" spans="1:27">
      <c r="A397" s="144"/>
      <c r="B397" s="145"/>
      <c r="C397" s="146" t="s">
        <v>4115</v>
      </c>
      <c r="D397" s="147" t="s">
        <v>4875</v>
      </c>
      <c r="E397" s="139" t="s">
        <v>4876</v>
      </c>
      <c r="F397" s="159" t="s">
        <v>3212</v>
      </c>
      <c r="G397" s="92">
        <f t="shared" ref="G397:L397" si="562">G400*2</f>
        <v>1.6</v>
      </c>
      <c r="H397" s="117"/>
      <c r="I397" s="149"/>
      <c r="J397" s="95">
        <f t="shared" si="562"/>
        <v>36</v>
      </c>
      <c r="K397" s="160"/>
      <c r="L397" s="119">
        <f t="shared" si="562"/>
        <v>2.4</v>
      </c>
      <c r="M397" s="120"/>
      <c r="N397" s="99">
        <f t="shared" ref="N397:R397" si="563">N400*2</f>
        <v>8</v>
      </c>
      <c r="O397" s="121"/>
      <c r="P397" s="101">
        <f t="shared" si="563"/>
        <v>0</v>
      </c>
      <c r="Q397" s="122"/>
      <c r="R397" s="103">
        <f t="shared" si="563"/>
        <v>0</v>
      </c>
      <c r="S397" s="123"/>
      <c r="T397" s="105">
        <f t="shared" ref="T397:X397" si="564">T400*2</f>
        <v>8</v>
      </c>
      <c r="U397" s="124"/>
      <c r="V397" s="107">
        <f t="shared" si="564"/>
        <v>0</v>
      </c>
      <c r="W397" s="125"/>
      <c r="X397" s="109">
        <f t="shared" si="564"/>
        <v>0</v>
      </c>
      <c r="Y397" s="126"/>
      <c r="Z397" s="151"/>
      <c r="AA397" s="151"/>
    </row>
    <row r="398" spans="1:27">
      <c r="A398" s="144"/>
      <c r="B398" s="145"/>
      <c r="C398" s="146" t="s">
        <v>4118</v>
      </c>
      <c r="D398" s="147" t="s">
        <v>4877</v>
      </c>
      <c r="E398" s="139" t="s">
        <v>4878</v>
      </c>
      <c r="F398" s="148"/>
      <c r="G398" s="92">
        <f t="shared" ref="G398:L398" si="565">G400</f>
        <v>0.8</v>
      </c>
      <c r="H398" s="117"/>
      <c r="I398" s="149"/>
      <c r="J398" s="95">
        <f t="shared" si="565"/>
        <v>18</v>
      </c>
      <c r="K398" s="160"/>
      <c r="L398" s="119">
        <f t="shared" si="565"/>
        <v>1.2</v>
      </c>
      <c r="M398" s="120"/>
      <c r="N398" s="99">
        <f t="shared" ref="N398:R398" si="566">N400</f>
        <v>4</v>
      </c>
      <c r="O398" s="121"/>
      <c r="P398" s="101">
        <f t="shared" si="566"/>
        <v>0</v>
      </c>
      <c r="Q398" s="122"/>
      <c r="R398" s="103">
        <f t="shared" si="566"/>
        <v>0</v>
      </c>
      <c r="S398" s="123"/>
      <c r="T398" s="105">
        <f t="shared" ref="T398:X398" si="567">T400</f>
        <v>4</v>
      </c>
      <c r="U398" s="124"/>
      <c r="V398" s="107">
        <f t="shared" si="567"/>
        <v>0</v>
      </c>
      <c r="W398" s="125"/>
      <c r="X398" s="109">
        <f t="shared" si="567"/>
        <v>0</v>
      </c>
      <c r="Y398" s="126"/>
      <c r="Z398" s="151"/>
      <c r="AA398" s="151"/>
    </row>
    <row r="399" spans="1:27">
      <c r="A399" s="144"/>
      <c r="B399" s="145"/>
      <c r="C399" s="146" t="s">
        <v>4121</v>
      </c>
      <c r="D399" s="147" t="s">
        <v>4879</v>
      </c>
      <c r="E399" s="139" t="s">
        <v>4880</v>
      </c>
      <c r="F399" s="148"/>
      <c r="G399" s="92">
        <v>1.2</v>
      </c>
      <c r="H399" s="117"/>
      <c r="I399" s="149"/>
      <c r="J399" s="95">
        <v>27</v>
      </c>
      <c r="K399" s="160"/>
      <c r="L399" s="119">
        <v>1.8</v>
      </c>
      <c r="M399" s="120"/>
      <c r="N399" s="99">
        <v>6</v>
      </c>
      <c r="O399" s="121"/>
      <c r="P399" s="101">
        <v>0</v>
      </c>
      <c r="Q399" s="122"/>
      <c r="R399" s="103">
        <v>0</v>
      </c>
      <c r="S399" s="123"/>
      <c r="T399" s="105">
        <v>6</v>
      </c>
      <c r="U399" s="124"/>
      <c r="V399" s="107">
        <v>0</v>
      </c>
      <c r="W399" s="125"/>
      <c r="X399" s="109">
        <v>0</v>
      </c>
      <c r="Y399" s="126"/>
      <c r="Z399" s="151"/>
      <c r="AA399" s="151"/>
    </row>
    <row r="400" spans="1:27">
      <c r="A400" s="144"/>
      <c r="B400" s="145"/>
      <c r="C400" s="146" t="s">
        <v>4124</v>
      </c>
      <c r="D400" s="147" t="s">
        <v>4881</v>
      </c>
      <c r="E400" s="139" t="s">
        <v>4882</v>
      </c>
      <c r="F400" s="153"/>
      <c r="G400" s="92">
        <f>ROUND(G399*2/3,1)</f>
        <v>0.8</v>
      </c>
      <c r="H400" s="127"/>
      <c r="I400" s="149"/>
      <c r="J400" s="95">
        <f>ROUND(J399*2/3,0)</f>
        <v>18</v>
      </c>
      <c r="K400" s="160"/>
      <c r="L400" s="119">
        <f>ROUND(L399*2/3,1)</f>
        <v>1.2</v>
      </c>
      <c r="M400" s="128"/>
      <c r="N400" s="99">
        <f>ROUND(N399*2/3,0)</f>
        <v>4</v>
      </c>
      <c r="O400" s="129"/>
      <c r="P400" s="101">
        <f>ROUND(P399*2/3,0)</f>
        <v>0</v>
      </c>
      <c r="Q400" s="130"/>
      <c r="R400" s="103">
        <f>ROUND(R399*2/3,0)</f>
        <v>0</v>
      </c>
      <c r="S400" s="131"/>
      <c r="T400" s="105">
        <f>ROUND(T399*2/3,0)</f>
        <v>4</v>
      </c>
      <c r="U400" s="132"/>
      <c r="V400" s="107">
        <f>ROUND(V399*2/3,0)</f>
        <v>0</v>
      </c>
      <c r="W400" s="133"/>
      <c r="X400" s="109">
        <f>ROUND(X399*2/3,0)</f>
        <v>0</v>
      </c>
      <c r="Y400" s="134"/>
      <c r="Z400" s="151"/>
      <c r="AA400" s="151"/>
    </row>
    <row r="401" spans="1:27">
      <c r="A401" s="144" t="s">
        <v>8100</v>
      </c>
      <c r="B401" s="145" t="s">
        <v>7193</v>
      </c>
      <c r="C401" s="146" t="s">
        <v>4133</v>
      </c>
      <c r="D401" s="147" t="s">
        <v>4883</v>
      </c>
      <c r="E401" s="139" t="s">
        <v>4884</v>
      </c>
      <c r="F401" s="156" t="s">
        <v>8026</v>
      </c>
      <c r="G401" s="92">
        <f t="shared" ref="G401:L401" si="568">G405</f>
        <v>1.6</v>
      </c>
      <c r="H401" s="93">
        <f t="shared" ref="H401:M401" si="569">SUM(G401:G405)</f>
        <v>10.4</v>
      </c>
      <c r="I401" s="149" t="s">
        <v>7977</v>
      </c>
      <c r="J401" s="95">
        <f t="shared" si="568"/>
        <v>28</v>
      </c>
      <c r="K401" s="160">
        <f t="shared" si="569"/>
        <v>182</v>
      </c>
      <c r="L401" s="119">
        <f t="shared" si="568"/>
        <v>2.3</v>
      </c>
      <c r="M401" s="98">
        <f t="shared" si="569"/>
        <v>15</v>
      </c>
      <c r="N401" s="99">
        <f t="shared" ref="N401:R401" si="570">N405</f>
        <v>10</v>
      </c>
      <c r="O401" s="100">
        <f t="shared" ref="O401:S401" si="571">SUM(N401:N405)</f>
        <v>65</v>
      </c>
      <c r="P401" s="101">
        <f t="shared" si="570"/>
        <v>0</v>
      </c>
      <c r="Q401" s="102">
        <f t="shared" si="571"/>
        <v>0</v>
      </c>
      <c r="R401" s="103">
        <f t="shared" si="570"/>
        <v>0</v>
      </c>
      <c r="S401" s="104">
        <f t="shared" si="571"/>
        <v>0</v>
      </c>
      <c r="T401" s="105">
        <f t="shared" ref="T401:X401" si="572">T405</f>
        <v>0</v>
      </c>
      <c r="U401" s="106">
        <f t="shared" ref="U401:Y401" si="573">SUM(T401:T405)</f>
        <v>0</v>
      </c>
      <c r="V401" s="107">
        <f t="shared" si="572"/>
        <v>0</v>
      </c>
      <c r="W401" s="108">
        <f t="shared" si="573"/>
        <v>0</v>
      </c>
      <c r="X401" s="109">
        <f t="shared" si="572"/>
        <v>0</v>
      </c>
      <c r="Y401" s="110">
        <f t="shared" si="573"/>
        <v>0</v>
      </c>
      <c r="Z401" s="151"/>
      <c r="AA401" s="151"/>
    </row>
    <row r="402" spans="1:27">
      <c r="A402" s="144"/>
      <c r="B402" s="145"/>
      <c r="C402" s="146" t="s">
        <v>4115</v>
      </c>
      <c r="D402" s="147" t="s">
        <v>4885</v>
      </c>
      <c r="E402" s="139" t="s">
        <v>4886</v>
      </c>
      <c r="F402" s="156" t="s">
        <v>8007</v>
      </c>
      <c r="G402" s="92">
        <f t="shared" ref="G402:L402" si="574">G405*2</f>
        <v>3.2</v>
      </c>
      <c r="H402" s="117"/>
      <c r="I402" s="149"/>
      <c r="J402" s="95">
        <f t="shared" si="574"/>
        <v>56</v>
      </c>
      <c r="K402" s="160"/>
      <c r="L402" s="119">
        <f t="shared" si="574"/>
        <v>4.6</v>
      </c>
      <c r="M402" s="120"/>
      <c r="N402" s="99">
        <f t="shared" ref="N402:R402" si="575">N405*2</f>
        <v>20</v>
      </c>
      <c r="O402" s="121"/>
      <c r="P402" s="101">
        <f t="shared" si="575"/>
        <v>0</v>
      </c>
      <c r="Q402" s="122"/>
      <c r="R402" s="103">
        <f t="shared" si="575"/>
        <v>0</v>
      </c>
      <c r="S402" s="123"/>
      <c r="T402" s="105">
        <f t="shared" ref="T402:X402" si="576">T405*2</f>
        <v>0</v>
      </c>
      <c r="U402" s="124"/>
      <c r="V402" s="107">
        <f t="shared" si="576"/>
        <v>0</v>
      </c>
      <c r="W402" s="125"/>
      <c r="X402" s="109">
        <f t="shared" si="576"/>
        <v>0</v>
      </c>
      <c r="Y402" s="126"/>
      <c r="Z402" s="151"/>
      <c r="AA402" s="151"/>
    </row>
    <row r="403" spans="1:27">
      <c r="A403" s="144"/>
      <c r="B403" s="145"/>
      <c r="C403" s="146" t="s">
        <v>4118</v>
      </c>
      <c r="D403" s="147" t="s">
        <v>4887</v>
      </c>
      <c r="E403" s="139" t="s">
        <v>4888</v>
      </c>
      <c r="F403" s="156" t="s">
        <v>68</v>
      </c>
      <c r="G403" s="92">
        <f t="shared" ref="G403:L403" si="577">G405</f>
        <v>1.6</v>
      </c>
      <c r="H403" s="117"/>
      <c r="I403" s="149"/>
      <c r="J403" s="95">
        <f t="shared" si="577"/>
        <v>28</v>
      </c>
      <c r="K403" s="160"/>
      <c r="L403" s="119">
        <f t="shared" si="577"/>
        <v>2.3</v>
      </c>
      <c r="M403" s="120"/>
      <c r="N403" s="99">
        <f t="shared" ref="N403:R403" si="578">N405</f>
        <v>10</v>
      </c>
      <c r="O403" s="121"/>
      <c r="P403" s="101">
        <f t="shared" si="578"/>
        <v>0</v>
      </c>
      <c r="Q403" s="122"/>
      <c r="R403" s="103">
        <f t="shared" si="578"/>
        <v>0</v>
      </c>
      <c r="S403" s="123"/>
      <c r="T403" s="105">
        <f t="shared" ref="T403:X403" si="579">T405</f>
        <v>0</v>
      </c>
      <c r="U403" s="124"/>
      <c r="V403" s="107">
        <f t="shared" si="579"/>
        <v>0</v>
      </c>
      <c r="W403" s="125"/>
      <c r="X403" s="109">
        <f t="shared" si="579"/>
        <v>0</v>
      </c>
      <c r="Y403" s="126"/>
      <c r="Z403" s="151"/>
      <c r="AA403" s="151"/>
    </row>
    <row r="404" spans="1:27">
      <c r="A404" s="144"/>
      <c r="B404" s="145"/>
      <c r="C404" s="146" t="s">
        <v>4121</v>
      </c>
      <c r="D404" s="147" t="s">
        <v>4889</v>
      </c>
      <c r="E404" s="139" t="s">
        <v>4890</v>
      </c>
      <c r="F404" s="156" t="s">
        <v>372</v>
      </c>
      <c r="G404" s="92">
        <v>2.4</v>
      </c>
      <c r="H404" s="117"/>
      <c r="I404" s="149"/>
      <c r="J404" s="95">
        <v>42</v>
      </c>
      <c r="K404" s="160"/>
      <c r="L404" s="119">
        <v>3.5</v>
      </c>
      <c r="M404" s="120"/>
      <c r="N404" s="99">
        <v>15</v>
      </c>
      <c r="O404" s="121"/>
      <c r="P404" s="101">
        <v>0</v>
      </c>
      <c r="Q404" s="122"/>
      <c r="R404" s="103">
        <v>0</v>
      </c>
      <c r="S404" s="123"/>
      <c r="T404" s="105">
        <v>0</v>
      </c>
      <c r="U404" s="124"/>
      <c r="V404" s="107">
        <v>0</v>
      </c>
      <c r="W404" s="125"/>
      <c r="X404" s="109">
        <v>0</v>
      </c>
      <c r="Y404" s="126"/>
      <c r="Z404" s="151"/>
      <c r="AA404" s="151"/>
    </row>
    <row r="405" spans="1:27">
      <c r="A405" s="144"/>
      <c r="B405" s="145"/>
      <c r="C405" s="146" t="s">
        <v>4124</v>
      </c>
      <c r="D405" s="147" t="s">
        <v>4891</v>
      </c>
      <c r="E405" s="139" t="s">
        <v>4892</v>
      </c>
      <c r="F405" s="156" t="s">
        <v>8129</v>
      </c>
      <c r="G405" s="92">
        <f>ROUND(G404*2/3,1)</f>
        <v>1.6</v>
      </c>
      <c r="H405" s="127"/>
      <c r="I405" s="149"/>
      <c r="J405" s="95">
        <f>ROUND(J404*2/3,0)</f>
        <v>28</v>
      </c>
      <c r="K405" s="160"/>
      <c r="L405" s="119">
        <f>ROUND(L404*2/3,1)</f>
        <v>2.3</v>
      </c>
      <c r="M405" s="128"/>
      <c r="N405" s="99">
        <f>ROUND(N404*2/3,0)</f>
        <v>10</v>
      </c>
      <c r="O405" s="129"/>
      <c r="P405" s="101">
        <f>ROUND(P404*2/3,0)</f>
        <v>0</v>
      </c>
      <c r="Q405" s="130"/>
      <c r="R405" s="103">
        <f>ROUND(R404*2/3,0)</f>
        <v>0</v>
      </c>
      <c r="S405" s="131"/>
      <c r="T405" s="105">
        <f>ROUND(T404*2/3,0)</f>
        <v>0</v>
      </c>
      <c r="U405" s="132"/>
      <c r="V405" s="107">
        <f>ROUND(V404*2/3,0)</f>
        <v>0</v>
      </c>
      <c r="W405" s="133"/>
      <c r="X405" s="109">
        <f>ROUND(X404*2/3,0)</f>
        <v>0</v>
      </c>
      <c r="Y405" s="134"/>
      <c r="Z405" s="151"/>
      <c r="AA405" s="151"/>
    </row>
    <row r="406" spans="1:27">
      <c r="A406" s="144" t="s">
        <v>8100</v>
      </c>
      <c r="B406" s="145" t="s">
        <v>6746</v>
      </c>
      <c r="C406" s="146" t="s">
        <v>4133</v>
      </c>
      <c r="D406" s="147" t="s">
        <v>4893</v>
      </c>
      <c r="E406" s="139" t="s">
        <v>4894</v>
      </c>
      <c r="F406" s="156" t="s">
        <v>8026</v>
      </c>
      <c r="G406" s="92">
        <f t="shared" ref="G406:L406" si="580">G410</f>
        <v>1.6</v>
      </c>
      <c r="H406" s="93">
        <f t="shared" ref="H406:M406" si="581">SUM(G406:G410)</f>
        <v>10.4</v>
      </c>
      <c r="I406" s="149" t="s">
        <v>7977</v>
      </c>
      <c r="J406" s="95">
        <f t="shared" si="580"/>
        <v>28</v>
      </c>
      <c r="K406" s="160">
        <f t="shared" si="581"/>
        <v>182</v>
      </c>
      <c r="L406" s="119">
        <f t="shared" si="580"/>
        <v>2.3</v>
      </c>
      <c r="M406" s="98">
        <f t="shared" si="581"/>
        <v>15</v>
      </c>
      <c r="N406" s="99">
        <f t="shared" ref="N406:R406" si="582">N410</f>
        <v>0</v>
      </c>
      <c r="O406" s="100">
        <f t="shared" ref="O406:S406" si="583">SUM(N406:N410)</f>
        <v>0</v>
      </c>
      <c r="P406" s="101">
        <f t="shared" si="582"/>
        <v>10</v>
      </c>
      <c r="Q406" s="102">
        <f t="shared" si="583"/>
        <v>65</v>
      </c>
      <c r="R406" s="103">
        <f t="shared" si="582"/>
        <v>0</v>
      </c>
      <c r="S406" s="104">
        <f t="shared" si="583"/>
        <v>0</v>
      </c>
      <c r="T406" s="105">
        <f t="shared" ref="T406:X406" si="584">T410</f>
        <v>0</v>
      </c>
      <c r="U406" s="106">
        <f t="shared" ref="U406:Y406" si="585">SUM(T406:T410)</f>
        <v>0</v>
      </c>
      <c r="V406" s="107">
        <f t="shared" si="584"/>
        <v>0</v>
      </c>
      <c r="W406" s="108">
        <f t="shared" si="585"/>
        <v>0</v>
      </c>
      <c r="X406" s="109">
        <f t="shared" si="584"/>
        <v>0</v>
      </c>
      <c r="Y406" s="110">
        <f t="shared" si="585"/>
        <v>0</v>
      </c>
      <c r="Z406" s="151"/>
      <c r="AA406" s="151"/>
    </row>
    <row r="407" spans="1:27">
      <c r="A407" s="144"/>
      <c r="B407" s="145"/>
      <c r="C407" s="146" t="s">
        <v>4115</v>
      </c>
      <c r="D407" s="147" t="s">
        <v>4895</v>
      </c>
      <c r="E407" s="139" t="s">
        <v>4896</v>
      </c>
      <c r="F407" s="156" t="s">
        <v>8007</v>
      </c>
      <c r="G407" s="92">
        <f t="shared" ref="G407:L407" si="586">G410*2</f>
        <v>3.2</v>
      </c>
      <c r="H407" s="117"/>
      <c r="I407" s="149"/>
      <c r="J407" s="95">
        <f t="shared" si="586"/>
        <v>56</v>
      </c>
      <c r="K407" s="160"/>
      <c r="L407" s="119">
        <f t="shared" si="586"/>
        <v>4.6</v>
      </c>
      <c r="M407" s="120"/>
      <c r="N407" s="99">
        <f t="shared" ref="N407:R407" si="587">N410*2</f>
        <v>0</v>
      </c>
      <c r="O407" s="121"/>
      <c r="P407" s="101">
        <f t="shared" si="587"/>
        <v>20</v>
      </c>
      <c r="Q407" s="122"/>
      <c r="R407" s="103">
        <f t="shared" si="587"/>
        <v>0</v>
      </c>
      <c r="S407" s="123"/>
      <c r="T407" s="105">
        <f t="shared" ref="T407:X407" si="588">T410*2</f>
        <v>0</v>
      </c>
      <c r="U407" s="124"/>
      <c r="V407" s="107">
        <f t="shared" si="588"/>
        <v>0</v>
      </c>
      <c r="W407" s="125"/>
      <c r="X407" s="109">
        <f t="shared" si="588"/>
        <v>0</v>
      </c>
      <c r="Y407" s="126"/>
      <c r="Z407" s="151"/>
      <c r="AA407" s="151"/>
    </row>
    <row r="408" spans="1:27">
      <c r="A408" s="144"/>
      <c r="B408" s="145"/>
      <c r="C408" s="146" t="s">
        <v>4118</v>
      </c>
      <c r="D408" s="147" t="s">
        <v>4897</v>
      </c>
      <c r="E408" s="139" t="s">
        <v>4898</v>
      </c>
      <c r="F408" s="156" t="s">
        <v>68</v>
      </c>
      <c r="G408" s="92">
        <f t="shared" ref="G408:L408" si="589">G410</f>
        <v>1.6</v>
      </c>
      <c r="H408" s="117"/>
      <c r="I408" s="149"/>
      <c r="J408" s="95">
        <f t="shared" si="589"/>
        <v>28</v>
      </c>
      <c r="K408" s="160"/>
      <c r="L408" s="119">
        <f t="shared" si="589"/>
        <v>2.3</v>
      </c>
      <c r="M408" s="120"/>
      <c r="N408" s="99">
        <f t="shared" ref="N408:R408" si="590">N410</f>
        <v>0</v>
      </c>
      <c r="O408" s="121"/>
      <c r="P408" s="101">
        <f t="shared" si="590"/>
        <v>10</v>
      </c>
      <c r="Q408" s="122"/>
      <c r="R408" s="103">
        <f t="shared" si="590"/>
        <v>0</v>
      </c>
      <c r="S408" s="123"/>
      <c r="T408" s="105">
        <f t="shared" ref="T408:X408" si="591">T410</f>
        <v>0</v>
      </c>
      <c r="U408" s="124"/>
      <c r="V408" s="107">
        <f t="shared" si="591"/>
        <v>0</v>
      </c>
      <c r="W408" s="125"/>
      <c r="X408" s="109">
        <f t="shared" si="591"/>
        <v>0</v>
      </c>
      <c r="Y408" s="126"/>
      <c r="Z408" s="151"/>
      <c r="AA408" s="151"/>
    </row>
    <row r="409" spans="1:27">
      <c r="A409" s="144"/>
      <c r="B409" s="145"/>
      <c r="C409" s="146" t="s">
        <v>4121</v>
      </c>
      <c r="D409" s="147" t="s">
        <v>4899</v>
      </c>
      <c r="E409" s="139" t="s">
        <v>4900</v>
      </c>
      <c r="F409" s="156" t="s">
        <v>372</v>
      </c>
      <c r="G409" s="92">
        <v>2.4</v>
      </c>
      <c r="H409" s="117"/>
      <c r="I409" s="149"/>
      <c r="J409" s="95">
        <v>42</v>
      </c>
      <c r="K409" s="160"/>
      <c r="L409" s="119">
        <v>3.5</v>
      </c>
      <c r="M409" s="120"/>
      <c r="N409" s="99">
        <v>0</v>
      </c>
      <c r="O409" s="121"/>
      <c r="P409" s="101">
        <v>15</v>
      </c>
      <c r="Q409" s="122"/>
      <c r="R409" s="103">
        <v>0</v>
      </c>
      <c r="S409" s="123"/>
      <c r="T409" s="105">
        <v>0</v>
      </c>
      <c r="U409" s="124"/>
      <c r="V409" s="107">
        <v>0</v>
      </c>
      <c r="W409" s="125"/>
      <c r="X409" s="109">
        <v>0</v>
      </c>
      <c r="Y409" s="126"/>
      <c r="Z409" s="151"/>
      <c r="AA409" s="151"/>
    </row>
    <row r="410" spans="1:27">
      <c r="A410" s="144"/>
      <c r="B410" s="145"/>
      <c r="C410" s="146" t="s">
        <v>4124</v>
      </c>
      <c r="D410" s="147" t="s">
        <v>4901</v>
      </c>
      <c r="E410" s="139" t="s">
        <v>4902</v>
      </c>
      <c r="F410" s="156" t="s">
        <v>8129</v>
      </c>
      <c r="G410" s="92">
        <f>ROUND(G409*2/3,1)</f>
        <v>1.6</v>
      </c>
      <c r="H410" s="127"/>
      <c r="I410" s="149"/>
      <c r="J410" s="95">
        <f>ROUND(J409*2/3,0)</f>
        <v>28</v>
      </c>
      <c r="K410" s="160"/>
      <c r="L410" s="119">
        <f>ROUND(L409*2/3,1)</f>
        <v>2.3</v>
      </c>
      <c r="M410" s="128"/>
      <c r="N410" s="99">
        <f>ROUND(N409*2/3,0)</f>
        <v>0</v>
      </c>
      <c r="O410" s="129"/>
      <c r="P410" s="101">
        <f>ROUND(P409*2/3,0)</f>
        <v>10</v>
      </c>
      <c r="Q410" s="130"/>
      <c r="R410" s="103">
        <f>ROUND(R409*2/3,0)</f>
        <v>0</v>
      </c>
      <c r="S410" s="131"/>
      <c r="T410" s="105">
        <f>ROUND(T409*2/3,0)</f>
        <v>0</v>
      </c>
      <c r="U410" s="132"/>
      <c r="V410" s="107">
        <f>ROUND(V409*2/3,0)</f>
        <v>0</v>
      </c>
      <c r="W410" s="133"/>
      <c r="X410" s="109">
        <f>ROUND(X409*2/3,0)</f>
        <v>0</v>
      </c>
      <c r="Y410" s="134"/>
      <c r="Z410" s="151"/>
      <c r="AA410" s="151"/>
    </row>
    <row r="411" spans="1:27">
      <c r="A411" s="144" t="s">
        <v>8100</v>
      </c>
      <c r="B411" s="145" t="s">
        <v>6949</v>
      </c>
      <c r="C411" s="146" t="s">
        <v>4133</v>
      </c>
      <c r="D411" s="147" t="s">
        <v>4903</v>
      </c>
      <c r="E411" s="139" t="s">
        <v>4904</v>
      </c>
      <c r="F411" s="156"/>
      <c r="G411" s="92">
        <f t="shared" ref="G411:L411" si="592">G415</f>
        <v>1.6</v>
      </c>
      <c r="H411" s="93">
        <f t="shared" ref="H411:M411" si="593">SUM(G411:G415)</f>
        <v>10.4</v>
      </c>
      <c r="I411" s="149" t="s">
        <v>8029</v>
      </c>
      <c r="J411" s="95">
        <f t="shared" si="592"/>
        <v>28</v>
      </c>
      <c r="K411" s="160">
        <f t="shared" si="593"/>
        <v>182</v>
      </c>
      <c r="L411" s="119">
        <f t="shared" si="592"/>
        <v>2.3</v>
      </c>
      <c r="M411" s="98">
        <f t="shared" si="593"/>
        <v>15</v>
      </c>
      <c r="N411" s="99">
        <f t="shared" ref="N411:R411" si="594">N415</f>
        <v>0</v>
      </c>
      <c r="O411" s="100">
        <f t="shared" ref="O411:S411" si="595">SUM(N411:N415)</f>
        <v>0</v>
      </c>
      <c r="P411" s="101">
        <f t="shared" si="594"/>
        <v>0</v>
      </c>
      <c r="Q411" s="102">
        <f t="shared" si="595"/>
        <v>0</v>
      </c>
      <c r="R411" s="103">
        <f t="shared" si="594"/>
        <v>10</v>
      </c>
      <c r="S411" s="104">
        <f t="shared" si="595"/>
        <v>65</v>
      </c>
      <c r="T411" s="105">
        <f t="shared" ref="T411:X411" si="596">T415</f>
        <v>0</v>
      </c>
      <c r="U411" s="106">
        <f t="shared" ref="U411:Y411" si="597">SUM(T411:T415)</f>
        <v>0</v>
      </c>
      <c r="V411" s="107">
        <f t="shared" si="596"/>
        <v>0</v>
      </c>
      <c r="W411" s="108">
        <f t="shared" si="597"/>
        <v>0</v>
      </c>
      <c r="X411" s="109">
        <f t="shared" si="596"/>
        <v>0</v>
      </c>
      <c r="Y411" s="110">
        <f t="shared" si="597"/>
        <v>0</v>
      </c>
      <c r="Z411" s="151"/>
      <c r="AA411" s="151"/>
    </row>
    <row r="412" spans="1:27">
      <c r="A412" s="144"/>
      <c r="B412" s="145"/>
      <c r="C412" s="146" t="s">
        <v>4115</v>
      </c>
      <c r="D412" s="147" t="s">
        <v>4905</v>
      </c>
      <c r="E412" s="139" t="s">
        <v>4906</v>
      </c>
      <c r="F412" s="156"/>
      <c r="G412" s="92">
        <f t="shared" ref="G412:L412" si="598">G415*2</f>
        <v>3.2</v>
      </c>
      <c r="H412" s="117"/>
      <c r="I412" s="149"/>
      <c r="J412" s="95">
        <f t="shared" si="598"/>
        <v>56</v>
      </c>
      <c r="K412" s="160"/>
      <c r="L412" s="119">
        <f t="shared" si="598"/>
        <v>4.6</v>
      </c>
      <c r="M412" s="120"/>
      <c r="N412" s="99">
        <f t="shared" ref="N412:R412" si="599">N415*2</f>
        <v>0</v>
      </c>
      <c r="O412" s="121"/>
      <c r="P412" s="101">
        <f t="shared" si="599"/>
        <v>0</v>
      </c>
      <c r="Q412" s="122"/>
      <c r="R412" s="103">
        <f t="shared" si="599"/>
        <v>20</v>
      </c>
      <c r="S412" s="123"/>
      <c r="T412" s="105">
        <f t="shared" ref="T412:X412" si="600">T415*2</f>
        <v>0</v>
      </c>
      <c r="U412" s="124"/>
      <c r="V412" s="107">
        <f t="shared" si="600"/>
        <v>0</v>
      </c>
      <c r="W412" s="125"/>
      <c r="X412" s="109">
        <f t="shared" si="600"/>
        <v>0</v>
      </c>
      <c r="Y412" s="126"/>
      <c r="Z412" s="151"/>
      <c r="AA412" s="151"/>
    </row>
    <row r="413" spans="1:27">
      <c r="A413" s="144"/>
      <c r="B413" s="145"/>
      <c r="C413" s="146" t="s">
        <v>4118</v>
      </c>
      <c r="D413" s="147" t="s">
        <v>4907</v>
      </c>
      <c r="E413" s="139" t="s">
        <v>4908</v>
      </c>
      <c r="F413" s="156"/>
      <c r="G413" s="92">
        <f>G415</f>
        <v>1.6</v>
      </c>
      <c r="H413" s="117"/>
      <c r="I413" s="149"/>
      <c r="J413" s="95">
        <f>J415</f>
        <v>28</v>
      </c>
      <c r="K413" s="160"/>
      <c r="L413" s="119">
        <f>L415</f>
        <v>2.3</v>
      </c>
      <c r="M413" s="120"/>
      <c r="N413" s="99">
        <f t="shared" ref="N413:R413" si="601">N415</f>
        <v>0</v>
      </c>
      <c r="O413" s="121"/>
      <c r="P413" s="101">
        <f t="shared" si="601"/>
        <v>0</v>
      </c>
      <c r="Q413" s="122"/>
      <c r="R413" s="103">
        <f t="shared" si="601"/>
        <v>10</v>
      </c>
      <c r="S413" s="123"/>
      <c r="T413" s="105">
        <f t="shared" ref="T413:X413" si="602">T415</f>
        <v>0</v>
      </c>
      <c r="U413" s="124"/>
      <c r="V413" s="107">
        <f t="shared" si="602"/>
        <v>0</v>
      </c>
      <c r="W413" s="125"/>
      <c r="X413" s="109">
        <f t="shared" si="602"/>
        <v>0</v>
      </c>
      <c r="Y413" s="126"/>
      <c r="Z413" s="151"/>
      <c r="AA413" s="151"/>
    </row>
    <row r="414" spans="1:27">
      <c r="A414" s="144"/>
      <c r="B414" s="145"/>
      <c r="C414" s="146" t="s">
        <v>4121</v>
      </c>
      <c r="D414" s="147" t="s">
        <v>4909</v>
      </c>
      <c r="E414" s="139" t="s">
        <v>4910</v>
      </c>
      <c r="F414" s="156"/>
      <c r="G414" s="92">
        <v>2.4</v>
      </c>
      <c r="H414" s="117"/>
      <c r="I414" s="149"/>
      <c r="J414" s="95">
        <v>42</v>
      </c>
      <c r="K414" s="160"/>
      <c r="L414" s="119">
        <v>3.5</v>
      </c>
      <c r="M414" s="120"/>
      <c r="N414" s="99">
        <v>0</v>
      </c>
      <c r="O414" s="121"/>
      <c r="P414" s="101">
        <v>0</v>
      </c>
      <c r="Q414" s="122"/>
      <c r="R414" s="103">
        <v>15</v>
      </c>
      <c r="S414" s="123"/>
      <c r="T414" s="105">
        <v>0</v>
      </c>
      <c r="U414" s="124"/>
      <c r="V414" s="107">
        <v>0</v>
      </c>
      <c r="W414" s="125"/>
      <c r="X414" s="109">
        <v>0</v>
      </c>
      <c r="Y414" s="126"/>
      <c r="Z414" s="151"/>
      <c r="AA414" s="151"/>
    </row>
    <row r="415" spans="1:27">
      <c r="A415" s="144"/>
      <c r="B415" s="145"/>
      <c r="C415" s="146" t="s">
        <v>4124</v>
      </c>
      <c r="D415" s="147" t="s">
        <v>4911</v>
      </c>
      <c r="E415" s="139" t="s">
        <v>4912</v>
      </c>
      <c r="F415" s="156"/>
      <c r="G415" s="92">
        <f>ROUND(G414*2/3,1)</f>
        <v>1.6</v>
      </c>
      <c r="H415" s="127"/>
      <c r="I415" s="149"/>
      <c r="J415" s="95">
        <f>ROUND(J414*2/3,0)</f>
        <v>28</v>
      </c>
      <c r="K415" s="160"/>
      <c r="L415" s="119">
        <f>ROUND(L414*2/3,1)</f>
        <v>2.3</v>
      </c>
      <c r="M415" s="128"/>
      <c r="N415" s="99">
        <f>ROUND(N414*2/3,0)</f>
        <v>0</v>
      </c>
      <c r="O415" s="129"/>
      <c r="P415" s="101">
        <f>ROUND(P414*2/3,0)</f>
        <v>0</v>
      </c>
      <c r="Q415" s="130"/>
      <c r="R415" s="103">
        <f>ROUND(R414*2/3,0)</f>
        <v>10</v>
      </c>
      <c r="S415" s="131"/>
      <c r="T415" s="105">
        <f>ROUND(T414*2/3,0)</f>
        <v>0</v>
      </c>
      <c r="U415" s="132"/>
      <c r="V415" s="107">
        <f>ROUND(V414*2/3,0)</f>
        <v>0</v>
      </c>
      <c r="W415" s="133"/>
      <c r="X415" s="109">
        <f>ROUND(X414*2/3,0)</f>
        <v>0</v>
      </c>
      <c r="Y415" s="134"/>
      <c r="Z415" s="151"/>
      <c r="AA415" s="151"/>
    </row>
    <row r="416" spans="1:27">
      <c r="A416" s="144" t="s">
        <v>8097</v>
      </c>
      <c r="B416" s="145" t="s">
        <v>8031</v>
      </c>
      <c r="C416" s="146"/>
      <c r="D416" s="147"/>
      <c r="E416" s="139"/>
      <c r="F416" s="156"/>
      <c r="G416" s="92"/>
      <c r="H416" s="93">
        <f t="shared" ref="H416:M416" si="603">SUM(G416:G420)</f>
        <v>2.5</v>
      </c>
      <c r="I416" s="149" t="s">
        <v>8032</v>
      </c>
      <c r="J416" s="95"/>
      <c r="K416" s="160">
        <f t="shared" si="603"/>
        <v>30</v>
      </c>
      <c r="L416" s="119"/>
      <c r="M416" s="98">
        <f t="shared" si="603"/>
        <v>4.2</v>
      </c>
      <c r="N416" s="99"/>
      <c r="O416" s="100">
        <f t="shared" ref="O416:S416" si="604">SUM(N416:N420)</f>
        <v>0</v>
      </c>
      <c r="P416" s="101"/>
      <c r="Q416" s="102">
        <f t="shared" si="604"/>
        <v>0</v>
      </c>
      <c r="R416" s="103"/>
      <c r="S416" s="104">
        <f t="shared" si="604"/>
        <v>0</v>
      </c>
      <c r="T416" s="105"/>
      <c r="U416" s="106">
        <f t="shared" ref="U416:Y416" si="605">SUM(T416:T420)</f>
        <v>0</v>
      </c>
      <c r="V416" s="107"/>
      <c r="W416" s="108">
        <f t="shared" si="605"/>
        <v>0</v>
      </c>
      <c r="X416" s="109"/>
      <c r="Y416" s="110">
        <f t="shared" si="605"/>
        <v>0</v>
      </c>
      <c r="Z416" s="151"/>
      <c r="AA416" s="151"/>
    </row>
    <row r="417" spans="1:27">
      <c r="A417" s="144"/>
      <c r="B417" s="145"/>
      <c r="C417" s="146" t="s">
        <v>4115</v>
      </c>
      <c r="D417" s="147" t="s">
        <v>4913</v>
      </c>
      <c r="E417" s="139" t="s">
        <v>4363</v>
      </c>
      <c r="F417" s="156" t="s">
        <v>998</v>
      </c>
      <c r="G417" s="92">
        <v>1.4</v>
      </c>
      <c r="H417" s="117"/>
      <c r="I417" s="149"/>
      <c r="J417" s="95">
        <v>18</v>
      </c>
      <c r="K417" s="160"/>
      <c r="L417" s="119">
        <v>2.4</v>
      </c>
      <c r="M417" s="120"/>
      <c r="N417" s="99">
        <f t="shared" ref="N417:R417" si="606">N420*2</f>
        <v>0</v>
      </c>
      <c r="O417" s="121"/>
      <c r="P417" s="101">
        <f t="shared" si="606"/>
        <v>0</v>
      </c>
      <c r="Q417" s="122"/>
      <c r="R417" s="103">
        <f t="shared" si="606"/>
        <v>0</v>
      </c>
      <c r="S417" s="123"/>
      <c r="T417" s="105">
        <f t="shared" ref="T417:X417" si="607">T420*2</f>
        <v>0</v>
      </c>
      <c r="U417" s="124"/>
      <c r="V417" s="107">
        <f t="shared" si="607"/>
        <v>0</v>
      </c>
      <c r="W417" s="125"/>
      <c r="X417" s="109">
        <f t="shared" si="607"/>
        <v>0</v>
      </c>
      <c r="Y417" s="126"/>
      <c r="Z417" s="151"/>
      <c r="AA417" s="151"/>
    </row>
    <row r="418" spans="1:27">
      <c r="A418" s="144"/>
      <c r="B418" s="145"/>
      <c r="C418" s="146"/>
      <c r="D418" s="147"/>
      <c r="E418" s="139"/>
      <c r="F418" s="156"/>
      <c r="G418" s="92"/>
      <c r="H418" s="117"/>
      <c r="I418" s="149"/>
      <c r="J418" s="95"/>
      <c r="K418" s="160"/>
      <c r="L418" s="119"/>
      <c r="M418" s="120"/>
      <c r="N418" s="99"/>
      <c r="O418" s="121"/>
      <c r="P418" s="101"/>
      <c r="Q418" s="122"/>
      <c r="R418" s="103"/>
      <c r="S418" s="123"/>
      <c r="T418" s="105"/>
      <c r="U418" s="124"/>
      <c r="V418" s="107"/>
      <c r="W418" s="125"/>
      <c r="X418" s="109"/>
      <c r="Y418" s="126"/>
      <c r="Z418" s="151"/>
      <c r="AA418" s="151"/>
    </row>
    <row r="419" spans="1:27">
      <c r="A419" s="144"/>
      <c r="B419" s="145"/>
      <c r="C419" s="146" t="s">
        <v>4121</v>
      </c>
      <c r="D419" s="147" t="s">
        <v>4914</v>
      </c>
      <c r="E419" s="139" t="s">
        <v>4365</v>
      </c>
      <c r="F419" s="156" t="s">
        <v>998</v>
      </c>
      <c r="G419" s="92">
        <v>1.1</v>
      </c>
      <c r="H419" s="117"/>
      <c r="I419" s="149"/>
      <c r="J419" s="95">
        <v>12</v>
      </c>
      <c r="K419" s="160"/>
      <c r="L419" s="119">
        <v>1.8</v>
      </c>
      <c r="M419" s="120"/>
      <c r="N419" s="99">
        <v>0</v>
      </c>
      <c r="O419" s="121"/>
      <c r="P419" s="101">
        <v>0</v>
      </c>
      <c r="Q419" s="122"/>
      <c r="R419" s="103">
        <v>0</v>
      </c>
      <c r="S419" s="123"/>
      <c r="T419" s="105">
        <v>0</v>
      </c>
      <c r="U419" s="124"/>
      <c r="V419" s="107">
        <v>0</v>
      </c>
      <c r="W419" s="125"/>
      <c r="X419" s="109">
        <v>0</v>
      </c>
      <c r="Y419" s="126"/>
      <c r="Z419" s="151"/>
      <c r="AA419" s="151"/>
    </row>
    <row r="420" spans="1:27">
      <c r="A420" s="144"/>
      <c r="B420" s="145"/>
      <c r="C420" s="146"/>
      <c r="D420" s="147"/>
      <c r="E420" s="139"/>
      <c r="F420" s="156"/>
      <c r="G420" s="92"/>
      <c r="H420" s="127"/>
      <c r="I420" s="149"/>
      <c r="J420" s="95"/>
      <c r="K420" s="160"/>
      <c r="L420" s="119"/>
      <c r="M420" s="128"/>
      <c r="N420" s="99"/>
      <c r="O420" s="129"/>
      <c r="P420" s="101"/>
      <c r="Q420" s="130"/>
      <c r="R420" s="103"/>
      <c r="S420" s="131"/>
      <c r="T420" s="105"/>
      <c r="U420" s="132"/>
      <c r="V420" s="107"/>
      <c r="W420" s="133"/>
      <c r="X420" s="109"/>
      <c r="Y420" s="134"/>
      <c r="Z420" s="151"/>
      <c r="AA420" s="151"/>
    </row>
    <row r="421" spans="1:27">
      <c r="A421" s="144" t="s">
        <v>8097</v>
      </c>
      <c r="B421" s="145" t="s">
        <v>8130</v>
      </c>
      <c r="C421" s="146" t="s">
        <v>4133</v>
      </c>
      <c r="D421" s="147" t="s">
        <v>4915</v>
      </c>
      <c r="E421" s="139" t="s">
        <v>4916</v>
      </c>
      <c r="F421" s="61" t="s">
        <v>8034</v>
      </c>
      <c r="G421" s="92">
        <f t="shared" ref="G421:L421" si="608">G425</f>
        <v>0.6</v>
      </c>
      <c r="H421" s="93">
        <f t="shared" ref="H421:M421" si="609">SUM(G421:G425)</f>
        <v>3.9</v>
      </c>
      <c r="I421" s="149" t="s">
        <v>8131</v>
      </c>
      <c r="J421" s="95">
        <f t="shared" si="608"/>
        <v>18</v>
      </c>
      <c r="K421" s="160">
        <f t="shared" si="609"/>
        <v>117</v>
      </c>
      <c r="L421" s="119">
        <f t="shared" si="608"/>
        <v>1.2</v>
      </c>
      <c r="M421" s="98">
        <f t="shared" si="609"/>
        <v>7.8</v>
      </c>
      <c r="N421" s="99">
        <f t="shared" ref="N421:R421" si="610">N425</f>
        <v>0</v>
      </c>
      <c r="O421" s="100">
        <f t="shared" ref="O421:S421" si="611">SUM(N421:N425)</f>
        <v>0</v>
      </c>
      <c r="P421" s="101">
        <f t="shared" si="610"/>
        <v>0</v>
      </c>
      <c r="Q421" s="102">
        <f t="shared" si="611"/>
        <v>0</v>
      </c>
      <c r="R421" s="103">
        <f t="shared" si="610"/>
        <v>0</v>
      </c>
      <c r="S421" s="104">
        <f t="shared" si="611"/>
        <v>0</v>
      </c>
      <c r="T421" s="105">
        <f t="shared" ref="T421:X421" si="612">T425</f>
        <v>0</v>
      </c>
      <c r="U421" s="106">
        <f t="shared" ref="U421:Y421" si="613">SUM(T421:T425)</f>
        <v>0</v>
      </c>
      <c r="V421" s="107">
        <f t="shared" si="612"/>
        <v>0</v>
      </c>
      <c r="W421" s="108">
        <f t="shared" si="613"/>
        <v>0</v>
      </c>
      <c r="X421" s="109">
        <f t="shared" si="612"/>
        <v>0</v>
      </c>
      <c r="Y421" s="110">
        <f t="shared" si="613"/>
        <v>0</v>
      </c>
      <c r="Z421" s="151"/>
      <c r="AA421" s="151"/>
    </row>
    <row r="422" spans="1:27">
      <c r="A422" s="144"/>
      <c r="B422" s="145"/>
      <c r="C422" s="146" t="s">
        <v>4115</v>
      </c>
      <c r="D422" s="147" t="s">
        <v>4917</v>
      </c>
      <c r="E422" s="139" t="s">
        <v>4918</v>
      </c>
      <c r="F422" s="61" t="s">
        <v>8036</v>
      </c>
      <c r="G422" s="92">
        <f t="shared" ref="G422:L422" si="614">G425*2</f>
        <v>1.2</v>
      </c>
      <c r="H422" s="117"/>
      <c r="I422" s="149"/>
      <c r="J422" s="95">
        <f t="shared" si="614"/>
        <v>36</v>
      </c>
      <c r="K422" s="160"/>
      <c r="L422" s="119">
        <f t="shared" si="614"/>
        <v>2.4</v>
      </c>
      <c r="M422" s="120"/>
      <c r="N422" s="99">
        <f t="shared" ref="N422:R422" si="615">N425*2</f>
        <v>0</v>
      </c>
      <c r="O422" s="121"/>
      <c r="P422" s="101">
        <f t="shared" si="615"/>
        <v>0</v>
      </c>
      <c r="Q422" s="122"/>
      <c r="R422" s="103">
        <f t="shared" si="615"/>
        <v>0</v>
      </c>
      <c r="S422" s="123"/>
      <c r="T422" s="105">
        <f t="shared" ref="T422:X422" si="616">T425*2</f>
        <v>0</v>
      </c>
      <c r="U422" s="124"/>
      <c r="V422" s="107">
        <f t="shared" si="616"/>
        <v>0</v>
      </c>
      <c r="W422" s="125"/>
      <c r="X422" s="109">
        <f t="shared" si="616"/>
        <v>0</v>
      </c>
      <c r="Y422" s="126"/>
      <c r="Z422" s="151"/>
      <c r="AA422" s="151"/>
    </row>
    <row r="423" spans="1:27">
      <c r="A423" s="144"/>
      <c r="B423" s="145"/>
      <c r="C423" s="146" t="s">
        <v>4118</v>
      </c>
      <c r="D423" s="147" t="s">
        <v>4919</v>
      </c>
      <c r="E423" s="139" t="s">
        <v>4920</v>
      </c>
      <c r="F423" s="61" t="s">
        <v>8034</v>
      </c>
      <c r="G423" s="92">
        <f t="shared" ref="G423:L423" si="617">G425</f>
        <v>0.6</v>
      </c>
      <c r="H423" s="117"/>
      <c r="I423" s="149"/>
      <c r="J423" s="95">
        <f t="shared" si="617"/>
        <v>18</v>
      </c>
      <c r="K423" s="160"/>
      <c r="L423" s="119">
        <f t="shared" si="617"/>
        <v>1.2</v>
      </c>
      <c r="M423" s="120"/>
      <c r="N423" s="99">
        <f t="shared" ref="N423:R423" si="618">N425</f>
        <v>0</v>
      </c>
      <c r="O423" s="121"/>
      <c r="P423" s="101">
        <f t="shared" si="618"/>
        <v>0</v>
      </c>
      <c r="Q423" s="122"/>
      <c r="R423" s="103">
        <f t="shared" si="618"/>
        <v>0</v>
      </c>
      <c r="S423" s="123"/>
      <c r="T423" s="105">
        <f t="shared" ref="T423:X423" si="619">T425</f>
        <v>0</v>
      </c>
      <c r="U423" s="124"/>
      <c r="V423" s="107">
        <f t="shared" si="619"/>
        <v>0</v>
      </c>
      <c r="W423" s="125"/>
      <c r="X423" s="109">
        <f t="shared" si="619"/>
        <v>0</v>
      </c>
      <c r="Y423" s="126"/>
      <c r="Z423" s="151"/>
      <c r="AA423" s="151"/>
    </row>
    <row r="424" spans="1:27">
      <c r="A424" s="144"/>
      <c r="B424" s="145"/>
      <c r="C424" s="146" t="s">
        <v>4121</v>
      </c>
      <c r="D424" s="147" t="s">
        <v>4921</v>
      </c>
      <c r="E424" s="139" t="s">
        <v>4922</v>
      </c>
      <c r="F424" s="61" t="s">
        <v>8037</v>
      </c>
      <c r="G424" s="92">
        <v>0.9</v>
      </c>
      <c r="H424" s="117"/>
      <c r="I424" s="149"/>
      <c r="J424" s="95">
        <v>27</v>
      </c>
      <c r="K424" s="160"/>
      <c r="L424" s="119">
        <v>1.8</v>
      </c>
      <c r="M424" s="120"/>
      <c r="N424" s="99">
        <v>0</v>
      </c>
      <c r="O424" s="121"/>
      <c r="P424" s="101">
        <v>0</v>
      </c>
      <c r="Q424" s="122"/>
      <c r="R424" s="103">
        <v>0</v>
      </c>
      <c r="S424" s="123"/>
      <c r="T424" s="105">
        <v>0</v>
      </c>
      <c r="U424" s="124"/>
      <c r="V424" s="107">
        <v>0</v>
      </c>
      <c r="W424" s="125"/>
      <c r="X424" s="109">
        <v>0</v>
      </c>
      <c r="Y424" s="126"/>
      <c r="Z424" s="151"/>
      <c r="AA424" s="151"/>
    </row>
    <row r="425" spans="1:27">
      <c r="A425" s="144"/>
      <c r="B425" s="145"/>
      <c r="C425" s="146" t="s">
        <v>4124</v>
      </c>
      <c r="D425" s="147" t="s">
        <v>4923</v>
      </c>
      <c r="E425" s="139" t="s">
        <v>4924</v>
      </c>
      <c r="F425" s="61" t="s">
        <v>8034</v>
      </c>
      <c r="G425" s="92">
        <f>ROUND(G424*2/3,1)</f>
        <v>0.6</v>
      </c>
      <c r="H425" s="127"/>
      <c r="I425" s="149"/>
      <c r="J425" s="95">
        <f>ROUND(J424*2/3,0)</f>
        <v>18</v>
      </c>
      <c r="K425" s="160"/>
      <c r="L425" s="119">
        <f>ROUND(L424*2/3,1)</f>
        <v>1.2</v>
      </c>
      <c r="M425" s="128"/>
      <c r="N425" s="99">
        <f>ROUND(N424*2/3,0)</f>
        <v>0</v>
      </c>
      <c r="O425" s="129"/>
      <c r="P425" s="101">
        <f>ROUND(P424*2/3,0)</f>
        <v>0</v>
      </c>
      <c r="Q425" s="130"/>
      <c r="R425" s="103">
        <f>ROUND(R424*2/3,0)</f>
        <v>0</v>
      </c>
      <c r="S425" s="131"/>
      <c r="T425" s="105">
        <f>ROUND(T424*2/3,0)</f>
        <v>0</v>
      </c>
      <c r="U425" s="132"/>
      <c r="V425" s="107">
        <f>ROUND(V424*2/3,0)</f>
        <v>0</v>
      </c>
      <c r="W425" s="133"/>
      <c r="X425" s="109">
        <f>ROUND(X424*2/3,0)</f>
        <v>0</v>
      </c>
      <c r="Y425" s="134"/>
      <c r="Z425" s="151"/>
      <c r="AA425" s="151"/>
    </row>
    <row r="426" spans="1:27">
      <c r="A426" s="144" t="s">
        <v>8097</v>
      </c>
      <c r="B426" s="145" t="s">
        <v>7576</v>
      </c>
      <c r="C426" s="146" t="s">
        <v>4133</v>
      </c>
      <c r="D426" s="147" t="s">
        <v>4925</v>
      </c>
      <c r="E426" s="139" t="s">
        <v>4926</v>
      </c>
      <c r="F426" s="61" t="s">
        <v>1388</v>
      </c>
      <c r="G426" s="92">
        <f t="shared" ref="G426:L426" si="620">G430</f>
        <v>0.7</v>
      </c>
      <c r="H426" s="93">
        <f t="shared" ref="H426:M426" si="621">SUM(G426:G430)</f>
        <v>4.6</v>
      </c>
      <c r="I426" s="149" t="s">
        <v>8132</v>
      </c>
      <c r="J426" s="95">
        <f t="shared" si="620"/>
        <v>18</v>
      </c>
      <c r="K426" s="160">
        <f t="shared" si="621"/>
        <v>117</v>
      </c>
      <c r="L426" s="119">
        <f t="shared" si="620"/>
        <v>1.2</v>
      </c>
      <c r="M426" s="98">
        <f t="shared" si="621"/>
        <v>7.8</v>
      </c>
      <c r="N426" s="99">
        <f t="shared" ref="N426:R426" si="622">N430</f>
        <v>0</v>
      </c>
      <c r="O426" s="100">
        <f t="shared" ref="O426:S426" si="623">SUM(N426:N430)</f>
        <v>0</v>
      </c>
      <c r="P426" s="101">
        <f t="shared" si="622"/>
        <v>0</v>
      </c>
      <c r="Q426" s="102">
        <f t="shared" si="623"/>
        <v>0</v>
      </c>
      <c r="R426" s="103">
        <f t="shared" si="622"/>
        <v>0</v>
      </c>
      <c r="S426" s="104">
        <f t="shared" si="623"/>
        <v>0</v>
      </c>
      <c r="T426" s="105">
        <f t="shared" ref="T426:X426" si="624">T430</f>
        <v>0</v>
      </c>
      <c r="U426" s="106">
        <f t="shared" ref="U426:Y426" si="625">SUM(T426:T430)</f>
        <v>0</v>
      </c>
      <c r="V426" s="107">
        <f t="shared" si="624"/>
        <v>0</v>
      </c>
      <c r="W426" s="108">
        <f t="shared" si="625"/>
        <v>0</v>
      </c>
      <c r="X426" s="109">
        <f t="shared" si="624"/>
        <v>0</v>
      </c>
      <c r="Y426" s="110">
        <f t="shared" si="625"/>
        <v>0</v>
      </c>
      <c r="Z426" s="151"/>
      <c r="AA426" s="151"/>
    </row>
    <row r="427" spans="1:27">
      <c r="A427" s="144"/>
      <c r="B427" s="145"/>
      <c r="C427" s="146" t="s">
        <v>4115</v>
      </c>
      <c r="D427" s="147" t="s">
        <v>4927</v>
      </c>
      <c r="E427" s="139" t="s">
        <v>4928</v>
      </c>
      <c r="F427" s="61" t="s">
        <v>1390</v>
      </c>
      <c r="G427" s="92">
        <f t="shared" ref="G427:L427" si="626">G430*2</f>
        <v>1.4</v>
      </c>
      <c r="H427" s="117"/>
      <c r="I427" s="149"/>
      <c r="J427" s="95">
        <f t="shared" si="626"/>
        <v>36</v>
      </c>
      <c r="K427" s="160"/>
      <c r="L427" s="119">
        <f t="shared" si="626"/>
        <v>2.4</v>
      </c>
      <c r="M427" s="120"/>
      <c r="N427" s="99">
        <f t="shared" ref="N427:R427" si="627">N430*2</f>
        <v>0</v>
      </c>
      <c r="O427" s="121"/>
      <c r="P427" s="101">
        <f t="shared" si="627"/>
        <v>0</v>
      </c>
      <c r="Q427" s="122"/>
      <c r="R427" s="103">
        <f t="shared" si="627"/>
        <v>0</v>
      </c>
      <c r="S427" s="123"/>
      <c r="T427" s="105">
        <f t="shared" ref="T427:X427" si="628">T430*2</f>
        <v>0</v>
      </c>
      <c r="U427" s="124"/>
      <c r="V427" s="107">
        <f t="shared" si="628"/>
        <v>0</v>
      </c>
      <c r="W427" s="125"/>
      <c r="X427" s="109">
        <f t="shared" si="628"/>
        <v>0</v>
      </c>
      <c r="Y427" s="126"/>
      <c r="Z427" s="151"/>
      <c r="AA427" s="151"/>
    </row>
    <row r="428" spans="1:27">
      <c r="A428" s="144"/>
      <c r="B428" s="145"/>
      <c r="C428" s="146" t="s">
        <v>4118</v>
      </c>
      <c r="D428" s="147" t="s">
        <v>4929</v>
      </c>
      <c r="E428" s="139" t="s">
        <v>4930</v>
      </c>
      <c r="F428" s="61" t="s">
        <v>1388</v>
      </c>
      <c r="G428" s="92">
        <f t="shared" ref="G428:L428" si="629">G430</f>
        <v>0.7</v>
      </c>
      <c r="H428" s="117"/>
      <c r="I428" s="149"/>
      <c r="J428" s="95">
        <f t="shared" si="629"/>
        <v>18</v>
      </c>
      <c r="K428" s="160"/>
      <c r="L428" s="119">
        <f t="shared" si="629"/>
        <v>1.2</v>
      </c>
      <c r="M428" s="120"/>
      <c r="N428" s="99">
        <f t="shared" ref="N428:R428" si="630">N430</f>
        <v>0</v>
      </c>
      <c r="O428" s="121"/>
      <c r="P428" s="101">
        <f t="shared" si="630"/>
        <v>0</v>
      </c>
      <c r="Q428" s="122"/>
      <c r="R428" s="103">
        <f t="shared" si="630"/>
        <v>0</v>
      </c>
      <c r="S428" s="123"/>
      <c r="T428" s="105">
        <f t="shared" ref="T428:X428" si="631">T430</f>
        <v>0</v>
      </c>
      <c r="U428" s="124"/>
      <c r="V428" s="107">
        <f t="shared" si="631"/>
        <v>0</v>
      </c>
      <c r="W428" s="125"/>
      <c r="X428" s="109">
        <f t="shared" si="631"/>
        <v>0</v>
      </c>
      <c r="Y428" s="126"/>
      <c r="Z428" s="151"/>
      <c r="AA428" s="151"/>
    </row>
    <row r="429" spans="1:27">
      <c r="A429" s="144"/>
      <c r="B429" s="145"/>
      <c r="C429" s="146" t="s">
        <v>4121</v>
      </c>
      <c r="D429" s="147" t="s">
        <v>4931</v>
      </c>
      <c r="E429" s="139" t="s">
        <v>4932</v>
      </c>
      <c r="F429" s="156" t="s">
        <v>1388</v>
      </c>
      <c r="G429" s="92">
        <v>1.1</v>
      </c>
      <c r="H429" s="117"/>
      <c r="I429" s="149"/>
      <c r="J429" s="95">
        <v>27</v>
      </c>
      <c r="K429" s="160"/>
      <c r="L429" s="119">
        <v>1.8</v>
      </c>
      <c r="M429" s="120"/>
      <c r="N429" s="99">
        <v>0</v>
      </c>
      <c r="O429" s="121"/>
      <c r="P429" s="101">
        <v>0</v>
      </c>
      <c r="Q429" s="122"/>
      <c r="R429" s="103">
        <v>0</v>
      </c>
      <c r="S429" s="123"/>
      <c r="T429" s="105">
        <v>0</v>
      </c>
      <c r="U429" s="124"/>
      <c r="V429" s="107">
        <v>0</v>
      </c>
      <c r="W429" s="125"/>
      <c r="X429" s="109">
        <v>0</v>
      </c>
      <c r="Y429" s="126"/>
      <c r="Z429" s="151"/>
      <c r="AA429" s="151"/>
    </row>
    <row r="430" spans="1:27">
      <c r="A430" s="144"/>
      <c r="B430" s="145"/>
      <c r="C430" s="146" t="s">
        <v>4124</v>
      </c>
      <c r="D430" s="147" t="s">
        <v>4933</v>
      </c>
      <c r="E430" s="139" t="s">
        <v>4934</v>
      </c>
      <c r="F430" s="156" t="s">
        <v>1388</v>
      </c>
      <c r="G430" s="92">
        <f>ROUND(G429*2/3,1)</f>
        <v>0.7</v>
      </c>
      <c r="H430" s="127"/>
      <c r="I430" s="149"/>
      <c r="J430" s="95">
        <f>ROUND(J429*2/3,0)</f>
        <v>18</v>
      </c>
      <c r="K430" s="160"/>
      <c r="L430" s="119">
        <f>ROUND(L429*2/3,1)</f>
        <v>1.2</v>
      </c>
      <c r="M430" s="128"/>
      <c r="N430" s="99">
        <f>ROUND(N429*2/3,0)</f>
        <v>0</v>
      </c>
      <c r="O430" s="129"/>
      <c r="P430" s="101">
        <f>ROUND(P429*2/3,0)</f>
        <v>0</v>
      </c>
      <c r="Q430" s="130"/>
      <c r="R430" s="103">
        <f>ROUND(R429*2/3,0)</f>
        <v>0</v>
      </c>
      <c r="S430" s="131"/>
      <c r="T430" s="105">
        <f>ROUND(T429*2/3,0)</f>
        <v>0</v>
      </c>
      <c r="U430" s="132"/>
      <c r="V430" s="107">
        <f>ROUND(V429*2/3,0)</f>
        <v>0</v>
      </c>
      <c r="W430" s="133"/>
      <c r="X430" s="109">
        <f>ROUND(X429*2/3,0)</f>
        <v>0</v>
      </c>
      <c r="Y430" s="134"/>
      <c r="Z430" s="151"/>
      <c r="AA430" s="151"/>
    </row>
    <row r="431" spans="1:27">
      <c r="A431" s="144" t="s">
        <v>8097</v>
      </c>
      <c r="B431" s="145" t="s">
        <v>8133</v>
      </c>
      <c r="C431" s="146" t="s">
        <v>4133</v>
      </c>
      <c r="D431" s="147" t="s">
        <v>4935</v>
      </c>
      <c r="E431" s="139" t="s">
        <v>4936</v>
      </c>
      <c r="F431" s="159" t="s">
        <v>3194</v>
      </c>
      <c r="G431" s="92">
        <f t="shared" ref="G431:L431" si="632">G435</f>
        <v>0.8</v>
      </c>
      <c r="H431" s="93">
        <f t="shared" ref="H431:M431" si="633">SUM(G431:G435)</f>
        <v>5.2</v>
      </c>
      <c r="I431" s="149" t="s">
        <v>8134</v>
      </c>
      <c r="J431" s="95">
        <f t="shared" si="632"/>
        <v>18</v>
      </c>
      <c r="K431" s="160">
        <f t="shared" si="633"/>
        <v>117</v>
      </c>
      <c r="L431" s="119">
        <f t="shared" si="632"/>
        <v>1.2</v>
      </c>
      <c r="M431" s="98">
        <f t="shared" si="633"/>
        <v>7.8</v>
      </c>
      <c r="N431" s="99">
        <f t="shared" ref="N431:R431" si="634">N435</f>
        <v>0</v>
      </c>
      <c r="O431" s="100">
        <f t="shared" ref="O431:S431" si="635">SUM(N431:N435)</f>
        <v>0</v>
      </c>
      <c r="P431" s="101">
        <f t="shared" si="634"/>
        <v>0</v>
      </c>
      <c r="Q431" s="102">
        <f t="shared" si="635"/>
        <v>0</v>
      </c>
      <c r="R431" s="103">
        <f t="shared" si="634"/>
        <v>10</v>
      </c>
      <c r="S431" s="104">
        <f t="shared" si="635"/>
        <v>65</v>
      </c>
      <c r="T431" s="105">
        <f t="shared" ref="T431:X431" si="636">T435</f>
        <v>0</v>
      </c>
      <c r="U431" s="106">
        <f t="shared" ref="U431:Y431" si="637">SUM(T431:T435)</f>
        <v>0</v>
      </c>
      <c r="V431" s="107">
        <f t="shared" si="636"/>
        <v>0</v>
      </c>
      <c r="W431" s="108">
        <f t="shared" si="637"/>
        <v>0</v>
      </c>
      <c r="X431" s="109">
        <f t="shared" si="636"/>
        <v>0</v>
      </c>
      <c r="Y431" s="110">
        <f t="shared" si="637"/>
        <v>0</v>
      </c>
      <c r="Z431" s="151"/>
      <c r="AA431" s="151"/>
    </row>
    <row r="432" spans="1:27">
      <c r="A432" s="144"/>
      <c r="B432" s="145"/>
      <c r="C432" s="146" t="s">
        <v>4115</v>
      </c>
      <c r="D432" s="147" t="s">
        <v>4937</v>
      </c>
      <c r="E432" s="139" t="s">
        <v>4938</v>
      </c>
      <c r="F432" s="148"/>
      <c r="G432" s="92">
        <f t="shared" ref="G432:L432" si="638">G435*2</f>
        <v>1.6</v>
      </c>
      <c r="H432" s="117"/>
      <c r="I432" s="149"/>
      <c r="J432" s="95">
        <f t="shared" si="638"/>
        <v>36</v>
      </c>
      <c r="K432" s="160"/>
      <c r="L432" s="119">
        <f t="shared" si="638"/>
        <v>2.4</v>
      </c>
      <c r="M432" s="120"/>
      <c r="N432" s="99">
        <f t="shared" ref="N432:R432" si="639">N435*2</f>
        <v>0</v>
      </c>
      <c r="O432" s="121"/>
      <c r="P432" s="101">
        <f t="shared" si="639"/>
        <v>0</v>
      </c>
      <c r="Q432" s="122"/>
      <c r="R432" s="103">
        <f t="shared" si="639"/>
        <v>20</v>
      </c>
      <c r="S432" s="123"/>
      <c r="T432" s="105">
        <f t="shared" ref="T432:X432" si="640">T435*2</f>
        <v>0</v>
      </c>
      <c r="U432" s="124"/>
      <c r="V432" s="107">
        <f t="shared" si="640"/>
        <v>0</v>
      </c>
      <c r="W432" s="125"/>
      <c r="X432" s="109">
        <f t="shared" si="640"/>
        <v>0</v>
      </c>
      <c r="Y432" s="126"/>
      <c r="Z432" s="151"/>
      <c r="AA432" s="151"/>
    </row>
    <row r="433" spans="1:27">
      <c r="A433" s="144"/>
      <c r="B433" s="145"/>
      <c r="C433" s="146" t="s">
        <v>4118</v>
      </c>
      <c r="D433" s="147" t="s">
        <v>4939</v>
      </c>
      <c r="E433" s="139" t="s">
        <v>4940</v>
      </c>
      <c r="F433" s="148"/>
      <c r="G433" s="92">
        <f t="shared" ref="G433:L433" si="641">G435</f>
        <v>0.8</v>
      </c>
      <c r="H433" s="117"/>
      <c r="I433" s="149"/>
      <c r="J433" s="95">
        <f t="shared" si="641"/>
        <v>18</v>
      </c>
      <c r="K433" s="160"/>
      <c r="L433" s="119">
        <f t="shared" si="641"/>
        <v>1.2</v>
      </c>
      <c r="M433" s="120"/>
      <c r="N433" s="99">
        <f t="shared" ref="N433:R433" si="642">N435</f>
        <v>0</v>
      </c>
      <c r="O433" s="121"/>
      <c r="P433" s="101">
        <f t="shared" si="642"/>
        <v>0</v>
      </c>
      <c r="Q433" s="122"/>
      <c r="R433" s="103">
        <f t="shared" si="642"/>
        <v>10</v>
      </c>
      <c r="S433" s="123"/>
      <c r="T433" s="105">
        <f t="shared" ref="T433:X433" si="643">T435</f>
        <v>0</v>
      </c>
      <c r="U433" s="124"/>
      <c r="V433" s="107">
        <f t="shared" si="643"/>
        <v>0</v>
      </c>
      <c r="W433" s="125"/>
      <c r="X433" s="109">
        <f t="shared" si="643"/>
        <v>0</v>
      </c>
      <c r="Y433" s="126"/>
      <c r="Z433" s="151"/>
      <c r="AA433" s="151"/>
    </row>
    <row r="434" spans="1:27">
      <c r="A434" s="144"/>
      <c r="B434" s="145"/>
      <c r="C434" s="146" t="s">
        <v>4121</v>
      </c>
      <c r="D434" s="147" t="s">
        <v>4941</v>
      </c>
      <c r="E434" s="139" t="s">
        <v>4942</v>
      </c>
      <c r="F434" s="148"/>
      <c r="G434" s="92">
        <v>1.2</v>
      </c>
      <c r="H434" s="117"/>
      <c r="I434" s="149"/>
      <c r="J434" s="95">
        <v>27</v>
      </c>
      <c r="K434" s="160"/>
      <c r="L434" s="119">
        <v>1.8</v>
      </c>
      <c r="M434" s="120"/>
      <c r="N434" s="99">
        <v>0</v>
      </c>
      <c r="O434" s="121"/>
      <c r="P434" s="101">
        <v>0</v>
      </c>
      <c r="Q434" s="122"/>
      <c r="R434" s="103">
        <v>15</v>
      </c>
      <c r="S434" s="123"/>
      <c r="T434" s="105">
        <v>0</v>
      </c>
      <c r="U434" s="124"/>
      <c r="V434" s="107">
        <v>0</v>
      </c>
      <c r="W434" s="125"/>
      <c r="X434" s="109">
        <v>0</v>
      </c>
      <c r="Y434" s="126"/>
      <c r="Z434" s="151"/>
      <c r="AA434" s="151"/>
    </row>
    <row r="435" spans="1:27">
      <c r="A435" s="144"/>
      <c r="B435" s="145"/>
      <c r="C435" s="146" t="s">
        <v>4124</v>
      </c>
      <c r="D435" s="147" t="s">
        <v>4943</v>
      </c>
      <c r="E435" s="139" t="s">
        <v>4944</v>
      </c>
      <c r="F435" s="153"/>
      <c r="G435" s="92">
        <f>ROUND(G434*2/3,1)</f>
        <v>0.8</v>
      </c>
      <c r="H435" s="127"/>
      <c r="I435" s="149"/>
      <c r="J435" s="95">
        <f>ROUND(J434*2/3,0)</f>
        <v>18</v>
      </c>
      <c r="K435" s="160"/>
      <c r="L435" s="119">
        <f>ROUND(L434*2/3,1)</f>
        <v>1.2</v>
      </c>
      <c r="M435" s="128"/>
      <c r="N435" s="99">
        <f>ROUND(N434*2/3,0)</f>
        <v>0</v>
      </c>
      <c r="O435" s="129"/>
      <c r="P435" s="101">
        <f>ROUND(P434*2/3,0)</f>
        <v>0</v>
      </c>
      <c r="Q435" s="130"/>
      <c r="R435" s="103">
        <f>ROUND(R434*2/3,0)</f>
        <v>10</v>
      </c>
      <c r="S435" s="131"/>
      <c r="T435" s="105">
        <f>ROUND(T434*2/3,0)</f>
        <v>0</v>
      </c>
      <c r="U435" s="132"/>
      <c r="V435" s="107">
        <f>ROUND(V434*2/3,0)</f>
        <v>0</v>
      </c>
      <c r="W435" s="133"/>
      <c r="X435" s="109">
        <f>ROUND(X434*2/3,0)</f>
        <v>0</v>
      </c>
      <c r="Y435" s="134"/>
      <c r="Z435" s="151"/>
      <c r="AA435" s="151"/>
    </row>
    <row r="436" spans="1:27">
      <c r="A436" s="144" t="s">
        <v>8097</v>
      </c>
      <c r="B436" s="145" t="s">
        <v>7578</v>
      </c>
      <c r="C436" s="146" t="s">
        <v>4133</v>
      </c>
      <c r="D436" s="147" t="s">
        <v>4945</v>
      </c>
      <c r="E436" s="139" t="s">
        <v>4946</v>
      </c>
      <c r="F436" s="61" t="s">
        <v>8135</v>
      </c>
      <c r="G436" s="92">
        <f t="shared" ref="G436:L436" si="644">G440</f>
        <v>0.7</v>
      </c>
      <c r="H436" s="93">
        <f t="shared" ref="H436:M436" si="645">SUM(G436:G440)</f>
        <v>4.6</v>
      </c>
      <c r="I436" s="149" t="s">
        <v>8136</v>
      </c>
      <c r="J436" s="95">
        <f t="shared" si="644"/>
        <v>18</v>
      </c>
      <c r="K436" s="160">
        <f t="shared" si="645"/>
        <v>117</v>
      </c>
      <c r="L436" s="119">
        <f t="shared" si="644"/>
        <v>1.2</v>
      </c>
      <c r="M436" s="98">
        <f t="shared" si="645"/>
        <v>7.8</v>
      </c>
      <c r="N436" s="99">
        <f t="shared" ref="N436:R436" si="646">N440</f>
        <v>0</v>
      </c>
      <c r="O436" s="100">
        <f t="shared" ref="O436:S436" si="647">SUM(N436:N440)</f>
        <v>0</v>
      </c>
      <c r="P436" s="101">
        <f t="shared" si="646"/>
        <v>0</v>
      </c>
      <c r="Q436" s="102">
        <f t="shared" si="647"/>
        <v>0</v>
      </c>
      <c r="R436" s="103">
        <f t="shared" si="646"/>
        <v>0</v>
      </c>
      <c r="S436" s="104">
        <f t="shared" si="647"/>
        <v>0</v>
      </c>
      <c r="T436" s="105">
        <f t="shared" ref="T436:X436" si="648">T440</f>
        <v>8</v>
      </c>
      <c r="U436" s="106">
        <f t="shared" ref="U436:Y436" si="649">SUM(T436:T440)</f>
        <v>52</v>
      </c>
      <c r="V436" s="107">
        <f t="shared" si="648"/>
        <v>0</v>
      </c>
      <c r="W436" s="108">
        <f t="shared" si="649"/>
        <v>0</v>
      </c>
      <c r="X436" s="109">
        <f t="shared" si="648"/>
        <v>0</v>
      </c>
      <c r="Y436" s="110">
        <f t="shared" si="649"/>
        <v>0</v>
      </c>
      <c r="Z436" s="151"/>
      <c r="AA436" s="151"/>
    </row>
    <row r="437" spans="1:27">
      <c r="A437" s="144"/>
      <c r="B437" s="145"/>
      <c r="C437" s="146" t="s">
        <v>4115</v>
      </c>
      <c r="D437" s="147" t="s">
        <v>4947</v>
      </c>
      <c r="E437" s="139" t="s">
        <v>4948</v>
      </c>
      <c r="F437" s="61" t="s">
        <v>8137</v>
      </c>
      <c r="G437" s="92">
        <f t="shared" ref="G437:L437" si="650">G440*2</f>
        <v>1.4</v>
      </c>
      <c r="H437" s="117"/>
      <c r="I437" s="149"/>
      <c r="J437" s="95">
        <f t="shared" si="650"/>
        <v>36</v>
      </c>
      <c r="K437" s="160"/>
      <c r="L437" s="119">
        <f t="shared" si="650"/>
        <v>2.4</v>
      </c>
      <c r="M437" s="120"/>
      <c r="N437" s="99">
        <f t="shared" ref="N437:R437" si="651">N440*2</f>
        <v>0</v>
      </c>
      <c r="O437" s="121"/>
      <c r="P437" s="101">
        <f t="shared" si="651"/>
        <v>0</v>
      </c>
      <c r="Q437" s="122"/>
      <c r="R437" s="103">
        <f t="shared" si="651"/>
        <v>0</v>
      </c>
      <c r="S437" s="123"/>
      <c r="T437" s="105">
        <f t="shared" ref="T437:X437" si="652">T440*2</f>
        <v>16</v>
      </c>
      <c r="U437" s="124"/>
      <c r="V437" s="107">
        <f t="shared" si="652"/>
        <v>0</v>
      </c>
      <c r="W437" s="125"/>
      <c r="X437" s="109">
        <f t="shared" si="652"/>
        <v>0</v>
      </c>
      <c r="Y437" s="126"/>
      <c r="Z437" s="151"/>
      <c r="AA437" s="151"/>
    </row>
    <row r="438" spans="1:27">
      <c r="A438" s="144"/>
      <c r="B438" s="145"/>
      <c r="C438" s="146" t="s">
        <v>4118</v>
      </c>
      <c r="D438" s="147" t="s">
        <v>4949</v>
      </c>
      <c r="E438" s="139" t="s">
        <v>4950</v>
      </c>
      <c r="F438" s="61" t="s">
        <v>8135</v>
      </c>
      <c r="G438" s="92">
        <f t="shared" ref="G438:L438" si="653">G440</f>
        <v>0.7</v>
      </c>
      <c r="H438" s="117"/>
      <c r="I438" s="149"/>
      <c r="J438" s="95">
        <f t="shared" si="653"/>
        <v>18</v>
      </c>
      <c r="K438" s="160"/>
      <c r="L438" s="119">
        <f t="shared" si="653"/>
        <v>1.2</v>
      </c>
      <c r="M438" s="120"/>
      <c r="N438" s="99">
        <f t="shared" ref="N438:R438" si="654">N440</f>
        <v>0</v>
      </c>
      <c r="O438" s="121"/>
      <c r="P438" s="101">
        <f t="shared" si="654"/>
        <v>0</v>
      </c>
      <c r="Q438" s="122"/>
      <c r="R438" s="103">
        <f t="shared" si="654"/>
        <v>0</v>
      </c>
      <c r="S438" s="123"/>
      <c r="T438" s="105">
        <f t="shared" ref="T438:X438" si="655">T440</f>
        <v>8</v>
      </c>
      <c r="U438" s="124"/>
      <c r="V438" s="107">
        <f t="shared" si="655"/>
        <v>0</v>
      </c>
      <c r="W438" s="125"/>
      <c r="X438" s="109">
        <f t="shared" si="655"/>
        <v>0</v>
      </c>
      <c r="Y438" s="126"/>
      <c r="Z438" s="151"/>
      <c r="AA438" s="151"/>
    </row>
    <row r="439" spans="1:27">
      <c r="A439" s="144"/>
      <c r="B439" s="145"/>
      <c r="C439" s="146" t="s">
        <v>4121</v>
      </c>
      <c r="D439" s="147" t="s">
        <v>4951</v>
      </c>
      <c r="E439" s="139" t="s">
        <v>4952</v>
      </c>
      <c r="F439" s="61" t="s">
        <v>8138</v>
      </c>
      <c r="G439" s="92">
        <v>1.1</v>
      </c>
      <c r="H439" s="117"/>
      <c r="I439" s="149"/>
      <c r="J439" s="95">
        <v>27</v>
      </c>
      <c r="K439" s="160"/>
      <c r="L439" s="119">
        <v>1.8</v>
      </c>
      <c r="M439" s="120"/>
      <c r="N439" s="99">
        <v>0</v>
      </c>
      <c r="O439" s="121"/>
      <c r="P439" s="101">
        <v>0</v>
      </c>
      <c r="Q439" s="122"/>
      <c r="R439" s="103">
        <v>0</v>
      </c>
      <c r="S439" s="123"/>
      <c r="T439" s="105">
        <v>12</v>
      </c>
      <c r="U439" s="124"/>
      <c r="V439" s="107">
        <v>0</v>
      </c>
      <c r="W439" s="125"/>
      <c r="X439" s="109">
        <v>0</v>
      </c>
      <c r="Y439" s="126"/>
      <c r="Z439" s="151"/>
      <c r="AA439" s="151"/>
    </row>
    <row r="440" spans="1:27">
      <c r="A440" s="144"/>
      <c r="B440" s="145"/>
      <c r="C440" s="146" t="s">
        <v>4124</v>
      </c>
      <c r="D440" s="147" t="s">
        <v>4953</v>
      </c>
      <c r="E440" s="139" t="s">
        <v>4954</v>
      </c>
      <c r="F440" s="61" t="s">
        <v>8135</v>
      </c>
      <c r="G440" s="92">
        <f>ROUND(G439*2/3,1)</f>
        <v>0.7</v>
      </c>
      <c r="H440" s="127"/>
      <c r="I440" s="149"/>
      <c r="J440" s="95">
        <f>ROUND(J439*2/3,0)</f>
        <v>18</v>
      </c>
      <c r="K440" s="160"/>
      <c r="L440" s="119">
        <f>ROUND(L439*2/3,1)</f>
        <v>1.2</v>
      </c>
      <c r="M440" s="128"/>
      <c r="N440" s="99">
        <f>ROUND(N439*2/3,0)</f>
        <v>0</v>
      </c>
      <c r="O440" s="129"/>
      <c r="P440" s="101">
        <f>ROUND(P439*2/3,0)</f>
        <v>0</v>
      </c>
      <c r="Q440" s="130"/>
      <c r="R440" s="103">
        <f>ROUND(R439*2/3,0)</f>
        <v>0</v>
      </c>
      <c r="S440" s="131"/>
      <c r="T440" s="105">
        <f>ROUND(T439*2/3,0)</f>
        <v>8</v>
      </c>
      <c r="U440" s="132"/>
      <c r="V440" s="107">
        <f>ROUND(V439*2/3,0)</f>
        <v>0</v>
      </c>
      <c r="W440" s="133"/>
      <c r="X440" s="109">
        <f>ROUND(X439*2/3,0)</f>
        <v>0</v>
      </c>
      <c r="Y440" s="134"/>
      <c r="Z440" s="151"/>
      <c r="AA440" s="151"/>
    </row>
    <row r="441" spans="1:27">
      <c r="A441" s="144" t="s">
        <v>8097</v>
      </c>
      <c r="B441" s="145" t="s">
        <v>8139</v>
      </c>
      <c r="C441" s="146" t="s">
        <v>4133</v>
      </c>
      <c r="D441" s="147" t="s">
        <v>4955</v>
      </c>
      <c r="E441" s="139" t="s">
        <v>4956</v>
      </c>
      <c r="F441" s="61" t="s">
        <v>8005</v>
      </c>
      <c r="G441" s="92">
        <f t="shared" ref="G441:L441" si="656">G445</f>
        <v>0.7</v>
      </c>
      <c r="H441" s="93">
        <f t="shared" ref="H441:M441" si="657">SUM(G441:G445)</f>
        <v>4.6</v>
      </c>
      <c r="I441" s="149" t="s">
        <v>8140</v>
      </c>
      <c r="J441" s="95">
        <f t="shared" si="656"/>
        <v>18</v>
      </c>
      <c r="K441" s="160">
        <f t="shared" si="657"/>
        <v>117</v>
      </c>
      <c r="L441" s="119">
        <f t="shared" si="656"/>
        <v>1.2</v>
      </c>
      <c r="M441" s="98">
        <f t="shared" si="657"/>
        <v>7.8</v>
      </c>
      <c r="N441" s="99">
        <f t="shared" ref="N441:R441" si="658">N445</f>
        <v>0</v>
      </c>
      <c r="O441" s="100">
        <f t="shared" ref="O441:S441" si="659">SUM(N441:N445)</f>
        <v>0</v>
      </c>
      <c r="P441" s="101">
        <f t="shared" si="658"/>
        <v>8</v>
      </c>
      <c r="Q441" s="102">
        <f t="shared" si="659"/>
        <v>52</v>
      </c>
      <c r="R441" s="103">
        <f t="shared" si="658"/>
        <v>0</v>
      </c>
      <c r="S441" s="104">
        <f t="shared" si="659"/>
        <v>0</v>
      </c>
      <c r="T441" s="105">
        <f t="shared" ref="T441:X441" si="660">T445</f>
        <v>0</v>
      </c>
      <c r="U441" s="106">
        <f t="shared" ref="U441:Y441" si="661">SUM(T441:T445)</f>
        <v>0</v>
      </c>
      <c r="V441" s="107">
        <f t="shared" si="660"/>
        <v>0</v>
      </c>
      <c r="W441" s="108">
        <f t="shared" si="661"/>
        <v>0</v>
      </c>
      <c r="X441" s="109">
        <f t="shared" si="660"/>
        <v>0</v>
      </c>
      <c r="Y441" s="110">
        <f t="shared" si="661"/>
        <v>0</v>
      </c>
      <c r="Z441" s="151"/>
      <c r="AA441" s="151"/>
    </row>
    <row r="442" spans="1:27">
      <c r="A442" s="144"/>
      <c r="B442" s="145"/>
      <c r="C442" s="146" t="s">
        <v>4115</v>
      </c>
      <c r="D442" s="147" t="s">
        <v>4957</v>
      </c>
      <c r="E442" s="139" t="s">
        <v>4958</v>
      </c>
      <c r="F442" s="61" t="s">
        <v>8007</v>
      </c>
      <c r="G442" s="92">
        <f t="shared" ref="G442:L442" si="662">G445*2</f>
        <v>1.4</v>
      </c>
      <c r="H442" s="117"/>
      <c r="I442" s="149"/>
      <c r="J442" s="95">
        <f t="shared" si="662"/>
        <v>36</v>
      </c>
      <c r="K442" s="160"/>
      <c r="L442" s="119">
        <f t="shared" si="662"/>
        <v>2.4</v>
      </c>
      <c r="M442" s="120"/>
      <c r="N442" s="99">
        <f t="shared" ref="N442:R442" si="663">N445*2</f>
        <v>0</v>
      </c>
      <c r="O442" s="121"/>
      <c r="P442" s="101">
        <f t="shared" si="663"/>
        <v>16</v>
      </c>
      <c r="Q442" s="122"/>
      <c r="R442" s="103">
        <f t="shared" si="663"/>
        <v>0</v>
      </c>
      <c r="S442" s="123"/>
      <c r="T442" s="105">
        <f t="shared" ref="T442:X442" si="664">T445*2</f>
        <v>0</v>
      </c>
      <c r="U442" s="124"/>
      <c r="V442" s="107">
        <f t="shared" si="664"/>
        <v>0</v>
      </c>
      <c r="W442" s="125"/>
      <c r="X442" s="109">
        <f t="shared" si="664"/>
        <v>0</v>
      </c>
      <c r="Y442" s="126"/>
      <c r="Z442" s="151"/>
      <c r="AA442" s="151"/>
    </row>
    <row r="443" spans="1:27">
      <c r="A443" s="144"/>
      <c r="B443" s="145"/>
      <c r="C443" s="146" t="s">
        <v>4118</v>
      </c>
      <c r="D443" s="147" t="s">
        <v>4959</v>
      </c>
      <c r="E443" s="139" t="s">
        <v>4960</v>
      </c>
      <c r="F443" s="61" t="s">
        <v>8005</v>
      </c>
      <c r="G443" s="92">
        <f t="shared" ref="G443:L443" si="665">G445</f>
        <v>0.7</v>
      </c>
      <c r="H443" s="117"/>
      <c r="I443" s="149"/>
      <c r="J443" s="95">
        <f t="shared" si="665"/>
        <v>18</v>
      </c>
      <c r="K443" s="160"/>
      <c r="L443" s="119">
        <f t="shared" si="665"/>
        <v>1.2</v>
      </c>
      <c r="M443" s="120"/>
      <c r="N443" s="99">
        <f t="shared" ref="N443:R443" si="666">N445</f>
        <v>0</v>
      </c>
      <c r="O443" s="121"/>
      <c r="P443" s="101">
        <f t="shared" si="666"/>
        <v>8</v>
      </c>
      <c r="Q443" s="122"/>
      <c r="R443" s="103">
        <f t="shared" si="666"/>
        <v>0</v>
      </c>
      <c r="S443" s="123"/>
      <c r="T443" s="105">
        <f t="shared" ref="T443:X443" si="667">T445</f>
        <v>0</v>
      </c>
      <c r="U443" s="124"/>
      <c r="V443" s="107">
        <f t="shared" si="667"/>
        <v>0</v>
      </c>
      <c r="W443" s="125"/>
      <c r="X443" s="109">
        <f t="shared" si="667"/>
        <v>0</v>
      </c>
      <c r="Y443" s="126"/>
      <c r="Z443" s="151"/>
      <c r="AA443" s="151"/>
    </row>
    <row r="444" spans="1:27">
      <c r="A444" s="144"/>
      <c r="B444" s="145"/>
      <c r="C444" s="146" t="s">
        <v>4121</v>
      </c>
      <c r="D444" s="147" t="s">
        <v>4961</v>
      </c>
      <c r="E444" s="139" t="s">
        <v>4962</v>
      </c>
      <c r="F444" s="61" t="s">
        <v>8008</v>
      </c>
      <c r="G444" s="92">
        <v>1.1</v>
      </c>
      <c r="H444" s="117"/>
      <c r="I444" s="149"/>
      <c r="J444" s="95">
        <v>27</v>
      </c>
      <c r="K444" s="160"/>
      <c r="L444" s="119">
        <v>1.8</v>
      </c>
      <c r="M444" s="120"/>
      <c r="N444" s="99">
        <v>0</v>
      </c>
      <c r="O444" s="121"/>
      <c r="P444" s="101">
        <v>12</v>
      </c>
      <c r="Q444" s="122"/>
      <c r="R444" s="103">
        <v>0</v>
      </c>
      <c r="S444" s="123"/>
      <c r="T444" s="105">
        <v>0</v>
      </c>
      <c r="U444" s="124"/>
      <c r="V444" s="107">
        <v>0</v>
      </c>
      <c r="W444" s="125"/>
      <c r="X444" s="109">
        <v>0</v>
      </c>
      <c r="Y444" s="126"/>
      <c r="Z444" s="151"/>
      <c r="AA444" s="151"/>
    </row>
    <row r="445" spans="1:27">
      <c r="A445" s="144"/>
      <c r="B445" s="145"/>
      <c r="C445" s="146" t="s">
        <v>4124</v>
      </c>
      <c r="D445" s="147" t="s">
        <v>4963</v>
      </c>
      <c r="E445" s="139" t="s">
        <v>4964</v>
      </c>
      <c r="F445" s="61" t="s">
        <v>8005</v>
      </c>
      <c r="G445" s="92">
        <f>ROUND(G444*2/3,1)</f>
        <v>0.7</v>
      </c>
      <c r="H445" s="127"/>
      <c r="I445" s="149"/>
      <c r="J445" s="95">
        <f>ROUND(J444*2/3,0)</f>
        <v>18</v>
      </c>
      <c r="K445" s="160"/>
      <c r="L445" s="119">
        <f>ROUND(L444*2/3,1)</f>
        <v>1.2</v>
      </c>
      <c r="M445" s="128"/>
      <c r="N445" s="99">
        <f>ROUND(N444*2/3,0)</f>
        <v>0</v>
      </c>
      <c r="O445" s="129"/>
      <c r="P445" s="101">
        <f>ROUND(P444*2/3,0)</f>
        <v>8</v>
      </c>
      <c r="Q445" s="130"/>
      <c r="R445" s="103">
        <f>ROUND(R444*2/3,0)</f>
        <v>0</v>
      </c>
      <c r="S445" s="131"/>
      <c r="T445" s="105">
        <f>ROUND(T444*2/3,0)</f>
        <v>0</v>
      </c>
      <c r="U445" s="132"/>
      <c r="V445" s="107">
        <f>ROUND(V444*2/3,0)</f>
        <v>0</v>
      </c>
      <c r="W445" s="133"/>
      <c r="X445" s="109">
        <f>ROUND(X444*2/3,0)</f>
        <v>0</v>
      </c>
      <c r="Y445" s="134"/>
      <c r="Z445" s="151"/>
      <c r="AA445" s="151"/>
    </row>
    <row r="446" spans="1:27">
      <c r="A446" s="144" t="s">
        <v>8097</v>
      </c>
      <c r="B446" s="145" t="s">
        <v>8141</v>
      </c>
      <c r="C446" s="146" t="s">
        <v>4133</v>
      </c>
      <c r="D446" s="147" t="s">
        <v>4965</v>
      </c>
      <c r="E446" s="139" t="s">
        <v>4966</v>
      </c>
      <c r="F446" s="61" t="s">
        <v>232</v>
      </c>
      <c r="G446" s="92">
        <f t="shared" ref="G446:L446" si="668">G450</f>
        <v>0.8</v>
      </c>
      <c r="H446" s="93">
        <f t="shared" ref="H446:M446" si="669">SUM(G446:G450)</f>
        <v>5.2</v>
      </c>
      <c r="I446" s="149" t="s">
        <v>8142</v>
      </c>
      <c r="J446" s="95">
        <f t="shared" si="668"/>
        <v>18</v>
      </c>
      <c r="K446" s="160">
        <f t="shared" si="669"/>
        <v>117</v>
      </c>
      <c r="L446" s="119">
        <f t="shared" si="668"/>
        <v>1.2</v>
      </c>
      <c r="M446" s="98">
        <f t="shared" si="669"/>
        <v>7.8</v>
      </c>
      <c r="N446" s="99">
        <f t="shared" ref="N446:R446" si="670">N450</f>
        <v>4</v>
      </c>
      <c r="O446" s="100">
        <f t="shared" ref="O446:S446" si="671">SUM(N446:N450)</f>
        <v>26</v>
      </c>
      <c r="P446" s="101">
        <f t="shared" si="670"/>
        <v>0</v>
      </c>
      <c r="Q446" s="102">
        <f t="shared" si="671"/>
        <v>0</v>
      </c>
      <c r="R446" s="103">
        <f t="shared" si="670"/>
        <v>4</v>
      </c>
      <c r="S446" s="104">
        <f t="shared" si="671"/>
        <v>26</v>
      </c>
      <c r="T446" s="105">
        <f t="shared" ref="T446:X446" si="672">T450</f>
        <v>0</v>
      </c>
      <c r="U446" s="106">
        <f t="shared" ref="U446:Y446" si="673">SUM(T446:T450)</f>
        <v>0</v>
      </c>
      <c r="V446" s="107">
        <f t="shared" si="672"/>
        <v>0</v>
      </c>
      <c r="W446" s="108">
        <f t="shared" si="673"/>
        <v>0</v>
      </c>
      <c r="X446" s="109">
        <f t="shared" si="672"/>
        <v>0</v>
      </c>
      <c r="Y446" s="110">
        <f t="shared" si="673"/>
        <v>0</v>
      </c>
      <c r="Z446" s="151"/>
      <c r="AA446" s="151"/>
    </row>
    <row r="447" spans="1:27">
      <c r="A447" s="144"/>
      <c r="B447" s="145"/>
      <c r="C447" s="146" t="s">
        <v>4115</v>
      </c>
      <c r="D447" s="147" t="s">
        <v>4967</v>
      </c>
      <c r="E447" s="139" t="s">
        <v>4968</v>
      </c>
      <c r="F447" s="61" t="s">
        <v>998</v>
      </c>
      <c r="G447" s="92">
        <f t="shared" ref="G447:L447" si="674">G450*2</f>
        <v>1.6</v>
      </c>
      <c r="H447" s="117"/>
      <c r="I447" s="149"/>
      <c r="J447" s="95">
        <f t="shared" si="674"/>
        <v>36</v>
      </c>
      <c r="K447" s="160"/>
      <c r="L447" s="119">
        <f t="shared" si="674"/>
        <v>2.4</v>
      </c>
      <c r="M447" s="120"/>
      <c r="N447" s="99">
        <f t="shared" ref="N447:R447" si="675">N450*2</f>
        <v>8</v>
      </c>
      <c r="O447" s="121"/>
      <c r="P447" s="101">
        <f t="shared" si="675"/>
        <v>0</v>
      </c>
      <c r="Q447" s="122"/>
      <c r="R447" s="103">
        <f t="shared" si="675"/>
        <v>8</v>
      </c>
      <c r="S447" s="123"/>
      <c r="T447" s="105">
        <f t="shared" ref="T447:X447" si="676">T450*2</f>
        <v>0</v>
      </c>
      <c r="U447" s="124"/>
      <c r="V447" s="107">
        <f t="shared" si="676"/>
        <v>0</v>
      </c>
      <c r="W447" s="125"/>
      <c r="X447" s="109">
        <f t="shared" si="676"/>
        <v>0</v>
      </c>
      <c r="Y447" s="126"/>
      <c r="Z447" s="151"/>
      <c r="AA447" s="151"/>
    </row>
    <row r="448" spans="1:27">
      <c r="A448" s="144"/>
      <c r="B448" s="145"/>
      <c r="C448" s="146" t="s">
        <v>4118</v>
      </c>
      <c r="D448" s="147" t="s">
        <v>4969</v>
      </c>
      <c r="E448" s="139" t="s">
        <v>4970</v>
      </c>
      <c r="F448" s="61" t="s">
        <v>232</v>
      </c>
      <c r="G448" s="92">
        <f t="shared" ref="G448:L448" si="677">G450</f>
        <v>0.8</v>
      </c>
      <c r="H448" s="117"/>
      <c r="I448" s="149"/>
      <c r="J448" s="95">
        <f t="shared" si="677"/>
        <v>18</v>
      </c>
      <c r="K448" s="160"/>
      <c r="L448" s="119">
        <f t="shared" si="677"/>
        <v>1.2</v>
      </c>
      <c r="M448" s="120"/>
      <c r="N448" s="99">
        <f t="shared" ref="N448:R448" si="678">N450</f>
        <v>4</v>
      </c>
      <c r="O448" s="121"/>
      <c r="P448" s="101">
        <f t="shared" si="678"/>
        <v>0</v>
      </c>
      <c r="Q448" s="122"/>
      <c r="R448" s="103">
        <f t="shared" si="678"/>
        <v>4</v>
      </c>
      <c r="S448" s="123"/>
      <c r="T448" s="105">
        <f t="shared" ref="T448:X448" si="679">T450</f>
        <v>0</v>
      </c>
      <c r="U448" s="124"/>
      <c r="V448" s="107">
        <f t="shared" si="679"/>
        <v>0</v>
      </c>
      <c r="W448" s="125"/>
      <c r="X448" s="109">
        <f t="shared" si="679"/>
        <v>0</v>
      </c>
      <c r="Y448" s="126"/>
      <c r="Z448" s="151"/>
      <c r="AA448" s="151"/>
    </row>
    <row r="449" spans="1:27">
      <c r="A449" s="144"/>
      <c r="B449" s="145"/>
      <c r="C449" s="146" t="s">
        <v>4121</v>
      </c>
      <c r="D449" s="147" t="s">
        <v>4971</v>
      </c>
      <c r="E449" s="139" t="s">
        <v>4972</v>
      </c>
      <c r="F449" s="61" t="s">
        <v>1000</v>
      </c>
      <c r="G449" s="92">
        <v>1.2</v>
      </c>
      <c r="H449" s="117"/>
      <c r="I449" s="149"/>
      <c r="J449" s="95">
        <v>27</v>
      </c>
      <c r="K449" s="160"/>
      <c r="L449" s="119">
        <v>1.8</v>
      </c>
      <c r="M449" s="120"/>
      <c r="N449" s="99">
        <v>6</v>
      </c>
      <c r="O449" s="121"/>
      <c r="P449" s="101">
        <v>0</v>
      </c>
      <c r="Q449" s="122"/>
      <c r="R449" s="103">
        <v>6</v>
      </c>
      <c r="S449" s="123"/>
      <c r="T449" s="105">
        <v>0</v>
      </c>
      <c r="U449" s="124"/>
      <c r="V449" s="107">
        <v>0</v>
      </c>
      <c r="W449" s="125"/>
      <c r="X449" s="109">
        <v>0</v>
      </c>
      <c r="Y449" s="126"/>
      <c r="Z449" s="151"/>
      <c r="AA449" s="151"/>
    </row>
    <row r="450" spans="1:27">
      <c r="A450" s="144"/>
      <c r="B450" s="145"/>
      <c r="C450" s="146" t="s">
        <v>4124</v>
      </c>
      <c r="D450" s="147" t="s">
        <v>4973</v>
      </c>
      <c r="E450" s="139" t="s">
        <v>4974</v>
      </c>
      <c r="F450" s="61" t="s">
        <v>232</v>
      </c>
      <c r="G450" s="92">
        <f>ROUND(G449*2/3,1)</f>
        <v>0.8</v>
      </c>
      <c r="H450" s="127"/>
      <c r="I450" s="149"/>
      <c r="J450" s="95">
        <f>ROUND(J449*2/3,0)</f>
        <v>18</v>
      </c>
      <c r="K450" s="160"/>
      <c r="L450" s="119">
        <f>ROUND(L449*2/3,1)</f>
        <v>1.2</v>
      </c>
      <c r="M450" s="128"/>
      <c r="N450" s="99">
        <f>ROUND(N449*2/3,0)</f>
        <v>4</v>
      </c>
      <c r="O450" s="129"/>
      <c r="P450" s="101">
        <f>ROUND(P449*2/3,0)</f>
        <v>0</v>
      </c>
      <c r="Q450" s="130"/>
      <c r="R450" s="103">
        <f>ROUND(R449*2/3,0)</f>
        <v>4</v>
      </c>
      <c r="S450" s="131"/>
      <c r="T450" s="105">
        <f>ROUND(T449*2/3,0)</f>
        <v>0</v>
      </c>
      <c r="U450" s="132"/>
      <c r="V450" s="107">
        <f>ROUND(V449*2/3,0)</f>
        <v>0</v>
      </c>
      <c r="W450" s="133"/>
      <c r="X450" s="109">
        <f>ROUND(X449*2/3,0)</f>
        <v>0</v>
      </c>
      <c r="Y450" s="134"/>
      <c r="Z450" s="151"/>
      <c r="AA450" s="151"/>
    </row>
    <row r="451" spans="1:27">
      <c r="A451" s="144" t="s">
        <v>8100</v>
      </c>
      <c r="B451" s="145" t="s">
        <v>7571</v>
      </c>
      <c r="C451" s="146" t="s">
        <v>4133</v>
      </c>
      <c r="D451" s="147" t="s">
        <v>4975</v>
      </c>
      <c r="E451" s="139" t="s">
        <v>4976</v>
      </c>
      <c r="F451" s="61" t="s">
        <v>8143</v>
      </c>
      <c r="G451" s="92">
        <f t="shared" ref="G451:L451" si="680">G455</f>
        <v>1.8</v>
      </c>
      <c r="H451" s="93">
        <f t="shared" ref="H451:M451" si="681">SUM(G451:G455)</f>
        <v>11.7</v>
      </c>
      <c r="I451" s="149" t="s">
        <v>8144</v>
      </c>
      <c r="J451" s="95">
        <f t="shared" si="680"/>
        <v>28</v>
      </c>
      <c r="K451" s="160">
        <f t="shared" si="681"/>
        <v>182</v>
      </c>
      <c r="L451" s="119">
        <f t="shared" si="680"/>
        <v>2.3</v>
      </c>
      <c r="M451" s="98">
        <f t="shared" si="681"/>
        <v>15</v>
      </c>
      <c r="N451" s="99">
        <f t="shared" ref="N451:R451" si="682">N455</f>
        <v>0</v>
      </c>
      <c r="O451" s="100">
        <f t="shared" ref="O451:S451" si="683">SUM(N451:N455)</f>
        <v>0</v>
      </c>
      <c r="P451" s="101">
        <f t="shared" si="682"/>
        <v>0</v>
      </c>
      <c r="Q451" s="102">
        <f t="shared" si="683"/>
        <v>0</v>
      </c>
      <c r="R451" s="103">
        <f t="shared" si="682"/>
        <v>10</v>
      </c>
      <c r="S451" s="104">
        <f t="shared" si="683"/>
        <v>65</v>
      </c>
      <c r="T451" s="105">
        <f t="shared" ref="T451:X451" si="684">T455</f>
        <v>0</v>
      </c>
      <c r="U451" s="106">
        <f t="shared" ref="U451:Y451" si="685">SUM(T451:T455)</f>
        <v>0</v>
      </c>
      <c r="V451" s="107">
        <f t="shared" si="684"/>
        <v>0</v>
      </c>
      <c r="W451" s="108">
        <f t="shared" si="685"/>
        <v>0</v>
      </c>
      <c r="X451" s="109">
        <f t="shared" si="684"/>
        <v>0</v>
      </c>
      <c r="Y451" s="110">
        <f t="shared" si="685"/>
        <v>0</v>
      </c>
      <c r="Z451" s="151"/>
      <c r="AA451" s="151"/>
    </row>
    <row r="452" spans="1:27">
      <c r="A452" s="144"/>
      <c r="B452" s="145"/>
      <c r="C452" s="146" t="s">
        <v>4115</v>
      </c>
      <c r="D452" s="147" t="s">
        <v>4977</v>
      </c>
      <c r="E452" s="139" t="s">
        <v>4978</v>
      </c>
      <c r="F452" s="61" t="s">
        <v>8145</v>
      </c>
      <c r="G452" s="92">
        <f t="shared" ref="G452:L452" si="686">G455*2</f>
        <v>3.6</v>
      </c>
      <c r="H452" s="117"/>
      <c r="I452" s="149"/>
      <c r="J452" s="95">
        <f t="shared" si="686"/>
        <v>56</v>
      </c>
      <c r="K452" s="160"/>
      <c r="L452" s="119">
        <f t="shared" si="686"/>
        <v>4.6</v>
      </c>
      <c r="M452" s="120"/>
      <c r="N452" s="99">
        <f t="shared" ref="N452:R452" si="687">N455*2</f>
        <v>0</v>
      </c>
      <c r="O452" s="121"/>
      <c r="P452" s="101">
        <f t="shared" si="687"/>
        <v>0</v>
      </c>
      <c r="Q452" s="122"/>
      <c r="R452" s="103">
        <f t="shared" si="687"/>
        <v>20</v>
      </c>
      <c r="S452" s="123"/>
      <c r="T452" s="105">
        <f t="shared" ref="T452:X452" si="688">T455*2</f>
        <v>0</v>
      </c>
      <c r="U452" s="124"/>
      <c r="V452" s="107">
        <f t="shared" si="688"/>
        <v>0</v>
      </c>
      <c r="W452" s="125"/>
      <c r="X452" s="109">
        <f t="shared" si="688"/>
        <v>0</v>
      </c>
      <c r="Y452" s="126"/>
      <c r="Z452" s="151"/>
      <c r="AA452" s="151"/>
    </row>
    <row r="453" spans="1:27">
      <c r="A453" s="144"/>
      <c r="B453" s="145"/>
      <c r="C453" s="146" t="s">
        <v>4118</v>
      </c>
      <c r="D453" s="147" t="s">
        <v>4979</v>
      </c>
      <c r="E453" s="139" t="s">
        <v>4980</v>
      </c>
      <c r="F453" s="61" t="s">
        <v>8143</v>
      </c>
      <c r="G453" s="92">
        <f t="shared" ref="G453:L453" si="689">G455</f>
        <v>1.8</v>
      </c>
      <c r="H453" s="117"/>
      <c r="I453" s="149"/>
      <c r="J453" s="95">
        <f t="shared" si="689"/>
        <v>28</v>
      </c>
      <c r="K453" s="160"/>
      <c r="L453" s="119">
        <f t="shared" si="689"/>
        <v>2.3</v>
      </c>
      <c r="M453" s="120"/>
      <c r="N453" s="99">
        <f t="shared" ref="N453:R453" si="690">N455</f>
        <v>0</v>
      </c>
      <c r="O453" s="121"/>
      <c r="P453" s="101">
        <f t="shared" si="690"/>
        <v>0</v>
      </c>
      <c r="Q453" s="122"/>
      <c r="R453" s="103">
        <f t="shared" si="690"/>
        <v>10</v>
      </c>
      <c r="S453" s="123"/>
      <c r="T453" s="105">
        <f t="shared" ref="T453:X453" si="691">T455</f>
        <v>0</v>
      </c>
      <c r="U453" s="124"/>
      <c r="V453" s="107">
        <f t="shared" si="691"/>
        <v>0</v>
      </c>
      <c r="W453" s="125"/>
      <c r="X453" s="109">
        <f t="shared" si="691"/>
        <v>0</v>
      </c>
      <c r="Y453" s="126"/>
      <c r="Z453" s="151"/>
      <c r="AA453" s="151"/>
    </row>
    <row r="454" spans="1:27">
      <c r="A454" s="144"/>
      <c r="B454" s="145"/>
      <c r="C454" s="146" t="s">
        <v>4121</v>
      </c>
      <c r="D454" s="147" t="s">
        <v>4981</v>
      </c>
      <c r="E454" s="139" t="s">
        <v>4982</v>
      </c>
      <c r="F454" s="61" t="s">
        <v>8146</v>
      </c>
      <c r="G454" s="92">
        <v>2.7</v>
      </c>
      <c r="H454" s="117"/>
      <c r="I454" s="149"/>
      <c r="J454" s="95">
        <v>42</v>
      </c>
      <c r="K454" s="160"/>
      <c r="L454" s="119">
        <v>3.5</v>
      </c>
      <c r="M454" s="120"/>
      <c r="N454" s="99">
        <v>0</v>
      </c>
      <c r="O454" s="121"/>
      <c r="P454" s="101">
        <v>0</v>
      </c>
      <c r="Q454" s="122"/>
      <c r="R454" s="103">
        <v>15</v>
      </c>
      <c r="S454" s="123"/>
      <c r="T454" s="105">
        <v>0</v>
      </c>
      <c r="U454" s="124"/>
      <c r="V454" s="107">
        <v>0</v>
      </c>
      <c r="W454" s="125"/>
      <c r="X454" s="109">
        <v>0</v>
      </c>
      <c r="Y454" s="126"/>
      <c r="Z454" s="151"/>
      <c r="AA454" s="151"/>
    </row>
    <row r="455" spans="1:27">
      <c r="A455" s="144"/>
      <c r="B455" s="145"/>
      <c r="C455" s="146" t="s">
        <v>4124</v>
      </c>
      <c r="D455" s="147" t="s">
        <v>4983</v>
      </c>
      <c r="E455" s="139" t="s">
        <v>4984</v>
      </c>
      <c r="F455" s="61" t="s">
        <v>8143</v>
      </c>
      <c r="G455" s="92">
        <f>ROUND(G454*2/3,1)</f>
        <v>1.8</v>
      </c>
      <c r="H455" s="127"/>
      <c r="I455" s="149"/>
      <c r="J455" s="95">
        <f>ROUND(J454*2/3,0)</f>
        <v>28</v>
      </c>
      <c r="K455" s="160"/>
      <c r="L455" s="119">
        <f>ROUND(L454*2/3,1)</f>
        <v>2.3</v>
      </c>
      <c r="M455" s="128"/>
      <c r="N455" s="99">
        <f>ROUND(N454*2/3,0)</f>
        <v>0</v>
      </c>
      <c r="O455" s="129"/>
      <c r="P455" s="101">
        <f>ROUND(P454*2/3,0)</f>
        <v>0</v>
      </c>
      <c r="Q455" s="130"/>
      <c r="R455" s="103">
        <f>ROUND(R454*2/3,0)</f>
        <v>10</v>
      </c>
      <c r="S455" s="131"/>
      <c r="T455" s="105">
        <f>ROUND(T454*2/3,0)</f>
        <v>0</v>
      </c>
      <c r="U455" s="132"/>
      <c r="V455" s="107">
        <f>ROUND(V454*2/3,0)</f>
        <v>0</v>
      </c>
      <c r="W455" s="133"/>
      <c r="X455" s="109">
        <f>ROUND(X454*2/3,0)</f>
        <v>0</v>
      </c>
      <c r="Y455" s="134"/>
      <c r="Z455" s="151"/>
      <c r="AA455" s="151"/>
    </row>
    <row r="456" spans="1:27">
      <c r="A456" s="144" t="s">
        <v>8100</v>
      </c>
      <c r="B456" s="145" t="s">
        <v>7562</v>
      </c>
      <c r="C456" s="146" t="s">
        <v>4133</v>
      </c>
      <c r="D456" s="147" t="s">
        <v>4985</v>
      </c>
      <c r="E456" s="139" t="s">
        <v>4986</v>
      </c>
      <c r="F456" s="61" t="s">
        <v>8147</v>
      </c>
      <c r="G456" s="92">
        <f t="shared" ref="G456:L456" si="692">G460</f>
        <v>2.4</v>
      </c>
      <c r="H456" s="93">
        <f t="shared" ref="H456:M456" si="693">SUM(G456:G460)</f>
        <v>15.6</v>
      </c>
      <c r="I456" s="149" t="s">
        <v>8148</v>
      </c>
      <c r="J456" s="95">
        <f t="shared" si="692"/>
        <v>49</v>
      </c>
      <c r="K456" s="160">
        <f t="shared" si="693"/>
        <v>319</v>
      </c>
      <c r="L456" s="119">
        <f t="shared" si="692"/>
        <v>2.3</v>
      </c>
      <c r="M456" s="98">
        <f t="shared" si="693"/>
        <v>15</v>
      </c>
      <c r="N456" s="99">
        <f t="shared" ref="N456:R456" si="694">N460</f>
        <v>0</v>
      </c>
      <c r="O456" s="100">
        <f t="shared" ref="O456:S456" si="695">SUM(N456:N460)</f>
        <v>0</v>
      </c>
      <c r="P456" s="101">
        <f t="shared" si="694"/>
        <v>0</v>
      </c>
      <c r="Q456" s="102">
        <f t="shared" si="695"/>
        <v>0</v>
      </c>
      <c r="R456" s="103">
        <f t="shared" si="694"/>
        <v>0</v>
      </c>
      <c r="S456" s="104">
        <f t="shared" si="695"/>
        <v>0</v>
      </c>
      <c r="T456" s="105">
        <f t="shared" ref="T456:X456" si="696">T460</f>
        <v>0</v>
      </c>
      <c r="U456" s="106">
        <f t="shared" ref="U456:Y456" si="697">SUM(T456:T460)</f>
        <v>0</v>
      </c>
      <c r="V456" s="107">
        <f t="shared" si="696"/>
        <v>0</v>
      </c>
      <c r="W456" s="108">
        <f t="shared" si="697"/>
        <v>0</v>
      </c>
      <c r="X456" s="109">
        <f t="shared" si="696"/>
        <v>0</v>
      </c>
      <c r="Y456" s="110">
        <f t="shared" si="697"/>
        <v>0</v>
      </c>
      <c r="Z456" s="151"/>
      <c r="AA456" s="151"/>
    </row>
    <row r="457" spans="1:27">
      <c r="A457" s="144"/>
      <c r="B457" s="145"/>
      <c r="C457" s="146" t="s">
        <v>4115</v>
      </c>
      <c r="D457" s="147" t="s">
        <v>4987</v>
      </c>
      <c r="E457" s="139" t="s">
        <v>4988</v>
      </c>
      <c r="F457" s="61" t="s">
        <v>8149</v>
      </c>
      <c r="G457" s="92">
        <f t="shared" ref="G457:L457" si="698">G460*2</f>
        <v>4.8</v>
      </c>
      <c r="H457" s="117"/>
      <c r="I457" s="149"/>
      <c r="J457" s="95">
        <f t="shared" si="698"/>
        <v>98</v>
      </c>
      <c r="K457" s="160"/>
      <c r="L457" s="119">
        <f t="shared" si="698"/>
        <v>4.6</v>
      </c>
      <c r="M457" s="120"/>
      <c r="N457" s="99">
        <f t="shared" ref="N457:R457" si="699">N460*2</f>
        <v>0</v>
      </c>
      <c r="O457" s="121"/>
      <c r="P457" s="101">
        <f t="shared" si="699"/>
        <v>0</v>
      </c>
      <c r="Q457" s="122"/>
      <c r="R457" s="103">
        <f t="shared" si="699"/>
        <v>0</v>
      </c>
      <c r="S457" s="123"/>
      <c r="T457" s="105">
        <f t="shared" ref="T457:X457" si="700">T460*2</f>
        <v>0</v>
      </c>
      <c r="U457" s="124"/>
      <c r="V457" s="107">
        <f t="shared" si="700"/>
        <v>0</v>
      </c>
      <c r="W457" s="125"/>
      <c r="X457" s="109">
        <f t="shared" si="700"/>
        <v>0</v>
      </c>
      <c r="Y457" s="126"/>
      <c r="Z457" s="151"/>
      <c r="AA457" s="151"/>
    </row>
    <row r="458" spans="1:27">
      <c r="A458" s="144"/>
      <c r="B458" s="145"/>
      <c r="C458" s="146" t="s">
        <v>4118</v>
      </c>
      <c r="D458" s="147" t="s">
        <v>4989</v>
      </c>
      <c r="E458" s="139" t="s">
        <v>4990</v>
      </c>
      <c r="F458" s="61" t="s">
        <v>8147</v>
      </c>
      <c r="G458" s="92">
        <f t="shared" ref="G458:L458" si="701">G460</f>
        <v>2.4</v>
      </c>
      <c r="H458" s="117"/>
      <c r="I458" s="149"/>
      <c r="J458" s="95">
        <f t="shared" si="701"/>
        <v>49</v>
      </c>
      <c r="K458" s="160"/>
      <c r="L458" s="119">
        <f t="shared" si="701"/>
        <v>2.3</v>
      </c>
      <c r="M458" s="120"/>
      <c r="N458" s="99">
        <f t="shared" ref="N458:R458" si="702">N460</f>
        <v>0</v>
      </c>
      <c r="O458" s="121"/>
      <c r="P458" s="101">
        <f t="shared" si="702"/>
        <v>0</v>
      </c>
      <c r="Q458" s="122"/>
      <c r="R458" s="103">
        <f t="shared" si="702"/>
        <v>0</v>
      </c>
      <c r="S458" s="123"/>
      <c r="T458" s="105">
        <f t="shared" ref="T458:X458" si="703">T460</f>
        <v>0</v>
      </c>
      <c r="U458" s="124"/>
      <c r="V458" s="107">
        <f t="shared" si="703"/>
        <v>0</v>
      </c>
      <c r="W458" s="125"/>
      <c r="X458" s="109">
        <f t="shared" si="703"/>
        <v>0</v>
      </c>
      <c r="Y458" s="126"/>
      <c r="Z458" s="151"/>
      <c r="AA458" s="151"/>
    </row>
    <row r="459" spans="1:27">
      <c r="A459" s="144"/>
      <c r="B459" s="145"/>
      <c r="C459" s="146" t="s">
        <v>4121</v>
      </c>
      <c r="D459" s="147" t="s">
        <v>4991</v>
      </c>
      <c r="E459" s="139" t="s">
        <v>4992</v>
      </c>
      <c r="F459" s="61" t="s">
        <v>8150</v>
      </c>
      <c r="G459" s="92">
        <v>3.6</v>
      </c>
      <c r="H459" s="117"/>
      <c r="I459" s="149"/>
      <c r="J459" s="95">
        <v>74</v>
      </c>
      <c r="K459" s="160"/>
      <c r="L459" s="119">
        <v>3.5</v>
      </c>
      <c r="M459" s="120"/>
      <c r="N459" s="99">
        <v>0</v>
      </c>
      <c r="O459" s="121"/>
      <c r="P459" s="101">
        <v>0</v>
      </c>
      <c r="Q459" s="122"/>
      <c r="R459" s="103">
        <v>0</v>
      </c>
      <c r="S459" s="123"/>
      <c r="T459" s="105">
        <v>0</v>
      </c>
      <c r="U459" s="124"/>
      <c r="V459" s="107">
        <v>0</v>
      </c>
      <c r="W459" s="125"/>
      <c r="X459" s="109">
        <v>0</v>
      </c>
      <c r="Y459" s="126"/>
      <c r="Z459" s="151"/>
      <c r="AA459" s="151"/>
    </row>
    <row r="460" spans="1:27">
      <c r="A460" s="144"/>
      <c r="B460" s="145"/>
      <c r="C460" s="146" t="s">
        <v>4124</v>
      </c>
      <c r="D460" s="147" t="s">
        <v>4993</v>
      </c>
      <c r="E460" s="139" t="s">
        <v>4994</v>
      </c>
      <c r="F460" s="61" t="s">
        <v>8147</v>
      </c>
      <c r="G460" s="92">
        <f>ROUND(G459*2/3,1)</f>
        <v>2.4</v>
      </c>
      <c r="H460" s="127"/>
      <c r="I460" s="149"/>
      <c r="J460" s="95">
        <f>ROUND(J459*2/3,0)</f>
        <v>49</v>
      </c>
      <c r="K460" s="160"/>
      <c r="L460" s="119">
        <f>ROUND(L459*2/3,1)</f>
        <v>2.3</v>
      </c>
      <c r="M460" s="128"/>
      <c r="N460" s="99">
        <f>ROUND(N459*2/3,0)</f>
        <v>0</v>
      </c>
      <c r="O460" s="129"/>
      <c r="P460" s="101">
        <f>ROUND(P459*2/3,0)</f>
        <v>0</v>
      </c>
      <c r="Q460" s="130"/>
      <c r="R460" s="103">
        <f>ROUND(R459*2/3,0)</f>
        <v>0</v>
      </c>
      <c r="S460" s="131"/>
      <c r="T460" s="105">
        <f>ROUND(T459*2/3,0)</f>
        <v>0</v>
      </c>
      <c r="U460" s="132"/>
      <c r="V460" s="107">
        <f>ROUND(V459*2/3,0)</f>
        <v>0</v>
      </c>
      <c r="W460" s="133"/>
      <c r="X460" s="109">
        <f>ROUND(X459*2/3,0)</f>
        <v>0</v>
      </c>
      <c r="Y460" s="134"/>
      <c r="Z460" s="151"/>
      <c r="AA460" s="151"/>
    </row>
    <row r="461" spans="1:27">
      <c r="A461" s="144" t="s">
        <v>8097</v>
      </c>
      <c r="B461" s="145" t="s">
        <v>6847</v>
      </c>
      <c r="C461" s="146" t="s">
        <v>4133</v>
      </c>
      <c r="D461" s="147" t="s">
        <v>4995</v>
      </c>
      <c r="E461" s="139" t="s">
        <v>4996</v>
      </c>
      <c r="F461" s="159" t="s">
        <v>3196</v>
      </c>
      <c r="G461" s="92">
        <f t="shared" ref="G461:L461" si="704">G465</f>
        <v>0.8</v>
      </c>
      <c r="H461" s="93">
        <f t="shared" ref="H461:M461" si="705">SUM(G461:G465)</f>
        <v>5.2</v>
      </c>
      <c r="I461" s="149" t="s">
        <v>8151</v>
      </c>
      <c r="J461" s="95">
        <f t="shared" si="704"/>
        <v>18</v>
      </c>
      <c r="K461" s="160">
        <f t="shared" si="705"/>
        <v>117</v>
      </c>
      <c r="L461" s="119">
        <f t="shared" si="704"/>
        <v>1.2</v>
      </c>
      <c r="M461" s="98">
        <f t="shared" si="705"/>
        <v>7.8</v>
      </c>
      <c r="N461" s="99">
        <f t="shared" ref="N461:R461" si="706">N465</f>
        <v>0</v>
      </c>
      <c r="O461" s="100">
        <f t="shared" ref="O461:S461" si="707">SUM(N461:N465)</f>
        <v>0</v>
      </c>
      <c r="P461" s="101">
        <f t="shared" si="706"/>
        <v>0</v>
      </c>
      <c r="Q461" s="102">
        <f t="shared" si="707"/>
        <v>0</v>
      </c>
      <c r="R461" s="103">
        <f t="shared" si="706"/>
        <v>10</v>
      </c>
      <c r="S461" s="104">
        <f t="shared" si="707"/>
        <v>65</v>
      </c>
      <c r="T461" s="105">
        <f t="shared" ref="T461:X461" si="708">T465</f>
        <v>0</v>
      </c>
      <c r="U461" s="106">
        <f t="shared" ref="U461:Y461" si="709">SUM(T461:T465)</f>
        <v>0</v>
      </c>
      <c r="V461" s="107">
        <f t="shared" si="708"/>
        <v>0</v>
      </c>
      <c r="W461" s="108">
        <f t="shared" si="709"/>
        <v>0</v>
      </c>
      <c r="X461" s="109">
        <f t="shared" si="708"/>
        <v>0</v>
      </c>
      <c r="Y461" s="110">
        <f t="shared" si="709"/>
        <v>0</v>
      </c>
      <c r="Z461" s="151"/>
      <c r="AA461" s="151"/>
    </row>
    <row r="462" spans="1:27">
      <c r="A462" s="144"/>
      <c r="B462" s="145"/>
      <c r="C462" s="146" t="s">
        <v>4115</v>
      </c>
      <c r="D462" s="147" t="s">
        <v>4997</v>
      </c>
      <c r="E462" s="139" t="s">
        <v>4998</v>
      </c>
      <c r="F462" s="148"/>
      <c r="G462" s="92">
        <f t="shared" ref="G462:L462" si="710">G465*2</f>
        <v>1.6</v>
      </c>
      <c r="H462" s="117"/>
      <c r="I462" s="149"/>
      <c r="J462" s="95">
        <f t="shared" si="710"/>
        <v>36</v>
      </c>
      <c r="K462" s="160"/>
      <c r="L462" s="119">
        <f t="shared" si="710"/>
        <v>2.4</v>
      </c>
      <c r="M462" s="120"/>
      <c r="N462" s="99">
        <f t="shared" ref="N462:R462" si="711">N465*2</f>
        <v>0</v>
      </c>
      <c r="O462" s="121"/>
      <c r="P462" s="101">
        <f t="shared" si="711"/>
        <v>0</v>
      </c>
      <c r="Q462" s="122"/>
      <c r="R462" s="103">
        <f t="shared" si="711"/>
        <v>20</v>
      </c>
      <c r="S462" s="123"/>
      <c r="T462" s="105">
        <f t="shared" ref="T462:X462" si="712">T465*2</f>
        <v>0</v>
      </c>
      <c r="U462" s="124"/>
      <c r="V462" s="107">
        <f t="shared" si="712"/>
        <v>0</v>
      </c>
      <c r="W462" s="125"/>
      <c r="X462" s="109">
        <f t="shared" si="712"/>
        <v>0</v>
      </c>
      <c r="Y462" s="126"/>
      <c r="Z462" s="151"/>
      <c r="AA462" s="151"/>
    </row>
    <row r="463" spans="1:27">
      <c r="A463" s="144"/>
      <c r="B463" s="145"/>
      <c r="C463" s="146" t="s">
        <v>4118</v>
      </c>
      <c r="D463" s="147" t="s">
        <v>4999</v>
      </c>
      <c r="E463" s="139" t="s">
        <v>5000</v>
      </c>
      <c r="F463" s="148"/>
      <c r="G463" s="92">
        <f t="shared" ref="G463:L463" si="713">G465</f>
        <v>0.8</v>
      </c>
      <c r="H463" s="117"/>
      <c r="I463" s="149"/>
      <c r="J463" s="95">
        <f t="shared" si="713"/>
        <v>18</v>
      </c>
      <c r="K463" s="160"/>
      <c r="L463" s="119">
        <f t="shared" si="713"/>
        <v>1.2</v>
      </c>
      <c r="M463" s="120"/>
      <c r="N463" s="99">
        <f t="shared" ref="N463:R463" si="714">N465</f>
        <v>0</v>
      </c>
      <c r="O463" s="121"/>
      <c r="P463" s="101">
        <f t="shared" si="714"/>
        <v>0</v>
      </c>
      <c r="Q463" s="122"/>
      <c r="R463" s="103">
        <f t="shared" si="714"/>
        <v>10</v>
      </c>
      <c r="S463" s="123"/>
      <c r="T463" s="105">
        <f t="shared" ref="T463:X463" si="715">T465</f>
        <v>0</v>
      </c>
      <c r="U463" s="124"/>
      <c r="V463" s="107">
        <f t="shared" si="715"/>
        <v>0</v>
      </c>
      <c r="W463" s="125"/>
      <c r="X463" s="109">
        <f t="shared" si="715"/>
        <v>0</v>
      </c>
      <c r="Y463" s="126"/>
      <c r="Z463" s="151"/>
      <c r="AA463" s="151"/>
    </row>
    <row r="464" spans="1:27">
      <c r="A464" s="144"/>
      <c r="B464" s="145"/>
      <c r="C464" s="146" t="s">
        <v>4121</v>
      </c>
      <c r="D464" s="147" t="s">
        <v>5001</v>
      </c>
      <c r="E464" s="139" t="s">
        <v>5002</v>
      </c>
      <c r="F464" s="148"/>
      <c r="G464" s="92">
        <v>1.2</v>
      </c>
      <c r="H464" s="117"/>
      <c r="I464" s="149"/>
      <c r="J464" s="95">
        <v>27</v>
      </c>
      <c r="K464" s="160"/>
      <c r="L464" s="119">
        <v>1.8</v>
      </c>
      <c r="M464" s="120"/>
      <c r="N464" s="99">
        <v>0</v>
      </c>
      <c r="O464" s="121"/>
      <c r="P464" s="101">
        <v>0</v>
      </c>
      <c r="Q464" s="122"/>
      <c r="R464" s="103">
        <v>15</v>
      </c>
      <c r="S464" s="123"/>
      <c r="T464" s="105">
        <v>0</v>
      </c>
      <c r="U464" s="124"/>
      <c r="V464" s="107">
        <v>0</v>
      </c>
      <c r="W464" s="125"/>
      <c r="X464" s="109">
        <v>0</v>
      </c>
      <c r="Y464" s="126"/>
      <c r="Z464" s="151"/>
      <c r="AA464" s="151"/>
    </row>
    <row r="465" spans="1:27">
      <c r="A465" s="144"/>
      <c r="B465" s="145"/>
      <c r="C465" s="146" t="s">
        <v>4124</v>
      </c>
      <c r="D465" s="147" t="s">
        <v>5003</v>
      </c>
      <c r="E465" s="139" t="s">
        <v>5004</v>
      </c>
      <c r="F465" s="153"/>
      <c r="G465" s="92">
        <f>ROUND(G464*2/3,1)</f>
        <v>0.8</v>
      </c>
      <c r="H465" s="127"/>
      <c r="I465" s="149"/>
      <c r="J465" s="95">
        <f>ROUND(J464*2/3,0)</f>
        <v>18</v>
      </c>
      <c r="K465" s="160"/>
      <c r="L465" s="119">
        <f>ROUND(L464*2/3,1)</f>
        <v>1.2</v>
      </c>
      <c r="M465" s="128"/>
      <c r="N465" s="99">
        <f>ROUND(N464*2/3,0)</f>
        <v>0</v>
      </c>
      <c r="O465" s="129"/>
      <c r="P465" s="101">
        <f>ROUND(P464*2/3,0)</f>
        <v>0</v>
      </c>
      <c r="Q465" s="130"/>
      <c r="R465" s="103">
        <f>ROUND(R464*2/3,0)</f>
        <v>10</v>
      </c>
      <c r="S465" s="131"/>
      <c r="T465" s="105">
        <f>ROUND(T464*2/3,0)</f>
        <v>0</v>
      </c>
      <c r="U465" s="132"/>
      <c r="V465" s="107">
        <f>ROUND(V464*2/3,0)</f>
        <v>0</v>
      </c>
      <c r="W465" s="133"/>
      <c r="X465" s="109">
        <f>ROUND(X464*2/3,0)</f>
        <v>0</v>
      </c>
      <c r="Y465" s="134"/>
      <c r="Z465" s="151"/>
      <c r="AA465" s="151"/>
    </row>
    <row r="466" spans="1:27">
      <c r="A466" s="144" t="s">
        <v>8097</v>
      </c>
      <c r="B466" s="145" t="s">
        <v>6721</v>
      </c>
      <c r="C466" s="146" t="s">
        <v>4133</v>
      </c>
      <c r="D466" s="147" t="s">
        <v>5005</v>
      </c>
      <c r="E466" s="139" t="s">
        <v>5006</v>
      </c>
      <c r="F466" s="159" t="s">
        <v>3200</v>
      </c>
      <c r="G466" s="92">
        <f t="shared" ref="G466:L466" si="716">G470</f>
        <v>0.8</v>
      </c>
      <c r="H466" s="93">
        <f t="shared" ref="H466:M466" si="717">SUM(G466:G470)</f>
        <v>5.2</v>
      </c>
      <c r="I466" s="149" t="s">
        <v>8152</v>
      </c>
      <c r="J466" s="95">
        <f t="shared" si="716"/>
        <v>18</v>
      </c>
      <c r="K466" s="160">
        <f t="shared" si="717"/>
        <v>117</v>
      </c>
      <c r="L466" s="119">
        <f t="shared" si="716"/>
        <v>1.2</v>
      </c>
      <c r="M466" s="98">
        <f t="shared" si="717"/>
        <v>7.8</v>
      </c>
      <c r="N466" s="99">
        <f t="shared" ref="N466:R466" si="718">N470</f>
        <v>0</v>
      </c>
      <c r="O466" s="100">
        <f t="shared" ref="O466:S466" si="719">SUM(N466:N470)</f>
        <v>0</v>
      </c>
      <c r="P466" s="101">
        <f t="shared" si="718"/>
        <v>0</v>
      </c>
      <c r="Q466" s="102">
        <f t="shared" si="719"/>
        <v>0</v>
      </c>
      <c r="R466" s="103">
        <f t="shared" si="718"/>
        <v>0</v>
      </c>
      <c r="S466" s="104">
        <f t="shared" si="719"/>
        <v>0</v>
      </c>
      <c r="T466" s="105">
        <f t="shared" ref="T466:X466" si="720">T470</f>
        <v>4</v>
      </c>
      <c r="U466" s="106">
        <f t="shared" ref="U466:Y466" si="721">SUM(T466:T470)</f>
        <v>26</v>
      </c>
      <c r="V466" s="107">
        <f t="shared" si="720"/>
        <v>4</v>
      </c>
      <c r="W466" s="108">
        <f t="shared" si="721"/>
        <v>26</v>
      </c>
      <c r="X466" s="109">
        <f t="shared" si="720"/>
        <v>0</v>
      </c>
      <c r="Y466" s="110">
        <f t="shared" si="721"/>
        <v>0</v>
      </c>
      <c r="Z466" s="151"/>
      <c r="AA466" s="151"/>
    </row>
    <row r="467" spans="1:27">
      <c r="A467" s="144"/>
      <c r="B467" s="145"/>
      <c r="C467" s="146" t="s">
        <v>4115</v>
      </c>
      <c r="D467" s="147" t="s">
        <v>5007</v>
      </c>
      <c r="E467" s="139" t="s">
        <v>5008</v>
      </c>
      <c r="F467" s="148"/>
      <c r="G467" s="92">
        <f t="shared" ref="G467:L467" si="722">G470*2</f>
        <v>1.6</v>
      </c>
      <c r="H467" s="117"/>
      <c r="I467" s="149"/>
      <c r="J467" s="95">
        <f t="shared" si="722"/>
        <v>36</v>
      </c>
      <c r="K467" s="160"/>
      <c r="L467" s="119">
        <f t="shared" si="722"/>
        <v>2.4</v>
      </c>
      <c r="M467" s="120"/>
      <c r="N467" s="99">
        <f t="shared" ref="N467:R467" si="723">N470*2</f>
        <v>0</v>
      </c>
      <c r="O467" s="121"/>
      <c r="P467" s="101">
        <f t="shared" si="723"/>
        <v>0</v>
      </c>
      <c r="Q467" s="122"/>
      <c r="R467" s="103">
        <f t="shared" si="723"/>
        <v>0</v>
      </c>
      <c r="S467" s="123"/>
      <c r="T467" s="105">
        <f t="shared" ref="T467:X467" si="724">T470*2</f>
        <v>8</v>
      </c>
      <c r="U467" s="124"/>
      <c r="V467" s="107">
        <f t="shared" si="724"/>
        <v>8</v>
      </c>
      <c r="W467" s="125"/>
      <c r="X467" s="109">
        <f t="shared" si="724"/>
        <v>0</v>
      </c>
      <c r="Y467" s="126"/>
      <c r="Z467" s="151"/>
      <c r="AA467" s="151"/>
    </row>
    <row r="468" spans="1:27">
      <c r="A468" s="144"/>
      <c r="B468" s="145"/>
      <c r="C468" s="146" t="s">
        <v>4118</v>
      </c>
      <c r="D468" s="147" t="s">
        <v>5009</v>
      </c>
      <c r="E468" s="139" t="s">
        <v>5010</v>
      </c>
      <c r="F468" s="148"/>
      <c r="G468" s="92">
        <f t="shared" ref="G468:L468" si="725">G470</f>
        <v>0.8</v>
      </c>
      <c r="H468" s="117"/>
      <c r="I468" s="149"/>
      <c r="J468" s="95">
        <f t="shared" si="725"/>
        <v>18</v>
      </c>
      <c r="K468" s="160"/>
      <c r="L468" s="119">
        <f t="shared" si="725"/>
        <v>1.2</v>
      </c>
      <c r="M468" s="120"/>
      <c r="N468" s="99">
        <f t="shared" ref="N468:R468" si="726">N470</f>
        <v>0</v>
      </c>
      <c r="O468" s="121"/>
      <c r="P468" s="101">
        <f t="shared" si="726"/>
        <v>0</v>
      </c>
      <c r="Q468" s="122"/>
      <c r="R468" s="103">
        <f t="shared" si="726"/>
        <v>0</v>
      </c>
      <c r="S468" s="123"/>
      <c r="T468" s="105">
        <f t="shared" ref="T468:X468" si="727">T470</f>
        <v>4</v>
      </c>
      <c r="U468" s="124"/>
      <c r="V468" s="107">
        <f t="shared" si="727"/>
        <v>4</v>
      </c>
      <c r="W468" s="125"/>
      <c r="X468" s="109">
        <f t="shared" si="727"/>
        <v>0</v>
      </c>
      <c r="Y468" s="126"/>
      <c r="Z468" s="151"/>
      <c r="AA468" s="151"/>
    </row>
    <row r="469" spans="1:27">
      <c r="A469" s="144"/>
      <c r="B469" s="145"/>
      <c r="C469" s="146" t="s">
        <v>4121</v>
      </c>
      <c r="D469" s="147" t="s">
        <v>5011</v>
      </c>
      <c r="E469" s="139" t="s">
        <v>5012</v>
      </c>
      <c r="F469" s="148"/>
      <c r="G469" s="92">
        <v>1.2</v>
      </c>
      <c r="H469" s="117"/>
      <c r="I469" s="149"/>
      <c r="J469" s="95">
        <v>27</v>
      </c>
      <c r="K469" s="160"/>
      <c r="L469" s="119">
        <v>1.8</v>
      </c>
      <c r="M469" s="120"/>
      <c r="N469" s="99">
        <v>0</v>
      </c>
      <c r="O469" s="121"/>
      <c r="P469" s="101">
        <v>0</v>
      </c>
      <c r="Q469" s="122"/>
      <c r="R469" s="103">
        <v>0</v>
      </c>
      <c r="S469" s="123"/>
      <c r="T469" s="105">
        <v>6</v>
      </c>
      <c r="U469" s="124"/>
      <c r="V469" s="107">
        <v>6</v>
      </c>
      <c r="W469" s="125"/>
      <c r="X469" s="109">
        <v>0</v>
      </c>
      <c r="Y469" s="126"/>
      <c r="Z469" s="151"/>
      <c r="AA469" s="151"/>
    </row>
    <row r="470" spans="1:27">
      <c r="A470" s="144"/>
      <c r="B470" s="145"/>
      <c r="C470" s="146" t="s">
        <v>4124</v>
      </c>
      <c r="D470" s="147" t="s">
        <v>5013</v>
      </c>
      <c r="E470" s="139" t="s">
        <v>5014</v>
      </c>
      <c r="F470" s="153"/>
      <c r="G470" s="92">
        <f>ROUND(G469*2/3,1)</f>
        <v>0.8</v>
      </c>
      <c r="H470" s="127"/>
      <c r="I470" s="149"/>
      <c r="J470" s="95">
        <f>ROUND(J469*2/3,0)</f>
        <v>18</v>
      </c>
      <c r="K470" s="160"/>
      <c r="L470" s="119">
        <f>ROUND(L469*2/3,1)</f>
        <v>1.2</v>
      </c>
      <c r="M470" s="128"/>
      <c r="N470" s="99">
        <f>ROUND(N469*2/3,0)</f>
        <v>0</v>
      </c>
      <c r="O470" s="129"/>
      <c r="P470" s="101">
        <f>ROUND(P469*2/3,0)</f>
        <v>0</v>
      </c>
      <c r="Q470" s="130"/>
      <c r="R470" s="103">
        <f>ROUND(R469*2/3,0)</f>
        <v>0</v>
      </c>
      <c r="S470" s="131"/>
      <c r="T470" s="105">
        <f>ROUND(T469*2/3,0)</f>
        <v>4</v>
      </c>
      <c r="U470" s="132"/>
      <c r="V470" s="107">
        <f>ROUND(V469*2/3,0)</f>
        <v>4</v>
      </c>
      <c r="W470" s="133"/>
      <c r="X470" s="109">
        <f>ROUND(X469*2/3,0)</f>
        <v>0</v>
      </c>
      <c r="Y470" s="134"/>
      <c r="Z470" s="151"/>
      <c r="AA470" s="151"/>
    </row>
    <row r="471" spans="1:27">
      <c r="A471" s="144" t="s">
        <v>8097</v>
      </c>
      <c r="B471" s="145" t="s">
        <v>6803</v>
      </c>
      <c r="C471" s="146" t="s">
        <v>4133</v>
      </c>
      <c r="D471" s="147" t="s">
        <v>5015</v>
      </c>
      <c r="E471" s="139" t="s">
        <v>5016</v>
      </c>
      <c r="F471" s="159" t="s">
        <v>3198</v>
      </c>
      <c r="G471" s="92">
        <f t="shared" ref="G471:L471" si="728">G475</f>
        <v>0.7</v>
      </c>
      <c r="H471" s="93">
        <f t="shared" ref="H471:M471" si="729">SUM(G471:G475)</f>
        <v>4.6</v>
      </c>
      <c r="I471" s="149" t="s">
        <v>8153</v>
      </c>
      <c r="J471" s="95">
        <f t="shared" si="728"/>
        <v>18</v>
      </c>
      <c r="K471" s="160">
        <f t="shared" si="729"/>
        <v>117</v>
      </c>
      <c r="L471" s="119">
        <f t="shared" si="728"/>
        <v>1.2</v>
      </c>
      <c r="M471" s="98">
        <f t="shared" si="729"/>
        <v>7.8</v>
      </c>
      <c r="N471" s="99">
        <f t="shared" ref="N471:R471" si="730">N475</f>
        <v>0</v>
      </c>
      <c r="O471" s="100">
        <f t="shared" ref="O471:S471" si="731">SUM(N471:N475)</f>
        <v>0</v>
      </c>
      <c r="P471" s="101">
        <f t="shared" si="730"/>
        <v>0</v>
      </c>
      <c r="Q471" s="102">
        <f t="shared" si="731"/>
        <v>0</v>
      </c>
      <c r="R471" s="103">
        <f t="shared" si="730"/>
        <v>0</v>
      </c>
      <c r="S471" s="104">
        <f t="shared" si="731"/>
        <v>0</v>
      </c>
      <c r="T471" s="105">
        <f t="shared" ref="T471:X471" si="732">T475</f>
        <v>0</v>
      </c>
      <c r="U471" s="106">
        <f t="shared" ref="U471:Y471" si="733">SUM(T471:T475)</f>
        <v>0</v>
      </c>
      <c r="V471" s="107">
        <f t="shared" si="732"/>
        <v>4</v>
      </c>
      <c r="W471" s="108">
        <f t="shared" si="733"/>
        <v>26</v>
      </c>
      <c r="X471" s="109">
        <f t="shared" si="732"/>
        <v>4</v>
      </c>
      <c r="Y471" s="110">
        <f t="shared" si="733"/>
        <v>26</v>
      </c>
      <c r="Z471" s="151"/>
      <c r="AA471" s="151"/>
    </row>
    <row r="472" spans="1:27">
      <c r="A472" s="144"/>
      <c r="B472" s="145"/>
      <c r="C472" s="146" t="s">
        <v>4115</v>
      </c>
      <c r="D472" s="147" t="s">
        <v>5017</v>
      </c>
      <c r="E472" s="139" t="s">
        <v>5018</v>
      </c>
      <c r="F472" s="148"/>
      <c r="G472" s="92">
        <f t="shared" ref="G472:L472" si="734">G475*2</f>
        <v>1.4</v>
      </c>
      <c r="H472" s="117"/>
      <c r="I472" s="149"/>
      <c r="J472" s="95">
        <f t="shared" si="734"/>
        <v>36</v>
      </c>
      <c r="K472" s="160"/>
      <c r="L472" s="119">
        <f t="shared" si="734"/>
        <v>2.4</v>
      </c>
      <c r="M472" s="120"/>
      <c r="N472" s="99">
        <f t="shared" ref="N472:R472" si="735">N475*2</f>
        <v>0</v>
      </c>
      <c r="O472" s="121"/>
      <c r="P472" s="101">
        <f t="shared" si="735"/>
        <v>0</v>
      </c>
      <c r="Q472" s="122"/>
      <c r="R472" s="103">
        <f t="shared" si="735"/>
        <v>0</v>
      </c>
      <c r="S472" s="123"/>
      <c r="T472" s="105">
        <f t="shared" ref="T472:X472" si="736">T475*2</f>
        <v>0</v>
      </c>
      <c r="U472" s="124"/>
      <c r="V472" s="107">
        <f t="shared" si="736"/>
        <v>8</v>
      </c>
      <c r="W472" s="125"/>
      <c r="X472" s="109">
        <f t="shared" si="736"/>
        <v>8</v>
      </c>
      <c r="Y472" s="126"/>
      <c r="Z472" s="151"/>
      <c r="AA472" s="151"/>
    </row>
    <row r="473" spans="1:27">
      <c r="A473" s="144"/>
      <c r="B473" s="145"/>
      <c r="C473" s="146" t="s">
        <v>4118</v>
      </c>
      <c r="D473" s="147" t="s">
        <v>5019</v>
      </c>
      <c r="E473" s="139" t="s">
        <v>5020</v>
      </c>
      <c r="F473" s="148"/>
      <c r="G473" s="92">
        <f t="shared" ref="G473:L473" si="737">G475</f>
        <v>0.7</v>
      </c>
      <c r="H473" s="117"/>
      <c r="I473" s="149"/>
      <c r="J473" s="95">
        <f t="shared" si="737"/>
        <v>18</v>
      </c>
      <c r="K473" s="160"/>
      <c r="L473" s="119">
        <f t="shared" si="737"/>
        <v>1.2</v>
      </c>
      <c r="M473" s="120"/>
      <c r="N473" s="99">
        <f t="shared" ref="N473:R473" si="738">N475</f>
        <v>0</v>
      </c>
      <c r="O473" s="121"/>
      <c r="P473" s="101">
        <f t="shared" si="738"/>
        <v>0</v>
      </c>
      <c r="Q473" s="122"/>
      <c r="R473" s="103">
        <f t="shared" si="738"/>
        <v>0</v>
      </c>
      <c r="S473" s="123"/>
      <c r="T473" s="105">
        <f t="shared" ref="T473:X473" si="739">T475</f>
        <v>0</v>
      </c>
      <c r="U473" s="124"/>
      <c r="V473" s="107">
        <f t="shared" si="739"/>
        <v>4</v>
      </c>
      <c r="W473" s="125"/>
      <c r="X473" s="109">
        <f t="shared" si="739"/>
        <v>4</v>
      </c>
      <c r="Y473" s="126"/>
      <c r="Z473" s="151"/>
      <c r="AA473" s="151"/>
    </row>
    <row r="474" spans="1:27">
      <c r="A474" s="144"/>
      <c r="B474" s="145"/>
      <c r="C474" s="146" t="s">
        <v>4121</v>
      </c>
      <c r="D474" s="147" t="s">
        <v>5021</v>
      </c>
      <c r="E474" s="139" t="s">
        <v>5022</v>
      </c>
      <c r="F474" s="148"/>
      <c r="G474" s="92">
        <v>1.1</v>
      </c>
      <c r="H474" s="117"/>
      <c r="I474" s="149"/>
      <c r="J474" s="95">
        <v>27</v>
      </c>
      <c r="K474" s="160"/>
      <c r="L474" s="119">
        <v>1.8</v>
      </c>
      <c r="M474" s="120"/>
      <c r="N474" s="99">
        <v>0</v>
      </c>
      <c r="O474" s="121"/>
      <c r="P474" s="101">
        <v>0</v>
      </c>
      <c r="Q474" s="122"/>
      <c r="R474" s="103">
        <v>0</v>
      </c>
      <c r="S474" s="123"/>
      <c r="T474" s="105">
        <v>0</v>
      </c>
      <c r="U474" s="124"/>
      <c r="V474" s="107">
        <v>6</v>
      </c>
      <c r="W474" s="125"/>
      <c r="X474" s="109">
        <v>6</v>
      </c>
      <c r="Y474" s="126"/>
      <c r="Z474" s="151"/>
      <c r="AA474" s="151"/>
    </row>
    <row r="475" spans="1:27">
      <c r="A475" s="144"/>
      <c r="B475" s="145"/>
      <c r="C475" s="146" t="s">
        <v>4124</v>
      </c>
      <c r="D475" s="147" t="s">
        <v>5023</v>
      </c>
      <c r="E475" s="139" t="s">
        <v>5024</v>
      </c>
      <c r="F475" s="153"/>
      <c r="G475" s="92">
        <f>ROUND(G474*2/3,1)</f>
        <v>0.7</v>
      </c>
      <c r="H475" s="127"/>
      <c r="I475" s="149"/>
      <c r="J475" s="95">
        <f>ROUND(J474*2/3,0)</f>
        <v>18</v>
      </c>
      <c r="K475" s="160"/>
      <c r="L475" s="119">
        <f>ROUND(L474*2/3,1)</f>
        <v>1.2</v>
      </c>
      <c r="M475" s="128"/>
      <c r="N475" s="99">
        <f>ROUND(N474*2/3,0)</f>
        <v>0</v>
      </c>
      <c r="O475" s="129"/>
      <c r="P475" s="101">
        <f>ROUND(P474*2/3,0)</f>
        <v>0</v>
      </c>
      <c r="Q475" s="130"/>
      <c r="R475" s="103">
        <f>ROUND(R474*2/3,0)</f>
        <v>0</v>
      </c>
      <c r="S475" s="131"/>
      <c r="T475" s="105">
        <f>ROUND(T474*2/3,0)</f>
        <v>0</v>
      </c>
      <c r="U475" s="132"/>
      <c r="V475" s="107">
        <f>ROUND(V474*2/3,0)</f>
        <v>4</v>
      </c>
      <c r="W475" s="133"/>
      <c r="X475" s="109">
        <f>ROUND(X474*2/3,0)</f>
        <v>4</v>
      </c>
      <c r="Y475" s="134"/>
      <c r="Z475" s="151"/>
      <c r="AA475" s="151"/>
    </row>
    <row r="476" spans="1:27">
      <c r="A476" s="144" t="s">
        <v>8097</v>
      </c>
      <c r="B476" s="145" t="s">
        <v>7003</v>
      </c>
      <c r="C476" s="146" t="s">
        <v>4133</v>
      </c>
      <c r="D476" s="147" t="s">
        <v>5025</v>
      </c>
      <c r="E476" s="139" t="s">
        <v>5026</v>
      </c>
      <c r="F476" s="159" t="s">
        <v>3204</v>
      </c>
      <c r="G476" s="92">
        <f t="shared" ref="G476:L476" si="740">G480</f>
        <v>0.8</v>
      </c>
      <c r="H476" s="93">
        <f t="shared" ref="H476:M476" si="741">SUM(G476:G480)</f>
        <v>5.2</v>
      </c>
      <c r="I476" s="149" t="s">
        <v>8154</v>
      </c>
      <c r="J476" s="95">
        <f t="shared" si="740"/>
        <v>18</v>
      </c>
      <c r="K476" s="160">
        <f t="shared" si="741"/>
        <v>117</v>
      </c>
      <c r="L476" s="119">
        <f t="shared" si="740"/>
        <v>1.2</v>
      </c>
      <c r="M476" s="98">
        <f t="shared" si="741"/>
        <v>7.8</v>
      </c>
      <c r="N476" s="99">
        <f t="shared" ref="N476:R476" si="742">N480</f>
        <v>0</v>
      </c>
      <c r="O476" s="100">
        <f t="shared" ref="O476:S476" si="743">SUM(N476:N480)</f>
        <v>0</v>
      </c>
      <c r="P476" s="101">
        <f t="shared" si="742"/>
        <v>4</v>
      </c>
      <c r="Q476" s="102">
        <f t="shared" si="743"/>
        <v>26</v>
      </c>
      <c r="R476" s="103">
        <f t="shared" si="742"/>
        <v>0</v>
      </c>
      <c r="S476" s="104">
        <f t="shared" si="743"/>
        <v>0</v>
      </c>
      <c r="T476" s="105">
        <f t="shared" ref="T476:X476" si="744">T480</f>
        <v>0</v>
      </c>
      <c r="U476" s="106">
        <f t="shared" ref="U476:Y476" si="745">SUM(T476:T480)</f>
        <v>0</v>
      </c>
      <c r="V476" s="107">
        <f t="shared" si="744"/>
        <v>0</v>
      </c>
      <c r="W476" s="108">
        <f t="shared" si="745"/>
        <v>0</v>
      </c>
      <c r="X476" s="109">
        <f t="shared" si="744"/>
        <v>0</v>
      </c>
      <c r="Y476" s="110">
        <f t="shared" si="745"/>
        <v>0</v>
      </c>
      <c r="Z476" s="151"/>
      <c r="AA476" s="151"/>
    </row>
    <row r="477" spans="1:27">
      <c r="A477" s="144"/>
      <c r="B477" s="145"/>
      <c r="C477" s="146" t="s">
        <v>4115</v>
      </c>
      <c r="D477" s="147" t="s">
        <v>5027</v>
      </c>
      <c r="E477" s="139" t="s">
        <v>5028</v>
      </c>
      <c r="F477" s="148"/>
      <c r="G477" s="92">
        <f t="shared" ref="G477:L477" si="746">G480*2</f>
        <v>1.6</v>
      </c>
      <c r="H477" s="117"/>
      <c r="I477" s="149"/>
      <c r="J477" s="95">
        <f t="shared" si="746"/>
        <v>36</v>
      </c>
      <c r="K477" s="160"/>
      <c r="L477" s="119">
        <f t="shared" si="746"/>
        <v>2.4</v>
      </c>
      <c r="M477" s="120"/>
      <c r="N477" s="99">
        <f t="shared" ref="N477:R477" si="747">N480*2</f>
        <v>0</v>
      </c>
      <c r="O477" s="121"/>
      <c r="P477" s="101">
        <f t="shared" si="747"/>
        <v>8</v>
      </c>
      <c r="Q477" s="122"/>
      <c r="R477" s="103">
        <f t="shared" si="747"/>
        <v>0</v>
      </c>
      <c r="S477" s="123"/>
      <c r="T477" s="105">
        <f t="shared" ref="T477:X477" si="748">T480*2</f>
        <v>0</v>
      </c>
      <c r="U477" s="124"/>
      <c r="V477" s="107">
        <f t="shared" si="748"/>
        <v>0</v>
      </c>
      <c r="W477" s="125"/>
      <c r="X477" s="109">
        <f t="shared" si="748"/>
        <v>0</v>
      </c>
      <c r="Y477" s="126"/>
      <c r="Z477" s="151"/>
      <c r="AA477" s="151"/>
    </row>
    <row r="478" spans="1:27">
      <c r="A478" s="144"/>
      <c r="B478" s="145"/>
      <c r="C478" s="146" t="s">
        <v>4118</v>
      </c>
      <c r="D478" s="147" t="s">
        <v>5029</v>
      </c>
      <c r="E478" s="139" t="s">
        <v>5030</v>
      </c>
      <c r="F478" s="148"/>
      <c r="G478" s="92">
        <f t="shared" ref="G478:L478" si="749">G480</f>
        <v>0.8</v>
      </c>
      <c r="H478" s="117"/>
      <c r="I478" s="149"/>
      <c r="J478" s="95">
        <f t="shared" si="749"/>
        <v>18</v>
      </c>
      <c r="K478" s="160"/>
      <c r="L478" s="119">
        <f t="shared" si="749"/>
        <v>1.2</v>
      </c>
      <c r="M478" s="120"/>
      <c r="N478" s="99">
        <f t="shared" ref="N478:R478" si="750">N480</f>
        <v>0</v>
      </c>
      <c r="O478" s="121"/>
      <c r="P478" s="101">
        <f t="shared" si="750"/>
        <v>4</v>
      </c>
      <c r="Q478" s="122"/>
      <c r="R478" s="103">
        <f t="shared" si="750"/>
        <v>0</v>
      </c>
      <c r="S478" s="123"/>
      <c r="T478" s="105">
        <f t="shared" ref="T478:X478" si="751">T480</f>
        <v>0</v>
      </c>
      <c r="U478" s="124"/>
      <c r="V478" s="107">
        <f t="shared" si="751"/>
        <v>0</v>
      </c>
      <c r="W478" s="125"/>
      <c r="X478" s="109">
        <f t="shared" si="751"/>
        <v>0</v>
      </c>
      <c r="Y478" s="126"/>
      <c r="Z478" s="151"/>
      <c r="AA478" s="151"/>
    </row>
    <row r="479" spans="1:27">
      <c r="A479" s="144"/>
      <c r="B479" s="145"/>
      <c r="C479" s="146" t="s">
        <v>4121</v>
      </c>
      <c r="D479" s="147" t="s">
        <v>5031</v>
      </c>
      <c r="E479" s="139" t="s">
        <v>5032</v>
      </c>
      <c r="F479" s="148"/>
      <c r="G479" s="92">
        <v>1.2</v>
      </c>
      <c r="H479" s="117"/>
      <c r="I479" s="149"/>
      <c r="J479" s="95">
        <v>27</v>
      </c>
      <c r="K479" s="160"/>
      <c r="L479" s="119">
        <v>1.8</v>
      </c>
      <c r="M479" s="120"/>
      <c r="N479" s="99">
        <v>0</v>
      </c>
      <c r="O479" s="121"/>
      <c r="P479" s="101">
        <v>6</v>
      </c>
      <c r="Q479" s="122"/>
      <c r="R479" s="103">
        <v>0</v>
      </c>
      <c r="S479" s="123"/>
      <c r="T479" s="105">
        <v>0</v>
      </c>
      <c r="U479" s="124"/>
      <c r="V479" s="107">
        <v>0</v>
      </c>
      <c r="W479" s="125"/>
      <c r="X479" s="109">
        <v>0</v>
      </c>
      <c r="Y479" s="126"/>
      <c r="Z479" s="151"/>
      <c r="AA479" s="151"/>
    </row>
    <row r="480" spans="1:27">
      <c r="A480" s="144"/>
      <c r="B480" s="145"/>
      <c r="C480" s="146" t="s">
        <v>4124</v>
      </c>
      <c r="D480" s="147" t="s">
        <v>5033</v>
      </c>
      <c r="E480" s="139" t="s">
        <v>5034</v>
      </c>
      <c r="F480" s="153"/>
      <c r="G480" s="92">
        <f>ROUND(G479*2/3,1)</f>
        <v>0.8</v>
      </c>
      <c r="H480" s="127"/>
      <c r="I480" s="149"/>
      <c r="J480" s="95">
        <f>ROUND(J479*2/3,0)</f>
        <v>18</v>
      </c>
      <c r="K480" s="160"/>
      <c r="L480" s="119">
        <f>ROUND(L479*2/3,1)</f>
        <v>1.2</v>
      </c>
      <c r="M480" s="128"/>
      <c r="N480" s="99">
        <f>ROUND(N479*2/3,0)</f>
        <v>0</v>
      </c>
      <c r="O480" s="129"/>
      <c r="P480" s="101">
        <f>ROUND(P479*2/3,0)</f>
        <v>4</v>
      </c>
      <c r="Q480" s="130"/>
      <c r="R480" s="103">
        <f>ROUND(R479*2/3,0)</f>
        <v>0</v>
      </c>
      <c r="S480" s="131"/>
      <c r="T480" s="105">
        <f>ROUND(T479*2/3,0)</f>
        <v>0</v>
      </c>
      <c r="U480" s="132"/>
      <c r="V480" s="107">
        <f>ROUND(V479*2/3,0)</f>
        <v>0</v>
      </c>
      <c r="W480" s="133"/>
      <c r="X480" s="109">
        <f>ROUND(X479*2/3,0)</f>
        <v>0</v>
      </c>
      <c r="Y480" s="134"/>
      <c r="Z480" s="151"/>
      <c r="AA480" s="151"/>
    </row>
    <row r="481" spans="1:27">
      <c r="A481" s="144" t="s">
        <v>8100</v>
      </c>
      <c r="B481" s="145" t="s">
        <v>6857</v>
      </c>
      <c r="C481" s="146" t="s">
        <v>4133</v>
      </c>
      <c r="D481" s="147" t="s">
        <v>5035</v>
      </c>
      <c r="E481" s="139" t="s">
        <v>5036</v>
      </c>
      <c r="F481" s="159" t="s">
        <v>3226</v>
      </c>
      <c r="G481" s="92">
        <f t="shared" ref="G481:L481" si="752">G485</f>
        <v>1.8</v>
      </c>
      <c r="H481" s="93">
        <f t="shared" ref="H481:M481" si="753">SUM(G481:G485)</f>
        <v>11.7</v>
      </c>
      <c r="I481" s="149" t="s">
        <v>8155</v>
      </c>
      <c r="J481" s="95">
        <f t="shared" si="752"/>
        <v>28</v>
      </c>
      <c r="K481" s="160">
        <f t="shared" si="753"/>
        <v>182</v>
      </c>
      <c r="L481" s="119">
        <f t="shared" si="752"/>
        <v>2.3</v>
      </c>
      <c r="M481" s="98">
        <f t="shared" si="753"/>
        <v>15</v>
      </c>
      <c r="N481" s="99">
        <f t="shared" ref="N481:R481" si="754">N485</f>
        <v>0</v>
      </c>
      <c r="O481" s="100">
        <f t="shared" ref="O481:S481" si="755">SUM(N481:N485)</f>
        <v>0</v>
      </c>
      <c r="P481" s="101">
        <f t="shared" si="754"/>
        <v>0</v>
      </c>
      <c r="Q481" s="102">
        <f t="shared" si="755"/>
        <v>0</v>
      </c>
      <c r="R481" s="103">
        <f t="shared" si="754"/>
        <v>10</v>
      </c>
      <c r="S481" s="104">
        <f t="shared" si="755"/>
        <v>65</v>
      </c>
      <c r="T481" s="105">
        <f t="shared" ref="T481:X481" si="756">T485</f>
        <v>0</v>
      </c>
      <c r="U481" s="106">
        <f t="shared" ref="U481:Y481" si="757">SUM(T481:T485)</f>
        <v>0</v>
      </c>
      <c r="V481" s="107">
        <f t="shared" si="756"/>
        <v>0</v>
      </c>
      <c r="W481" s="108">
        <f t="shared" si="757"/>
        <v>0</v>
      </c>
      <c r="X481" s="109">
        <f t="shared" si="756"/>
        <v>0</v>
      </c>
      <c r="Y481" s="110">
        <f t="shared" si="757"/>
        <v>0</v>
      </c>
      <c r="Z481" s="151"/>
      <c r="AA481" s="151"/>
    </row>
    <row r="482" spans="1:27">
      <c r="A482" s="144"/>
      <c r="B482" s="145"/>
      <c r="C482" s="146" t="s">
        <v>4115</v>
      </c>
      <c r="D482" s="147" t="s">
        <v>5037</v>
      </c>
      <c r="E482" s="139" t="s">
        <v>5038</v>
      </c>
      <c r="F482" s="148"/>
      <c r="G482" s="92">
        <f t="shared" ref="G482:L482" si="758">G485*2</f>
        <v>3.6</v>
      </c>
      <c r="H482" s="117"/>
      <c r="I482" s="149"/>
      <c r="J482" s="95">
        <f t="shared" si="758"/>
        <v>56</v>
      </c>
      <c r="K482" s="160"/>
      <c r="L482" s="119">
        <f t="shared" si="758"/>
        <v>4.6</v>
      </c>
      <c r="M482" s="120"/>
      <c r="N482" s="99">
        <f t="shared" ref="N482:R482" si="759">N485*2</f>
        <v>0</v>
      </c>
      <c r="O482" s="121"/>
      <c r="P482" s="101">
        <f t="shared" si="759"/>
        <v>0</v>
      </c>
      <c r="Q482" s="122"/>
      <c r="R482" s="103">
        <f t="shared" si="759"/>
        <v>20</v>
      </c>
      <c r="S482" s="123"/>
      <c r="T482" s="105">
        <f t="shared" ref="T482:X482" si="760">T485*2</f>
        <v>0</v>
      </c>
      <c r="U482" s="124"/>
      <c r="V482" s="107">
        <f t="shared" si="760"/>
        <v>0</v>
      </c>
      <c r="W482" s="125"/>
      <c r="X482" s="109">
        <f t="shared" si="760"/>
        <v>0</v>
      </c>
      <c r="Y482" s="126"/>
      <c r="Z482" s="151"/>
      <c r="AA482" s="151"/>
    </row>
    <row r="483" spans="1:27">
      <c r="A483" s="144"/>
      <c r="B483" s="145"/>
      <c r="C483" s="146" t="s">
        <v>4118</v>
      </c>
      <c r="D483" s="147" t="s">
        <v>5039</v>
      </c>
      <c r="E483" s="139" t="s">
        <v>5040</v>
      </c>
      <c r="F483" s="148"/>
      <c r="G483" s="92">
        <f t="shared" ref="G483:L483" si="761">G485</f>
        <v>1.8</v>
      </c>
      <c r="H483" s="117"/>
      <c r="I483" s="149"/>
      <c r="J483" s="95">
        <f t="shared" si="761"/>
        <v>28</v>
      </c>
      <c r="K483" s="160"/>
      <c r="L483" s="119">
        <f t="shared" si="761"/>
        <v>2.3</v>
      </c>
      <c r="M483" s="120"/>
      <c r="N483" s="99">
        <f t="shared" ref="N483:R483" si="762">N485</f>
        <v>0</v>
      </c>
      <c r="O483" s="121"/>
      <c r="P483" s="101">
        <f t="shared" si="762"/>
        <v>0</v>
      </c>
      <c r="Q483" s="122"/>
      <c r="R483" s="103">
        <f t="shared" si="762"/>
        <v>10</v>
      </c>
      <c r="S483" s="123"/>
      <c r="T483" s="105">
        <f t="shared" ref="T483:X483" si="763">T485</f>
        <v>0</v>
      </c>
      <c r="U483" s="124"/>
      <c r="V483" s="107">
        <f t="shared" si="763"/>
        <v>0</v>
      </c>
      <c r="W483" s="125"/>
      <c r="X483" s="109">
        <f t="shared" si="763"/>
        <v>0</v>
      </c>
      <c r="Y483" s="126"/>
      <c r="Z483" s="151"/>
      <c r="AA483" s="151"/>
    </row>
    <row r="484" spans="1:27">
      <c r="A484" s="144"/>
      <c r="B484" s="145"/>
      <c r="C484" s="146" t="s">
        <v>4121</v>
      </c>
      <c r="D484" s="147" t="s">
        <v>5041</v>
      </c>
      <c r="E484" s="139" t="s">
        <v>5042</v>
      </c>
      <c r="F484" s="148"/>
      <c r="G484" s="92">
        <v>2.7</v>
      </c>
      <c r="H484" s="117"/>
      <c r="I484" s="149"/>
      <c r="J484" s="95">
        <v>42</v>
      </c>
      <c r="K484" s="160"/>
      <c r="L484" s="119">
        <v>3.5</v>
      </c>
      <c r="M484" s="120"/>
      <c r="N484" s="99">
        <v>0</v>
      </c>
      <c r="O484" s="121"/>
      <c r="P484" s="101">
        <v>0</v>
      </c>
      <c r="Q484" s="122"/>
      <c r="R484" s="103">
        <v>15</v>
      </c>
      <c r="S484" s="123"/>
      <c r="T484" s="105">
        <v>0</v>
      </c>
      <c r="U484" s="124"/>
      <c r="V484" s="107">
        <v>0</v>
      </c>
      <c r="W484" s="125"/>
      <c r="X484" s="109">
        <v>0</v>
      </c>
      <c r="Y484" s="126"/>
      <c r="Z484" s="151"/>
      <c r="AA484" s="151"/>
    </row>
    <row r="485" spans="1:27">
      <c r="A485" s="144"/>
      <c r="B485" s="145"/>
      <c r="C485" s="146" t="s">
        <v>4124</v>
      </c>
      <c r="D485" s="147" t="s">
        <v>5043</v>
      </c>
      <c r="E485" s="139" t="s">
        <v>5044</v>
      </c>
      <c r="F485" s="153"/>
      <c r="G485" s="92">
        <f>ROUND(G484*2/3,1)</f>
        <v>1.8</v>
      </c>
      <c r="H485" s="127"/>
      <c r="I485" s="149"/>
      <c r="J485" s="95">
        <f>ROUND(J484*2/3,0)</f>
        <v>28</v>
      </c>
      <c r="K485" s="160"/>
      <c r="L485" s="119">
        <f>ROUND(L484*2/3,1)</f>
        <v>2.3</v>
      </c>
      <c r="M485" s="128"/>
      <c r="N485" s="99">
        <f>ROUND(N484*2/3,0)</f>
        <v>0</v>
      </c>
      <c r="O485" s="129"/>
      <c r="P485" s="101">
        <f>ROUND(P484*2/3,0)</f>
        <v>0</v>
      </c>
      <c r="Q485" s="130"/>
      <c r="R485" s="103">
        <f>ROUND(R484*2/3,0)</f>
        <v>10</v>
      </c>
      <c r="S485" s="131"/>
      <c r="T485" s="105">
        <f>ROUND(T484*2/3,0)</f>
        <v>0</v>
      </c>
      <c r="U485" s="132"/>
      <c r="V485" s="107">
        <f>ROUND(V484*2/3,0)</f>
        <v>0</v>
      </c>
      <c r="W485" s="133"/>
      <c r="X485" s="109">
        <f>ROUND(X484*2/3,0)</f>
        <v>0</v>
      </c>
      <c r="Y485" s="134"/>
      <c r="Z485" s="151"/>
      <c r="AA485" s="151"/>
    </row>
    <row r="486" spans="1:27">
      <c r="A486" s="144" t="s">
        <v>8100</v>
      </c>
      <c r="B486" s="145" t="s">
        <v>7572</v>
      </c>
      <c r="C486" s="146" t="s">
        <v>4133</v>
      </c>
      <c r="D486" s="147" t="s">
        <v>5045</v>
      </c>
      <c r="E486" s="139" t="s">
        <v>5046</v>
      </c>
      <c r="F486" s="61" t="s">
        <v>8156</v>
      </c>
      <c r="G486" s="92">
        <f t="shared" ref="G486:L486" si="764">G490</f>
        <v>2.4</v>
      </c>
      <c r="H486" s="93">
        <f t="shared" ref="H486:M486" si="765">SUM(G486:G490)</f>
        <v>15.6</v>
      </c>
      <c r="I486" s="149" t="s">
        <v>8157</v>
      </c>
      <c r="J486" s="95">
        <f t="shared" si="764"/>
        <v>49</v>
      </c>
      <c r="K486" s="160">
        <f t="shared" si="765"/>
        <v>319</v>
      </c>
      <c r="L486" s="119">
        <f t="shared" si="764"/>
        <v>2.3</v>
      </c>
      <c r="M486" s="98">
        <f t="shared" si="765"/>
        <v>15</v>
      </c>
      <c r="N486" s="99">
        <f t="shared" ref="N486:R486" si="766">N490</f>
        <v>0</v>
      </c>
      <c r="O486" s="100">
        <f t="shared" ref="O486:S486" si="767">SUM(N486:N490)</f>
        <v>0</v>
      </c>
      <c r="P486" s="101">
        <f t="shared" si="766"/>
        <v>0</v>
      </c>
      <c r="Q486" s="102">
        <f t="shared" si="767"/>
        <v>0</v>
      </c>
      <c r="R486" s="103">
        <f t="shared" si="766"/>
        <v>0</v>
      </c>
      <c r="S486" s="104">
        <f t="shared" si="767"/>
        <v>0</v>
      </c>
      <c r="T486" s="105">
        <f t="shared" ref="T486:X486" si="768">T490</f>
        <v>0</v>
      </c>
      <c r="U486" s="106">
        <f t="shared" ref="U486:Y486" si="769">SUM(T486:T490)</f>
        <v>0</v>
      </c>
      <c r="V486" s="107">
        <f t="shared" si="768"/>
        <v>0</v>
      </c>
      <c r="W486" s="108">
        <f t="shared" si="769"/>
        <v>0</v>
      </c>
      <c r="X486" s="109">
        <f t="shared" si="768"/>
        <v>0</v>
      </c>
      <c r="Y486" s="110">
        <f t="shared" si="769"/>
        <v>0</v>
      </c>
      <c r="Z486" s="151"/>
      <c r="AA486" s="151"/>
    </row>
    <row r="487" spans="1:27">
      <c r="A487" s="144"/>
      <c r="B487" s="145"/>
      <c r="C487" s="146" t="s">
        <v>4115</v>
      </c>
      <c r="D487" s="147" t="s">
        <v>5047</v>
      </c>
      <c r="E487" s="139" t="s">
        <v>5048</v>
      </c>
      <c r="F487" s="61" t="s">
        <v>8158</v>
      </c>
      <c r="G487" s="92">
        <f t="shared" ref="G487:L487" si="770">G490*2</f>
        <v>4.8</v>
      </c>
      <c r="H487" s="117"/>
      <c r="I487" s="149"/>
      <c r="J487" s="95">
        <f t="shared" si="770"/>
        <v>98</v>
      </c>
      <c r="K487" s="160"/>
      <c r="L487" s="119">
        <f t="shared" si="770"/>
        <v>4.6</v>
      </c>
      <c r="M487" s="120"/>
      <c r="N487" s="99">
        <f t="shared" ref="N487:R487" si="771">N490*2</f>
        <v>0</v>
      </c>
      <c r="O487" s="121"/>
      <c r="P487" s="101">
        <f t="shared" si="771"/>
        <v>0</v>
      </c>
      <c r="Q487" s="122"/>
      <c r="R487" s="103">
        <f t="shared" si="771"/>
        <v>0</v>
      </c>
      <c r="S487" s="123"/>
      <c r="T487" s="105">
        <f t="shared" ref="T487:X487" si="772">T490*2</f>
        <v>0</v>
      </c>
      <c r="U487" s="124"/>
      <c r="V487" s="107">
        <f t="shared" si="772"/>
        <v>0</v>
      </c>
      <c r="W487" s="125"/>
      <c r="X487" s="109">
        <f t="shared" si="772"/>
        <v>0</v>
      </c>
      <c r="Y487" s="126"/>
      <c r="Z487" s="151"/>
      <c r="AA487" s="151"/>
    </row>
    <row r="488" spans="1:27">
      <c r="A488" s="144"/>
      <c r="B488" s="145"/>
      <c r="C488" s="146" t="s">
        <v>4118</v>
      </c>
      <c r="D488" s="147" t="s">
        <v>5049</v>
      </c>
      <c r="E488" s="139" t="s">
        <v>5050</v>
      </c>
      <c r="F488" s="61" t="s">
        <v>8156</v>
      </c>
      <c r="G488" s="92">
        <f t="shared" ref="G488:L488" si="773">G490</f>
        <v>2.4</v>
      </c>
      <c r="H488" s="117"/>
      <c r="I488" s="149"/>
      <c r="J488" s="95">
        <f t="shared" si="773"/>
        <v>49</v>
      </c>
      <c r="K488" s="160"/>
      <c r="L488" s="119">
        <f t="shared" si="773"/>
        <v>2.3</v>
      </c>
      <c r="M488" s="120"/>
      <c r="N488" s="99">
        <f t="shared" ref="N488:R488" si="774">N490</f>
        <v>0</v>
      </c>
      <c r="O488" s="121"/>
      <c r="P488" s="101">
        <f t="shared" si="774"/>
        <v>0</v>
      </c>
      <c r="Q488" s="122"/>
      <c r="R488" s="103">
        <f t="shared" si="774"/>
        <v>0</v>
      </c>
      <c r="S488" s="123"/>
      <c r="T488" s="105">
        <f t="shared" ref="T488:X488" si="775">T490</f>
        <v>0</v>
      </c>
      <c r="U488" s="124"/>
      <c r="V488" s="107">
        <f t="shared" si="775"/>
        <v>0</v>
      </c>
      <c r="W488" s="125"/>
      <c r="X488" s="109">
        <f t="shared" si="775"/>
        <v>0</v>
      </c>
      <c r="Y488" s="126"/>
      <c r="Z488" s="151"/>
      <c r="AA488" s="151"/>
    </row>
    <row r="489" spans="1:27">
      <c r="A489" s="144"/>
      <c r="B489" s="145"/>
      <c r="C489" s="146" t="s">
        <v>4121</v>
      </c>
      <c r="D489" s="147" t="s">
        <v>5051</v>
      </c>
      <c r="E489" s="139" t="s">
        <v>5052</v>
      </c>
      <c r="F489" s="156" t="s">
        <v>8159</v>
      </c>
      <c r="G489" s="92">
        <v>3.6</v>
      </c>
      <c r="H489" s="117"/>
      <c r="I489" s="149"/>
      <c r="J489" s="95">
        <v>74</v>
      </c>
      <c r="K489" s="160"/>
      <c r="L489" s="119">
        <v>3.5</v>
      </c>
      <c r="M489" s="120"/>
      <c r="N489" s="99">
        <v>0</v>
      </c>
      <c r="O489" s="121"/>
      <c r="P489" s="101">
        <v>0</v>
      </c>
      <c r="Q489" s="122"/>
      <c r="R489" s="103">
        <v>0</v>
      </c>
      <c r="S489" s="123"/>
      <c r="T489" s="105">
        <v>0</v>
      </c>
      <c r="U489" s="124"/>
      <c r="V489" s="107">
        <v>0</v>
      </c>
      <c r="W489" s="125"/>
      <c r="X489" s="109">
        <v>0</v>
      </c>
      <c r="Y489" s="126"/>
      <c r="Z489" s="151"/>
      <c r="AA489" s="151"/>
    </row>
    <row r="490" spans="1:27">
      <c r="A490" s="144"/>
      <c r="B490" s="145"/>
      <c r="C490" s="146" t="s">
        <v>4124</v>
      </c>
      <c r="D490" s="147" t="s">
        <v>5053</v>
      </c>
      <c r="E490" s="139" t="s">
        <v>5054</v>
      </c>
      <c r="F490" s="61" t="s">
        <v>8156</v>
      </c>
      <c r="G490" s="92">
        <f>ROUND(G489*2/3,1)</f>
        <v>2.4</v>
      </c>
      <c r="H490" s="127"/>
      <c r="I490" s="149"/>
      <c r="J490" s="95">
        <f>ROUND(J489*2/3,0)</f>
        <v>49</v>
      </c>
      <c r="K490" s="160"/>
      <c r="L490" s="119">
        <f>ROUND(L489*2/3,1)</f>
        <v>2.3</v>
      </c>
      <c r="M490" s="128"/>
      <c r="N490" s="99">
        <f>ROUND(N489*2/3,0)</f>
        <v>0</v>
      </c>
      <c r="O490" s="129"/>
      <c r="P490" s="101">
        <f>ROUND(P489*2/3,0)</f>
        <v>0</v>
      </c>
      <c r="Q490" s="130"/>
      <c r="R490" s="103">
        <f>ROUND(R489*2/3,0)</f>
        <v>0</v>
      </c>
      <c r="S490" s="131"/>
      <c r="T490" s="105">
        <f>ROUND(T489*2/3,0)</f>
        <v>0</v>
      </c>
      <c r="U490" s="132"/>
      <c r="V490" s="107">
        <f>ROUND(V489*2/3,0)</f>
        <v>0</v>
      </c>
      <c r="W490" s="133"/>
      <c r="X490" s="109">
        <f>ROUND(X489*2/3,0)</f>
        <v>0</v>
      </c>
      <c r="Y490" s="134"/>
      <c r="Z490" s="151"/>
      <c r="AA490" s="151"/>
    </row>
    <row r="491" spans="1:27">
      <c r="A491" s="144" t="s">
        <v>8100</v>
      </c>
      <c r="B491" s="145" t="s">
        <v>6587</v>
      </c>
      <c r="C491" s="146" t="s">
        <v>4133</v>
      </c>
      <c r="D491" s="147" t="s">
        <v>5055</v>
      </c>
      <c r="E491" s="139" t="s">
        <v>5056</v>
      </c>
      <c r="F491" s="159" t="s">
        <v>3191</v>
      </c>
      <c r="G491" s="92">
        <f t="shared" ref="G491:L491" si="776">G495</f>
        <v>1.8</v>
      </c>
      <c r="H491" s="93">
        <f t="shared" ref="H491:M491" si="777">SUM(G491:G495)</f>
        <v>11.7</v>
      </c>
      <c r="I491" s="149" t="s">
        <v>8160</v>
      </c>
      <c r="J491" s="95">
        <f t="shared" si="776"/>
        <v>28</v>
      </c>
      <c r="K491" s="160">
        <f t="shared" si="777"/>
        <v>182</v>
      </c>
      <c r="L491" s="119">
        <f t="shared" si="776"/>
        <v>2.3</v>
      </c>
      <c r="M491" s="98">
        <f t="shared" si="777"/>
        <v>15</v>
      </c>
      <c r="N491" s="99">
        <f t="shared" ref="N491:R491" si="778">N495</f>
        <v>0</v>
      </c>
      <c r="O491" s="100">
        <f t="shared" ref="O491:S491" si="779">SUM(N491:N495)</f>
        <v>0</v>
      </c>
      <c r="P491" s="101">
        <f t="shared" si="778"/>
        <v>0</v>
      </c>
      <c r="Q491" s="102">
        <f t="shared" si="779"/>
        <v>0</v>
      </c>
      <c r="R491" s="103">
        <f t="shared" si="778"/>
        <v>0</v>
      </c>
      <c r="S491" s="104">
        <f t="shared" si="779"/>
        <v>0</v>
      </c>
      <c r="T491" s="105">
        <f t="shared" ref="T491:X491" si="780">T495</f>
        <v>0</v>
      </c>
      <c r="U491" s="106">
        <f t="shared" ref="U491:Y491" si="781">SUM(T491:T495)</f>
        <v>0</v>
      </c>
      <c r="V491" s="107">
        <f t="shared" si="780"/>
        <v>8</v>
      </c>
      <c r="W491" s="108">
        <f t="shared" si="781"/>
        <v>52</v>
      </c>
      <c r="X491" s="109">
        <f t="shared" si="780"/>
        <v>0</v>
      </c>
      <c r="Y491" s="110">
        <f t="shared" si="781"/>
        <v>0</v>
      </c>
      <c r="Z491" s="151"/>
      <c r="AA491" s="151"/>
    </row>
    <row r="492" spans="1:27">
      <c r="A492" s="144"/>
      <c r="B492" s="145"/>
      <c r="C492" s="146" t="s">
        <v>4115</v>
      </c>
      <c r="D492" s="147" t="s">
        <v>5057</v>
      </c>
      <c r="E492" s="139" t="s">
        <v>5058</v>
      </c>
      <c r="F492" s="148"/>
      <c r="G492" s="92">
        <f t="shared" ref="G492:L492" si="782">G495*2</f>
        <v>3.6</v>
      </c>
      <c r="H492" s="117"/>
      <c r="I492" s="149"/>
      <c r="J492" s="95">
        <f t="shared" si="782"/>
        <v>56</v>
      </c>
      <c r="K492" s="160"/>
      <c r="L492" s="119">
        <f t="shared" si="782"/>
        <v>4.6</v>
      </c>
      <c r="M492" s="120"/>
      <c r="N492" s="99">
        <f t="shared" ref="N492:R492" si="783">N495*2</f>
        <v>0</v>
      </c>
      <c r="O492" s="121"/>
      <c r="P492" s="101">
        <f t="shared" si="783"/>
        <v>0</v>
      </c>
      <c r="Q492" s="122"/>
      <c r="R492" s="103">
        <f t="shared" si="783"/>
        <v>0</v>
      </c>
      <c r="S492" s="123"/>
      <c r="T492" s="105">
        <f t="shared" ref="T492:X492" si="784">T495*2</f>
        <v>0</v>
      </c>
      <c r="U492" s="124"/>
      <c r="V492" s="107">
        <f t="shared" si="784"/>
        <v>16</v>
      </c>
      <c r="W492" s="125"/>
      <c r="X492" s="109">
        <f t="shared" si="784"/>
        <v>0</v>
      </c>
      <c r="Y492" s="126"/>
      <c r="Z492" s="151"/>
      <c r="AA492" s="151"/>
    </row>
    <row r="493" spans="1:27">
      <c r="A493" s="144"/>
      <c r="B493" s="145"/>
      <c r="C493" s="146" t="s">
        <v>4118</v>
      </c>
      <c r="D493" s="147" t="s">
        <v>5059</v>
      </c>
      <c r="E493" s="139" t="s">
        <v>5060</v>
      </c>
      <c r="F493" s="148"/>
      <c r="G493" s="92">
        <f t="shared" ref="G493:L493" si="785">G495</f>
        <v>1.8</v>
      </c>
      <c r="H493" s="117"/>
      <c r="I493" s="149"/>
      <c r="J493" s="95">
        <f t="shared" si="785"/>
        <v>28</v>
      </c>
      <c r="K493" s="160"/>
      <c r="L493" s="119">
        <f t="shared" si="785"/>
        <v>2.3</v>
      </c>
      <c r="M493" s="120"/>
      <c r="N493" s="99">
        <f t="shared" ref="N493:R493" si="786">N495</f>
        <v>0</v>
      </c>
      <c r="O493" s="121"/>
      <c r="P493" s="101">
        <f t="shared" si="786"/>
        <v>0</v>
      </c>
      <c r="Q493" s="122"/>
      <c r="R493" s="103">
        <f t="shared" si="786"/>
        <v>0</v>
      </c>
      <c r="S493" s="123"/>
      <c r="T493" s="105">
        <f t="shared" ref="T493:X493" si="787">T495</f>
        <v>0</v>
      </c>
      <c r="U493" s="124"/>
      <c r="V493" s="107">
        <f t="shared" si="787"/>
        <v>8</v>
      </c>
      <c r="W493" s="125"/>
      <c r="X493" s="109">
        <f t="shared" si="787"/>
        <v>0</v>
      </c>
      <c r="Y493" s="126"/>
      <c r="Z493" s="151"/>
      <c r="AA493" s="151"/>
    </row>
    <row r="494" spans="1:27">
      <c r="A494" s="144"/>
      <c r="B494" s="145"/>
      <c r="C494" s="146" t="s">
        <v>4121</v>
      </c>
      <c r="D494" s="147" t="s">
        <v>5061</v>
      </c>
      <c r="E494" s="139" t="s">
        <v>5062</v>
      </c>
      <c r="F494" s="148"/>
      <c r="G494" s="92">
        <v>2.7</v>
      </c>
      <c r="H494" s="117"/>
      <c r="I494" s="149"/>
      <c r="J494" s="95">
        <v>42</v>
      </c>
      <c r="K494" s="160"/>
      <c r="L494" s="119">
        <v>3.5</v>
      </c>
      <c r="M494" s="120"/>
      <c r="N494" s="99">
        <v>0</v>
      </c>
      <c r="O494" s="121"/>
      <c r="P494" s="101">
        <v>0</v>
      </c>
      <c r="Q494" s="122"/>
      <c r="R494" s="103">
        <v>0</v>
      </c>
      <c r="S494" s="123"/>
      <c r="T494" s="105">
        <v>0</v>
      </c>
      <c r="U494" s="124"/>
      <c r="V494" s="107">
        <v>12</v>
      </c>
      <c r="W494" s="125"/>
      <c r="X494" s="109">
        <v>0</v>
      </c>
      <c r="Y494" s="126"/>
      <c r="Z494" s="151"/>
      <c r="AA494" s="151"/>
    </row>
    <row r="495" spans="1:27">
      <c r="A495" s="144"/>
      <c r="B495" s="145"/>
      <c r="C495" s="146" t="s">
        <v>4124</v>
      </c>
      <c r="D495" s="147" t="s">
        <v>5063</v>
      </c>
      <c r="E495" s="139" t="s">
        <v>5064</v>
      </c>
      <c r="F495" s="153"/>
      <c r="G495" s="92">
        <f>ROUND(G494*2/3,1)</f>
        <v>1.8</v>
      </c>
      <c r="H495" s="127"/>
      <c r="I495" s="149"/>
      <c r="J495" s="95">
        <f>ROUND(J494*2/3,0)</f>
        <v>28</v>
      </c>
      <c r="K495" s="160"/>
      <c r="L495" s="119">
        <f>ROUND(L494*2/3,1)</f>
        <v>2.3</v>
      </c>
      <c r="M495" s="128"/>
      <c r="N495" s="99">
        <f>ROUND(N494*2/3,0)</f>
        <v>0</v>
      </c>
      <c r="O495" s="129"/>
      <c r="P495" s="101">
        <f>ROUND(P494*2/3,0)</f>
        <v>0</v>
      </c>
      <c r="Q495" s="130"/>
      <c r="R495" s="103">
        <f>ROUND(R494*2/3,0)</f>
        <v>0</v>
      </c>
      <c r="S495" s="131"/>
      <c r="T495" s="105">
        <f>ROUND(T494*2/3,0)</f>
        <v>0</v>
      </c>
      <c r="U495" s="132"/>
      <c r="V495" s="107">
        <f>ROUND(V494*2/3,0)</f>
        <v>8</v>
      </c>
      <c r="W495" s="133"/>
      <c r="X495" s="109">
        <f>ROUND(X494*2/3,0)</f>
        <v>0</v>
      </c>
      <c r="Y495" s="134"/>
      <c r="Z495" s="151"/>
      <c r="AA495" s="151"/>
    </row>
    <row r="496" spans="1:27">
      <c r="A496" s="144" t="s">
        <v>8100</v>
      </c>
      <c r="B496" s="145" t="s">
        <v>6882</v>
      </c>
      <c r="C496" s="146" t="s">
        <v>4133</v>
      </c>
      <c r="D496" s="147" t="s">
        <v>5065</v>
      </c>
      <c r="E496" s="139" t="s">
        <v>5066</v>
      </c>
      <c r="F496" s="61" t="s">
        <v>1492</v>
      </c>
      <c r="G496" s="92">
        <f t="shared" ref="G496:L496" si="788">G500</f>
        <v>1.6</v>
      </c>
      <c r="H496" s="93">
        <f t="shared" ref="H496:M496" si="789">SUM(G496:G500)</f>
        <v>10.4</v>
      </c>
      <c r="I496" s="149" t="s">
        <v>7977</v>
      </c>
      <c r="J496" s="95">
        <f t="shared" si="788"/>
        <v>28</v>
      </c>
      <c r="K496" s="160">
        <f t="shared" si="789"/>
        <v>182</v>
      </c>
      <c r="L496" s="119">
        <f t="shared" si="788"/>
        <v>2.3</v>
      </c>
      <c r="M496" s="98">
        <f t="shared" si="789"/>
        <v>15</v>
      </c>
      <c r="N496" s="99">
        <f t="shared" ref="N496:R496" si="790">N500</f>
        <v>0</v>
      </c>
      <c r="O496" s="100">
        <f t="shared" ref="O496:S496" si="791">SUM(N496:N500)</f>
        <v>0</v>
      </c>
      <c r="P496" s="101">
        <f t="shared" si="790"/>
        <v>0</v>
      </c>
      <c r="Q496" s="102">
        <f t="shared" si="791"/>
        <v>0</v>
      </c>
      <c r="R496" s="103">
        <f t="shared" si="790"/>
        <v>0</v>
      </c>
      <c r="S496" s="104">
        <f t="shared" si="791"/>
        <v>0</v>
      </c>
      <c r="T496" s="105">
        <f t="shared" ref="T496:X496" si="792">T500</f>
        <v>0</v>
      </c>
      <c r="U496" s="106">
        <f t="shared" ref="U496:Y496" si="793">SUM(T496:T500)</f>
        <v>0</v>
      </c>
      <c r="V496" s="107">
        <f t="shared" si="792"/>
        <v>0</v>
      </c>
      <c r="W496" s="108">
        <f t="shared" si="793"/>
        <v>0</v>
      </c>
      <c r="X496" s="109">
        <f t="shared" si="792"/>
        <v>0</v>
      </c>
      <c r="Y496" s="110">
        <f t="shared" si="793"/>
        <v>0</v>
      </c>
      <c r="Z496" s="151"/>
      <c r="AA496" s="151"/>
    </row>
    <row r="497" spans="1:27">
      <c r="A497" s="144"/>
      <c r="B497" s="145"/>
      <c r="C497" s="146" t="s">
        <v>4115</v>
      </c>
      <c r="D497" s="147" t="s">
        <v>5067</v>
      </c>
      <c r="E497" s="139" t="s">
        <v>5068</v>
      </c>
      <c r="F497" s="61" t="s">
        <v>1494</v>
      </c>
      <c r="G497" s="92">
        <f>G500*2</f>
        <v>3.2</v>
      </c>
      <c r="H497" s="117"/>
      <c r="I497" s="149"/>
      <c r="J497" s="95">
        <v>56</v>
      </c>
      <c r="K497" s="160"/>
      <c r="L497" s="119">
        <f>L500*2</f>
        <v>4.6</v>
      </c>
      <c r="M497" s="120"/>
      <c r="N497" s="99">
        <f t="shared" ref="N497:R497" si="794">N500*2</f>
        <v>0</v>
      </c>
      <c r="O497" s="121"/>
      <c r="P497" s="101">
        <f t="shared" si="794"/>
        <v>0</v>
      </c>
      <c r="Q497" s="122"/>
      <c r="R497" s="103">
        <f t="shared" si="794"/>
        <v>0</v>
      </c>
      <c r="S497" s="123"/>
      <c r="T497" s="105">
        <f t="shared" ref="T497:X497" si="795">T500*2</f>
        <v>0</v>
      </c>
      <c r="U497" s="124"/>
      <c r="V497" s="107">
        <f t="shared" si="795"/>
        <v>0</v>
      </c>
      <c r="W497" s="125"/>
      <c r="X497" s="109">
        <f t="shared" si="795"/>
        <v>0</v>
      </c>
      <c r="Y497" s="126"/>
      <c r="Z497" s="151"/>
      <c r="AA497" s="151"/>
    </row>
    <row r="498" spans="1:27">
      <c r="A498" s="144"/>
      <c r="B498" s="145"/>
      <c r="C498" s="146" t="s">
        <v>4118</v>
      </c>
      <c r="D498" s="147" t="s">
        <v>5069</v>
      </c>
      <c r="E498" s="139" t="s">
        <v>5070</v>
      </c>
      <c r="F498" s="61" t="s">
        <v>1492</v>
      </c>
      <c r="G498" s="92">
        <f t="shared" ref="G498:L498" si="796">G500</f>
        <v>1.6</v>
      </c>
      <c r="H498" s="117"/>
      <c r="I498" s="149"/>
      <c r="J498" s="95">
        <f t="shared" si="796"/>
        <v>28</v>
      </c>
      <c r="K498" s="160"/>
      <c r="L498" s="119">
        <f t="shared" si="796"/>
        <v>2.3</v>
      </c>
      <c r="M498" s="120"/>
      <c r="N498" s="99">
        <f t="shared" ref="N498:R498" si="797">N500</f>
        <v>0</v>
      </c>
      <c r="O498" s="121"/>
      <c r="P498" s="101">
        <f t="shared" si="797"/>
        <v>0</v>
      </c>
      <c r="Q498" s="122"/>
      <c r="R498" s="103">
        <f t="shared" si="797"/>
        <v>0</v>
      </c>
      <c r="S498" s="123"/>
      <c r="T498" s="105">
        <f t="shared" ref="T498:X498" si="798">T500</f>
        <v>0</v>
      </c>
      <c r="U498" s="124"/>
      <c r="V498" s="107">
        <f t="shared" si="798"/>
        <v>0</v>
      </c>
      <c r="W498" s="125"/>
      <c r="X498" s="109">
        <f t="shared" si="798"/>
        <v>0</v>
      </c>
      <c r="Y498" s="126"/>
      <c r="Z498" s="151"/>
      <c r="AA498" s="151"/>
    </row>
    <row r="499" spans="1:27">
      <c r="A499" s="144"/>
      <c r="B499" s="145"/>
      <c r="C499" s="146" t="s">
        <v>4121</v>
      </c>
      <c r="D499" s="147" t="s">
        <v>5071</v>
      </c>
      <c r="E499" s="139" t="s">
        <v>5072</v>
      </c>
      <c r="F499" s="61" t="s">
        <v>1496</v>
      </c>
      <c r="G499" s="92">
        <v>2.4</v>
      </c>
      <c r="H499" s="117"/>
      <c r="I499" s="149"/>
      <c r="J499" s="95">
        <v>42</v>
      </c>
      <c r="K499" s="160"/>
      <c r="L499" s="119">
        <v>3.5</v>
      </c>
      <c r="M499" s="120"/>
      <c r="N499" s="99">
        <v>0</v>
      </c>
      <c r="O499" s="121"/>
      <c r="P499" s="101">
        <v>0</v>
      </c>
      <c r="Q499" s="122"/>
      <c r="R499" s="103">
        <v>0</v>
      </c>
      <c r="S499" s="123"/>
      <c r="T499" s="105">
        <v>0</v>
      </c>
      <c r="U499" s="124"/>
      <c r="V499" s="107">
        <v>0</v>
      </c>
      <c r="W499" s="125"/>
      <c r="X499" s="109">
        <v>0</v>
      </c>
      <c r="Y499" s="126"/>
      <c r="Z499" s="151"/>
      <c r="AA499" s="151"/>
    </row>
    <row r="500" spans="1:27">
      <c r="A500" s="144"/>
      <c r="B500" s="145"/>
      <c r="C500" s="146" t="s">
        <v>4124</v>
      </c>
      <c r="D500" s="147" t="s">
        <v>5073</v>
      </c>
      <c r="E500" s="139" t="s">
        <v>5074</v>
      </c>
      <c r="F500" s="61" t="s">
        <v>1492</v>
      </c>
      <c r="G500" s="92">
        <f>ROUND(G499*2/3,1)</f>
        <v>1.6</v>
      </c>
      <c r="H500" s="127"/>
      <c r="I500" s="149"/>
      <c r="J500" s="95">
        <v>28</v>
      </c>
      <c r="K500" s="160"/>
      <c r="L500" s="119">
        <f>ROUND(L499*2/3,1)</f>
        <v>2.3</v>
      </c>
      <c r="M500" s="128"/>
      <c r="N500" s="99">
        <f>ROUND(N499*2/3,0)</f>
        <v>0</v>
      </c>
      <c r="O500" s="129"/>
      <c r="P500" s="101">
        <f>ROUND(P499*2/3,0)</f>
        <v>0</v>
      </c>
      <c r="Q500" s="130"/>
      <c r="R500" s="103">
        <f>ROUND(R499*2/3,0)</f>
        <v>0</v>
      </c>
      <c r="S500" s="131"/>
      <c r="T500" s="105">
        <f>ROUND(T499*2/3,0)</f>
        <v>0</v>
      </c>
      <c r="U500" s="132"/>
      <c r="V500" s="107">
        <f>ROUND(V499*2/3,0)</f>
        <v>0</v>
      </c>
      <c r="W500" s="133"/>
      <c r="X500" s="109">
        <f>ROUND(X499*2/3,0)</f>
        <v>0</v>
      </c>
      <c r="Y500" s="134"/>
      <c r="Z500" s="151"/>
      <c r="AA500" s="151"/>
    </row>
    <row r="501" spans="1:27">
      <c r="A501" s="144" t="s">
        <v>8100</v>
      </c>
      <c r="B501" s="145" t="s">
        <v>8161</v>
      </c>
      <c r="C501" s="146" t="s">
        <v>4133</v>
      </c>
      <c r="D501" s="147" t="s">
        <v>5075</v>
      </c>
      <c r="E501" s="139" t="s">
        <v>5076</v>
      </c>
      <c r="F501" s="61" t="s">
        <v>214</v>
      </c>
      <c r="G501" s="92">
        <f t="shared" ref="G501:L501" si="799">G505</f>
        <v>1.6</v>
      </c>
      <c r="H501" s="93">
        <f t="shared" ref="H501:M501" si="800">SUM(G501:G505)</f>
        <v>10.4</v>
      </c>
      <c r="I501" s="149" t="s">
        <v>8029</v>
      </c>
      <c r="J501" s="95">
        <f t="shared" si="799"/>
        <v>28</v>
      </c>
      <c r="K501" s="160">
        <f t="shared" si="800"/>
        <v>182</v>
      </c>
      <c r="L501" s="119">
        <f t="shared" si="799"/>
        <v>1.2</v>
      </c>
      <c r="M501" s="98">
        <f t="shared" si="800"/>
        <v>7.8</v>
      </c>
      <c r="N501" s="99">
        <f t="shared" ref="N501:R501" si="801">N505</f>
        <v>0</v>
      </c>
      <c r="O501" s="100">
        <f t="shared" ref="O501:S501" si="802">SUM(N501:N505)</f>
        <v>0</v>
      </c>
      <c r="P501" s="101">
        <f t="shared" si="801"/>
        <v>0</v>
      </c>
      <c r="Q501" s="102">
        <f t="shared" si="802"/>
        <v>0</v>
      </c>
      <c r="R501" s="103">
        <f t="shared" si="801"/>
        <v>0</v>
      </c>
      <c r="S501" s="104">
        <f t="shared" si="802"/>
        <v>0</v>
      </c>
      <c r="T501" s="105">
        <f t="shared" ref="T501:X501" si="803">T505</f>
        <v>0</v>
      </c>
      <c r="U501" s="106">
        <f t="shared" ref="U501:Y501" si="804">SUM(T501:T505)</f>
        <v>0</v>
      </c>
      <c r="V501" s="107">
        <f t="shared" si="803"/>
        <v>0</v>
      </c>
      <c r="W501" s="108">
        <f t="shared" si="804"/>
        <v>0</v>
      </c>
      <c r="X501" s="109">
        <f t="shared" si="803"/>
        <v>0</v>
      </c>
      <c r="Y501" s="110">
        <f t="shared" si="804"/>
        <v>0</v>
      </c>
      <c r="Z501" s="151"/>
      <c r="AA501" s="151"/>
    </row>
    <row r="502" spans="1:27">
      <c r="A502" s="144"/>
      <c r="B502" s="145"/>
      <c r="C502" s="146" t="s">
        <v>4115</v>
      </c>
      <c r="D502" s="147" t="s">
        <v>5077</v>
      </c>
      <c r="E502" s="139" t="s">
        <v>5078</v>
      </c>
      <c r="F502" s="61" t="s">
        <v>952</v>
      </c>
      <c r="G502" s="92">
        <f t="shared" ref="G502:L502" si="805">G505*2</f>
        <v>3.2</v>
      </c>
      <c r="H502" s="117"/>
      <c r="I502" s="149"/>
      <c r="J502" s="95">
        <f t="shared" si="805"/>
        <v>56</v>
      </c>
      <c r="K502" s="160"/>
      <c r="L502" s="119">
        <f t="shared" si="805"/>
        <v>2.4</v>
      </c>
      <c r="M502" s="120"/>
      <c r="N502" s="99">
        <f t="shared" ref="N502:R502" si="806">N505*2</f>
        <v>0</v>
      </c>
      <c r="O502" s="121"/>
      <c r="P502" s="101">
        <f t="shared" si="806"/>
        <v>0</v>
      </c>
      <c r="Q502" s="122"/>
      <c r="R502" s="103">
        <f t="shared" si="806"/>
        <v>0</v>
      </c>
      <c r="S502" s="123"/>
      <c r="T502" s="105">
        <f t="shared" ref="T502:X502" si="807">T505*2</f>
        <v>0</v>
      </c>
      <c r="U502" s="124"/>
      <c r="V502" s="107">
        <f t="shared" si="807"/>
        <v>0</v>
      </c>
      <c r="W502" s="125"/>
      <c r="X502" s="109">
        <f t="shared" si="807"/>
        <v>0</v>
      </c>
      <c r="Y502" s="126"/>
      <c r="Z502" s="151"/>
      <c r="AA502" s="151"/>
    </row>
    <row r="503" spans="1:27">
      <c r="A503" s="144"/>
      <c r="B503" s="145"/>
      <c r="C503" s="146" t="s">
        <v>4118</v>
      </c>
      <c r="D503" s="147" t="s">
        <v>5079</v>
      </c>
      <c r="E503" s="139" t="s">
        <v>5080</v>
      </c>
      <c r="F503" s="61" t="s">
        <v>214</v>
      </c>
      <c r="G503" s="92">
        <f t="shared" ref="G503:L503" si="808">G505</f>
        <v>1.6</v>
      </c>
      <c r="H503" s="117"/>
      <c r="I503" s="149"/>
      <c r="J503" s="95">
        <f t="shared" si="808"/>
        <v>28</v>
      </c>
      <c r="K503" s="160"/>
      <c r="L503" s="119">
        <f t="shared" si="808"/>
        <v>1.2</v>
      </c>
      <c r="M503" s="120"/>
      <c r="N503" s="99">
        <f t="shared" ref="N503:R503" si="809">N505</f>
        <v>0</v>
      </c>
      <c r="O503" s="121"/>
      <c r="P503" s="101">
        <f t="shared" si="809"/>
        <v>0</v>
      </c>
      <c r="Q503" s="122"/>
      <c r="R503" s="103">
        <f t="shared" si="809"/>
        <v>0</v>
      </c>
      <c r="S503" s="123"/>
      <c r="T503" s="105">
        <f t="shared" ref="T503:X503" si="810">T505</f>
        <v>0</v>
      </c>
      <c r="U503" s="124"/>
      <c r="V503" s="107">
        <f t="shared" si="810"/>
        <v>0</v>
      </c>
      <c r="W503" s="125"/>
      <c r="X503" s="109">
        <f t="shared" si="810"/>
        <v>0</v>
      </c>
      <c r="Y503" s="126"/>
      <c r="Z503" s="151"/>
      <c r="AA503" s="151"/>
    </row>
    <row r="504" spans="1:27">
      <c r="A504" s="144"/>
      <c r="B504" s="145"/>
      <c r="C504" s="146" t="s">
        <v>4121</v>
      </c>
      <c r="D504" s="147" t="s">
        <v>5081</v>
      </c>
      <c r="E504" s="139" t="s">
        <v>5082</v>
      </c>
      <c r="F504" s="156" t="s">
        <v>954</v>
      </c>
      <c r="G504" s="92">
        <v>2.4</v>
      </c>
      <c r="H504" s="117"/>
      <c r="I504" s="149"/>
      <c r="J504" s="95">
        <v>42</v>
      </c>
      <c r="K504" s="160"/>
      <c r="L504" s="119">
        <v>1.8</v>
      </c>
      <c r="M504" s="120"/>
      <c r="N504" s="99">
        <v>0</v>
      </c>
      <c r="O504" s="121"/>
      <c r="P504" s="101">
        <v>0</v>
      </c>
      <c r="Q504" s="122"/>
      <c r="R504" s="103">
        <v>0</v>
      </c>
      <c r="S504" s="123"/>
      <c r="T504" s="105">
        <v>0</v>
      </c>
      <c r="U504" s="124"/>
      <c r="V504" s="107">
        <v>0</v>
      </c>
      <c r="W504" s="125"/>
      <c r="X504" s="109">
        <v>0</v>
      </c>
      <c r="Y504" s="126"/>
      <c r="Z504" s="151"/>
      <c r="AA504" s="151"/>
    </row>
    <row r="505" spans="1:27">
      <c r="A505" s="144"/>
      <c r="B505" s="145"/>
      <c r="C505" s="146" t="s">
        <v>4124</v>
      </c>
      <c r="D505" s="147" t="s">
        <v>5083</v>
      </c>
      <c r="E505" s="139" t="s">
        <v>5084</v>
      </c>
      <c r="F505" s="61" t="s">
        <v>214</v>
      </c>
      <c r="G505" s="92">
        <f>ROUND(G504*2/3,1)</f>
        <v>1.6</v>
      </c>
      <c r="H505" s="127"/>
      <c r="I505" s="149"/>
      <c r="J505" s="95">
        <f>ROUND(J504*2/3,0)</f>
        <v>28</v>
      </c>
      <c r="K505" s="160"/>
      <c r="L505" s="119">
        <f>ROUND(L504*2/3,1)</f>
        <v>1.2</v>
      </c>
      <c r="M505" s="128"/>
      <c r="N505" s="99">
        <f>ROUND(N504*2/3,0)</f>
        <v>0</v>
      </c>
      <c r="O505" s="129"/>
      <c r="P505" s="101">
        <f>ROUND(P504*2/3,0)</f>
        <v>0</v>
      </c>
      <c r="Q505" s="130"/>
      <c r="R505" s="103">
        <f>ROUND(R504*2/3,0)</f>
        <v>0</v>
      </c>
      <c r="S505" s="131"/>
      <c r="T505" s="105">
        <f>ROUND(T504*2/3,0)</f>
        <v>0</v>
      </c>
      <c r="U505" s="132"/>
      <c r="V505" s="107">
        <f>ROUND(V504*2/3,0)</f>
        <v>0</v>
      </c>
      <c r="W505" s="133"/>
      <c r="X505" s="109">
        <f>ROUND(X504*2/3,0)</f>
        <v>0</v>
      </c>
      <c r="Y505" s="134"/>
      <c r="Z505" s="151"/>
      <c r="AA505" s="151"/>
    </row>
    <row r="506" spans="1:27">
      <c r="A506" s="144" t="s">
        <v>8100</v>
      </c>
      <c r="B506" s="145" t="s">
        <v>6770</v>
      </c>
      <c r="C506" s="146" t="s">
        <v>4133</v>
      </c>
      <c r="D506" s="147" t="s">
        <v>5085</v>
      </c>
      <c r="E506" s="139" t="s">
        <v>5086</v>
      </c>
      <c r="F506" s="159" t="s">
        <v>3202</v>
      </c>
      <c r="G506" s="92">
        <f t="shared" ref="G506:L506" si="811">G510</f>
        <v>2.5</v>
      </c>
      <c r="H506" s="93">
        <f t="shared" ref="H506:M506" si="812">SUM(G506:G510)</f>
        <v>16.3</v>
      </c>
      <c r="I506" s="149" t="s">
        <v>8162</v>
      </c>
      <c r="J506" s="95">
        <f t="shared" si="811"/>
        <v>49</v>
      </c>
      <c r="K506" s="160">
        <f t="shared" si="812"/>
        <v>319</v>
      </c>
      <c r="L506" s="119">
        <f t="shared" si="811"/>
        <v>2.3</v>
      </c>
      <c r="M506" s="98">
        <f t="shared" si="812"/>
        <v>15</v>
      </c>
      <c r="N506" s="99">
        <f t="shared" ref="N506:R506" si="813">N510</f>
        <v>6</v>
      </c>
      <c r="O506" s="100">
        <f t="shared" ref="O506:S506" si="814">SUM(N506:N510)</f>
        <v>39</v>
      </c>
      <c r="P506" s="101">
        <f t="shared" si="813"/>
        <v>0</v>
      </c>
      <c r="Q506" s="102">
        <f t="shared" si="814"/>
        <v>0</v>
      </c>
      <c r="R506" s="103">
        <f t="shared" si="813"/>
        <v>0</v>
      </c>
      <c r="S506" s="104">
        <f t="shared" si="814"/>
        <v>0</v>
      </c>
      <c r="T506" s="105">
        <f t="shared" ref="T506:X506" si="815">T510</f>
        <v>0</v>
      </c>
      <c r="U506" s="106">
        <f t="shared" ref="U506:Y506" si="816">SUM(T506:T510)</f>
        <v>0</v>
      </c>
      <c r="V506" s="107">
        <f t="shared" si="815"/>
        <v>6</v>
      </c>
      <c r="W506" s="108">
        <f t="shared" si="816"/>
        <v>39</v>
      </c>
      <c r="X506" s="109">
        <f t="shared" si="815"/>
        <v>0</v>
      </c>
      <c r="Y506" s="110">
        <f t="shared" si="816"/>
        <v>0</v>
      </c>
      <c r="Z506" s="151"/>
      <c r="AA506" s="151"/>
    </row>
    <row r="507" spans="1:27">
      <c r="A507" s="144"/>
      <c r="B507" s="145"/>
      <c r="C507" s="146" t="s">
        <v>4115</v>
      </c>
      <c r="D507" s="147" t="s">
        <v>5087</v>
      </c>
      <c r="E507" s="139" t="s">
        <v>5088</v>
      </c>
      <c r="F507" s="148"/>
      <c r="G507" s="92">
        <f t="shared" ref="G507:L507" si="817">G510*2</f>
        <v>5</v>
      </c>
      <c r="H507" s="117"/>
      <c r="I507" s="149"/>
      <c r="J507" s="95">
        <f t="shared" si="817"/>
        <v>98</v>
      </c>
      <c r="K507" s="160"/>
      <c r="L507" s="119">
        <f t="shared" si="817"/>
        <v>4.6</v>
      </c>
      <c r="M507" s="120"/>
      <c r="N507" s="99">
        <f t="shared" ref="N507:R507" si="818">N510*2</f>
        <v>12</v>
      </c>
      <c r="O507" s="121"/>
      <c r="P507" s="101">
        <f t="shared" si="818"/>
        <v>0</v>
      </c>
      <c r="Q507" s="122"/>
      <c r="R507" s="103">
        <f t="shared" si="818"/>
        <v>0</v>
      </c>
      <c r="S507" s="123"/>
      <c r="T507" s="105">
        <f t="shared" ref="T507:X507" si="819">T510*2</f>
        <v>0</v>
      </c>
      <c r="U507" s="124"/>
      <c r="V507" s="107">
        <f t="shared" si="819"/>
        <v>12</v>
      </c>
      <c r="W507" s="125"/>
      <c r="X507" s="109">
        <f t="shared" si="819"/>
        <v>0</v>
      </c>
      <c r="Y507" s="126"/>
      <c r="Z507" s="151"/>
      <c r="AA507" s="151"/>
    </row>
    <row r="508" spans="1:27">
      <c r="A508" s="144"/>
      <c r="B508" s="145"/>
      <c r="C508" s="146" t="s">
        <v>4118</v>
      </c>
      <c r="D508" s="147" t="s">
        <v>5089</v>
      </c>
      <c r="E508" s="139" t="s">
        <v>5090</v>
      </c>
      <c r="F508" s="148"/>
      <c r="G508" s="92">
        <f t="shared" ref="G508:L508" si="820">G510</f>
        <v>2.5</v>
      </c>
      <c r="H508" s="117"/>
      <c r="I508" s="149"/>
      <c r="J508" s="95">
        <f t="shared" si="820"/>
        <v>49</v>
      </c>
      <c r="K508" s="160"/>
      <c r="L508" s="119">
        <f t="shared" si="820"/>
        <v>2.3</v>
      </c>
      <c r="M508" s="120"/>
      <c r="N508" s="99">
        <f t="shared" ref="N508:R508" si="821">N510</f>
        <v>6</v>
      </c>
      <c r="O508" s="121"/>
      <c r="P508" s="101">
        <f t="shared" si="821"/>
        <v>0</v>
      </c>
      <c r="Q508" s="122"/>
      <c r="R508" s="103">
        <f t="shared" si="821"/>
        <v>0</v>
      </c>
      <c r="S508" s="123"/>
      <c r="T508" s="105">
        <f t="shared" ref="T508:X508" si="822">T510</f>
        <v>0</v>
      </c>
      <c r="U508" s="124"/>
      <c r="V508" s="107">
        <f t="shared" si="822"/>
        <v>6</v>
      </c>
      <c r="W508" s="125"/>
      <c r="X508" s="109">
        <f t="shared" si="822"/>
        <v>0</v>
      </c>
      <c r="Y508" s="126"/>
      <c r="Z508" s="151"/>
      <c r="AA508" s="151"/>
    </row>
    <row r="509" spans="1:27">
      <c r="A509" s="144"/>
      <c r="B509" s="145"/>
      <c r="C509" s="146" t="s">
        <v>4121</v>
      </c>
      <c r="D509" s="147" t="s">
        <v>5091</v>
      </c>
      <c r="E509" s="139" t="s">
        <v>5092</v>
      </c>
      <c r="F509" s="148"/>
      <c r="G509" s="92">
        <v>3.8</v>
      </c>
      <c r="H509" s="117"/>
      <c r="I509" s="149"/>
      <c r="J509" s="95">
        <v>74</v>
      </c>
      <c r="K509" s="160"/>
      <c r="L509" s="119">
        <v>3.5</v>
      </c>
      <c r="M509" s="120"/>
      <c r="N509" s="99">
        <v>9</v>
      </c>
      <c r="O509" s="121"/>
      <c r="P509" s="101">
        <v>0</v>
      </c>
      <c r="Q509" s="122"/>
      <c r="R509" s="103">
        <v>0</v>
      </c>
      <c r="S509" s="123"/>
      <c r="T509" s="105">
        <v>0</v>
      </c>
      <c r="U509" s="124"/>
      <c r="V509" s="107">
        <v>9</v>
      </c>
      <c r="W509" s="125"/>
      <c r="X509" s="109">
        <v>0</v>
      </c>
      <c r="Y509" s="126"/>
      <c r="Z509" s="151"/>
      <c r="AA509" s="151"/>
    </row>
    <row r="510" spans="1:27">
      <c r="A510" s="144"/>
      <c r="B510" s="145"/>
      <c r="C510" s="146" t="s">
        <v>4124</v>
      </c>
      <c r="D510" s="147" t="s">
        <v>5093</v>
      </c>
      <c r="E510" s="139" t="s">
        <v>5094</v>
      </c>
      <c r="F510" s="153"/>
      <c r="G510" s="92">
        <f>ROUND(G509*2/3,1)</f>
        <v>2.5</v>
      </c>
      <c r="H510" s="127"/>
      <c r="I510" s="149"/>
      <c r="J510" s="95">
        <f>ROUND(J509*2/3,0)</f>
        <v>49</v>
      </c>
      <c r="K510" s="160"/>
      <c r="L510" s="119">
        <f>ROUND(L509*2/3,1)</f>
        <v>2.3</v>
      </c>
      <c r="M510" s="128"/>
      <c r="N510" s="99">
        <f>ROUND(N509*2/3,0)</f>
        <v>6</v>
      </c>
      <c r="O510" s="129"/>
      <c r="P510" s="101">
        <f>ROUND(P509*2/3,0)</f>
        <v>0</v>
      </c>
      <c r="Q510" s="130"/>
      <c r="R510" s="103">
        <f>ROUND(R509*2/3,0)</f>
        <v>0</v>
      </c>
      <c r="S510" s="131"/>
      <c r="T510" s="105">
        <f>ROUND(T509*2/3,0)</f>
        <v>0</v>
      </c>
      <c r="U510" s="132"/>
      <c r="V510" s="107">
        <f>ROUND(V509*2/3,0)</f>
        <v>6</v>
      </c>
      <c r="W510" s="133"/>
      <c r="X510" s="109">
        <f>ROUND(X509*2/3,0)</f>
        <v>0</v>
      </c>
      <c r="Y510" s="134"/>
      <c r="Z510" s="151"/>
      <c r="AA510" s="151"/>
    </row>
    <row r="511" spans="1:27">
      <c r="A511" s="144" t="s">
        <v>8100</v>
      </c>
      <c r="B511" s="145" t="s">
        <v>8163</v>
      </c>
      <c r="C511" s="146" t="s">
        <v>4133</v>
      </c>
      <c r="D511" s="147" t="s">
        <v>5095</v>
      </c>
      <c r="E511" s="139" t="s">
        <v>5096</v>
      </c>
      <c r="F511" s="159" t="s">
        <v>3232</v>
      </c>
      <c r="G511" s="92">
        <f t="shared" ref="G511:L511" si="823">G515</f>
        <v>1.6</v>
      </c>
      <c r="H511" s="93">
        <f t="shared" ref="H511:M511" si="824">SUM(G511:G515)</f>
        <v>10.4</v>
      </c>
      <c r="I511" s="149" t="s">
        <v>8164</v>
      </c>
      <c r="J511" s="95">
        <f t="shared" si="823"/>
        <v>28</v>
      </c>
      <c r="K511" s="160">
        <f t="shared" si="824"/>
        <v>182</v>
      </c>
      <c r="L511" s="119">
        <f t="shared" si="823"/>
        <v>2.3</v>
      </c>
      <c r="M511" s="98">
        <f t="shared" si="824"/>
        <v>15</v>
      </c>
      <c r="N511" s="99">
        <f t="shared" ref="N511:R511" si="825">N515</f>
        <v>0</v>
      </c>
      <c r="O511" s="100">
        <f t="shared" ref="O511:S511" si="826">SUM(N511:N515)</f>
        <v>0</v>
      </c>
      <c r="P511" s="101">
        <f t="shared" si="825"/>
        <v>0</v>
      </c>
      <c r="Q511" s="102">
        <f t="shared" si="826"/>
        <v>0</v>
      </c>
      <c r="R511" s="103">
        <f t="shared" si="825"/>
        <v>0</v>
      </c>
      <c r="S511" s="104">
        <f t="shared" si="826"/>
        <v>0</v>
      </c>
      <c r="T511" s="105">
        <f t="shared" ref="T511:X511" si="827">T515</f>
        <v>0</v>
      </c>
      <c r="U511" s="106">
        <f t="shared" ref="U511:Y511" si="828">SUM(T511:T515)</f>
        <v>0</v>
      </c>
      <c r="V511" s="107">
        <f t="shared" si="827"/>
        <v>4</v>
      </c>
      <c r="W511" s="108">
        <f t="shared" si="828"/>
        <v>26</v>
      </c>
      <c r="X511" s="109">
        <f t="shared" si="827"/>
        <v>4</v>
      </c>
      <c r="Y511" s="110">
        <f t="shared" si="828"/>
        <v>26</v>
      </c>
      <c r="Z511" s="151"/>
      <c r="AA511" s="151"/>
    </row>
    <row r="512" spans="1:27">
      <c r="A512" s="144"/>
      <c r="B512" s="145"/>
      <c r="C512" s="146" t="s">
        <v>4115</v>
      </c>
      <c r="D512" s="147" t="s">
        <v>5097</v>
      </c>
      <c r="E512" s="139" t="s">
        <v>5098</v>
      </c>
      <c r="F512" s="148"/>
      <c r="G512" s="92">
        <f t="shared" ref="G512:L512" si="829">G515*2</f>
        <v>3.2</v>
      </c>
      <c r="H512" s="117"/>
      <c r="I512" s="149"/>
      <c r="J512" s="95">
        <f t="shared" si="829"/>
        <v>56</v>
      </c>
      <c r="K512" s="160"/>
      <c r="L512" s="119">
        <f t="shared" si="829"/>
        <v>4.6</v>
      </c>
      <c r="M512" s="120"/>
      <c r="N512" s="99">
        <f t="shared" ref="N512:R512" si="830">N515*2</f>
        <v>0</v>
      </c>
      <c r="O512" s="121"/>
      <c r="P512" s="101">
        <f t="shared" si="830"/>
        <v>0</v>
      </c>
      <c r="Q512" s="122"/>
      <c r="R512" s="103">
        <f t="shared" si="830"/>
        <v>0</v>
      </c>
      <c r="S512" s="123"/>
      <c r="T512" s="105">
        <f t="shared" ref="T512:X512" si="831">T515*2</f>
        <v>0</v>
      </c>
      <c r="U512" s="124"/>
      <c r="V512" s="107">
        <f t="shared" si="831"/>
        <v>8</v>
      </c>
      <c r="W512" s="125"/>
      <c r="X512" s="109">
        <f t="shared" si="831"/>
        <v>8</v>
      </c>
      <c r="Y512" s="126"/>
      <c r="Z512" s="151"/>
      <c r="AA512" s="151"/>
    </row>
    <row r="513" spans="1:27">
      <c r="A513" s="144"/>
      <c r="B513" s="145"/>
      <c r="C513" s="146" t="s">
        <v>4118</v>
      </c>
      <c r="D513" s="147" t="s">
        <v>5099</v>
      </c>
      <c r="E513" s="139" t="s">
        <v>5100</v>
      </c>
      <c r="F513" s="148"/>
      <c r="G513" s="92">
        <f t="shared" ref="G513:L513" si="832">G515</f>
        <v>1.6</v>
      </c>
      <c r="H513" s="117"/>
      <c r="I513" s="149"/>
      <c r="J513" s="95">
        <f t="shared" si="832"/>
        <v>28</v>
      </c>
      <c r="K513" s="160"/>
      <c r="L513" s="119">
        <f t="shared" si="832"/>
        <v>2.3</v>
      </c>
      <c r="M513" s="120"/>
      <c r="N513" s="99">
        <f t="shared" ref="N513:R513" si="833">N515</f>
        <v>0</v>
      </c>
      <c r="O513" s="121"/>
      <c r="P513" s="101">
        <f t="shared" si="833"/>
        <v>0</v>
      </c>
      <c r="Q513" s="122"/>
      <c r="R513" s="103">
        <f t="shared" si="833"/>
        <v>0</v>
      </c>
      <c r="S513" s="123"/>
      <c r="T513" s="105">
        <f t="shared" ref="T513:X513" si="834">T515</f>
        <v>0</v>
      </c>
      <c r="U513" s="124"/>
      <c r="V513" s="107">
        <f t="shared" si="834"/>
        <v>4</v>
      </c>
      <c r="W513" s="125"/>
      <c r="X513" s="109">
        <f t="shared" si="834"/>
        <v>4</v>
      </c>
      <c r="Y513" s="126"/>
      <c r="Z513" s="151"/>
      <c r="AA513" s="151"/>
    </row>
    <row r="514" spans="1:27">
      <c r="A514" s="144"/>
      <c r="B514" s="145"/>
      <c r="C514" s="146" t="s">
        <v>4121</v>
      </c>
      <c r="D514" s="147" t="s">
        <v>5101</v>
      </c>
      <c r="E514" s="139" t="s">
        <v>5102</v>
      </c>
      <c r="F514" s="148"/>
      <c r="G514" s="92">
        <v>2.4</v>
      </c>
      <c r="H514" s="117"/>
      <c r="I514" s="149"/>
      <c r="J514" s="95">
        <v>42</v>
      </c>
      <c r="K514" s="160"/>
      <c r="L514" s="119">
        <v>3.5</v>
      </c>
      <c r="M514" s="120"/>
      <c r="N514" s="99">
        <v>0</v>
      </c>
      <c r="O514" s="121"/>
      <c r="P514" s="101">
        <v>0</v>
      </c>
      <c r="Q514" s="122"/>
      <c r="R514" s="103">
        <v>0</v>
      </c>
      <c r="S514" s="123"/>
      <c r="T514" s="105">
        <v>0</v>
      </c>
      <c r="U514" s="124"/>
      <c r="V514" s="107">
        <v>6</v>
      </c>
      <c r="W514" s="125"/>
      <c r="X514" s="109">
        <v>6</v>
      </c>
      <c r="Y514" s="126"/>
      <c r="Z514" s="151"/>
      <c r="AA514" s="151"/>
    </row>
    <row r="515" spans="1:27">
      <c r="A515" s="144"/>
      <c r="B515" s="145"/>
      <c r="C515" s="146" t="s">
        <v>4124</v>
      </c>
      <c r="D515" s="147" t="s">
        <v>5103</v>
      </c>
      <c r="E515" s="139" t="s">
        <v>5104</v>
      </c>
      <c r="F515" s="153"/>
      <c r="G515" s="92">
        <f>ROUND(G514*2/3,1)</f>
        <v>1.6</v>
      </c>
      <c r="H515" s="127"/>
      <c r="I515" s="149"/>
      <c r="J515" s="95">
        <f>ROUND(J514*2/3,0)</f>
        <v>28</v>
      </c>
      <c r="K515" s="160"/>
      <c r="L515" s="119">
        <f>ROUND(L514*2/3,1)</f>
        <v>2.3</v>
      </c>
      <c r="M515" s="128"/>
      <c r="N515" s="99">
        <f>ROUND(N514*2/3,0)</f>
        <v>0</v>
      </c>
      <c r="O515" s="129"/>
      <c r="P515" s="101">
        <f>ROUND(P514*2/3,0)</f>
        <v>0</v>
      </c>
      <c r="Q515" s="130"/>
      <c r="R515" s="103">
        <f>ROUND(R514*2/3,0)</f>
        <v>0</v>
      </c>
      <c r="S515" s="131"/>
      <c r="T515" s="105">
        <f>ROUND(T514*2/3,0)</f>
        <v>0</v>
      </c>
      <c r="U515" s="132"/>
      <c r="V515" s="107">
        <f>ROUND(V514*2/3,0)</f>
        <v>4</v>
      </c>
      <c r="W515" s="133"/>
      <c r="X515" s="109">
        <f>ROUND(X514*2/3,0)</f>
        <v>4</v>
      </c>
      <c r="Y515" s="134"/>
      <c r="Z515" s="151"/>
      <c r="AA515" s="151"/>
    </row>
    <row r="516" spans="1:27">
      <c r="A516" s="144" t="s">
        <v>8097</v>
      </c>
      <c r="B516" s="145" t="s">
        <v>7308</v>
      </c>
      <c r="C516" s="146" t="s">
        <v>4133</v>
      </c>
      <c r="D516" s="147" t="s">
        <v>5105</v>
      </c>
      <c r="E516" s="139" t="s">
        <v>5106</v>
      </c>
      <c r="F516" s="159" t="s">
        <v>3230</v>
      </c>
      <c r="G516" s="92">
        <f t="shared" ref="G516:L516" si="835">G520</f>
        <v>0.8</v>
      </c>
      <c r="H516" s="93">
        <f t="shared" ref="H516:M516" si="836">SUM(G516:G520)</f>
        <v>5.2</v>
      </c>
      <c r="I516" s="149" t="s">
        <v>8074</v>
      </c>
      <c r="J516" s="95">
        <f t="shared" si="835"/>
        <v>18</v>
      </c>
      <c r="K516" s="160">
        <f t="shared" si="836"/>
        <v>117</v>
      </c>
      <c r="L516" s="119">
        <f t="shared" si="835"/>
        <v>1.2</v>
      </c>
      <c r="M516" s="98">
        <f t="shared" si="836"/>
        <v>7.8</v>
      </c>
      <c r="N516" s="99">
        <f t="shared" ref="N516:R516" si="837">N520</f>
        <v>7</v>
      </c>
      <c r="O516" s="100">
        <f t="shared" ref="O516:S516" si="838">SUM(N516:N520)</f>
        <v>46</v>
      </c>
      <c r="P516" s="101">
        <f t="shared" si="837"/>
        <v>5</v>
      </c>
      <c r="Q516" s="102">
        <f t="shared" si="838"/>
        <v>33</v>
      </c>
      <c r="R516" s="103">
        <f t="shared" si="837"/>
        <v>0</v>
      </c>
      <c r="S516" s="104">
        <f t="shared" si="838"/>
        <v>0</v>
      </c>
      <c r="T516" s="105">
        <f t="shared" ref="T516:X516" si="839">T520</f>
        <v>0</v>
      </c>
      <c r="U516" s="106">
        <f t="shared" ref="U516:Y516" si="840">SUM(T516:T520)</f>
        <v>0</v>
      </c>
      <c r="V516" s="107">
        <f t="shared" si="839"/>
        <v>0</v>
      </c>
      <c r="W516" s="108">
        <f t="shared" si="840"/>
        <v>0</v>
      </c>
      <c r="X516" s="109">
        <f t="shared" si="839"/>
        <v>0</v>
      </c>
      <c r="Y516" s="110">
        <f t="shared" si="840"/>
        <v>0</v>
      </c>
      <c r="Z516" s="151"/>
      <c r="AA516" s="151"/>
    </row>
    <row r="517" spans="1:27">
      <c r="A517" s="144"/>
      <c r="B517" s="145"/>
      <c r="C517" s="146" t="s">
        <v>4115</v>
      </c>
      <c r="D517" s="147" t="s">
        <v>5107</v>
      </c>
      <c r="E517" s="139" t="s">
        <v>5108</v>
      </c>
      <c r="F517" s="148"/>
      <c r="G517" s="92">
        <f t="shared" ref="G517:L517" si="841">G520*2</f>
        <v>1.6</v>
      </c>
      <c r="H517" s="117"/>
      <c r="I517" s="149"/>
      <c r="J517" s="95">
        <f t="shared" si="841"/>
        <v>36</v>
      </c>
      <c r="K517" s="160"/>
      <c r="L517" s="119">
        <f t="shared" si="841"/>
        <v>2.4</v>
      </c>
      <c r="M517" s="120"/>
      <c r="N517" s="99">
        <f t="shared" ref="N517:R517" si="842">N520*2</f>
        <v>14</v>
      </c>
      <c r="O517" s="121"/>
      <c r="P517" s="101">
        <f t="shared" si="842"/>
        <v>10</v>
      </c>
      <c r="Q517" s="122"/>
      <c r="R517" s="103">
        <f t="shared" si="842"/>
        <v>0</v>
      </c>
      <c r="S517" s="123"/>
      <c r="T517" s="105">
        <f t="shared" ref="T517:X517" si="843">T520*2</f>
        <v>0</v>
      </c>
      <c r="U517" s="124"/>
      <c r="V517" s="107">
        <f t="shared" si="843"/>
        <v>0</v>
      </c>
      <c r="W517" s="125"/>
      <c r="X517" s="109">
        <f t="shared" si="843"/>
        <v>0</v>
      </c>
      <c r="Y517" s="126"/>
      <c r="Z517" s="151"/>
      <c r="AA517" s="151"/>
    </row>
    <row r="518" spans="1:27">
      <c r="A518" s="144"/>
      <c r="B518" s="145"/>
      <c r="C518" s="146" t="s">
        <v>4118</v>
      </c>
      <c r="D518" s="147" t="s">
        <v>5109</v>
      </c>
      <c r="E518" s="139" t="s">
        <v>5110</v>
      </c>
      <c r="F518" s="148"/>
      <c r="G518" s="92">
        <f t="shared" ref="G518:L518" si="844">G520</f>
        <v>0.8</v>
      </c>
      <c r="H518" s="117"/>
      <c r="I518" s="149"/>
      <c r="J518" s="95">
        <f t="shared" si="844"/>
        <v>18</v>
      </c>
      <c r="K518" s="160"/>
      <c r="L518" s="119">
        <f t="shared" si="844"/>
        <v>1.2</v>
      </c>
      <c r="M518" s="120"/>
      <c r="N518" s="99">
        <f t="shared" ref="N518:R518" si="845">N520</f>
        <v>7</v>
      </c>
      <c r="O518" s="121"/>
      <c r="P518" s="101">
        <f t="shared" si="845"/>
        <v>5</v>
      </c>
      <c r="Q518" s="122"/>
      <c r="R518" s="103">
        <f t="shared" si="845"/>
        <v>0</v>
      </c>
      <c r="S518" s="123"/>
      <c r="T518" s="105">
        <f t="shared" ref="T518:X518" si="846">T520</f>
        <v>0</v>
      </c>
      <c r="U518" s="124"/>
      <c r="V518" s="107">
        <f t="shared" si="846"/>
        <v>0</v>
      </c>
      <c r="W518" s="125"/>
      <c r="X518" s="109">
        <f t="shared" si="846"/>
        <v>0</v>
      </c>
      <c r="Y518" s="126"/>
      <c r="Z518" s="151"/>
      <c r="AA518" s="151"/>
    </row>
    <row r="519" spans="1:27">
      <c r="A519" s="144"/>
      <c r="B519" s="145"/>
      <c r="C519" s="146" t="s">
        <v>4121</v>
      </c>
      <c r="D519" s="147" t="s">
        <v>5111</v>
      </c>
      <c r="E519" s="139" t="s">
        <v>5112</v>
      </c>
      <c r="F519" s="148"/>
      <c r="G519" s="92">
        <v>1.2</v>
      </c>
      <c r="H519" s="117"/>
      <c r="I519" s="149"/>
      <c r="J519" s="95">
        <v>27</v>
      </c>
      <c r="K519" s="160"/>
      <c r="L519" s="119">
        <v>1.8</v>
      </c>
      <c r="M519" s="120"/>
      <c r="N519" s="99">
        <v>11</v>
      </c>
      <c r="O519" s="121"/>
      <c r="P519" s="101">
        <v>8</v>
      </c>
      <c r="Q519" s="122"/>
      <c r="R519" s="103">
        <v>0</v>
      </c>
      <c r="S519" s="123"/>
      <c r="T519" s="105">
        <v>0</v>
      </c>
      <c r="U519" s="124"/>
      <c r="V519" s="107">
        <v>0</v>
      </c>
      <c r="W519" s="125"/>
      <c r="X519" s="109">
        <v>0</v>
      </c>
      <c r="Y519" s="126"/>
      <c r="Z519" s="151"/>
      <c r="AA519" s="151"/>
    </row>
    <row r="520" spans="1:27">
      <c r="A520" s="144"/>
      <c r="B520" s="145"/>
      <c r="C520" s="146" t="s">
        <v>4124</v>
      </c>
      <c r="D520" s="147" t="s">
        <v>5113</v>
      </c>
      <c r="E520" s="139" t="s">
        <v>5114</v>
      </c>
      <c r="F520" s="153"/>
      <c r="G520" s="92">
        <f>ROUND(G519*2/3,1)</f>
        <v>0.8</v>
      </c>
      <c r="H520" s="127"/>
      <c r="I520" s="149"/>
      <c r="J520" s="95">
        <f>ROUND(J519*2/3,0)</f>
        <v>18</v>
      </c>
      <c r="K520" s="160"/>
      <c r="L520" s="119">
        <f>ROUND(L519*2/3,1)</f>
        <v>1.2</v>
      </c>
      <c r="M520" s="128"/>
      <c r="N520" s="99">
        <f>ROUND(N519*2/3,0)</f>
        <v>7</v>
      </c>
      <c r="O520" s="129"/>
      <c r="P520" s="101">
        <f>ROUND(P519*2/3,0)</f>
        <v>5</v>
      </c>
      <c r="Q520" s="130"/>
      <c r="R520" s="103">
        <f>ROUND(R519*2/3,0)</f>
        <v>0</v>
      </c>
      <c r="S520" s="131"/>
      <c r="T520" s="105">
        <f>ROUND(T519*2/3,0)</f>
        <v>0</v>
      </c>
      <c r="U520" s="132"/>
      <c r="V520" s="107">
        <f>ROUND(V519*2/3,0)</f>
        <v>0</v>
      </c>
      <c r="W520" s="133"/>
      <c r="X520" s="109">
        <f>ROUND(X519*2/3,0)</f>
        <v>0</v>
      </c>
      <c r="Y520" s="134"/>
      <c r="Z520" s="151"/>
      <c r="AA520" s="151"/>
    </row>
    <row r="521" spans="1:27">
      <c r="A521" s="144" t="s">
        <v>8100</v>
      </c>
      <c r="B521" s="145" t="s">
        <v>7155</v>
      </c>
      <c r="C521" s="146" t="s">
        <v>4133</v>
      </c>
      <c r="D521" s="147" t="s">
        <v>5115</v>
      </c>
      <c r="E521" s="139" t="s">
        <v>5116</v>
      </c>
      <c r="F521" s="159" t="s">
        <v>3234</v>
      </c>
      <c r="G521" s="92">
        <f t="shared" ref="G521:L521" si="847">G525</f>
        <v>1.7</v>
      </c>
      <c r="H521" s="93">
        <f t="shared" ref="H521:M521" si="848">SUM(G521:G525)</f>
        <v>11.4</v>
      </c>
      <c r="I521" s="149" t="s">
        <v>8165</v>
      </c>
      <c r="J521" s="95">
        <f t="shared" si="847"/>
        <v>28</v>
      </c>
      <c r="K521" s="160">
        <f t="shared" si="848"/>
        <v>182</v>
      </c>
      <c r="L521" s="119">
        <f t="shared" si="847"/>
        <v>2.3</v>
      </c>
      <c r="M521" s="98">
        <f t="shared" si="848"/>
        <v>15.1</v>
      </c>
      <c r="N521" s="99">
        <f t="shared" ref="N521:R521" si="849">N525</f>
        <v>0</v>
      </c>
      <c r="O521" s="100">
        <f t="shared" ref="O521:S521" si="850">SUM(N521:N525)</f>
        <v>0</v>
      </c>
      <c r="P521" s="101">
        <f t="shared" si="849"/>
        <v>0</v>
      </c>
      <c r="Q521" s="102">
        <f t="shared" si="850"/>
        <v>0</v>
      </c>
      <c r="R521" s="103">
        <f t="shared" si="849"/>
        <v>0</v>
      </c>
      <c r="S521" s="104">
        <f t="shared" si="850"/>
        <v>0</v>
      </c>
      <c r="T521" s="105">
        <f t="shared" ref="T521:X521" si="851">T525</f>
        <v>0</v>
      </c>
      <c r="U521" s="106">
        <f t="shared" ref="U521:Y521" si="852">SUM(T521:T525)</f>
        <v>0</v>
      </c>
      <c r="V521" s="107">
        <f t="shared" si="851"/>
        <v>5</v>
      </c>
      <c r="W521" s="108">
        <f t="shared" si="852"/>
        <v>33</v>
      </c>
      <c r="X521" s="109">
        <f t="shared" si="851"/>
        <v>5</v>
      </c>
      <c r="Y521" s="110">
        <f t="shared" si="852"/>
        <v>33</v>
      </c>
      <c r="Z521" s="151"/>
      <c r="AA521" s="151"/>
    </row>
    <row r="522" spans="1:27">
      <c r="A522" s="144"/>
      <c r="B522" s="145"/>
      <c r="C522" s="146" t="s">
        <v>4115</v>
      </c>
      <c r="D522" s="147" t="s">
        <v>5117</v>
      </c>
      <c r="E522" s="139" t="s">
        <v>5118</v>
      </c>
      <c r="F522" s="148"/>
      <c r="G522" s="92">
        <f t="shared" ref="G522:L522" si="853">G525*2</f>
        <v>3.4</v>
      </c>
      <c r="H522" s="117"/>
      <c r="I522" s="149"/>
      <c r="J522" s="95">
        <f t="shared" si="853"/>
        <v>56</v>
      </c>
      <c r="K522" s="160"/>
      <c r="L522" s="181">
        <f t="shared" si="853"/>
        <v>4.6</v>
      </c>
      <c r="M522" s="120"/>
      <c r="N522" s="99">
        <f t="shared" ref="N522:R522" si="854">N525*2</f>
        <v>0</v>
      </c>
      <c r="O522" s="121"/>
      <c r="P522" s="101">
        <f t="shared" si="854"/>
        <v>0</v>
      </c>
      <c r="Q522" s="122"/>
      <c r="R522" s="103">
        <f t="shared" si="854"/>
        <v>0</v>
      </c>
      <c r="S522" s="123"/>
      <c r="T522" s="105">
        <f t="shared" ref="T522:X522" si="855">T525*2</f>
        <v>0</v>
      </c>
      <c r="U522" s="124"/>
      <c r="V522" s="107">
        <f t="shared" si="855"/>
        <v>10</v>
      </c>
      <c r="W522" s="125"/>
      <c r="X522" s="109">
        <f t="shared" si="855"/>
        <v>10</v>
      </c>
      <c r="Y522" s="126"/>
      <c r="Z522" s="151"/>
      <c r="AA522" s="151"/>
    </row>
    <row r="523" spans="1:27">
      <c r="A523" s="144"/>
      <c r="B523" s="145"/>
      <c r="C523" s="146" t="s">
        <v>4118</v>
      </c>
      <c r="D523" s="147" t="s">
        <v>5119</v>
      </c>
      <c r="E523" s="139" t="s">
        <v>5120</v>
      </c>
      <c r="F523" s="148"/>
      <c r="G523" s="92">
        <f t="shared" ref="G523:L523" si="856">G525</f>
        <v>1.7</v>
      </c>
      <c r="H523" s="117"/>
      <c r="I523" s="149"/>
      <c r="J523" s="95">
        <f t="shared" si="856"/>
        <v>28</v>
      </c>
      <c r="K523" s="160"/>
      <c r="L523" s="119">
        <f t="shared" si="856"/>
        <v>2.3</v>
      </c>
      <c r="M523" s="120"/>
      <c r="N523" s="99">
        <f t="shared" ref="N523:R523" si="857">N525</f>
        <v>0</v>
      </c>
      <c r="O523" s="121"/>
      <c r="P523" s="101">
        <f t="shared" si="857"/>
        <v>0</v>
      </c>
      <c r="Q523" s="122"/>
      <c r="R523" s="103">
        <f t="shared" si="857"/>
        <v>0</v>
      </c>
      <c r="S523" s="123"/>
      <c r="T523" s="105">
        <f t="shared" ref="T523:X523" si="858">T525</f>
        <v>0</v>
      </c>
      <c r="U523" s="124"/>
      <c r="V523" s="107">
        <f t="shared" si="858"/>
        <v>5</v>
      </c>
      <c r="W523" s="125"/>
      <c r="X523" s="109">
        <f t="shared" si="858"/>
        <v>5</v>
      </c>
      <c r="Y523" s="126"/>
      <c r="Z523" s="151"/>
      <c r="AA523" s="151"/>
    </row>
    <row r="524" spans="1:27">
      <c r="A524" s="144"/>
      <c r="B524" s="145"/>
      <c r="C524" s="146" t="s">
        <v>4121</v>
      </c>
      <c r="D524" s="147" t="s">
        <v>5121</v>
      </c>
      <c r="E524" s="139" t="s">
        <v>5122</v>
      </c>
      <c r="F524" s="148"/>
      <c r="G524" s="92">
        <v>2.9</v>
      </c>
      <c r="H524" s="117"/>
      <c r="I524" s="149"/>
      <c r="J524" s="95">
        <v>42</v>
      </c>
      <c r="K524" s="160"/>
      <c r="L524" s="119">
        <v>3.6</v>
      </c>
      <c r="M524" s="120"/>
      <c r="N524" s="99">
        <v>0</v>
      </c>
      <c r="O524" s="121"/>
      <c r="P524" s="101">
        <v>0</v>
      </c>
      <c r="Q524" s="122"/>
      <c r="R524" s="103">
        <v>0</v>
      </c>
      <c r="S524" s="123"/>
      <c r="T524" s="105">
        <v>0</v>
      </c>
      <c r="U524" s="124"/>
      <c r="V524" s="107">
        <v>8</v>
      </c>
      <c r="W524" s="125"/>
      <c r="X524" s="109">
        <v>8</v>
      </c>
      <c r="Y524" s="126"/>
      <c r="Z524" s="151"/>
      <c r="AA524" s="151"/>
    </row>
    <row r="525" spans="1:27">
      <c r="A525" s="144"/>
      <c r="B525" s="145"/>
      <c r="C525" s="146" t="s">
        <v>4124</v>
      </c>
      <c r="D525" s="147" t="s">
        <v>5123</v>
      </c>
      <c r="E525" s="139" t="s">
        <v>5124</v>
      </c>
      <c r="F525" s="153"/>
      <c r="G525" s="92">
        <v>1.7</v>
      </c>
      <c r="H525" s="127"/>
      <c r="I525" s="149"/>
      <c r="J525" s="95">
        <f>ROUND(J524*2/3,0)</f>
        <v>28</v>
      </c>
      <c r="K525" s="160"/>
      <c r="L525" s="119">
        <v>2.3</v>
      </c>
      <c r="M525" s="128"/>
      <c r="N525" s="99">
        <f>ROUND(N524*2/3,0)</f>
        <v>0</v>
      </c>
      <c r="O525" s="129"/>
      <c r="P525" s="101">
        <f>ROUND(P524*2/3,0)</f>
        <v>0</v>
      </c>
      <c r="Q525" s="130"/>
      <c r="R525" s="103">
        <f>ROUND(R524*2/3,0)</f>
        <v>0</v>
      </c>
      <c r="S525" s="131"/>
      <c r="T525" s="105">
        <f>ROUND(T524*2/3,0)</f>
        <v>0</v>
      </c>
      <c r="U525" s="132"/>
      <c r="V525" s="107">
        <f>ROUND(V524*2/3,0)</f>
        <v>5</v>
      </c>
      <c r="W525" s="133"/>
      <c r="X525" s="109">
        <f>ROUND(X524*2/3,0)</f>
        <v>5</v>
      </c>
      <c r="Y525" s="134"/>
      <c r="Z525" s="151"/>
      <c r="AA525" s="151"/>
    </row>
    <row r="526" spans="1:27">
      <c r="A526" s="144" t="s">
        <v>8166</v>
      </c>
      <c r="B526" s="145" t="s">
        <v>8087</v>
      </c>
      <c r="C526" s="146" t="s">
        <v>4133</v>
      </c>
      <c r="D526" s="147" t="s">
        <v>5125</v>
      </c>
      <c r="E526" s="139" t="s">
        <v>5126</v>
      </c>
      <c r="F526" s="156" t="s">
        <v>8167</v>
      </c>
      <c r="G526" s="162">
        <v>0.6</v>
      </c>
      <c r="H526" s="163"/>
      <c r="I526" s="149" t="s">
        <v>8090</v>
      </c>
      <c r="J526" s="182">
        <v>18</v>
      </c>
      <c r="K526" s="183"/>
      <c r="L526" s="184">
        <v>1.2</v>
      </c>
      <c r="M526" s="185"/>
      <c r="N526" s="168">
        <v>0</v>
      </c>
      <c r="O526" s="169"/>
      <c r="P526" s="170">
        <v>15</v>
      </c>
      <c r="Q526" s="171"/>
      <c r="R526" s="172">
        <v>0</v>
      </c>
      <c r="S526" s="173"/>
      <c r="T526" s="174">
        <v>0</v>
      </c>
      <c r="U526" s="175"/>
      <c r="V526" s="176">
        <v>0</v>
      </c>
      <c r="W526" s="177"/>
      <c r="X526" s="178">
        <v>0</v>
      </c>
      <c r="Y526" s="179"/>
      <c r="Z526" s="151"/>
      <c r="AA526" s="151"/>
    </row>
    <row r="527" spans="1:27">
      <c r="A527" s="144" t="s">
        <v>8166</v>
      </c>
      <c r="B527" s="145" t="s">
        <v>8079</v>
      </c>
      <c r="C527" s="146" t="s">
        <v>4133</v>
      </c>
      <c r="D527" s="147" t="s">
        <v>5127</v>
      </c>
      <c r="E527" s="139" t="s">
        <v>5128</v>
      </c>
      <c r="F527" s="156" t="s">
        <v>8168</v>
      </c>
      <c r="G527" s="162">
        <v>1.6</v>
      </c>
      <c r="H527" s="163"/>
      <c r="I527" s="149" t="s">
        <v>8029</v>
      </c>
      <c r="J527" s="182">
        <v>28</v>
      </c>
      <c r="K527" s="183"/>
      <c r="L527" s="184">
        <v>2.3</v>
      </c>
      <c r="M527" s="185"/>
      <c r="N527" s="168">
        <v>0</v>
      </c>
      <c r="O527" s="169"/>
      <c r="P527" s="170">
        <v>0</v>
      </c>
      <c r="Q527" s="171"/>
      <c r="R527" s="172">
        <v>0</v>
      </c>
      <c r="S527" s="173"/>
      <c r="T527" s="174">
        <v>0</v>
      </c>
      <c r="U527" s="175"/>
      <c r="V527" s="176">
        <v>0</v>
      </c>
      <c r="W527" s="177"/>
      <c r="X527" s="178">
        <v>0</v>
      </c>
      <c r="Y527" s="179"/>
      <c r="Z527" s="151"/>
      <c r="AA527" s="151"/>
    </row>
    <row r="528" spans="1:27">
      <c r="A528" s="144" t="s">
        <v>8166</v>
      </c>
      <c r="B528" s="145" t="s">
        <v>8087</v>
      </c>
      <c r="C528" s="146" t="s">
        <v>4133</v>
      </c>
      <c r="D528" s="147" t="s">
        <v>5129</v>
      </c>
      <c r="E528" s="139" t="s">
        <v>5130</v>
      </c>
      <c r="F528" s="156" t="s">
        <v>8169</v>
      </c>
      <c r="G528" s="162">
        <v>0.6</v>
      </c>
      <c r="H528" s="163"/>
      <c r="I528" s="149" t="s">
        <v>8090</v>
      </c>
      <c r="J528" s="182">
        <v>18</v>
      </c>
      <c r="K528" s="183"/>
      <c r="L528" s="184">
        <v>1.2</v>
      </c>
      <c r="M528" s="185"/>
      <c r="N528" s="168">
        <v>0</v>
      </c>
      <c r="O528" s="169"/>
      <c r="P528" s="170">
        <v>0</v>
      </c>
      <c r="Q528" s="171"/>
      <c r="R528" s="172">
        <v>0</v>
      </c>
      <c r="S528" s="173"/>
      <c r="T528" s="174">
        <v>0</v>
      </c>
      <c r="U528" s="175"/>
      <c r="V528" s="176">
        <v>0</v>
      </c>
      <c r="W528" s="177"/>
      <c r="X528" s="178">
        <v>0</v>
      </c>
      <c r="Y528" s="179"/>
      <c r="Z528" s="151"/>
      <c r="AA528" s="151"/>
    </row>
    <row r="529" spans="1:27">
      <c r="A529" s="144" t="s">
        <v>8166</v>
      </c>
      <c r="B529" s="145" t="s">
        <v>8079</v>
      </c>
      <c r="C529" s="146" t="s">
        <v>4133</v>
      </c>
      <c r="D529" s="147" t="s">
        <v>5131</v>
      </c>
      <c r="E529" s="139" t="s">
        <v>5132</v>
      </c>
      <c r="F529" s="156" t="s">
        <v>8170</v>
      </c>
      <c r="G529" s="162">
        <v>1.6</v>
      </c>
      <c r="H529" s="163"/>
      <c r="I529" s="149" t="s">
        <v>8171</v>
      </c>
      <c r="J529" s="182">
        <v>28</v>
      </c>
      <c r="K529" s="183"/>
      <c r="L529" s="184">
        <v>2.3</v>
      </c>
      <c r="M529" s="185"/>
      <c r="N529" s="168">
        <v>0</v>
      </c>
      <c r="O529" s="169"/>
      <c r="P529" s="170">
        <v>0</v>
      </c>
      <c r="Q529" s="171"/>
      <c r="R529" s="172">
        <v>0</v>
      </c>
      <c r="S529" s="173"/>
      <c r="T529" s="174">
        <v>15</v>
      </c>
      <c r="U529" s="175"/>
      <c r="V529" s="176">
        <v>0</v>
      </c>
      <c r="W529" s="177"/>
      <c r="X529" s="178">
        <v>0</v>
      </c>
      <c r="Y529" s="179"/>
      <c r="Z529" s="151"/>
      <c r="AA529" s="151"/>
    </row>
    <row r="530" spans="1:27">
      <c r="A530" s="144" t="s">
        <v>8166</v>
      </c>
      <c r="B530" s="145" t="s">
        <v>8079</v>
      </c>
      <c r="C530" s="146" t="s">
        <v>4133</v>
      </c>
      <c r="D530" s="147" t="s">
        <v>5133</v>
      </c>
      <c r="E530" s="139" t="s">
        <v>5134</v>
      </c>
      <c r="F530" s="156" t="s">
        <v>8172</v>
      </c>
      <c r="G530" s="162">
        <v>1.6</v>
      </c>
      <c r="H530" s="163"/>
      <c r="I530" s="149" t="s">
        <v>8171</v>
      </c>
      <c r="J530" s="182">
        <v>28</v>
      </c>
      <c r="K530" s="183"/>
      <c r="L530" s="184">
        <v>2.3</v>
      </c>
      <c r="M530" s="185"/>
      <c r="N530" s="168">
        <v>15</v>
      </c>
      <c r="O530" s="169"/>
      <c r="P530" s="170">
        <v>0</v>
      </c>
      <c r="Q530" s="171"/>
      <c r="R530" s="172">
        <v>0</v>
      </c>
      <c r="S530" s="173"/>
      <c r="T530" s="174">
        <v>0</v>
      </c>
      <c r="U530" s="175"/>
      <c r="V530" s="176">
        <v>0</v>
      </c>
      <c r="W530" s="177"/>
      <c r="X530" s="178">
        <v>0</v>
      </c>
      <c r="Y530" s="179"/>
      <c r="Z530" s="151"/>
      <c r="AA530" s="151"/>
    </row>
    <row r="531" spans="1:27">
      <c r="A531" s="144" t="s">
        <v>8166</v>
      </c>
      <c r="B531" s="145" t="s">
        <v>8087</v>
      </c>
      <c r="C531" s="146" t="s">
        <v>4133</v>
      </c>
      <c r="D531" s="147" t="s">
        <v>5135</v>
      </c>
      <c r="E531" s="139" t="s">
        <v>5136</v>
      </c>
      <c r="F531" s="156" t="s">
        <v>8173</v>
      </c>
      <c r="G531" s="162">
        <v>0.7</v>
      </c>
      <c r="H531" s="163"/>
      <c r="I531" s="149" t="s">
        <v>8047</v>
      </c>
      <c r="J531" s="182">
        <v>18</v>
      </c>
      <c r="K531" s="183"/>
      <c r="L531" s="184">
        <v>1.2</v>
      </c>
      <c r="M531" s="185"/>
      <c r="N531" s="168">
        <v>0</v>
      </c>
      <c r="O531" s="169"/>
      <c r="P531" s="170">
        <v>0</v>
      </c>
      <c r="Q531" s="171"/>
      <c r="R531" s="172">
        <v>0</v>
      </c>
      <c r="S531" s="173"/>
      <c r="T531" s="174">
        <v>0</v>
      </c>
      <c r="U531" s="175"/>
      <c r="V531" s="176">
        <v>10</v>
      </c>
      <c r="W531" s="177"/>
      <c r="X531" s="178">
        <v>0</v>
      </c>
      <c r="Y531" s="179"/>
      <c r="Z531" s="151"/>
      <c r="AA531" s="151"/>
    </row>
    <row r="532" spans="1:27">
      <c r="A532" s="144" t="s">
        <v>8166</v>
      </c>
      <c r="B532" s="145" t="s">
        <v>8087</v>
      </c>
      <c r="C532" s="146" t="s">
        <v>4133</v>
      </c>
      <c r="D532" s="147" t="s">
        <v>5137</v>
      </c>
      <c r="E532" s="139" t="s">
        <v>5138</v>
      </c>
      <c r="F532" s="156" t="s">
        <v>8168</v>
      </c>
      <c r="G532" s="162">
        <v>0.7</v>
      </c>
      <c r="H532" s="163"/>
      <c r="I532" s="149" t="s">
        <v>8096</v>
      </c>
      <c r="J532" s="182">
        <v>18</v>
      </c>
      <c r="K532" s="183"/>
      <c r="L532" s="184">
        <v>1.2</v>
      </c>
      <c r="M532" s="185"/>
      <c r="N532" s="168">
        <v>0</v>
      </c>
      <c r="O532" s="169"/>
      <c r="P532" s="170">
        <v>0</v>
      </c>
      <c r="Q532" s="171"/>
      <c r="R532" s="172">
        <v>0</v>
      </c>
      <c r="S532" s="173"/>
      <c r="T532" s="174">
        <v>0</v>
      </c>
      <c r="U532" s="175"/>
      <c r="V532" s="176">
        <v>0</v>
      </c>
      <c r="W532" s="177"/>
      <c r="X532" s="178">
        <v>10</v>
      </c>
      <c r="Y532" s="179"/>
      <c r="Z532" s="151"/>
      <c r="AA532" s="151"/>
    </row>
    <row r="533" spans="1:27">
      <c r="A533" s="144" t="s">
        <v>8166</v>
      </c>
      <c r="B533" s="145" t="s">
        <v>8079</v>
      </c>
      <c r="C533" s="146" t="s">
        <v>4133</v>
      </c>
      <c r="D533" s="147" t="s">
        <v>5139</v>
      </c>
      <c r="E533" s="139" t="s">
        <v>5140</v>
      </c>
      <c r="F533" s="156" t="s">
        <v>8174</v>
      </c>
      <c r="G533" s="162">
        <v>1.6</v>
      </c>
      <c r="H533" s="163"/>
      <c r="I533" s="149" t="s">
        <v>8175</v>
      </c>
      <c r="J533" s="182">
        <v>28</v>
      </c>
      <c r="K533" s="183"/>
      <c r="L533" s="184">
        <v>2.3</v>
      </c>
      <c r="M533" s="185"/>
      <c r="N533" s="168">
        <v>0</v>
      </c>
      <c r="O533" s="169"/>
      <c r="P533" s="170">
        <v>0</v>
      </c>
      <c r="Q533" s="171"/>
      <c r="R533" s="172">
        <v>0</v>
      </c>
      <c r="S533" s="173"/>
      <c r="T533" s="174">
        <v>0</v>
      </c>
      <c r="U533" s="175"/>
      <c r="V533" s="176">
        <v>0</v>
      </c>
      <c r="W533" s="177"/>
      <c r="X533" s="178">
        <v>0</v>
      </c>
      <c r="Y533" s="179"/>
      <c r="Z533" s="151"/>
      <c r="AA533" s="151"/>
    </row>
    <row r="534" spans="1:27">
      <c r="A534" s="144" t="s">
        <v>8166</v>
      </c>
      <c r="B534" s="145" t="s">
        <v>8079</v>
      </c>
      <c r="C534" s="146" t="s">
        <v>4133</v>
      </c>
      <c r="D534" s="147" t="s">
        <v>5141</v>
      </c>
      <c r="E534" s="139" t="s">
        <v>5142</v>
      </c>
      <c r="F534" s="156" t="s">
        <v>1689</v>
      </c>
      <c r="G534" s="162">
        <v>1.6</v>
      </c>
      <c r="H534" s="163"/>
      <c r="I534" s="149" t="s">
        <v>8176</v>
      </c>
      <c r="J534" s="182">
        <v>28</v>
      </c>
      <c r="K534" s="183"/>
      <c r="L534" s="184">
        <v>2.3</v>
      </c>
      <c r="M534" s="185"/>
      <c r="N534" s="168">
        <v>0</v>
      </c>
      <c r="O534" s="169"/>
      <c r="P534" s="170">
        <v>0</v>
      </c>
      <c r="Q534" s="171"/>
      <c r="R534" s="172">
        <v>15</v>
      </c>
      <c r="S534" s="173"/>
      <c r="T534" s="174">
        <v>0</v>
      </c>
      <c r="U534" s="175"/>
      <c r="V534" s="176">
        <v>0</v>
      </c>
      <c r="W534" s="177"/>
      <c r="X534" s="178">
        <v>0</v>
      </c>
      <c r="Y534" s="179"/>
      <c r="Z534" s="151"/>
      <c r="AA534" s="151"/>
    </row>
    <row r="535" spans="1:27">
      <c r="A535" s="144" t="s">
        <v>8166</v>
      </c>
      <c r="B535" s="145" t="s">
        <v>8087</v>
      </c>
      <c r="C535" s="146" t="s">
        <v>4133</v>
      </c>
      <c r="D535" s="147" t="s">
        <v>5143</v>
      </c>
      <c r="E535" s="139" t="s">
        <v>5144</v>
      </c>
      <c r="F535" s="156" t="s">
        <v>8177</v>
      </c>
      <c r="G535" s="162">
        <v>0.6</v>
      </c>
      <c r="H535" s="163"/>
      <c r="I535" s="149" t="s">
        <v>8032</v>
      </c>
      <c r="J535" s="182">
        <v>18</v>
      </c>
      <c r="K535" s="183"/>
      <c r="L535" s="184">
        <v>1.2</v>
      </c>
      <c r="M535" s="185"/>
      <c r="N535" s="168">
        <v>0</v>
      </c>
      <c r="O535" s="169"/>
      <c r="P535" s="170">
        <v>10</v>
      </c>
      <c r="Q535" s="171"/>
      <c r="R535" s="172">
        <v>0</v>
      </c>
      <c r="S535" s="173"/>
      <c r="T535" s="174">
        <v>0</v>
      </c>
      <c r="U535" s="175"/>
      <c r="V535" s="176">
        <v>0</v>
      </c>
      <c r="W535" s="177"/>
      <c r="X535" s="178">
        <v>0</v>
      </c>
      <c r="Y535" s="179"/>
      <c r="Z535" s="151"/>
      <c r="AA535" s="151"/>
    </row>
    <row r="536" spans="1:27">
      <c r="A536" s="144" t="s">
        <v>8166</v>
      </c>
      <c r="B536" s="145" t="s">
        <v>8079</v>
      </c>
      <c r="C536" s="146" t="s">
        <v>4133</v>
      </c>
      <c r="D536" s="147" t="s">
        <v>5145</v>
      </c>
      <c r="E536" s="139" t="s">
        <v>5146</v>
      </c>
      <c r="F536" s="156" t="s">
        <v>1101</v>
      </c>
      <c r="G536" s="162">
        <v>1.6</v>
      </c>
      <c r="H536" s="163"/>
      <c r="I536" s="149" t="s">
        <v>8029</v>
      </c>
      <c r="J536" s="182">
        <v>28</v>
      </c>
      <c r="K536" s="183"/>
      <c r="L536" s="184">
        <v>2.3</v>
      </c>
      <c r="M536" s="185"/>
      <c r="N536" s="168">
        <v>0</v>
      </c>
      <c r="O536" s="169"/>
      <c r="P536" s="170">
        <v>0</v>
      </c>
      <c r="Q536" s="171"/>
      <c r="R536" s="172">
        <v>6</v>
      </c>
      <c r="S536" s="173"/>
      <c r="T536" s="174">
        <v>6</v>
      </c>
      <c r="U536" s="175"/>
      <c r="V536" s="176">
        <v>0</v>
      </c>
      <c r="W536" s="177"/>
      <c r="X536" s="178">
        <v>0</v>
      </c>
      <c r="Y536" s="179"/>
      <c r="Z536" s="151"/>
      <c r="AA536" s="151"/>
    </row>
    <row r="537" spans="1:27">
      <c r="A537" s="144" t="s">
        <v>8166</v>
      </c>
      <c r="B537" s="145" t="s">
        <v>8079</v>
      </c>
      <c r="C537" s="146" t="s">
        <v>4133</v>
      </c>
      <c r="D537" s="147" t="s">
        <v>5147</v>
      </c>
      <c r="E537" s="139" t="s">
        <v>5148</v>
      </c>
      <c r="F537" s="156" t="s">
        <v>8049</v>
      </c>
      <c r="G537" s="162">
        <v>1.6</v>
      </c>
      <c r="H537" s="163"/>
      <c r="I537" s="149" t="s">
        <v>8175</v>
      </c>
      <c r="J537" s="182">
        <v>28</v>
      </c>
      <c r="K537" s="183"/>
      <c r="L537" s="184">
        <v>2.3</v>
      </c>
      <c r="M537" s="185"/>
      <c r="N537" s="168">
        <v>0</v>
      </c>
      <c r="O537" s="169"/>
      <c r="P537" s="170">
        <v>0</v>
      </c>
      <c r="Q537" s="171"/>
      <c r="R537" s="172">
        <v>0</v>
      </c>
      <c r="S537" s="173"/>
      <c r="T537" s="174">
        <v>15</v>
      </c>
      <c r="U537" s="175"/>
      <c r="V537" s="176">
        <v>0</v>
      </c>
      <c r="W537" s="177"/>
      <c r="X537" s="178">
        <v>0</v>
      </c>
      <c r="Y537" s="179"/>
      <c r="Z537" s="151"/>
      <c r="AA537" s="151"/>
    </row>
    <row r="538" spans="1:27">
      <c r="A538" s="144" t="s">
        <v>8166</v>
      </c>
      <c r="B538" s="145" t="s">
        <v>8079</v>
      </c>
      <c r="C538" s="146" t="s">
        <v>4133</v>
      </c>
      <c r="D538" s="147" t="s">
        <v>5149</v>
      </c>
      <c r="E538" s="139" t="s">
        <v>5150</v>
      </c>
      <c r="F538" s="156" t="s">
        <v>1492</v>
      </c>
      <c r="G538" s="162">
        <v>1.6</v>
      </c>
      <c r="H538" s="163"/>
      <c r="I538" s="149" t="s">
        <v>8029</v>
      </c>
      <c r="J538" s="182">
        <v>28</v>
      </c>
      <c r="K538" s="183"/>
      <c r="L538" s="184">
        <v>2.3</v>
      </c>
      <c r="M538" s="185"/>
      <c r="N538" s="168">
        <v>0</v>
      </c>
      <c r="O538" s="169"/>
      <c r="P538" s="170">
        <v>0</v>
      </c>
      <c r="Q538" s="171"/>
      <c r="R538" s="172">
        <v>0</v>
      </c>
      <c r="S538" s="173"/>
      <c r="T538" s="174">
        <v>0</v>
      </c>
      <c r="U538" s="175"/>
      <c r="V538" s="176">
        <v>0</v>
      </c>
      <c r="W538" s="177"/>
      <c r="X538" s="178">
        <v>0</v>
      </c>
      <c r="Y538" s="179"/>
      <c r="Z538" s="151"/>
      <c r="AA538" s="151"/>
    </row>
    <row r="539" spans="1:27">
      <c r="A539" s="144" t="s">
        <v>8166</v>
      </c>
      <c r="B539" s="145" t="s">
        <v>8079</v>
      </c>
      <c r="C539" s="146" t="s">
        <v>4133</v>
      </c>
      <c r="D539" s="147" t="s">
        <v>5151</v>
      </c>
      <c r="E539" s="139" t="s">
        <v>5152</v>
      </c>
      <c r="F539" s="156" t="s">
        <v>1492</v>
      </c>
      <c r="G539" s="162">
        <v>1.6</v>
      </c>
      <c r="H539" s="163"/>
      <c r="I539" s="149" t="s">
        <v>8029</v>
      </c>
      <c r="J539" s="182">
        <v>28</v>
      </c>
      <c r="K539" s="183"/>
      <c r="L539" s="184">
        <v>2.3</v>
      </c>
      <c r="M539" s="185"/>
      <c r="N539" s="168">
        <v>0</v>
      </c>
      <c r="O539" s="169"/>
      <c r="P539" s="170">
        <v>0</v>
      </c>
      <c r="Q539" s="171"/>
      <c r="R539" s="172">
        <v>0</v>
      </c>
      <c r="S539" s="173"/>
      <c r="T539" s="174">
        <v>0</v>
      </c>
      <c r="U539" s="175"/>
      <c r="V539" s="176">
        <v>0</v>
      </c>
      <c r="W539" s="177"/>
      <c r="X539" s="178">
        <v>0</v>
      </c>
      <c r="Y539" s="179"/>
      <c r="Z539" s="151"/>
      <c r="AA539" s="151"/>
    </row>
    <row r="540" spans="1:27">
      <c r="A540" s="144" t="s">
        <v>8166</v>
      </c>
      <c r="B540" s="145" t="s">
        <v>8079</v>
      </c>
      <c r="C540" s="146" t="s">
        <v>4133</v>
      </c>
      <c r="D540" s="147" t="s">
        <v>5153</v>
      </c>
      <c r="E540" s="139" t="s">
        <v>5154</v>
      </c>
      <c r="F540" s="156" t="s">
        <v>1492</v>
      </c>
      <c r="G540" s="162">
        <v>1.6</v>
      </c>
      <c r="H540" s="163"/>
      <c r="I540" s="149" t="s">
        <v>8029</v>
      </c>
      <c r="J540" s="182">
        <v>28</v>
      </c>
      <c r="K540" s="183"/>
      <c r="L540" s="184">
        <v>2.3</v>
      </c>
      <c r="M540" s="185"/>
      <c r="N540" s="168">
        <v>0</v>
      </c>
      <c r="O540" s="169"/>
      <c r="P540" s="170">
        <v>0</v>
      </c>
      <c r="Q540" s="171"/>
      <c r="R540" s="172">
        <v>0</v>
      </c>
      <c r="S540" s="173"/>
      <c r="T540" s="174">
        <v>0</v>
      </c>
      <c r="U540" s="175"/>
      <c r="V540" s="176">
        <v>0</v>
      </c>
      <c r="W540" s="177"/>
      <c r="X540" s="178">
        <v>0</v>
      </c>
      <c r="Y540" s="179"/>
      <c r="Z540" s="151"/>
      <c r="AA540" s="151"/>
    </row>
    <row r="541" spans="1:27">
      <c r="A541" s="144" t="s">
        <v>8166</v>
      </c>
      <c r="B541" s="145" t="s">
        <v>8079</v>
      </c>
      <c r="C541" s="146" t="s">
        <v>4133</v>
      </c>
      <c r="D541" s="147" t="s">
        <v>5155</v>
      </c>
      <c r="E541" s="139" t="s">
        <v>5156</v>
      </c>
      <c r="F541" s="156" t="s">
        <v>1492</v>
      </c>
      <c r="G541" s="162">
        <v>1.6</v>
      </c>
      <c r="H541" s="163"/>
      <c r="I541" s="149" t="s">
        <v>8029</v>
      </c>
      <c r="J541" s="182">
        <v>28</v>
      </c>
      <c r="K541" s="183"/>
      <c r="L541" s="184">
        <v>2.3</v>
      </c>
      <c r="M541" s="185"/>
      <c r="N541" s="168">
        <v>0</v>
      </c>
      <c r="O541" s="169"/>
      <c r="P541" s="170">
        <v>0</v>
      </c>
      <c r="Q541" s="171"/>
      <c r="R541" s="172">
        <v>0</v>
      </c>
      <c r="S541" s="173"/>
      <c r="T541" s="174">
        <v>0</v>
      </c>
      <c r="U541" s="175"/>
      <c r="V541" s="176">
        <v>0</v>
      </c>
      <c r="W541" s="177"/>
      <c r="X541" s="178">
        <v>0</v>
      </c>
      <c r="Y541" s="179"/>
      <c r="Z541" s="151"/>
      <c r="AA541" s="151"/>
    </row>
    <row r="542" spans="1:27">
      <c r="A542" s="144" t="s">
        <v>8166</v>
      </c>
      <c r="B542" s="145" t="s">
        <v>8079</v>
      </c>
      <c r="C542" s="146" t="s">
        <v>4133</v>
      </c>
      <c r="D542" s="147" t="s">
        <v>5157</v>
      </c>
      <c r="E542" s="139" t="s">
        <v>5158</v>
      </c>
      <c r="F542" s="156" t="s">
        <v>1492</v>
      </c>
      <c r="G542" s="162">
        <v>1.6</v>
      </c>
      <c r="H542" s="163"/>
      <c r="I542" s="149" t="s">
        <v>8029</v>
      </c>
      <c r="J542" s="182">
        <v>28</v>
      </c>
      <c r="K542" s="183"/>
      <c r="L542" s="184">
        <v>2.3</v>
      </c>
      <c r="M542" s="185"/>
      <c r="N542" s="168">
        <v>0</v>
      </c>
      <c r="O542" s="169"/>
      <c r="P542" s="170">
        <v>0</v>
      </c>
      <c r="Q542" s="171"/>
      <c r="R542" s="172">
        <v>0</v>
      </c>
      <c r="S542" s="173"/>
      <c r="T542" s="174">
        <v>0</v>
      </c>
      <c r="U542" s="175"/>
      <c r="V542" s="176">
        <v>0</v>
      </c>
      <c r="W542" s="177"/>
      <c r="X542" s="178">
        <v>0</v>
      </c>
      <c r="Y542" s="179"/>
      <c r="Z542" s="151"/>
      <c r="AA542" s="151"/>
    </row>
    <row r="543" spans="1:27">
      <c r="A543" s="144" t="s">
        <v>8166</v>
      </c>
      <c r="B543" s="145" t="s">
        <v>8079</v>
      </c>
      <c r="C543" s="146" t="s">
        <v>4133</v>
      </c>
      <c r="D543" s="147" t="s">
        <v>5159</v>
      </c>
      <c r="E543" s="139" t="s">
        <v>5160</v>
      </c>
      <c r="F543" s="156" t="s">
        <v>1492</v>
      </c>
      <c r="G543" s="162">
        <v>1.6</v>
      </c>
      <c r="H543" s="163"/>
      <c r="I543" s="149" t="s">
        <v>8029</v>
      </c>
      <c r="J543" s="182">
        <v>28</v>
      </c>
      <c r="K543" s="183"/>
      <c r="L543" s="184">
        <v>2.3</v>
      </c>
      <c r="M543" s="185"/>
      <c r="N543" s="168">
        <v>0</v>
      </c>
      <c r="O543" s="169"/>
      <c r="P543" s="170">
        <v>0</v>
      </c>
      <c r="Q543" s="171"/>
      <c r="R543" s="172">
        <v>0</v>
      </c>
      <c r="S543" s="173"/>
      <c r="T543" s="174">
        <v>0</v>
      </c>
      <c r="U543" s="175"/>
      <c r="V543" s="176">
        <v>0</v>
      </c>
      <c r="W543" s="177"/>
      <c r="X543" s="178">
        <v>0</v>
      </c>
      <c r="Y543" s="179"/>
      <c r="Z543" s="151"/>
      <c r="AA543" s="151"/>
    </row>
    <row r="544" spans="1:27">
      <c r="A544" s="144" t="s">
        <v>8166</v>
      </c>
      <c r="B544" s="145" t="s">
        <v>8079</v>
      </c>
      <c r="C544" s="146" t="s">
        <v>4133</v>
      </c>
      <c r="D544" s="147" t="s">
        <v>5161</v>
      </c>
      <c r="E544" s="139" t="s">
        <v>5162</v>
      </c>
      <c r="F544" s="156" t="s">
        <v>1492</v>
      </c>
      <c r="G544" s="162">
        <v>1.6</v>
      </c>
      <c r="H544" s="163"/>
      <c r="I544" s="149" t="s">
        <v>8029</v>
      </c>
      <c r="J544" s="182">
        <v>28</v>
      </c>
      <c r="K544" s="183"/>
      <c r="L544" s="184">
        <v>2.3</v>
      </c>
      <c r="M544" s="185"/>
      <c r="N544" s="168">
        <v>0</v>
      </c>
      <c r="O544" s="169"/>
      <c r="P544" s="170">
        <v>0</v>
      </c>
      <c r="Q544" s="171"/>
      <c r="R544" s="172">
        <v>0</v>
      </c>
      <c r="S544" s="173"/>
      <c r="T544" s="174">
        <v>0</v>
      </c>
      <c r="U544" s="175"/>
      <c r="V544" s="176">
        <v>0</v>
      </c>
      <c r="W544" s="177"/>
      <c r="X544" s="178">
        <v>0</v>
      </c>
      <c r="Y544" s="179"/>
      <c r="Z544" s="151"/>
      <c r="AA544" s="151"/>
    </row>
    <row r="545" spans="1:27">
      <c r="A545" s="144" t="s">
        <v>8166</v>
      </c>
      <c r="B545" s="145" t="s">
        <v>8079</v>
      </c>
      <c r="C545" s="146" t="s">
        <v>4133</v>
      </c>
      <c r="D545" s="147" t="s">
        <v>5163</v>
      </c>
      <c r="E545" s="139" t="s">
        <v>5164</v>
      </c>
      <c r="F545" s="156" t="s">
        <v>1492</v>
      </c>
      <c r="G545" s="162">
        <v>1.6</v>
      </c>
      <c r="H545" s="163"/>
      <c r="I545" s="149" t="s">
        <v>8029</v>
      </c>
      <c r="J545" s="182">
        <v>28</v>
      </c>
      <c r="K545" s="183"/>
      <c r="L545" s="184">
        <v>2.3</v>
      </c>
      <c r="M545" s="185"/>
      <c r="N545" s="168">
        <v>0</v>
      </c>
      <c r="O545" s="169"/>
      <c r="P545" s="170">
        <v>0</v>
      </c>
      <c r="Q545" s="171"/>
      <c r="R545" s="172">
        <v>0</v>
      </c>
      <c r="S545" s="173"/>
      <c r="T545" s="174">
        <v>0</v>
      </c>
      <c r="U545" s="175"/>
      <c r="V545" s="176">
        <v>0</v>
      </c>
      <c r="W545" s="177"/>
      <c r="X545" s="178">
        <v>0</v>
      </c>
      <c r="Y545" s="179"/>
      <c r="Z545" s="151"/>
      <c r="AA545" s="151"/>
    </row>
    <row r="546" spans="1:27">
      <c r="A546" s="144" t="s">
        <v>8166</v>
      </c>
      <c r="B546" s="145" t="s">
        <v>8079</v>
      </c>
      <c r="C546" s="146" t="s">
        <v>4133</v>
      </c>
      <c r="D546" s="147" t="s">
        <v>5165</v>
      </c>
      <c r="E546" s="139" t="s">
        <v>5166</v>
      </c>
      <c r="F546" s="156" t="s">
        <v>1492</v>
      </c>
      <c r="G546" s="162">
        <v>1.6</v>
      </c>
      <c r="H546" s="163"/>
      <c r="I546" s="149" t="s">
        <v>8029</v>
      </c>
      <c r="J546" s="182">
        <v>28</v>
      </c>
      <c r="K546" s="183"/>
      <c r="L546" s="184">
        <v>2.3</v>
      </c>
      <c r="M546" s="185"/>
      <c r="N546" s="168">
        <v>0</v>
      </c>
      <c r="O546" s="169"/>
      <c r="P546" s="170">
        <v>0</v>
      </c>
      <c r="Q546" s="171"/>
      <c r="R546" s="172">
        <v>0</v>
      </c>
      <c r="S546" s="173"/>
      <c r="T546" s="174">
        <v>0</v>
      </c>
      <c r="U546" s="175"/>
      <c r="V546" s="176">
        <v>0</v>
      </c>
      <c r="W546" s="177"/>
      <c r="X546" s="178">
        <v>0</v>
      </c>
      <c r="Y546" s="179"/>
      <c r="Z546" s="151"/>
      <c r="AA546" s="151"/>
    </row>
    <row r="547" spans="1:27">
      <c r="A547" s="144" t="s">
        <v>8166</v>
      </c>
      <c r="B547" s="145" t="s">
        <v>8079</v>
      </c>
      <c r="C547" s="146" t="s">
        <v>4133</v>
      </c>
      <c r="D547" s="147" t="s">
        <v>5167</v>
      </c>
      <c r="E547" s="139" t="s">
        <v>5168</v>
      </c>
      <c r="F547" s="156" t="s">
        <v>1492</v>
      </c>
      <c r="G547" s="162">
        <v>1.6</v>
      </c>
      <c r="H547" s="163"/>
      <c r="I547" s="149" t="s">
        <v>8029</v>
      </c>
      <c r="J547" s="182">
        <v>28</v>
      </c>
      <c r="K547" s="183"/>
      <c r="L547" s="184">
        <v>2.3</v>
      </c>
      <c r="M547" s="185"/>
      <c r="N547" s="168">
        <v>0</v>
      </c>
      <c r="O547" s="169"/>
      <c r="P547" s="170">
        <v>0</v>
      </c>
      <c r="Q547" s="171"/>
      <c r="R547" s="172">
        <v>0</v>
      </c>
      <c r="S547" s="173"/>
      <c r="T547" s="174">
        <v>0</v>
      </c>
      <c r="U547" s="175"/>
      <c r="V547" s="176">
        <v>0</v>
      </c>
      <c r="W547" s="177"/>
      <c r="X547" s="178">
        <v>0</v>
      </c>
      <c r="Y547" s="179"/>
      <c r="Z547" s="151"/>
      <c r="AA547" s="151"/>
    </row>
    <row r="548" spans="1:27">
      <c r="A548" s="144" t="s">
        <v>5170</v>
      </c>
      <c r="B548" s="144" t="s">
        <v>5170</v>
      </c>
      <c r="C548" s="146" t="s">
        <v>5169</v>
      </c>
      <c r="D548" s="147" t="s">
        <v>5171</v>
      </c>
      <c r="E548" s="139" t="s">
        <v>5172</v>
      </c>
      <c r="F548" s="156" t="s">
        <v>1347</v>
      </c>
      <c r="G548" s="162">
        <v>0.1</v>
      </c>
      <c r="H548" s="163"/>
      <c r="I548" s="149" t="s">
        <v>8178</v>
      </c>
      <c r="J548" s="182"/>
      <c r="K548" s="183"/>
      <c r="L548" s="184"/>
      <c r="M548" s="185"/>
      <c r="N548" s="168">
        <v>6</v>
      </c>
      <c r="O548" s="169"/>
      <c r="P548" s="170">
        <v>6</v>
      </c>
      <c r="Q548" s="171"/>
      <c r="R548" s="172">
        <v>6</v>
      </c>
      <c r="S548" s="173"/>
      <c r="T548" s="174">
        <v>6</v>
      </c>
      <c r="U548" s="175"/>
      <c r="V548" s="176">
        <v>6</v>
      </c>
      <c r="W548" s="177"/>
      <c r="X548" s="178">
        <v>6</v>
      </c>
      <c r="Y548" s="179"/>
      <c r="Z548" s="151"/>
      <c r="AA548" s="151"/>
    </row>
    <row r="549" spans="1:27">
      <c r="A549" s="144" t="s">
        <v>5170</v>
      </c>
      <c r="B549" s="144" t="s">
        <v>5170</v>
      </c>
      <c r="C549" s="146" t="s">
        <v>5169</v>
      </c>
      <c r="D549" s="147" t="s">
        <v>5173</v>
      </c>
      <c r="E549" s="139" t="s">
        <v>5174</v>
      </c>
      <c r="F549" s="156" t="s">
        <v>1371</v>
      </c>
      <c r="G549" s="162">
        <v>0.1</v>
      </c>
      <c r="H549" s="163"/>
      <c r="I549" s="149" t="s">
        <v>8178</v>
      </c>
      <c r="J549" s="182"/>
      <c r="K549" s="183"/>
      <c r="L549" s="184"/>
      <c r="M549" s="185"/>
      <c r="N549" s="168">
        <v>11</v>
      </c>
      <c r="O549" s="169"/>
      <c r="P549" s="170">
        <v>0</v>
      </c>
      <c r="Q549" s="171"/>
      <c r="R549" s="172">
        <v>0</v>
      </c>
      <c r="S549" s="173"/>
      <c r="T549" s="174">
        <v>11</v>
      </c>
      <c r="U549" s="175"/>
      <c r="V549" s="176">
        <v>11</v>
      </c>
      <c r="W549" s="177"/>
      <c r="X549" s="178">
        <v>0</v>
      </c>
      <c r="Y549" s="179"/>
      <c r="Z549" s="151"/>
      <c r="AA549" s="151"/>
    </row>
    <row r="550" spans="1:27">
      <c r="A550" s="144" t="s">
        <v>5170</v>
      </c>
      <c r="B550" s="144" t="s">
        <v>5170</v>
      </c>
      <c r="C550" s="146" t="s">
        <v>5169</v>
      </c>
      <c r="D550" s="147" t="s">
        <v>5175</v>
      </c>
      <c r="E550" s="139" t="s">
        <v>5176</v>
      </c>
      <c r="F550" s="156" t="s">
        <v>1395</v>
      </c>
      <c r="G550" s="162">
        <v>0.1</v>
      </c>
      <c r="H550" s="163"/>
      <c r="I550" s="149" t="s">
        <v>8179</v>
      </c>
      <c r="J550" s="182"/>
      <c r="K550" s="183"/>
      <c r="L550" s="184"/>
      <c r="M550" s="185"/>
      <c r="N550" s="168">
        <v>13</v>
      </c>
      <c r="O550" s="169"/>
      <c r="P550" s="170">
        <v>0</v>
      </c>
      <c r="Q550" s="171"/>
      <c r="R550" s="172">
        <v>0</v>
      </c>
      <c r="S550" s="173"/>
      <c r="T550" s="174">
        <v>12</v>
      </c>
      <c r="U550" s="175"/>
      <c r="V550" s="176">
        <v>11</v>
      </c>
      <c r="W550" s="177"/>
      <c r="X550" s="178">
        <v>0</v>
      </c>
      <c r="Y550" s="179"/>
      <c r="Z550" s="151"/>
      <c r="AA550" s="151"/>
    </row>
    <row r="551" spans="1:27">
      <c r="A551" s="144" t="s">
        <v>5170</v>
      </c>
      <c r="B551" s="144" t="s">
        <v>5170</v>
      </c>
      <c r="C551" s="146" t="s">
        <v>5169</v>
      </c>
      <c r="D551" s="147" t="s">
        <v>5177</v>
      </c>
      <c r="E551" s="139" t="s">
        <v>5178</v>
      </c>
      <c r="F551" s="156" t="s">
        <v>1390</v>
      </c>
      <c r="G551" s="162">
        <v>0.1</v>
      </c>
      <c r="H551" s="163"/>
      <c r="I551" s="149" t="s">
        <v>8179</v>
      </c>
      <c r="J551" s="182"/>
      <c r="K551" s="183"/>
      <c r="L551" s="184"/>
      <c r="M551" s="185"/>
      <c r="N551" s="168">
        <v>11</v>
      </c>
      <c r="O551" s="169"/>
      <c r="P551" s="170">
        <v>0</v>
      </c>
      <c r="Q551" s="171"/>
      <c r="R551" s="172">
        <v>0</v>
      </c>
      <c r="S551" s="173"/>
      <c r="T551" s="174">
        <v>12</v>
      </c>
      <c r="U551" s="175"/>
      <c r="V551" s="176">
        <v>13</v>
      </c>
      <c r="W551" s="177"/>
      <c r="X551" s="178">
        <v>0</v>
      </c>
      <c r="Y551" s="179"/>
      <c r="Z551" s="151"/>
      <c r="AA551" s="151"/>
    </row>
    <row r="552" spans="1:27">
      <c r="A552" s="144" t="s">
        <v>5170</v>
      </c>
      <c r="B552" s="144" t="s">
        <v>5170</v>
      </c>
      <c r="C552" s="146" t="s">
        <v>5169</v>
      </c>
      <c r="D552" s="147" t="s">
        <v>5179</v>
      </c>
      <c r="E552" s="139" t="s">
        <v>5180</v>
      </c>
      <c r="F552" s="156" t="s">
        <v>8180</v>
      </c>
      <c r="G552" s="162">
        <v>0.1</v>
      </c>
      <c r="H552" s="163"/>
      <c r="I552" s="149" t="s">
        <v>8179</v>
      </c>
      <c r="J552" s="182"/>
      <c r="K552" s="183"/>
      <c r="L552" s="184"/>
      <c r="M552" s="185"/>
      <c r="N552" s="168">
        <v>26</v>
      </c>
      <c r="O552" s="169"/>
      <c r="P552" s="170">
        <v>0</v>
      </c>
      <c r="Q552" s="171"/>
      <c r="R552" s="172">
        <v>0</v>
      </c>
      <c r="S552" s="173"/>
      <c r="T552" s="174">
        <v>0</v>
      </c>
      <c r="U552" s="175"/>
      <c r="V552" s="176">
        <v>10</v>
      </c>
      <c r="W552" s="177"/>
      <c r="X552" s="178">
        <v>9</v>
      </c>
      <c r="Y552" s="179"/>
      <c r="Z552" s="151"/>
      <c r="AA552" s="151"/>
    </row>
    <row r="553" spans="1:27">
      <c r="A553" s="144" t="s">
        <v>5170</v>
      </c>
      <c r="B553" s="144" t="s">
        <v>5170</v>
      </c>
      <c r="C553" s="146" t="s">
        <v>5169</v>
      </c>
      <c r="D553" s="147" t="s">
        <v>5181</v>
      </c>
      <c r="E553" s="139" t="s">
        <v>5182</v>
      </c>
      <c r="F553" s="156" t="s">
        <v>8181</v>
      </c>
      <c r="G553" s="162">
        <v>0.1</v>
      </c>
      <c r="H553" s="163"/>
      <c r="I553" s="149" t="s">
        <v>8182</v>
      </c>
      <c r="J553" s="182"/>
      <c r="K553" s="183"/>
      <c r="L553" s="184"/>
      <c r="M553" s="185"/>
      <c r="N553" s="168">
        <v>0</v>
      </c>
      <c r="O553" s="169"/>
      <c r="P553" s="170">
        <v>18</v>
      </c>
      <c r="Q553" s="171"/>
      <c r="R553" s="172">
        <v>12</v>
      </c>
      <c r="S553" s="173"/>
      <c r="T553" s="174">
        <v>0</v>
      </c>
      <c r="U553" s="175"/>
      <c r="V553" s="176">
        <v>0</v>
      </c>
      <c r="W553" s="177"/>
      <c r="X553" s="178">
        <v>0</v>
      </c>
      <c r="Y553" s="179"/>
      <c r="Z553" s="151"/>
      <c r="AA553" s="151"/>
    </row>
    <row r="554" spans="1:27">
      <c r="A554" s="144" t="s">
        <v>5170</v>
      </c>
      <c r="B554" s="144" t="s">
        <v>5170</v>
      </c>
      <c r="C554" s="146" t="s">
        <v>5169</v>
      </c>
      <c r="D554" s="147" t="s">
        <v>5183</v>
      </c>
      <c r="E554" s="139" t="s">
        <v>5184</v>
      </c>
      <c r="F554" s="156" t="s">
        <v>8183</v>
      </c>
      <c r="G554" s="162">
        <v>0.1</v>
      </c>
      <c r="H554" s="163"/>
      <c r="I554" s="149" t="s">
        <v>8182</v>
      </c>
      <c r="J554" s="182"/>
      <c r="K554" s="183"/>
      <c r="L554" s="184"/>
      <c r="M554" s="185"/>
      <c r="N554" s="168">
        <v>0</v>
      </c>
      <c r="O554" s="169"/>
      <c r="P554" s="170">
        <v>0</v>
      </c>
      <c r="Q554" s="171"/>
      <c r="R554" s="172">
        <v>18</v>
      </c>
      <c r="S554" s="173"/>
      <c r="T554" s="174">
        <v>0</v>
      </c>
      <c r="U554" s="175"/>
      <c r="V554" s="176">
        <v>18</v>
      </c>
      <c r="W554" s="177"/>
      <c r="X554" s="178">
        <v>18</v>
      </c>
      <c r="Y554" s="179"/>
      <c r="Z554" s="151"/>
      <c r="AA554" s="151"/>
    </row>
    <row r="555" spans="1:27">
      <c r="A555" s="144" t="s">
        <v>5170</v>
      </c>
      <c r="B555" s="144" t="s">
        <v>5170</v>
      </c>
      <c r="C555" s="146" t="s">
        <v>5169</v>
      </c>
      <c r="D555" s="147" t="s">
        <v>5185</v>
      </c>
      <c r="E555" s="139" t="s">
        <v>5186</v>
      </c>
      <c r="F555" s="156" t="s">
        <v>8184</v>
      </c>
      <c r="G555" s="162">
        <v>0.1</v>
      </c>
      <c r="H555" s="163"/>
      <c r="I555" s="149" t="s">
        <v>8182</v>
      </c>
      <c r="J555" s="182"/>
      <c r="K555" s="183"/>
      <c r="L555" s="184"/>
      <c r="M555" s="185"/>
      <c r="N555" s="168">
        <v>35</v>
      </c>
      <c r="O555" s="169"/>
      <c r="P555" s="170">
        <v>0</v>
      </c>
      <c r="Q555" s="171"/>
      <c r="R555" s="172">
        <v>0</v>
      </c>
      <c r="S555" s="173"/>
      <c r="T555" s="174">
        <v>35</v>
      </c>
      <c r="U555" s="175"/>
      <c r="V555" s="176">
        <v>0</v>
      </c>
      <c r="W555" s="177"/>
      <c r="X555" s="178">
        <v>0</v>
      </c>
      <c r="Y555" s="179"/>
      <c r="Z555" s="151"/>
      <c r="AA555" s="151"/>
    </row>
    <row r="556" spans="1:27">
      <c r="A556" s="144" t="s">
        <v>5170</v>
      </c>
      <c r="B556" s="144" t="s">
        <v>5170</v>
      </c>
      <c r="C556" s="146" t="s">
        <v>5169</v>
      </c>
      <c r="D556" s="147" t="s">
        <v>5187</v>
      </c>
      <c r="E556" s="139" t="s">
        <v>5188</v>
      </c>
      <c r="F556" s="156" t="s">
        <v>8185</v>
      </c>
      <c r="G556" s="162">
        <v>0.1</v>
      </c>
      <c r="H556" s="163"/>
      <c r="I556" s="149" t="s">
        <v>8182</v>
      </c>
      <c r="J556" s="182"/>
      <c r="K556" s="183"/>
      <c r="L556" s="184"/>
      <c r="M556" s="185"/>
      <c r="N556" s="168">
        <v>17</v>
      </c>
      <c r="O556" s="169"/>
      <c r="P556" s="170">
        <v>11</v>
      </c>
      <c r="Q556" s="171"/>
      <c r="R556" s="172">
        <v>17</v>
      </c>
      <c r="S556" s="173"/>
      <c r="T556" s="174">
        <v>0</v>
      </c>
      <c r="U556" s="175"/>
      <c r="V556" s="176">
        <v>0</v>
      </c>
      <c r="W556" s="177"/>
      <c r="X556" s="178">
        <v>0</v>
      </c>
      <c r="Y556" s="179"/>
      <c r="Z556" s="151"/>
      <c r="AA556" s="151"/>
    </row>
    <row r="557" spans="1:27">
      <c r="A557" s="144" t="s">
        <v>5170</v>
      </c>
      <c r="B557" s="144" t="s">
        <v>5170</v>
      </c>
      <c r="C557" s="146" t="s">
        <v>5169</v>
      </c>
      <c r="D557" s="147" t="s">
        <v>5189</v>
      </c>
      <c r="E557" s="139" t="s">
        <v>5190</v>
      </c>
      <c r="F557" s="156" t="s">
        <v>8186</v>
      </c>
      <c r="G557" s="162">
        <v>0.1</v>
      </c>
      <c r="H557" s="163"/>
      <c r="I557" s="149" t="s">
        <v>8187</v>
      </c>
      <c r="J557" s="182"/>
      <c r="K557" s="183"/>
      <c r="L557" s="184"/>
      <c r="M557" s="185"/>
      <c r="N557" s="168">
        <v>15</v>
      </c>
      <c r="O557" s="169"/>
      <c r="P557" s="170">
        <v>12</v>
      </c>
      <c r="Q557" s="171"/>
      <c r="R557" s="172">
        <v>22</v>
      </c>
      <c r="S557" s="173"/>
      <c r="T557" s="174">
        <v>0</v>
      </c>
      <c r="U557" s="175"/>
      <c r="V557" s="176">
        <v>0</v>
      </c>
      <c r="W557" s="177"/>
      <c r="X557" s="178">
        <v>0</v>
      </c>
      <c r="Y557" s="179"/>
      <c r="Z557" s="151"/>
      <c r="AA557" s="151"/>
    </row>
    <row r="558" spans="1:27">
      <c r="A558" s="144" t="s">
        <v>5170</v>
      </c>
      <c r="B558" s="144" t="s">
        <v>5170</v>
      </c>
      <c r="C558" s="146" t="s">
        <v>5169</v>
      </c>
      <c r="D558" s="147" t="s">
        <v>5191</v>
      </c>
      <c r="E558" s="139" t="s">
        <v>5192</v>
      </c>
      <c r="F558" s="156" t="s">
        <v>8188</v>
      </c>
      <c r="G558" s="162">
        <v>0.1</v>
      </c>
      <c r="H558" s="163"/>
      <c r="I558" s="149" t="s">
        <v>8187</v>
      </c>
      <c r="J558" s="182"/>
      <c r="K558" s="183"/>
      <c r="L558" s="184"/>
      <c r="M558" s="185"/>
      <c r="N558" s="168">
        <v>21</v>
      </c>
      <c r="O558" s="169"/>
      <c r="P558" s="170">
        <v>11</v>
      </c>
      <c r="Q558" s="171"/>
      <c r="R558" s="172">
        <v>14</v>
      </c>
      <c r="S558" s="173"/>
      <c r="T558" s="174">
        <v>0</v>
      </c>
      <c r="U558" s="175"/>
      <c r="V558" s="176">
        <v>0</v>
      </c>
      <c r="W558" s="177"/>
      <c r="X558" s="178">
        <v>0</v>
      </c>
      <c r="Y558" s="179"/>
      <c r="Z558" s="151"/>
      <c r="AA558" s="151"/>
    </row>
    <row r="559" spans="1:27">
      <c r="A559" s="144" t="s">
        <v>5170</v>
      </c>
      <c r="B559" s="144" t="s">
        <v>5170</v>
      </c>
      <c r="C559" s="146" t="s">
        <v>5169</v>
      </c>
      <c r="D559" s="147" t="s">
        <v>5193</v>
      </c>
      <c r="E559" s="139" t="s">
        <v>5194</v>
      </c>
      <c r="F559" s="156" t="s">
        <v>8189</v>
      </c>
      <c r="G559" s="162">
        <v>0.1</v>
      </c>
      <c r="H559" s="163"/>
      <c r="I559" s="149" t="s">
        <v>8187</v>
      </c>
      <c r="J559" s="182"/>
      <c r="K559" s="183"/>
      <c r="L559" s="184"/>
      <c r="M559" s="185"/>
      <c r="N559" s="168">
        <v>12</v>
      </c>
      <c r="O559" s="169"/>
      <c r="P559" s="170">
        <v>12</v>
      </c>
      <c r="Q559" s="171"/>
      <c r="R559" s="172">
        <v>12</v>
      </c>
      <c r="S559" s="173"/>
      <c r="T559" s="174">
        <v>25</v>
      </c>
      <c r="U559" s="175"/>
      <c r="V559" s="176">
        <v>0</v>
      </c>
      <c r="W559" s="177"/>
      <c r="X559" s="178">
        <v>0</v>
      </c>
      <c r="Y559" s="179"/>
      <c r="Z559" s="151"/>
      <c r="AA559" s="151"/>
    </row>
    <row r="560" spans="1:27">
      <c r="A560" s="144" t="s">
        <v>5170</v>
      </c>
      <c r="B560" s="144" t="s">
        <v>5170</v>
      </c>
      <c r="C560" s="146" t="s">
        <v>5169</v>
      </c>
      <c r="D560" s="147" t="s">
        <v>5195</v>
      </c>
      <c r="E560" s="139" t="s">
        <v>5196</v>
      </c>
      <c r="F560" s="156" t="s">
        <v>8190</v>
      </c>
      <c r="G560" s="162">
        <v>0.1</v>
      </c>
      <c r="H560" s="163"/>
      <c r="I560" s="149" t="s">
        <v>8187</v>
      </c>
      <c r="J560" s="182"/>
      <c r="K560" s="183"/>
      <c r="L560" s="184"/>
      <c r="M560" s="185"/>
      <c r="N560" s="168">
        <v>20</v>
      </c>
      <c r="O560" s="169"/>
      <c r="P560" s="170">
        <v>15</v>
      </c>
      <c r="Q560" s="171"/>
      <c r="R560" s="172">
        <v>0</v>
      </c>
      <c r="S560" s="173"/>
      <c r="T560" s="174">
        <v>0</v>
      </c>
      <c r="U560" s="175"/>
      <c r="V560" s="176">
        <v>0</v>
      </c>
      <c r="W560" s="177"/>
      <c r="X560" s="178">
        <v>15</v>
      </c>
      <c r="Y560" s="179"/>
      <c r="Z560" s="151"/>
      <c r="AA560" s="151"/>
    </row>
    <row r="561" spans="1:27">
      <c r="A561" s="144" t="s">
        <v>5170</v>
      </c>
      <c r="B561" s="144" t="s">
        <v>5170</v>
      </c>
      <c r="C561" s="146" t="s">
        <v>5169</v>
      </c>
      <c r="D561" s="147" t="s">
        <v>5197</v>
      </c>
      <c r="E561" s="139" t="s">
        <v>5198</v>
      </c>
      <c r="F561" s="156" t="s">
        <v>8191</v>
      </c>
      <c r="G561" s="162">
        <v>0.1</v>
      </c>
      <c r="H561" s="163"/>
      <c r="I561" s="149" t="s">
        <v>8192</v>
      </c>
      <c r="J561" s="182"/>
      <c r="K561" s="183"/>
      <c r="L561" s="184"/>
      <c r="M561" s="185"/>
      <c r="N561" s="168">
        <v>0</v>
      </c>
      <c r="O561" s="169"/>
      <c r="P561" s="170">
        <v>50</v>
      </c>
      <c r="Q561" s="171"/>
      <c r="R561" s="172">
        <v>0</v>
      </c>
      <c r="S561" s="173"/>
      <c r="T561" s="174">
        <v>15</v>
      </c>
      <c r="U561" s="175"/>
      <c r="V561" s="176">
        <v>0</v>
      </c>
      <c r="W561" s="177"/>
      <c r="X561" s="178">
        <v>0</v>
      </c>
      <c r="Y561" s="179"/>
      <c r="Z561" s="151"/>
      <c r="AA561" s="151"/>
    </row>
    <row r="562" spans="1:27">
      <c r="A562" s="144" t="s">
        <v>5170</v>
      </c>
      <c r="B562" s="144" t="s">
        <v>5170</v>
      </c>
      <c r="C562" s="146" t="s">
        <v>5169</v>
      </c>
      <c r="D562" s="147" t="s">
        <v>5199</v>
      </c>
      <c r="E562" s="139" t="s">
        <v>5200</v>
      </c>
      <c r="F562" s="156" t="s">
        <v>8193</v>
      </c>
      <c r="G562" s="162">
        <v>0.1</v>
      </c>
      <c r="H562" s="163"/>
      <c r="I562" s="149" t="s">
        <v>8192</v>
      </c>
      <c r="J562" s="182"/>
      <c r="K562" s="183"/>
      <c r="L562" s="184"/>
      <c r="M562" s="185"/>
      <c r="N562" s="168">
        <v>0</v>
      </c>
      <c r="O562" s="169"/>
      <c r="P562" s="170">
        <v>0</v>
      </c>
      <c r="Q562" s="171"/>
      <c r="R562" s="172">
        <v>0</v>
      </c>
      <c r="S562" s="173"/>
      <c r="T562" s="174">
        <v>31</v>
      </c>
      <c r="U562" s="175"/>
      <c r="V562" s="176">
        <v>0</v>
      </c>
      <c r="W562" s="177"/>
      <c r="X562" s="178">
        <v>18</v>
      </c>
      <c r="Y562" s="179"/>
      <c r="Z562" s="151"/>
      <c r="AA562" s="151"/>
    </row>
    <row r="563" spans="1:27">
      <c r="A563" s="144" t="s">
        <v>5170</v>
      </c>
      <c r="B563" s="144" t="s">
        <v>5170</v>
      </c>
      <c r="C563" s="146" t="s">
        <v>5169</v>
      </c>
      <c r="D563" s="147" t="s">
        <v>5201</v>
      </c>
      <c r="E563" s="139" t="s">
        <v>5202</v>
      </c>
      <c r="F563" s="156" t="s">
        <v>8145</v>
      </c>
      <c r="G563" s="162">
        <v>0.1</v>
      </c>
      <c r="H563" s="163"/>
      <c r="I563" s="149" t="s">
        <v>8192</v>
      </c>
      <c r="J563" s="182"/>
      <c r="K563" s="183"/>
      <c r="L563" s="184"/>
      <c r="M563" s="185"/>
      <c r="N563" s="168">
        <v>0</v>
      </c>
      <c r="O563" s="169"/>
      <c r="P563" s="170">
        <v>0</v>
      </c>
      <c r="Q563" s="171"/>
      <c r="R563" s="172">
        <v>15</v>
      </c>
      <c r="S563" s="173"/>
      <c r="T563" s="174">
        <v>15</v>
      </c>
      <c r="U563" s="175"/>
      <c r="V563" s="176">
        <v>15</v>
      </c>
      <c r="W563" s="177"/>
      <c r="X563" s="178">
        <v>15</v>
      </c>
      <c r="Y563" s="179"/>
      <c r="Z563" s="151"/>
      <c r="AA563" s="151"/>
    </row>
    <row r="564" spans="1:27">
      <c r="A564" s="144" t="s">
        <v>5170</v>
      </c>
      <c r="B564" s="144" t="s">
        <v>5170</v>
      </c>
      <c r="C564" s="146" t="s">
        <v>5169</v>
      </c>
      <c r="D564" s="147" t="s">
        <v>5203</v>
      </c>
      <c r="E564" s="139" t="s">
        <v>5204</v>
      </c>
      <c r="F564" s="156" t="s">
        <v>1101</v>
      </c>
      <c r="G564" s="162">
        <v>0.1</v>
      </c>
      <c r="H564" s="163"/>
      <c r="I564" s="149" t="s">
        <v>8192</v>
      </c>
      <c r="J564" s="182"/>
      <c r="K564" s="183"/>
      <c r="L564" s="184"/>
      <c r="M564" s="185"/>
      <c r="N564" s="168">
        <v>0</v>
      </c>
      <c r="O564" s="169"/>
      <c r="P564" s="170">
        <v>0</v>
      </c>
      <c r="Q564" s="171"/>
      <c r="R564" s="172">
        <v>19</v>
      </c>
      <c r="S564" s="173"/>
      <c r="T564" s="174">
        <v>0</v>
      </c>
      <c r="U564" s="175"/>
      <c r="V564" s="176">
        <v>19</v>
      </c>
      <c r="W564" s="177"/>
      <c r="X564" s="178">
        <v>19</v>
      </c>
      <c r="Y564" s="179"/>
      <c r="Z564" s="151"/>
      <c r="AA564" s="151"/>
    </row>
    <row r="565" spans="1:27">
      <c r="A565" s="144" t="s">
        <v>5170</v>
      </c>
      <c r="B565" s="144" t="s">
        <v>5170</v>
      </c>
      <c r="C565" s="146" t="s">
        <v>5169</v>
      </c>
      <c r="D565" s="147" t="s">
        <v>5205</v>
      </c>
      <c r="E565" s="139" t="s">
        <v>5206</v>
      </c>
      <c r="F565" s="156" t="s">
        <v>1108</v>
      </c>
      <c r="G565" s="162">
        <v>0.1</v>
      </c>
      <c r="H565" s="163"/>
      <c r="I565" s="149" t="s">
        <v>8192</v>
      </c>
      <c r="J565" s="182"/>
      <c r="K565" s="183"/>
      <c r="L565" s="184"/>
      <c r="M565" s="185"/>
      <c r="N565" s="168">
        <v>0</v>
      </c>
      <c r="O565" s="169"/>
      <c r="P565" s="170">
        <v>0</v>
      </c>
      <c r="Q565" s="171"/>
      <c r="R565" s="172">
        <v>21</v>
      </c>
      <c r="S565" s="173"/>
      <c r="T565" s="174">
        <v>0</v>
      </c>
      <c r="U565" s="175"/>
      <c r="V565" s="176">
        <v>17</v>
      </c>
      <c r="W565" s="177"/>
      <c r="X565" s="178">
        <v>14</v>
      </c>
      <c r="Y565" s="179"/>
      <c r="Z565" s="151"/>
      <c r="AA565" s="151"/>
    </row>
    <row r="566" spans="1:27">
      <c r="A566" s="144" t="s">
        <v>5170</v>
      </c>
      <c r="B566" s="144" t="s">
        <v>5170</v>
      </c>
      <c r="C566" s="146" t="s">
        <v>5169</v>
      </c>
      <c r="D566" s="147" t="s">
        <v>5207</v>
      </c>
      <c r="E566" s="139" t="s">
        <v>5208</v>
      </c>
      <c r="F566" s="156" t="s">
        <v>1113</v>
      </c>
      <c r="G566" s="162">
        <v>0.1</v>
      </c>
      <c r="H566" s="163"/>
      <c r="I566" s="149" t="s">
        <v>8192</v>
      </c>
      <c r="J566" s="182"/>
      <c r="K566" s="183"/>
      <c r="L566" s="184"/>
      <c r="M566" s="185"/>
      <c r="N566" s="168">
        <v>0</v>
      </c>
      <c r="O566" s="169"/>
      <c r="P566" s="170">
        <v>0</v>
      </c>
      <c r="Q566" s="171"/>
      <c r="R566" s="172">
        <v>14</v>
      </c>
      <c r="S566" s="173"/>
      <c r="T566" s="174">
        <v>0</v>
      </c>
      <c r="U566" s="175"/>
      <c r="V566" s="176">
        <v>18</v>
      </c>
      <c r="W566" s="177"/>
      <c r="X566" s="178">
        <v>21</v>
      </c>
      <c r="Y566" s="179"/>
      <c r="Z566" s="151"/>
      <c r="AA566" s="151"/>
    </row>
    <row r="567" spans="1:27">
      <c r="A567" s="144" t="s">
        <v>5170</v>
      </c>
      <c r="B567" s="144" t="s">
        <v>5170</v>
      </c>
      <c r="C567" s="146" t="s">
        <v>5169</v>
      </c>
      <c r="D567" s="147" t="s">
        <v>5209</v>
      </c>
      <c r="E567" s="139" t="s">
        <v>5210</v>
      </c>
      <c r="F567" s="156" t="s">
        <v>3159</v>
      </c>
      <c r="G567" s="162">
        <v>0.1</v>
      </c>
      <c r="H567" s="163"/>
      <c r="I567" s="149" t="s">
        <v>8192</v>
      </c>
      <c r="J567" s="182"/>
      <c r="K567" s="183"/>
      <c r="L567" s="184"/>
      <c r="M567" s="185"/>
      <c r="N567" s="168">
        <v>0</v>
      </c>
      <c r="O567" s="169"/>
      <c r="P567" s="170">
        <v>0</v>
      </c>
      <c r="Q567" s="171"/>
      <c r="R567" s="172">
        <v>26</v>
      </c>
      <c r="S567" s="173"/>
      <c r="T567" s="174">
        <v>26</v>
      </c>
      <c r="U567" s="175"/>
      <c r="V567" s="176">
        <v>0</v>
      </c>
      <c r="W567" s="177"/>
      <c r="X567" s="178">
        <v>0</v>
      </c>
      <c r="Y567" s="179"/>
      <c r="Z567" s="151"/>
      <c r="AA567" s="151"/>
    </row>
    <row r="568" spans="1:27">
      <c r="A568" s="144" t="s">
        <v>5170</v>
      </c>
      <c r="B568" s="144" t="s">
        <v>5170</v>
      </c>
      <c r="C568" s="146" t="s">
        <v>5169</v>
      </c>
      <c r="D568" s="147" t="s">
        <v>5211</v>
      </c>
      <c r="E568" s="139" t="s">
        <v>5212</v>
      </c>
      <c r="F568" s="156" t="s">
        <v>8194</v>
      </c>
      <c r="G568" s="162">
        <v>0.1</v>
      </c>
      <c r="H568" s="163"/>
      <c r="I568" s="149" t="s">
        <v>8192</v>
      </c>
      <c r="J568" s="182"/>
      <c r="K568" s="183"/>
      <c r="L568" s="184"/>
      <c r="M568" s="185"/>
      <c r="N568" s="168">
        <v>17</v>
      </c>
      <c r="O568" s="169"/>
      <c r="P568" s="170">
        <v>0</v>
      </c>
      <c r="Q568" s="171"/>
      <c r="R568" s="172">
        <v>14</v>
      </c>
      <c r="S568" s="173"/>
      <c r="T568" s="174">
        <v>17</v>
      </c>
      <c r="U568" s="175"/>
      <c r="V568" s="176">
        <v>0</v>
      </c>
      <c r="W568" s="177"/>
      <c r="X568" s="178">
        <v>0</v>
      </c>
      <c r="Y568" s="179"/>
      <c r="Z568" s="151"/>
      <c r="AA568" s="151"/>
    </row>
    <row r="569" spans="1:27">
      <c r="A569" s="144" t="s">
        <v>5170</v>
      </c>
      <c r="B569" s="144" t="s">
        <v>5170</v>
      </c>
      <c r="C569" s="146" t="s">
        <v>5169</v>
      </c>
      <c r="D569" s="147" t="s">
        <v>5213</v>
      </c>
      <c r="E569" s="139" t="s">
        <v>5214</v>
      </c>
      <c r="F569" s="156" t="s">
        <v>8195</v>
      </c>
      <c r="G569" s="162">
        <v>0.1</v>
      </c>
      <c r="H569" s="163"/>
      <c r="I569" s="149" t="s">
        <v>8196</v>
      </c>
      <c r="J569" s="182"/>
      <c r="K569" s="183"/>
      <c r="L569" s="184"/>
      <c r="M569" s="185"/>
      <c r="N569" s="168">
        <v>17</v>
      </c>
      <c r="O569" s="169"/>
      <c r="P569" s="170">
        <v>0</v>
      </c>
      <c r="Q569" s="171"/>
      <c r="R569" s="172">
        <v>13</v>
      </c>
      <c r="S569" s="173"/>
      <c r="T569" s="174">
        <v>17</v>
      </c>
      <c r="U569" s="175"/>
      <c r="V569" s="176">
        <v>0</v>
      </c>
      <c r="W569" s="177"/>
      <c r="X569" s="178">
        <v>0</v>
      </c>
      <c r="Y569" s="179"/>
      <c r="Z569" s="151"/>
      <c r="AA569" s="151"/>
    </row>
    <row r="570" spans="1:27">
      <c r="A570" s="144" t="s">
        <v>5170</v>
      </c>
      <c r="B570" s="144" t="s">
        <v>5170</v>
      </c>
      <c r="C570" s="146" t="s">
        <v>5169</v>
      </c>
      <c r="D570" s="147" t="s">
        <v>5215</v>
      </c>
      <c r="E570" s="139" t="s">
        <v>5216</v>
      </c>
      <c r="F570" s="156" t="s">
        <v>8197</v>
      </c>
      <c r="G570" s="162">
        <v>0.1</v>
      </c>
      <c r="H570" s="163"/>
      <c r="I570" s="149" t="s">
        <v>8196</v>
      </c>
      <c r="J570" s="182"/>
      <c r="K570" s="183"/>
      <c r="L570" s="184"/>
      <c r="M570" s="185"/>
      <c r="N570" s="168">
        <v>19</v>
      </c>
      <c r="O570" s="169"/>
      <c r="P570" s="170">
        <v>0</v>
      </c>
      <c r="Q570" s="171"/>
      <c r="R570" s="172">
        <v>15</v>
      </c>
      <c r="S570" s="173"/>
      <c r="T570" s="174">
        <v>19</v>
      </c>
      <c r="U570" s="175"/>
      <c r="V570" s="176">
        <v>0</v>
      </c>
      <c r="W570" s="177"/>
      <c r="X570" s="178">
        <v>0</v>
      </c>
      <c r="Y570" s="179"/>
      <c r="Z570" s="151"/>
      <c r="AA570" s="151"/>
    </row>
    <row r="571" spans="1:27">
      <c r="A571" s="144" t="s">
        <v>5170</v>
      </c>
      <c r="B571" s="144" t="s">
        <v>5170</v>
      </c>
      <c r="C571" s="146" t="s">
        <v>5169</v>
      </c>
      <c r="D571" s="147" t="s">
        <v>5217</v>
      </c>
      <c r="E571" s="139" t="s">
        <v>5218</v>
      </c>
      <c r="F571" s="156" t="s">
        <v>8007</v>
      </c>
      <c r="G571" s="162">
        <v>0.1</v>
      </c>
      <c r="H571" s="163"/>
      <c r="I571" s="149" t="s">
        <v>8196</v>
      </c>
      <c r="J571" s="182"/>
      <c r="K571" s="183"/>
      <c r="L571" s="184"/>
      <c r="M571" s="185"/>
      <c r="N571" s="168">
        <v>41</v>
      </c>
      <c r="O571" s="169"/>
      <c r="P571" s="170">
        <v>0</v>
      </c>
      <c r="Q571" s="171"/>
      <c r="R571" s="172">
        <v>0</v>
      </c>
      <c r="S571" s="173"/>
      <c r="T571" s="174">
        <v>11</v>
      </c>
      <c r="U571" s="175"/>
      <c r="V571" s="176">
        <v>0</v>
      </c>
      <c r="W571" s="177"/>
      <c r="X571" s="178">
        <v>0</v>
      </c>
      <c r="Y571" s="179"/>
      <c r="Z571" s="151"/>
      <c r="AA571" s="151"/>
    </row>
    <row r="572" spans="1:27">
      <c r="A572" s="144" t="s">
        <v>5170</v>
      </c>
      <c r="B572" s="144" t="s">
        <v>5170</v>
      </c>
      <c r="C572" s="146" t="s">
        <v>5169</v>
      </c>
      <c r="D572" s="147" t="s">
        <v>5219</v>
      </c>
      <c r="E572" s="139" t="s">
        <v>5220</v>
      </c>
      <c r="F572" s="156" t="s">
        <v>1446</v>
      </c>
      <c r="G572" s="162">
        <v>0.1</v>
      </c>
      <c r="H572" s="163"/>
      <c r="I572" s="149" t="s">
        <v>8196</v>
      </c>
      <c r="J572" s="182"/>
      <c r="K572" s="183"/>
      <c r="L572" s="184"/>
      <c r="M572" s="185"/>
      <c r="N572" s="168">
        <v>0</v>
      </c>
      <c r="O572" s="169"/>
      <c r="P572" s="170">
        <v>45</v>
      </c>
      <c r="Q572" s="171"/>
      <c r="R572" s="172">
        <v>12</v>
      </c>
      <c r="S572" s="173"/>
      <c r="T572" s="174">
        <v>0</v>
      </c>
      <c r="U572" s="175"/>
      <c r="V572" s="176">
        <v>0</v>
      </c>
      <c r="W572" s="177"/>
      <c r="X572" s="178">
        <v>0</v>
      </c>
      <c r="Y572" s="179"/>
      <c r="Z572" s="151"/>
      <c r="AA572" s="151"/>
    </row>
    <row r="573" spans="1:27">
      <c r="A573" s="144" t="s">
        <v>5170</v>
      </c>
      <c r="B573" s="144" t="s">
        <v>5170</v>
      </c>
      <c r="C573" s="146" t="s">
        <v>5169</v>
      </c>
      <c r="D573" s="147" t="s">
        <v>5221</v>
      </c>
      <c r="E573" s="139" t="s">
        <v>5222</v>
      </c>
      <c r="F573" s="156" t="s">
        <v>8198</v>
      </c>
      <c r="G573" s="162">
        <v>0.1</v>
      </c>
      <c r="H573" s="163"/>
      <c r="I573" s="149" t="s">
        <v>8196</v>
      </c>
      <c r="J573" s="182"/>
      <c r="K573" s="183"/>
      <c r="L573" s="184"/>
      <c r="M573" s="185"/>
      <c r="N573" s="168">
        <v>27</v>
      </c>
      <c r="O573" s="169"/>
      <c r="P573" s="170">
        <v>0</v>
      </c>
      <c r="Q573" s="171"/>
      <c r="R573" s="172">
        <v>0</v>
      </c>
      <c r="S573" s="173"/>
      <c r="T573" s="174">
        <v>27</v>
      </c>
      <c r="U573" s="175"/>
      <c r="V573" s="176">
        <v>0</v>
      </c>
      <c r="W573" s="177"/>
      <c r="X573" s="178">
        <v>0</v>
      </c>
      <c r="Y573" s="179"/>
      <c r="Z573" s="151"/>
      <c r="AA573" s="151"/>
    </row>
    <row r="574" spans="1:27">
      <c r="A574" s="144" t="s">
        <v>5170</v>
      </c>
      <c r="B574" s="144" t="s">
        <v>5170</v>
      </c>
      <c r="C574" s="146" t="s">
        <v>5169</v>
      </c>
      <c r="D574" s="147" t="s">
        <v>5223</v>
      </c>
      <c r="E574" s="139" t="s">
        <v>5224</v>
      </c>
      <c r="F574" s="156" t="s">
        <v>1625</v>
      </c>
      <c r="G574" s="162">
        <v>0.1</v>
      </c>
      <c r="H574" s="163"/>
      <c r="I574" s="149" t="s">
        <v>8196</v>
      </c>
      <c r="J574" s="182"/>
      <c r="K574" s="183"/>
      <c r="L574" s="184"/>
      <c r="M574" s="185"/>
      <c r="N574" s="168">
        <v>13</v>
      </c>
      <c r="O574" s="169"/>
      <c r="P574" s="170">
        <v>19</v>
      </c>
      <c r="Q574" s="171"/>
      <c r="R574" s="172">
        <v>0</v>
      </c>
      <c r="S574" s="173"/>
      <c r="T574" s="174">
        <v>0</v>
      </c>
      <c r="U574" s="175"/>
      <c r="V574" s="176">
        <v>13</v>
      </c>
      <c r="W574" s="177"/>
      <c r="X574" s="178">
        <v>13</v>
      </c>
      <c r="Y574" s="179"/>
      <c r="Z574" s="151"/>
      <c r="AA574" s="151"/>
    </row>
    <row r="575" spans="1:27">
      <c r="A575" s="144" t="s">
        <v>5170</v>
      </c>
      <c r="B575" s="144" t="s">
        <v>5170</v>
      </c>
      <c r="C575" s="146" t="s">
        <v>5169</v>
      </c>
      <c r="D575" s="147" t="s">
        <v>5225</v>
      </c>
      <c r="E575" s="139" t="s">
        <v>5226</v>
      </c>
      <c r="F575" s="156" t="s">
        <v>8199</v>
      </c>
      <c r="G575" s="162">
        <v>0.1</v>
      </c>
      <c r="H575" s="163"/>
      <c r="I575" s="149" t="s">
        <v>8200</v>
      </c>
      <c r="J575" s="182"/>
      <c r="K575" s="183"/>
      <c r="L575" s="184"/>
      <c r="M575" s="185"/>
      <c r="N575" s="168">
        <v>11</v>
      </c>
      <c r="O575" s="169"/>
      <c r="P575" s="170">
        <v>25</v>
      </c>
      <c r="Q575" s="171"/>
      <c r="R575" s="172">
        <v>11</v>
      </c>
      <c r="S575" s="173"/>
      <c r="T575" s="174">
        <v>11</v>
      </c>
      <c r="U575" s="175"/>
      <c r="V575" s="176">
        <v>0</v>
      </c>
      <c r="W575" s="177"/>
      <c r="X575" s="178">
        <v>0</v>
      </c>
      <c r="Y575" s="179"/>
      <c r="Z575" s="151"/>
      <c r="AA575" s="151"/>
    </row>
    <row r="576" spans="1:27">
      <c r="A576" s="144" t="s">
        <v>5170</v>
      </c>
      <c r="B576" s="144" t="s">
        <v>5170</v>
      </c>
      <c r="C576" s="146" t="s">
        <v>5169</v>
      </c>
      <c r="D576" s="147" t="s">
        <v>5227</v>
      </c>
      <c r="E576" s="139" t="s">
        <v>5228</v>
      </c>
      <c r="F576" s="156" t="s">
        <v>7998</v>
      </c>
      <c r="G576" s="162">
        <v>0.1</v>
      </c>
      <c r="H576" s="163"/>
      <c r="I576" s="149" t="s">
        <v>8200</v>
      </c>
      <c r="J576" s="182"/>
      <c r="K576" s="183"/>
      <c r="L576" s="184"/>
      <c r="M576" s="185"/>
      <c r="N576" s="168">
        <v>0</v>
      </c>
      <c r="O576" s="169"/>
      <c r="P576" s="170">
        <v>45</v>
      </c>
      <c r="Q576" s="171"/>
      <c r="R576" s="172">
        <v>0</v>
      </c>
      <c r="S576" s="173"/>
      <c r="T576" s="174">
        <v>0</v>
      </c>
      <c r="U576" s="175"/>
      <c r="V576" s="176">
        <v>19</v>
      </c>
      <c r="W576" s="177"/>
      <c r="X576" s="178">
        <v>0</v>
      </c>
      <c r="Y576" s="179"/>
      <c r="Z576" s="151"/>
      <c r="AA576" s="151"/>
    </row>
    <row r="577" spans="1:27">
      <c r="A577" s="144" t="s">
        <v>5170</v>
      </c>
      <c r="B577" s="144" t="s">
        <v>5170</v>
      </c>
      <c r="C577" s="146" t="s">
        <v>5169</v>
      </c>
      <c r="D577" s="147" t="s">
        <v>5229</v>
      </c>
      <c r="E577" s="139" t="s">
        <v>5230</v>
      </c>
      <c r="F577" s="156" t="s">
        <v>8201</v>
      </c>
      <c r="G577" s="162">
        <v>0.1</v>
      </c>
      <c r="H577" s="163"/>
      <c r="I577" s="149" t="s">
        <v>8200</v>
      </c>
      <c r="J577" s="182"/>
      <c r="K577" s="183"/>
      <c r="L577" s="184"/>
      <c r="M577" s="185"/>
      <c r="N577" s="168">
        <v>11</v>
      </c>
      <c r="O577" s="169"/>
      <c r="P577" s="170">
        <v>11</v>
      </c>
      <c r="Q577" s="171"/>
      <c r="R577" s="172">
        <v>17</v>
      </c>
      <c r="S577" s="173"/>
      <c r="T577" s="174">
        <v>17</v>
      </c>
      <c r="U577" s="175"/>
      <c r="V577" s="176">
        <v>0</v>
      </c>
      <c r="W577" s="177"/>
      <c r="X577" s="178">
        <v>0</v>
      </c>
      <c r="Y577" s="179"/>
      <c r="Z577" s="151"/>
      <c r="AA577" s="151"/>
    </row>
    <row r="578" spans="1:27">
      <c r="A578" s="144" t="s">
        <v>5170</v>
      </c>
      <c r="B578" s="144" t="s">
        <v>5170</v>
      </c>
      <c r="C578" s="146" t="s">
        <v>5169</v>
      </c>
      <c r="D578" s="147" t="s">
        <v>5231</v>
      </c>
      <c r="E578" s="139" t="s">
        <v>5232</v>
      </c>
      <c r="F578" s="156" t="s">
        <v>8202</v>
      </c>
      <c r="G578" s="162">
        <v>0.1</v>
      </c>
      <c r="H578" s="163"/>
      <c r="I578" s="149" t="s">
        <v>8200</v>
      </c>
      <c r="J578" s="182"/>
      <c r="K578" s="183"/>
      <c r="L578" s="184"/>
      <c r="M578" s="185"/>
      <c r="N578" s="168">
        <v>6</v>
      </c>
      <c r="O578" s="169"/>
      <c r="P578" s="170">
        <v>21</v>
      </c>
      <c r="Q578" s="171"/>
      <c r="R578" s="172">
        <v>6</v>
      </c>
      <c r="S578" s="173"/>
      <c r="T578" s="174">
        <v>0</v>
      </c>
      <c r="U578" s="175"/>
      <c r="V578" s="176">
        <v>21</v>
      </c>
      <c r="W578" s="177"/>
      <c r="X578" s="178">
        <v>0</v>
      </c>
      <c r="Y578" s="179"/>
      <c r="Z578" s="151"/>
      <c r="AA578" s="151"/>
    </row>
    <row r="579" spans="1:27">
      <c r="A579" s="144" t="s">
        <v>5170</v>
      </c>
      <c r="B579" s="144" t="s">
        <v>5170</v>
      </c>
      <c r="C579" s="146" t="s">
        <v>5169</v>
      </c>
      <c r="D579" s="147" t="s">
        <v>5233</v>
      </c>
      <c r="E579" s="139" t="s">
        <v>5234</v>
      </c>
      <c r="F579" s="156" t="s">
        <v>8062</v>
      </c>
      <c r="G579" s="162">
        <v>0.1</v>
      </c>
      <c r="H579" s="163"/>
      <c r="I579" s="149" t="s">
        <v>8200</v>
      </c>
      <c r="J579" s="182"/>
      <c r="K579" s="183"/>
      <c r="L579" s="184"/>
      <c r="M579" s="185"/>
      <c r="N579" s="168">
        <v>0</v>
      </c>
      <c r="O579" s="169"/>
      <c r="P579" s="170">
        <v>7</v>
      </c>
      <c r="Q579" s="171"/>
      <c r="R579" s="172">
        <v>0</v>
      </c>
      <c r="S579" s="173"/>
      <c r="T579" s="174">
        <v>24</v>
      </c>
      <c r="U579" s="175"/>
      <c r="V579" s="176">
        <v>7</v>
      </c>
      <c r="W579" s="177"/>
      <c r="X579" s="178">
        <v>24</v>
      </c>
      <c r="Y579" s="179"/>
      <c r="Z579" s="151"/>
      <c r="AA579" s="151"/>
    </row>
    <row r="580" ht="27" spans="1:27">
      <c r="A580" s="144" t="s">
        <v>5170</v>
      </c>
      <c r="B580" s="144" t="s">
        <v>5170</v>
      </c>
      <c r="C580" s="146" t="s">
        <v>5169</v>
      </c>
      <c r="D580" s="147" t="s">
        <v>5235</v>
      </c>
      <c r="E580" s="139" t="s">
        <v>5236</v>
      </c>
      <c r="F580" s="180" t="s">
        <v>8203</v>
      </c>
      <c r="G580" s="162">
        <v>0.1</v>
      </c>
      <c r="H580" s="163"/>
      <c r="I580" s="149" t="s">
        <v>8200</v>
      </c>
      <c r="J580" s="182"/>
      <c r="K580" s="183"/>
      <c r="L580" s="184"/>
      <c r="M580" s="185"/>
      <c r="N580" s="168">
        <v>0</v>
      </c>
      <c r="O580" s="169"/>
      <c r="P580" s="170">
        <v>0</v>
      </c>
      <c r="Q580" s="171"/>
      <c r="R580" s="172">
        <v>0</v>
      </c>
      <c r="S580" s="173"/>
      <c r="T580" s="174">
        <v>0</v>
      </c>
      <c r="U580" s="175"/>
      <c r="V580" s="176">
        <v>0</v>
      </c>
      <c r="W580" s="177"/>
      <c r="X580" s="178">
        <v>0</v>
      </c>
      <c r="Y580" s="179"/>
      <c r="Z580" s="151"/>
      <c r="AA580" s="151"/>
    </row>
    <row r="581" spans="1:27">
      <c r="A581" s="144" t="s">
        <v>5170</v>
      </c>
      <c r="B581" s="144" t="s">
        <v>5170</v>
      </c>
      <c r="C581" s="146" t="s">
        <v>5169</v>
      </c>
      <c r="D581" s="147" t="s">
        <v>5237</v>
      </c>
      <c r="E581" s="139" t="s">
        <v>5238</v>
      </c>
      <c r="F581" s="156" t="s">
        <v>8204</v>
      </c>
      <c r="G581" s="162">
        <v>0.1</v>
      </c>
      <c r="H581" s="163"/>
      <c r="I581" s="149" t="s">
        <v>8205</v>
      </c>
      <c r="J581" s="182"/>
      <c r="K581" s="183"/>
      <c r="L581" s="184"/>
      <c r="M581" s="185"/>
      <c r="N581" s="168">
        <v>0</v>
      </c>
      <c r="O581" s="169"/>
      <c r="P581" s="170">
        <v>0</v>
      </c>
      <c r="Q581" s="171"/>
      <c r="R581" s="172">
        <v>0</v>
      </c>
      <c r="S581" s="173"/>
      <c r="T581" s="174">
        <v>0</v>
      </c>
      <c r="U581" s="175"/>
      <c r="V581" s="176">
        <v>0</v>
      </c>
      <c r="W581" s="177"/>
      <c r="X581" s="178">
        <v>0</v>
      </c>
      <c r="Y581" s="179"/>
      <c r="Z581" s="151"/>
      <c r="AA581" s="151"/>
    </row>
    <row r="582" spans="1:27">
      <c r="A582" s="144" t="s">
        <v>5170</v>
      </c>
      <c r="B582" s="144" t="s">
        <v>5170</v>
      </c>
      <c r="C582" s="146" t="s">
        <v>5169</v>
      </c>
      <c r="D582" s="147" t="s">
        <v>5239</v>
      </c>
      <c r="E582" s="139" t="s">
        <v>5240</v>
      </c>
      <c r="F582" s="156" t="s">
        <v>8206</v>
      </c>
      <c r="G582" s="162">
        <v>0.1</v>
      </c>
      <c r="H582" s="163"/>
      <c r="I582" s="149" t="s">
        <v>8179</v>
      </c>
      <c r="J582" s="182"/>
      <c r="K582" s="183"/>
      <c r="L582" s="184"/>
      <c r="M582" s="185"/>
      <c r="N582" s="168">
        <v>0</v>
      </c>
      <c r="O582" s="169"/>
      <c r="P582" s="170">
        <v>0</v>
      </c>
      <c r="Q582" s="171"/>
      <c r="R582" s="172">
        <v>0</v>
      </c>
      <c r="S582" s="173"/>
      <c r="T582" s="174">
        <v>0</v>
      </c>
      <c r="U582" s="175"/>
      <c r="V582" s="176">
        <v>0</v>
      </c>
      <c r="W582" s="177"/>
      <c r="X582" s="178">
        <v>0</v>
      </c>
      <c r="Y582" s="179"/>
      <c r="Z582" s="151"/>
      <c r="AA582" s="151"/>
    </row>
    <row r="583" spans="1:27">
      <c r="A583" s="144" t="s">
        <v>5170</v>
      </c>
      <c r="B583" s="144" t="s">
        <v>5170</v>
      </c>
      <c r="C583" s="146" t="s">
        <v>5169</v>
      </c>
      <c r="D583" s="147" t="s">
        <v>5241</v>
      </c>
      <c r="E583" s="139" t="s">
        <v>5242</v>
      </c>
      <c r="F583" s="156" t="s">
        <v>8207</v>
      </c>
      <c r="G583" s="162">
        <v>0.1</v>
      </c>
      <c r="H583" s="163"/>
      <c r="I583" s="149" t="s">
        <v>8179</v>
      </c>
      <c r="J583" s="182"/>
      <c r="K583" s="183"/>
      <c r="L583" s="184"/>
      <c r="M583" s="185"/>
      <c r="N583" s="168">
        <v>0</v>
      </c>
      <c r="O583" s="169"/>
      <c r="P583" s="170">
        <v>0</v>
      </c>
      <c r="Q583" s="171"/>
      <c r="R583" s="172">
        <v>0</v>
      </c>
      <c r="S583" s="173"/>
      <c r="T583" s="174">
        <v>0</v>
      </c>
      <c r="U583" s="175"/>
      <c r="V583" s="176">
        <v>0</v>
      </c>
      <c r="W583" s="177"/>
      <c r="X583" s="178">
        <v>0</v>
      </c>
      <c r="Y583" s="179"/>
      <c r="Z583" s="151"/>
      <c r="AA583" s="151"/>
    </row>
    <row r="584" spans="1:27">
      <c r="A584" s="144" t="s">
        <v>5170</v>
      </c>
      <c r="B584" s="144" t="s">
        <v>5170</v>
      </c>
      <c r="C584" s="146" t="s">
        <v>5169</v>
      </c>
      <c r="D584" s="147" t="s">
        <v>5243</v>
      </c>
      <c r="E584" s="139" t="s">
        <v>5244</v>
      </c>
      <c r="F584" s="156" t="s">
        <v>8208</v>
      </c>
      <c r="G584" s="162">
        <v>0.1</v>
      </c>
      <c r="H584" s="163"/>
      <c r="I584" s="149" t="s">
        <v>8179</v>
      </c>
      <c r="J584" s="182"/>
      <c r="K584" s="183"/>
      <c r="L584" s="184"/>
      <c r="M584" s="185"/>
      <c r="N584" s="168">
        <v>0</v>
      </c>
      <c r="O584" s="169"/>
      <c r="P584" s="170">
        <v>0</v>
      </c>
      <c r="Q584" s="171"/>
      <c r="R584" s="172">
        <v>0</v>
      </c>
      <c r="S584" s="173"/>
      <c r="T584" s="174">
        <v>0</v>
      </c>
      <c r="U584" s="175"/>
      <c r="V584" s="176">
        <v>0</v>
      </c>
      <c r="W584" s="177"/>
      <c r="X584" s="178">
        <v>0</v>
      </c>
      <c r="Y584" s="179"/>
      <c r="Z584" s="151"/>
      <c r="AA584" s="151"/>
    </row>
    <row r="585" spans="1:27">
      <c r="A585" s="144" t="s">
        <v>5170</v>
      </c>
      <c r="B585" s="144" t="s">
        <v>5170</v>
      </c>
      <c r="C585" s="146" t="s">
        <v>5169</v>
      </c>
      <c r="D585" s="147" t="s">
        <v>5245</v>
      </c>
      <c r="E585" s="139" t="s">
        <v>5246</v>
      </c>
      <c r="F585" s="156" t="s">
        <v>8209</v>
      </c>
      <c r="G585" s="162">
        <v>0.1</v>
      </c>
      <c r="H585" s="163"/>
      <c r="I585" s="149" t="s">
        <v>8179</v>
      </c>
      <c r="J585" s="182"/>
      <c r="K585" s="183"/>
      <c r="L585" s="184"/>
      <c r="M585" s="185"/>
      <c r="N585" s="168">
        <v>0</v>
      </c>
      <c r="O585" s="169"/>
      <c r="P585" s="170">
        <v>0</v>
      </c>
      <c r="Q585" s="171"/>
      <c r="R585" s="172">
        <v>0</v>
      </c>
      <c r="S585" s="173"/>
      <c r="T585" s="174">
        <v>0</v>
      </c>
      <c r="U585" s="175"/>
      <c r="V585" s="176">
        <v>0</v>
      </c>
      <c r="W585" s="177"/>
      <c r="X585" s="178">
        <v>0</v>
      </c>
      <c r="Y585" s="179"/>
      <c r="Z585" s="151"/>
      <c r="AA585" s="151"/>
    </row>
    <row r="586" spans="1:27">
      <c r="A586" s="144" t="s">
        <v>5170</v>
      </c>
      <c r="B586" s="144" t="s">
        <v>5170</v>
      </c>
      <c r="C586" s="146" t="s">
        <v>5169</v>
      </c>
      <c r="D586" s="147" t="s">
        <v>5247</v>
      </c>
      <c r="E586" s="139" t="s">
        <v>5248</v>
      </c>
      <c r="F586" s="156" t="s">
        <v>8210</v>
      </c>
      <c r="G586" s="162">
        <v>0.1</v>
      </c>
      <c r="H586" s="163"/>
      <c r="I586" s="149" t="s">
        <v>8179</v>
      </c>
      <c r="J586" s="182"/>
      <c r="K586" s="183"/>
      <c r="L586" s="184"/>
      <c r="M586" s="185"/>
      <c r="N586" s="168">
        <v>0</v>
      </c>
      <c r="O586" s="169"/>
      <c r="P586" s="170">
        <v>0</v>
      </c>
      <c r="Q586" s="171"/>
      <c r="R586" s="172">
        <v>0</v>
      </c>
      <c r="S586" s="173"/>
      <c r="T586" s="174">
        <v>0</v>
      </c>
      <c r="U586" s="175"/>
      <c r="V586" s="176">
        <v>0</v>
      </c>
      <c r="W586" s="177"/>
      <c r="X586" s="178">
        <v>0</v>
      </c>
      <c r="Y586" s="179"/>
      <c r="Z586" s="151"/>
      <c r="AA586" s="151"/>
    </row>
    <row r="587" spans="1:27">
      <c r="A587" s="144" t="s">
        <v>5170</v>
      </c>
      <c r="B587" s="144" t="s">
        <v>5170</v>
      </c>
      <c r="C587" s="146" t="s">
        <v>5169</v>
      </c>
      <c r="D587" s="147" t="s">
        <v>5249</v>
      </c>
      <c r="E587" s="139" t="s">
        <v>5250</v>
      </c>
      <c r="F587" s="156" t="s">
        <v>8211</v>
      </c>
      <c r="G587" s="162">
        <v>0.1</v>
      </c>
      <c r="H587" s="163"/>
      <c r="I587" s="149" t="s">
        <v>8179</v>
      </c>
      <c r="J587" s="182"/>
      <c r="K587" s="183"/>
      <c r="L587" s="184"/>
      <c r="M587" s="185"/>
      <c r="N587" s="168">
        <v>0</v>
      </c>
      <c r="O587" s="169"/>
      <c r="P587" s="170">
        <v>0</v>
      </c>
      <c r="Q587" s="171"/>
      <c r="R587" s="172">
        <v>0</v>
      </c>
      <c r="S587" s="173"/>
      <c r="T587" s="174">
        <v>0</v>
      </c>
      <c r="U587" s="175"/>
      <c r="V587" s="176">
        <v>0</v>
      </c>
      <c r="W587" s="177"/>
      <c r="X587" s="178">
        <v>0</v>
      </c>
      <c r="Y587" s="179"/>
      <c r="Z587" s="151"/>
      <c r="AA587" s="151"/>
    </row>
    <row r="588" spans="1:27">
      <c r="A588" s="144" t="s">
        <v>5170</v>
      </c>
      <c r="B588" s="144" t="s">
        <v>5170</v>
      </c>
      <c r="C588" s="146" t="s">
        <v>5169</v>
      </c>
      <c r="D588" s="147" t="s">
        <v>5251</v>
      </c>
      <c r="E588" s="139" t="s">
        <v>5252</v>
      </c>
      <c r="F588" s="156" t="s">
        <v>8212</v>
      </c>
      <c r="G588" s="162">
        <v>0.1</v>
      </c>
      <c r="H588" s="163"/>
      <c r="I588" s="149" t="s">
        <v>8178</v>
      </c>
      <c r="J588" s="182"/>
      <c r="K588" s="183"/>
      <c r="L588" s="184"/>
      <c r="M588" s="185"/>
      <c r="N588" s="168">
        <v>0</v>
      </c>
      <c r="O588" s="169"/>
      <c r="P588" s="170">
        <v>0</v>
      </c>
      <c r="Q588" s="171"/>
      <c r="R588" s="172">
        <v>0</v>
      </c>
      <c r="S588" s="173"/>
      <c r="T588" s="174">
        <v>0</v>
      </c>
      <c r="U588" s="175"/>
      <c r="V588" s="176">
        <v>0</v>
      </c>
      <c r="W588" s="177"/>
      <c r="X588" s="178">
        <v>0</v>
      </c>
      <c r="Y588" s="179"/>
      <c r="Z588" s="151"/>
      <c r="AA588" s="151"/>
    </row>
    <row r="589" spans="1:27">
      <c r="A589" s="144" t="s">
        <v>5170</v>
      </c>
      <c r="B589" s="144" t="s">
        <v>5170</v>
      </c>
      <c r="C589" s="146" t="s">
        <v>5169</v>
      </c>
      <c r="D589" s="147" t="s">
        <v>5253</v>
      </c>
      <c r="E589" s="139" t="s">
        <v>5254</v>
      </c>
      <c r="F589" s="156" t="s">
        <v>8213</v>
      </c>
      <c r="G589" s="162">
        <v>0.1</v>
      </c>
      <c r="H589" s="163"/>
      <c r="I589" s="149" t="s">
        <v>8178</v>
      </c>
      <c r="J589" s="182"/>
      <c r="K589" s="183"/>
      <c r="L589" s="184"/>
      <c r="M589" s="185"/>
      <c r="N589" s="168">
        <v>0</v>
      </c>
      <c r="O589" s="169"/>
      <c r="P589" s="170">
        <v>0</v>
      </c>
      <c r="Q589" s="171"/>
      <c r="R589" s="172">
        <v>0</v>
      </c>
      <c r="S589" s="173"/>
      <c r="T589" s="174">
        <v>0</v>
      </c>
      <c r="U589" s="175"/>
      <c r="V589" s="176">
        <v>0</v>
      </c>
      <c r="W589" s="177"/>
      <c r="X589" s="178">
        <v>0</v>
      </c>
      <c r="Y589" s="179"/>
      <c r="Z589" s="151"/>
      <c r="AA589" s="151"/>
    </row>
    <row r="590" spans="1:27">
      <c r="A590" s="144" t="s">
        <v>5170</v>
      </c>
      <c r="B590" s="144" t="s">
        <v>5170</v>
      </c>
      <c r="C590" s="146" t="s">
        <v>5169</v>
      </c>
      <c r="D590" s="147" t="s">
        <v>5255</v>
      </c>
      <c r="E590" s="139" t="s">
        <v>5256</v>
      </c>
      <c r="F590" s="156" t="s">
        <v>8214</v>
      </c>
      <c r="G590" s="162">
        <v>0.1</v>
      </c>
      <c r="H590" s="163"/>
      <c r="I590" s="149" t="s">
        <v>8178</v>
      </c>
      <c r="J590" s="182"/>
      <c r="K590" s="183"/>
      <c r="L590" s="184"/>
      <c r="M590" s="185"/>
      <c r="N590" s="168">
        <v>0</v>
      </c>
      <c r="O590" s="169"/>
      <c r="P590" s="170">
        <v>0</v>
      </c>
      <c r="Q590" s="171"/>
      <c r="R590" s="172">
        <v>0</v>
      </c>
      <c r="S590" s="173"/>
      <c r="T590" s="174">
        <v>0</v>
      </c>
      <c r="U590" s="175"/>
      <c r="V590" s="176">
        <v>0</v>
      </c>
      <c r="W590" s="177"/>
      <c r="X590" s="178">
        <v>0</v>
      </c>
      <c r="Y590" s="179"/>
      <c r="Z590" s="151"/>
      <c r="AA590" s="151"/>
    </row>
    <row r="591" spans="1:27">
      <c r="A591" s="144" t="s">
        <v>5170</v>
      </c>
      <c r="B591" s="144" t="s">
        <v>5170</v>
      </c>
      <c r="C591" s="146" t="s">
        <v>5169</v>
      </c>
      <c r="D591" s="147" t="s">
        <v>5257</v>
      </c>
      <c r="E591" s="139" t="s">
        <v>5258</v>
      </c>
      <c r="F591" s="156" t="s">
        <v>3181</v>
      </c>
      <c r="G591" s="162">
        <v>0.1</v>
      </c>
      <c r="H591" s="163"/>
      <c r="I591" s="149" t="s">
        <v>8200</v>
      </c>
      <c r="J591" s="182"/>
      <c r="K591" s="183"/>
      <c r="L591" s="184"/>
      <c r="M591" s="185"/>
      <c r="N591" s="168">
        <v>0</v>
      </c>
      <c r="O591" s="169"/>
      <c r="P591" s="170">
        <v>0</v>
      </c>
      <c r="Q591" s="171"/>
      <c r="R591" s="172">
        <v>0</v>
      </c>
      <c r="S591" s="173"/>
      <c r="T591" s="174">
        <v>0</v>
      </c>
      <c r="U591" s="175"/>
      <c r="V591" s="176">
        <v>0</v>
      </c>
      <c r="W591" s="177"/>
      <c r="X591" s="178">
        <v>0</v>
      </c>
      <c r="Y591" s="179"/>
      <c r="Z591" s="151"/>
      <c r="AA591" s="151"/>
    </row>
    <row r="592" spans="1:27">
      <c r="A592" s="144" t="s">
        <v>5170</v>
      </c>
      <c r="B592" s="144" t="s">
        <v>5170</v>
      </c>
      <c r="C592" s="146" t="s">
        <v>5169</v>
      </c>
      <c r="D592" s="147" t="s">
        <v>5259</v>
      </c>
      <c r="E592" s="139" t="s">
        <v>5260</v>
      </c>
      <c r="F592" s="156" t="s">
        <v>3185</v>
      </c>
      <c r="G592" s="162">
        <v>0.1</v>
      </c>
      <c r="H592" s="163"/>
      <c r="I592" s="149" t="s">
        <v>8200</v>
      </c>
      <c r="J592" s="182"/>
      <c r="K592" s="183"/>
      <c r="L592" s="184"/>
      <c r="M592" s="185"/>
      <c r="N592" s="168">
        <v>0</v>
      </c>
      <c r="O592" s="169"/>
      <c r="P592" s="170">
        <v>0</v>
      </c>
      <c r="Q592" s="171"/>
      <c r="R592" s="172">
        <v>0</v>
      </c>
      <c r="S592" s="173"/>
      <c r="T592" s="174">
        <v>0</v>
      </c>
      <c r="U592" s="175"/>
      <c r="V592" s="176">
        <v>0</v>
      </c>
      <c r="W592" s="177"/>
      <c r="X592" s="178">
        <v>0</v>
      </c>
      <c r="Y592" s="179"/>
      <c r="Z592" s="151"/>
      <c r="AA592" s="151"/>
    </row>
    <row r="593" spans="1:27">
      <c r="A593" s="144" t="s">
        <v>5170</v>
      </c>
      <c r="B593" s="144" t="s">
        <v>5170</v>
      </c>
      <c r="C593" s="146" t="s">
        <v>5169</v>
      </c>
      <c r="D593" s="147" t="s">
        <v>5261</v>
      </c>
      <c r="E593" s="139" t="s">
        <v>5262</v>
      </c>
      <c r="F593" s="156" t="s">
        <v>3187</v>
      </c>
      <c r="G593" s="162">
        <v>0.1</v>
      </c>
      <c r="H593" s="163"/>
      <c r="I593" s="149" t="s">
        <v>8200</v>
      </c>
      <c r="J593" s="182"/>
      <c r="K593" s="183"/>
      <c r="L593" s="184"/>
      <c r="M593" s="185"/>
      <c r="N593" s="168">
        <v>0</v>
      </c>
      <c r="O593" s="169"/>
      <c r="P593" s="170">
        <v>0</v>
      </c>
      <c r="Q593" s="171"/>
      <c r="R593" s="172">
        <v>0</v>
      </c>
      <c r="S593" s="173"/>
      <c r="T593" s="174">
        <v>0</v>
      </c>
      <c r="U593" s="175"/>
      <c r="V593" s="176">
        <v>0</v>
      </c>
      <c r="W593" s="177"/>
      <c r="X593" s="178">
        <v>0</v>
      </c>
      <c r="Y593" s="179"/>
      <c r="Z593" s="151"/>
      <c r="AA593" s="151"/>
    </row>
    <row r="594" spans="1:27">
      <c r="A594" s="144" t="s">
        <v>5263</v>
      </c>
      <c r="B594" s="144" t="s">
        <v>5263</v>
      </c>
      <c r="C594" s="146" t="s">
        <v>5169</v>
      </c>
      <c r="D594" s="147" t="s">
        <v>5264</v>
      </c>
      <c r="E594" s="139" t="s">
        <v>5265</v>
      </c>
      <c r="F594" s="156" t="s">
        <v>1347</v>
      </c>
      <c r="G594" s="162">
        <v>0.1</v>
      </c>
      <c r="H594" s="163"/>
      <c r="I594" s="149" t="s">
        <v>8178</v>
      </c>
      <c r="J594" s="182"/>
      <c r="K594" s="183"/>
      <c r="L594" s="184"/>
      <c r="M594" s="185"/>
      <c r="N594" s="168">
        <v>0</v>
      </c>
      <c r="O594" s="169"/>
      <c r="P594" s="170">
        <v>0</v>
      </c>
      <c r="Q594" s="171"/>
      <c r="R594" s="172">
        <v>0</v>
      </c>
      <c r="S594" s="173"/>
      <c r="T594" s="174">
        <v>0</v>
      </c>
      <c r="U594" s="175"/>
      <c r="V594" s="176">
        <v>0</v>
      </c>
      <c r="W594" s="177"/>
      <c r="X594" s="178">
        <v>0</v>
      </c>
      <c r="Y594" s="179"/>
      <c r="Z594" s="151"/>
      <c r="AA594" s="151"/>
    </row>
    <row r="595" spans="1:27">
      <c r="A595" s="144" t="s">
        <v>5263</v>
      </c>
      <c r="B595" s="144" t="s">
        <v>5263</v>
      </c>
      <c r="C595" s="146" t="s">
        <v>5169</v>
      </c>
      <c r="D595" s="147" t="s">
        <v>5266</v>
      </c>
      <c r="E595" s="139" t="s">
        <v>5267</v>
      </c>
      <c r="F595" s="156" t="s">
        <v>1371</v>
      </c>
      <c r="G595" s="162">
        <v>0.1</v>
      </c>
      <c r="H595" s="163"/>
      <c r="I595" s="149" t="s">
        <v>8178</v>
      </c>
      <c r="J595" s="182"/>
      <c r="K595" s="183"/>
      <c r="L595" s="184"/>
      <c r="M595" s="185"/>
      <c r="N595" s="168">
        <v>0</v>
      </c>
      <c r="O595" s="169"/>
      <c r="P595" s="170">
        <v>0</v>
      </c>
      <c r="Q595" s="171"/>
      <c r="R595" s="172">
        <v>0</v>
      </c>
      <c r="S595" s="173"/>
      <c r="T595" s="174">
        <v>0</v>
      </c>
      <c r="U595" s="175"/>
      <c r="V595" s="176">
        <v>0</v>
      </c>
      <c r="W595" s="177"/>
      <c r="X595" s="178">
        <v>0</v>
      </c>
      <c r="Y595" s="179"/>
      <c r="Z595" s="151"/>
      <c r="AA595" s="151"/>
    </row>
    <row r="596" spans="1:27">
      <c r="A596" s="144" t="s">
        <v>5263</v>
      </c>
      <c r="B596" s="144" t="s">
        <v>5263</v>
      </c>
      <c r="C596" s="146" t="s">
        <v>5169</v>
      </c>
      <c r="D596" s="147" t="s">
        <v>5268</v>
      </c>
      <c r="E596" s="139" t="s">
        <v>5269</v>
      </c>
      <c r="F596" s="156" t="s">
        <v>1395</v>
      </c>
      <c r="G596" s="162">
        <v>0.1</v>
      </c>
      <c r="H596" s="163"/>
      <c r="I596" s="149" t="s">
        <v>8179</v>
      </c>
      <c r="J596" s="182"/>
      <c r="K596" s="183"/>
      <c r="L596" s="184"/>
      <c r="M596" s="185"/>
      <c r="N596" s="168">
        <v>0</v>
      </c>
      <c r="O596" s="169"/>
      <c r="P596" s="170">
        <v>0</v>
      </c>
      <c r="Q596" s="171"/>
      <c r="R596" s="172">
        <v>0</v>
      </c>
      <c r="S596" s="173"/>
      <c r="T596" s="174">
        <v>0</v>
      </c>
      <c r="U596" s="175"/>
      <c r="V596" s="176">
        <v>0</v>
      </c>
      <c r="W596" s="177"/>
      <c r="X596" s="178">
        <v>0</v>
      </c>
      <c r="Y596" s="179"/>
      <c r="Z596" s="151"/>
      <c r="AA596" s="151"/>
    </row>
    <row r="597" spans="1:27">
      <c r="A597" s="144" t="s">
        <v>5263</v>
      </c>
      <c r="B597" s="144" t="s">
        <v>5263</v>
      </c>
      <c r="C597" s="146" t="s">
        <v>5169</v>
      </c>
      <c r="D597" s="147" t="s">
        <v>5270</v>
      </c>
      <c r="E597" s="139" t="s">
        <v>5271</v>
      </c>
      <c r="F597" s="156" t="s">
        <v>1390</v>
      </c>
      <c r="G597" s="162">
        <v>0.1</v>
      </c>
      <c r="H597" s="163"/>
      <c r="I597" s="149" t="s">
        <v>8179</v>
      </c>
      <c r="J597" s="182"/>
      <c r="K597" s="183"/>
      <c r="L597" s="184"/>
      <c r="M597" s="185"/>
      <c r="N597" s="168">
        <v>0</v>
      </c>
      <c r="O597" s="169"/>
      <c r="P597" s="170">
        <v>0</v>
      </c>
      <c r="Q597" s="171"/>
      <c r="R597" s="172">
        <v>0</v>
      </c>
      <c r="S597" s="173"/>
      <c r="T597" s="174">
        <v>0</v>
      </c>
      <c r="U597" s="175"/>
      <c r="V597" s="176">
        <v>0</v>
      </c>
      <c r="W597" s="177"/>
      <c r="X597" s="178">
        <v>0</v>
      </c>
      <c r="Y597" s="179"/>
      <c r="Z597" s="151"/>
      <c r="AA597" s="151"/>
    </row>
    <row r="598" spans="1:27">
      <c r="A598" s="144" t="s">
        <v>5263</v>
      </c>
      <c r="B598" s="144" t="s">
        <v>5263</v>
      </c>
      <c r="C598" s="146" t="s">
        <v>5169</v>
      </c>
      <c r="D598" s="147" t="s">
        <v>5272</v>
      </c>
      <c r="E598" s="139" t="s">
        <v>5273</v>
      </c>
      <c r="F598" s="156" t="s">
        <v>8180</v>
      </c>
      <c r="G598" s="162">
        <v>0.1</v>
      </c>
      <c r="H598" s="163"/>
      <c r="I598" s="149" t="s">
        <v>8179</v>
      </c>
      <c r="J598" s="182"/>
      <c r="K598" s="183"/>
      <c r="L598" s="184"/>
      <c r="M598" s="185"/>
      <c r="N598" s="168">
        <v>0</v>
      </c>
      <c r="O598" s="169"/>
      <c r="P598" s="170">
        <v>0</v>
      </c>
      <c r="Q598" s="171"/>
      <c r="R598" s="172">
        <v>0</v>
      </c>
      <c r="S598" s="173"/>
      <c r="T598" s="174">
        <v>0</v>
      </c>
      <c r="U598" s="175"/>
      <c r="V598" s="176">
        <v>0</v>
      </c>
      <c r="W598" s="177"/>
      <c r="X598" s="178">
        <v>0</v>
      </c>
      <c r="Y598" s="179"/>
      <c r="Z598" s="151"/>
      <c r="AA598" s="151"/>
    </row>
    <row r="599" spans="1:27">
      <c r="A599" s="144" t="s">
        <v>5263</v>
      </c>
      <c r="B599" s="144" t="s">
        <v>5263</v>
      </c>
      <c r="C599" s="146" t="s">
        <v>5169</v>
      </c>
      <c r="D599" s="147" t="s">
        <v>5274</v>
      </c>
      <c r="E599" s="139" t="s">
        <v>5275</v>
      </c>
      <c r="F599" s="156" t="s">
        <v>3226</v>
      </c>
      <c r="G599" s="162">
        <v>0.1</v>
      </c>
      <c r="H599" s="163"/>
      <c r="I599" s="149" t="s">
        <v>8182</v>
      </c>
      <c r="J599" s="182"/>
      <c r="K599" s="183"/>
      <c r="L599" s="184"/>
      <c r="M599" s="185"/>
      <c r="N599" s="168">
        <v>0</v>
      </c>
      <c r="O599" s="169"/>
      <c r="P599" s="170">
        <v>0</v>
      </c>
      <c r="Q599" s="171"/>
      <c r="R599" s="172">
        <v>0</v>
      </c>
      <c r="S599" s="173"/>
      <c r="T599" s="174">
        <v>0</v>
      </c>
      <c r="U599" s="175"/>
      <c r="V599" s="176">
        <v>0</v>
      </c>
      <c r="W599" s="177"/>
      <c r="X599" s="178">
        <v>0</v>
      </c>
      <c r="Y599" s="179"/>
      <c r="Z599" s="151"/>
      <c r="AA599" s="151"/>
    </row>
    <row r="600" spans="1:27">
      <c r="A600" s="144" t="s">
        <v>5263</v>
      </c>
      <c r="B600" s="144" t="s">
        <v>5263</v>
      </c>
      <c r="C600" s="146" t="s">
        <v>5169</v>
      </c>
      <c r="D600" s="147" t="s">
        <v>5276</v>
      </c>
      <c r="E600" s="139" t="s">
        <v>5277</v>
      </c>
      <c r="F600" s="156" t="s">
        <v>8181</v>
      </c>
      <c r="G600" s="162">
        <v>0.1</v>
      </c>
      <c r="H600" s="163"/>
      <c r="I600" s="149" t="s">
        <v>8182</v>
      </c>
      <c r="J600" s="182"/>
      <c r="K600" s="183"/>
      <c r="L600" s="184"/>
      <c r="M600" s="185"/>
      <c r="N600" s="168">
        <v>0</v>
      </c>
      <c r="O600" s="169"/>
      <c r="P600" s="170">
        <v>0</v>
      </c>
      <c r="Q600" s="171"/>
      <c r="R600" s="172">
        <v>0</v>
      </c>
      <c r="S600" s="173"/>
      <c r="T600" s="174">
        <v>0</v>
      </c>
      <c r="U600" s="175"/>
      <c r="V600" s="176">
        <v>0</v>
      </c>
      <c r="W600" s="177"/>
      <c r="X600" s="178">
        <v>0</v>
      </c>
      <c r="Y600" s="179"/>
      <c r="Z600" s="151"/>
      <c r="AA600" s="151"/>
    </row>
    <row r="601" spans="1:27">
      <c r="A601" s="144" t="s">
        <v>5263</v>
      </c>
      <c r="B601" s="144" t="s">
        <v>5263</v>
      </c>
      <c r="C601" s="146" t="s">
        <v>5169</v>
      </c>
      <c r="D601" s="147" t="s">
        <v>5278</v>
      </c>
      <c r="E601" s="139" t="s">
        <v>5279</v>
      </c>
      <c r="F601" s="156" t="s">
        <v>8183</v>
      </c>
      <c r="G601" s="162">
        <v>0.1</v>
      </c>
      <c r="H601" s="163"/>
      <c r="I601" s="149" t="s">
        <v>8182</v>
      </c>
      <c r="J601" s="182"/>
      <c r="K601" s="183"/>
      <c r="L601" s="184"/>
      <c r="M601" s="185"/>
      <c r="N601" s="168">
        <v>0</v>
      </c>
      <c r="O601" s="169"/>
      <c r="P601" s="170">
        <v>0</v>
      </c>
      <c r="Q601" s="171"/>
      <c r="R601" s="172">
        <v>0</v>
      </c>
      <c r="S601" s="173"/>
      <c r="T601" s="174">
        <v>0</v>
      </c>
      <c r="U601" s="175"/>
      <c r="V601" s="176">
        <v>0</v>
      </c>
      <c r="W601" s="177"/>
      <c r="X601" s="178">
        <v>0</v>
      </c>
      <c r="Y601" s="179"/>
      <c r="Z601" s="151"/>
      <c r="AA601" s="151"/>
    </row>
    <row r="602" spans="1:27">
      <c r="A602" s="144" t="s">
        <v>5263</v>
      </c>
      <c r="B602" s="144" t="s">
        <v>5263</v>
      </c>
      <c r="C602" s="146" t="s">
        <v>5169</v>
      </c>
      <c r="D602" s="147" t="s">
        <v>5280</v>
      </c>
      <c r="E602" s="139" t="s">
        <v>5281</v>
      </c>
      <c r="F602" s="156" t="s">
        <v>8185</v>
      </c>
      <c r="G602" s="162">
        <v>0.1</v>
      </c>
      <c r="H602" s="163"/>
      <c r="I602" s="149" t="s">
        <v>8182</v>
      </c>
      <c r="J602" s="182"/>
      <c r="K602" s="183"/>
      <c r="L602" s="184"/>
      <c r="M602" s="185"/>
      <c r="N602" s="168">
        <v>0</v>
      </c>
      <c r="O602" s="169"/>
      <c r="P602" s="170">
        <v>0</v>
      </c>
      <c r="Q602" s="171"/>
      <c r="R602" s="172">
        <v>0</v>
      </c>
      <c r="S602" s="173"/>
      <c r="T602" s="174">
        <v>0</v>
      </c>
      <c r="U602" s="175"/>
      <c r="V602" s="176">
        <v>0</v>
      </c>
      <c r="W602" s="177"/>
      <c r="X602" s="178">
        <v>0</v>
      </c>
      <c r="Y602" s="179"/>
      <c r="Z602" s="151"/>
      <c r="AA602" s="151"/>
    </row>
    <row r="603" spans="1:27">
      <c r="A603" s="144" t="s">
        <v>5263</v>
      </c>
      <c r="B603" s="144" t="s">
        <v>5263</v>
      </c>
      <c r="C603" s="146" t="s">
        <v>5169</v>
      </c>
      <c r="D603" s="147" t="s">
        <v>5282</v>
      </c>
      <c r="E603" s="139" t="s">
        <v>5283</v>
      </c>
      <c r="F603" s="156" t="s">
        <v>1446</v>
      </c>
      <c r="G603" s="162">
        <v>0.1</v>
      </c>
      <c r="H603" s="163"/>
      <c r="I603" s="149" t="s">
        <v>8187</v>
      </c>
      <c r="J603" s="182"/>
      <c r="K603" s="183"/>
      <c r="L603" s="184"/>
      <c r="M603" s="185"/>
      <c r="N603" s="168">
        <v>0</v>
      </c>
      <c r="O603" s="169"/>
      <c r="P603" s="170">
        <v>0</v>
      </c>
      <c r="Q603" s="171"/>
      <c r="R603" s="172">
        <v>0</v>
      </c>
      <c r="S603" s="173"/>
      <c r="T603" s="174">
        <v>0</v>
      </c>
      <c r="U603" s="175"/>
      <c r="V603" s="176">
        <v>0</v>
      </c>
      <c r="W603" s="177"/>
      <c r="X603" s="178">
        <v>0</v>
      </c>
      <c r="Y603" s="179"/>
      <c r="Z603" s="151"/>
      <c r="AA603" s="151"/>
    </row>
    <row r="604" spans="1:27">
      <c r="A604" s="144" t="s">
        <v>5263</v>
      </c>
      <c r="B604" s="144" t="s">
        <v>5263</v>
      </c>
      <c r="C604" s="146" t="s">
        <v>5169</v>
      </c>
      <c r="D604" s="147" t="s">
        <v>5284</v>
      </c>
      <c r="E604" s="139" t="s">
        <v>5285</v>
      </c>
      <c r="F604" s="156" t="s">
        <v>1988</v>
      </c>
      <c r="G604" s="162">
        <v>0.1</v>
      </c>
      <c r="H604" s="163"/>
      <c r="I604" s="149" t="s">
        <v>8187</v>
      </c>
      <c r="J604" s="182"/>
      <c r="K604" s="183"/>
      <c r="L604" s="184"/>
      <c r="M604" s="185"/>
      <c r="N604" s="168">
        <v>0</v>
      </c>
      <c r="O604" s="169"/>
      <c r="P604" s="170">
        <v>0</v>
      </c>
      <c r="Q604" s="171"/>
      <c r="R604" s="172">
        <v>0</v>
      </c>
      <c r="S604" s="173"/>
      <c r="T604" s="174">
        <v>0</v>
      </c>
      <c r="U604" s="175"/>
      <c r="V604" s="176">
        <v>0</v>
      </c>
      <c r="W604" s="177"/>
      <c r="X604" s="178">
        <v>0</v>
      </c>
      <c r="Y604" s="179"/>
      <c r="Z604" s="151"/>
      <c r="AA604" s="151"/>
    </row>
    <row r="605" spans="1:27">
      <c r="A605" s="144" t="s">
        <v>5263</v>
      </c>
      <c r="B605" s="144" t="s">
        <v>5263</v>
      </c>
      <c r="C605" s="146" t="s">
        <v>5169</v>
      </c>
      <c r="D605" s="147" t="s">
        <v>5286</v>
      </c>
      <c r="E605" s="139" t="s">
        <v>5287</v>
      </c>
      <c r="F605" s="156" t="s">
        <v>8189</v>
      </c>
      <c r="G605" s="162">
        <v>0.1</v>
      </c>
      <c r="H605" s="163"/>
      <c r="I605" s="149" t="s">
        <v>8187</v>
      </c>
      <c r="J605" s="182"/>
      <c r="K605" s="183"/>
      <c r="L605" s="184"/>
      <c r="M605" s="185"/>
      <c r="N605" s="168">
        <v>0</v>
      </c>
      <c r="O605" s="169"/>
      <c r="P605" s="170">
        <v>0</v>
      </c>
      <c r="Q605" s="171"/>
      <c r="R605" s="172">
        <v>0</v>
      </c>
      <c r="S605" s="173"/>
      <c r="T605" s="174">
        <v>0</v>
      </c>
      <c r="U605" s="175"/>
      <c r="V605" s="176">
        <v>0</v>
      </c>
      <c r="W605" s="177"/>
      <c r="X605" s="178">
        <v>0</v>
      </c>
      <c r="Y605" s="179"/>
      <c r="Z605" s="151"/>
      <c r="AA605" s="151"/>
    </row>
    <row r="606" spans="1:27">
      <c r="A606" s="144" t="s">
        <v>5263</v>
      </c>
      <c r="B606" s="144" t="s">
        <v>5263</v>
      </c>
      <c r="C606" s="146" t="s">
        <v>5169</v>
      </c>
      <c r="D606" s="147" t="s">
        <v>5288</v>
      </c>
      <c r="E606" s="139" t="s">
        <v>5289</v>
      </c>
      <c r="F606" s="156" t="s">
        <v>8190</v>
      </c>
      <c r="G606" s="162">
        <v>0.1</v>
      </c>
      <c r="H606" s="163"/>
      <c r="I606" s="149" t="s">
        <v>8187</v>
      </c>
      <c r="J606" s="182"/>
      <c r="K606" s="183"/>
      <c r="L606" s="184"/>
      <c r="M606" s="185"/>
      <c r="N606" s="168">
        <v>0</v>
      </c>
      <c r="O606" s="169"/>
      <c r="P606" s="170">
        <v>0</v>
      </c>
      <c r="Q606" s="171"/>
      <c r="R606" s="172">
        <v>0</v>
      </c>
      <c r="S606" s="173"/>
      <c r="T606" s="174">
        <v>0</v>
      </c>
      <c r="U606" s="175"/>
      <c r="V606" s="176">
        <v>0</v>
      </c>
      <c r="W606" s="177"/>
      <c r="X606" s="178">
        <v>0</v>
      </c>
      <c r="Y606" s="179"/>
      <c r="Z606" s="151"/>
      <c r="AA606" s="151"/>
    </row>
    <row r="607" spans="1:27">
      <c r="A607" s="144" t="s">
        <v>5263</v>
      </c>
      <c r="B607" s="144" t="s">
        <v>5263</v>
      </c>
      <c r="C607" s="146" t="s">
        <v>5169</v>
      </c>
      <c r="D607" s="147" t="s">
        <v>5290</v>
      </c>
      <c r="E607" s="139" t="s">
        <v>5291</v>
      </c>
      <c r="F607" s="156" t="s">
        <v>8191</v>
      </c>
      <c r="G607" s="162">
        <v>0.1</v>
      </c>
      <c r="H607" s="163"/>
      <c r="I607" s="149" t="s">
        <v>8192</v>
      </c>
      <c r="J607" s="182"/>
      <c r="K607" s="183"/>
      <c r="L607" s="184"/>
      <c r="M607" s="185"/>
      <c r="N607" s="168">
        <v>0</v>
      </c>
      <c r="O607" s="169"/>
      <c r="P607" s="170">
        <v>0</v>
      </c>
      <c r="Q607" s="171"/>
      <c r="R607" s="172">
        <v>0</v>
      </c>
      <c r="S607" s="173"/>
      <c r="T607" s="174">
        <v>0</v>
      </c>
      <c r="U607" s="175"/>
      <c r="V607" s="176">
        <v>0</v>
      </c>
      <c r="W607" s="177"/>
      <c r="X607" s="178">
        <v>0</v>
      </c>
      <c r="Y607" s="179"/>
      <c r="Z607" s="151"/>
      <c r="AA607" s="151"/>
    </row>
    <row r="608" spans="1:27">
      <c r="A608" s="144" t="s">
        <v>5263</v>
      </c>
      <c r="B608" s="144" t="s">
        <v>5263</v>
      </c>
      <c r="C608" s="146" t="s">
        <v>5169</v>
      </c>
      <c r="D608" s="147" t="s">
        <v>5292</v>
      </c>
      <c r="E608" s="139" t="s">
        <v>5293</v>
      </c>
      <c r="F608" s="156" t="s">
        <v>8215</v>
      </c>
      <c r="G608" s="162">
        <v>0.1</v>
      </c>
      <c r="H608" s="163"/>
      <c r="I608" s="149" t="s">
        <v>8192</v>
      </c>
      <c r="J608" s="182"/>
      <c r="K608" s="183"/>
      <c r="L608" s="184"/>
      <c r="M608" s="185"/>
      <c r="N608" s="168">
        <v>0</v>
      </c>
      <c r="O608" s="169"/>
      <c r="P608" s="170">
        <v>0</v>
      </c>
      <c r="Q608" s="171"/>
      <c r="R608" s="172">
        <v>0</v>
      </c>
      <c r="S608" s="173"/>
      <c r="T608" s="174">
        <v>0</v>
      </c>
      <c r="U608" s="175"/>
      <c r="V608" s="176">
        <v>0</v>
      </c>
      <c r="W608" s="177"/>
      <c r="X608" s="178">
        <v>0</v>
      </c>
      <c r="Y608" s="179"/>
      <c r="Z608" s="151"/>
      <c r="AA608" s="151"/>
    </row>
    <row r="609" spans="1:27">
      <c r="A609" s="144" t="s">
        <v>5263</v>
      </c>
      <c r="B609" s="144" t="s">
        <v>5263</v>
      </c>
      <c r="C609" s="146" t="s">
        <v>5169</v>
      </c>
      <c r="D609" s="147" t="s">
        <v>5294</v>
      </c>
      <c r="E609" s="139" t="s">
        <v>5295</v>
      </c>
      <c r="F609" s="156" t="s">
        <v>8145</v>
      </c>
      <c r="G609" s="162">
        <v>0.1</v>
      </c>
      <c r="H609" s="163"/>
      <c r="I609" s="149" t="s">
        <v>8192</v>
      </c>
      <c r="J609" s="182"/>
      <c r="K609" s="183"/>
      <c r="L609" s="184"/>
      <c r="M609" s="185"/>
      <c r="N609" s="168">
        <v>0</v>
      </c>
      <c r="O609" s="169"/>
      <c r="P609" s="170">
        <v>0</v>
      </c>
      <c r="Q609" s="171"/>
      <c r="R609" s="172">
        <v>0</v>
      </c>
      <c r="S609" s="173"/>
      <c r="T609" s="174">
        <v>0</v>
      </c>
      <c r="U609" s="175"/>
      <c r="V609" s="176">
        <v>0</v>
      </c>
      <c r="W609" s="177"/>
      <c r="X609" s="178">
        <v>0</v>
      </c>
      <c r="Y609" s="179"/>
      <c r="Z609" s="151"/>
      <c r="AA609" s="151"/>
    </row>
    <row r="610" spans="1:27">
      <c r="A610" s="144" t="s">
        <v>5263</v>
      </c>
      <c r="B610" s="144" t="s">
        <v>5263</v>
      </c>
      <c r="C610" s="146" t="s">
        <v>5169</v>
      </c>
      <c r="D610" s="147" t="s">
        <v>5296</v>
      </c>
      <c r="E610" s="139" t="s">
        <v>5297</v>
      </c>
      <c r="F610" s="156" t="s">
        <v>1101</v>
      </c>
      <c r="G610" s="162">
        <v>0.1</v>
      </c>
      <c r="H610" s="163"/>
      <c r="I610" s="149" t="s">
        <v>8192</v>
      </c>
      <c r="J610" s="182"/>
      <c r="K610" s="183"/>
      <c r="L610" s="184"/>
      <c r="M610" s="185"/>
      <c r="N610" s="168">
        <v>0</v>
      </c>
      <c r="O610" s="169"/>
      <c r="P610" s="170">
        <v>0</v>
      </c>
      <c r="Q610" s="171"/>
      <c r="R610" s="172">
        <v>0</v>
      </c>
      <c r="S610" s="173"/>
      <c r="T610" s="174">
        <v>0</v>
      </c>
      <c r="U610" s="175"/>
      <c r="V610" s="176">
        <v>0</v>
      </c>
      <c r="W610" s="177"/>
      <c r="X610" s="178">
        <v>0</v>
      </c>
      <c r="Y610" s="179"/>
      <c r="Z610" s="151"/>
      <c r="AA610" s="151"/>
    </row>
    <row r="611" spans="1:27">
      <c r="A611" s="144" t="s">
        <v>5263</v>
      </c>
      <c r="B611" s="144" t="s">
        <v>5263</v>
      </c>
      <c r="C611" s="146" t="s">
        <v>5169</v>
      </c>
      <c r="D611" s="147" t="s">
        <v>5298</v>
      </c>
      <c r="E611" s="139" t="s">
        <v>5299</v>
      </c>
      <c r="F611" s="156" t="s">
        <v>1108</v>
      </c>
      <c r="G611" s="162">
        <v>0.1</v>
      </c>
      <c r="H611" s="163"/>
      <c r="I611" s="149" t="s">
        <v>8192</v>
      </c>
      <c r="J611" s="182"/>
      <c r="K611" s="183"/>
      <c r="L611" s="184"/>
      <c r="M611" s="185"/>
      <c r="N611" s="168">
        <v>0</v>
      </c>
      <c r="O611" s="169"/>
      <c r="P611" s="170">
        <v>0</v>
      </c>
      <c r="Q611" s="171"/>
      <c r="R611" s="172">
        <v>0</v>
      </c>
      <c r="S611" s="173"/>
      <c r="T611" s="174">
        <v>0</v>
      </c>
      <c r="U611" s="175"/>
      <c r="V611" s="176">
        <v>0</v>
      </c>
      <c r="W611" s="177"/>
      <c r="X611" s="178">
        <v>0</v>
      </c>
      <c r="Y611" s="179"/>
      <c r="Z611" s="151"/>
      <c r="AA611" s="151"/>
    </row>
    <row r="612" spans="1:27">
      <c r="A612" s="144" t="s">
        <v>5263</v>
      </c>
      <c r="B612" s="144" t="s">
        <v>5263</v>
      </c>
      <c r="C612" s="146" t="s">
        <v>5169</v>
      </c>
      <c r="D612" s="147" t="s">
        <v>5300</v>
      </c>
      <c r="E612" s="139" t="s">
        <v>5301</v>
      </c>
      <c r="F612" s="156" t="s">
        <v>1113</v>
      </c>
      <c r="G612" s="162">
        <v>0.1</v>
      </c>
      <c r="H612" s="163"/>
      <c r="I612" s="149" t="s">
        <v>8192</v>
      </c>
      <c r="J612" s="182"/>
      <c r="K612" s="183"/>
      <c r="L612" s="184"/>
      <c r="M612" s="185"/>
      <c r="N612" s="168">
        <v>0</v>
      </c>
      <c r="O612" s="169"/>
      <c r="P612" s="170">
        <v>0</v>
      </c>
      <c r="Q612" s="171"/>
      <c r="R612" s="172">
        <v>0</v>
      </c>
      <c r="S612" s="173"/>
      <c r="T612" s="174">
        <v>0</v>
      </c>
      <c r="U612" s="175"/>
      <c r="V612" s="176">
        <v>0</v>
      </c>
      <c r="W612" s="177"/>
      <c r="X612" s="178">
        <v>0</v>
      </c>
      <c r="Y612" s="179"/>
      <c r="Z612" s="151"/>
      <c r="AA612" s="151"/>
    </row>
    <row r="613" spans="1:27">
      <c r="A613" s="144" t="s">
        <v>5263</v>
      </c>
      <c r="B613" s="144" t="s">
        <v>5263</v>
      </c>
      <c r="C613" s="146" t="s">
        <v>5169</v>
      </c>
      <c r="D613" s="147" t="s">
        <v>5302</v>
      </c>
      <c r="E613" s="139" t="s">
        <v>5303</v>
      </c>
      <c r="F613" s="156" t="s">
        <v>3212</v>
      </c>
      <c r="G613" s="162">
        <v>0.1</v>
      </c>
      <c r="H613" s="163"/>
      <c r="I613" s="149" t="s">
        <v>8192</v>
      </c>
      <c r="J613" s="182"/>
      <c r="K613" s="183"/>
      <c r="L613" s="184"/>
      <c r="M613" s="185"/>
      <c r="N613" s="168">
        <v>0</v>
      </c>
      <c r="O613" s="169"/>
      <c r="P613" s="170">
        <v>0</v>
      </c>
      <c r="Q613" s="171"/>
      <c r="R613" s="172">
        <v>0</v>
      </c>
      <c r="S613" s="173"/>
      <c r="T613" s="174">
        <v>0</v>
      </c>
      <c r="U613" s="175"/>
      <c r="V613" s="176">
        <v>0</v>
      </c>
      <c r="W613" s="177"/>
      <c r="X613" s="178">
        <v>0</v>
      </c>
      <c r="Y613" s="179"/>
      <c r="Z613" s="151"/>
      <c r="AA613" s="151"/>
    </row>
    <row r="614" spans="1:27">
      <c r="A614" s="144" t="s">
        <v>5263</v>
      </c>
      <c r="B614" s="144" t="s">
        <v>5263</v>
      </c>
      <c r="C614" s="146" t="s">
        <v>5169</v>
      </c>
      <c r="D614" s="147" t="s">
        <v>5304</v>
      </c>
      <c r="E614" s="139" t="s">
        <v>5305</v>
      </c>
      <c r="F614" s="156" t="s">
        <v>3210</v>
      </c>
      <c r="G614" s="162">
        <v>0.1</v>
      </c>
      <c r="H614" s="163"/>
      <c r="I614" s="149" t="s">
        <v>8192</v>
      </c>
      <c r="J614" s="182"/>
      <c r="K614" s="183"/>
      <c r="L614" s="184"/>
      <c r="M614" s="185"/>
      <c r="N614" s="168">
        <v>0</v>
      </c>
      <c r="O614" s="169"/>
      <c r="P614" s="170">
        <v>0</v>
      </c>
      <c r="Q614" s="171"/>
      <c r="R614" s="172">
        <v>0</v>
      </c>
      <c r="S614" s="173"/>
      <c r="T614" s="174">
        <v>0</v>
      </c>
      <c r="U614" s="175"/>
      <c r="V614" s="176">
        <v>0</v>
      </c>
      <c r="W614" s="177"/>
      <c r="X614" s="178">
        <v>0</v>
      </c>
      <c r="Y614" s="179"/>
      <c r="Z614" s="151"/>
      <c r="AA614" s="151"/>
    </row>
    <row r="615" spans="1:27">
      <c r="A615" s="144" t="s">
        <v>5263</v>
      </c>
      <c r="B615" s="144" t="s">
        <v>5263</v>
      </c>
      <c r="C615" s="146" t="s">
        <v>5169</v>
      </c>
      <c r="D615" s="147" t="s">
        <v>5306</v>
      </c>
      <c r="E615" s="139" t="s">
        <v>5307</v>
      </c>
      <c r="F615" s="156" t="s">
        <v>8194</v>
      </c>
      <c r="G615" s="162">
        <v>0.1</v>
      </c>
      <c r="H615" s="163"/>
      <c r="I615" s="149" t="s">
        <v>8192</v>
      </c>
      <c r="J615" s="182"/>
      <c r="K615" s="183"/>
      <c r="L615" s="184"/>
      <c r="M615" s="185"/>
      <c r="N615" s="168">
        <v>0</v>
      </c>
      <c r="O615" s="169"/>
      <c r="P615" s="170">
        <v>0</v>
      </c>
      <c r="Q615" s="171"/>
      <c r="R615" s="172">
        <v>0</v>
      </c>
      <c r="S615" s="173"/>
      <c r="T615" s="174">
        <v>0</v>
      </c>
      <c r="U615" s="175"/>
      <c r="V615" s="176">
        <v>0</v>
      </c>
      <c r="W615" s="177"/>
      <c r="X615" s="178">
        <v>0</v>
      </c>
      <c r="Y615" s="179"/>
      <c r="Z615" s="151"/>
      <c r="AA615" s="151"/>
    </row>
    <row r="616" spans="1:27">
      <c r="A616" s="144" t="s">
        <v>5263</v>
      </c>
      <c r="B616" s="144" t="s">
        <v>5263</v>
      </c>
      <c r="C616" s="146" t="s">
        <v>5169</v>
      </c>
      <c r="D616" s="147" t="s">
        <v>5308</v>
      </c>
      <c r="E616" s="139" t="s">
        <v>5309</v>
      </c>
      <c r="F616" s="156" t="s">
        <v>8195</v>
      </c>
      <c r="G616" s="162">
        <v>0.1</v>
      </c>
      <c r="H616" s="163"/>
      <c r="I616" s="149" t="s">
        <v>8196</v>
      </c>
      <c r="J616" s="182"/>
      <c r="K616" s="183"/>
      <c r="L616" s="184"/>
      <c r="M616" s="185"/>
      <c r="N616" s="168">
        <v>0</v>
      </c>
      <c r="O616" s="169"/>
      <c r="P616" s="170">
        <v>0</v>
      </c>
      <c r="Q616" s="171"/>
      <c r="R616" s="172">
        <v>0</v>
      </c>
      <c r="S616" s="173"/>
      <c r="T616" s="174">
        <v>0</v>
      </c>
      <c r="U616" s="175"/>
      <c r="V616" s="176">
        <v>0</v>
      </c>
      <c r="W616" s="177"/>
      <c r="X616" s="178">
        <v>0</v>
      </c>
      <c r="Y616" s="179"/>
      <c r="Z616" s="151"/>
      <c r="AA616" s="151"/>
    </row>
    <row r="617" spans="1:27">
      <c r="A617" s="144" t="s">
        <v>5263</v>
      </c>
      <c r="B617" s="144" t="s">
        <v>5263</v>
      </c>
      <c r="C617" s="146" t="s">
        <v>5169</v>
      </c>
      <c r="D617" s="147" t="s">
        <v>5310</v>
      </c>
      <c r="E617" s="139" t="s">
        <v>5311</v>
      </c>
      <c r="F617" s="156" t="s">
        <v>8197</v>
      </c>
      <c r="G617" s="162">
        <v>0.1</v>
      </c>
      <c r="H617" s="163"/>
      <c r="I617" s="149" t="s">
        <v>8196</v>
      </c>
      <c r="J617" s="182"/>
      <c r="K617" s="183"/>
      <c r="L617" s="184"/>
      <c r="M617" s="185"/>
      <c r="N617" s="168">
        <v>0</v>
      </c>
      <c r="O617" s="169"/>
      <c r="P617" s="170">
        <v>0</v>
      </c>
      <c r="Q617" s="171"/>
      <c r="R617" s="172">
        <v>0</v>
      </c>
      <c r="S617" s="173"/>
      <c r="T617" s="174">
        <v>0</v>
      </c>
      <c r="U617" s="175"/>
      <c r="V617" s="176">
        <v>0</v>
      </c>
      <c r="W617" s="177"/>
      <c r="X617" s="178">
        <v>0</v>
      </c>
      <c r="Y617" s="179"/>
      <c r="Z617" s="151"/>
      <c r="AA617" s="151"/>
    </row>
    <row r="618" spans="1:27">
      <c r="A618" s="144" t="s">
        <v>5263</v>
      </c>
      <c r="B618" s="144" t="s">
        <v>5263</v>
      </c>
      <c r="C618" s="146" t="s">
        <v>5169</v>
      </c>
      <c r="D618" s="147" t="s">
        <v>5312</v>
      </c>
      <c r="E618" s="139" t="s">
        <v>5313</v>
      </c>
      <c r="F618" s="156" t="s">
        <v>8007</v>
      </c>
      <c r="G618" s="162">
        <v>0.1</v>
      </c>
      <c r="H618" s="163"/>
      <c r="I618" s="149" t="s">
        <v>8196</v>
      </c>
      <c r="J618" s="182"/>
      <c r="K618" s="183"/>
      <c r="L618" s="184"/>
      <c r="M618" s="185"/>
      <c r="N618" s="168">
        <v>0</v>
      </c>
      <c r="O618" s="169"/>
      <c r="P618" s="170">
        <v>0</v>
      </c>
      <c r="Q618" s="171"/>
      <c r="R618" s="172">
        <v>0</v>
      </c>
      <c r="S618" s="173"/>
      <c r="T618" s="174">
        <v>0</v>
      </c>
      <c r="U618" s="175"/>
      <c r="V618" s="176">
        <v>0</v>
      </c>
      <c r="W618" s="177"/>
      <c r="X618" s="178">
        <v>0</v>
      </c>
      <c r="Y618" s="179"/>
      <c r="Z618" s="151"/>
      <c r="AA618" s="151"/>
    </row>
    <row r="619" spans="1:27">
      <c r="A619" s="144" t="s">
        <v>5263</v>
      </c>
      <c r="B619" s="144" t="s">
        <v>5263</v>
      </c>
      <c r="C619" s="146" t="s">
        <v>5169</v>
      </c>
      <c r="D619" s="147" t="s">
        <v>5314</v>
      </c>
      <c r="E619" s="139" t="s">
        <v>5315</v>
      </c>
      <c r="F619" s="156" t="s">
        <v>1446</v>
      </c>
      <c r="G619" s="162">
        <v>0.1</v>
      </c>
      <c r="H619" s="163"/>
      <c r="I619" s="149" t="s">
        <v>8196</v>
      </c>
      <c r="J619" s="182"/>
      <c r="K619" s="183"/>
      <c r="L619" s="184"/>
      <c r="M619" s="185"/>
      <c r="N619" s="168">
        <v>0</v>
      </c>
      <c r="O619" s="169"/>
      <c r="P619" s="170">
        <v>0</v>
      </c>
      <c r="Q619" s="171"/>
      <c r="R619" s="172">
        <v>0</v>
      </c>
      <c r="S619" s="173"/>
      <c r="T619" s="174">
        <v>0</v>
      </c>
      <c r="U619" s="175"/>
      <c r="V619" s="176">
        <v>0</v>
      </c>
      <c r="W619" s="177"/>
      <c r="X619" s="178">
        <v>0</v>
      </c>
      <c r="Y619" s="179"/>
      <c r="Z619" s="151"/>
      <c r="AA619" s="151"/>
    </row>
    <row r="620" spans="1:27">
      <c r="A620" s="144" t="s">
        <v>5263</v>
      </c>
      <c r="B620" s="144" t="s">
        <v>5263</v>
      </c>
      <c r="C620" s="146" t="s">
        <v>5169</v>
      </c>
      <c r="D620" s="147" t="s">
        <v>5316</v>
      </c>
      <c r="E620" s="139" t="s">
        <v>5317</v>
      </c>
      <c r="F620" s="156" t="s">
        <v>1101</v>
      </c>
      <c r="G620" s="162">
        <v>0.1</v>
      </c>
      <c r="H620" s="163"/>
      <c r="I620" s="149" t="s">
        <v>8196</v>
      </c>
      <c r="J620" s="182"/>
      <c r="K620" s="183"/>
      <c r="L620" s="184"/>
      <c r="M620" s="185"/>
      <c r="N620" s="168">
        <v>0</v>
      </c>
      <c r="O620" s="169"/>
      <c r="P620" s="170">
        <v>0</v>
      </c>
      <c r="Q620" s="171"/>
      <c r="R620" s="172">
        <v>0</v>
      </c>
      <c r="S620" s="173"/>
      <c r="T620" s="174">
        <v>0</v>
      </c>
      <c r="U620" s="175"/>
      <c r="V620" s="176">
        <v>0</v>
      </c>
      <c r="W620" s="177"/>
      <c r="X620" s="178">
        <v>0</v>
      </c>
      <c r="Y620" s="179"/>
      <c r="Z620" s="151"/>
      <c r="AA620" s="151"/>
    </row>
    <row r="621" spans="1:27">
      <c r="A621" s="144" t="s">
        <v>5263</v>
      </c>
      <c r="B621" s="144" t="s">
        <v>5263</v>
      </c>
      <c r="C621" s="146" t="s">
        <v>5169</v>
      </c>
      <c r="D621" s="147" t="s">
        <v>5318</v>
      </c>
      <c r="E621" s="139" t="s">
        <v>5319</v>
      </c>
      <c r="F621" s="156" t="s">
        <v>1625</v>
      </c>
      <c r="G621" s="162">
        <v>0.1</v>
      </c>
      <c r="H621" s="163"/>
      <c r="I621" s="149" t="s">
        <v>8196</v>
      </c>
      <c r="J621" s="182"/>
      <c r="K621" s="183"/>
      <c r="L621" s="184"/>
      <c r="M621" s="185"/>
      <c r="N621" s="168">
        <v>0</v>
      </c>
      <c r="O621" s="169"/>
      <c r="P621" s="170">
        <v>0</v>
      </c>
      <c r="Q621" s="171"/>
      <c r="R621" s="172">
        <v>0</v>
      </c>
      <c r="S621" s="173"/>
      <c r="T621" s="174">
        <v>0</v>
      </c>
      <c r="U621" s="175"/>
      <c r="V621" s="176">
        <v>0</v>
      </c>
      <c r="W621" s="177"/>
      <c r="X621" s="178">
        <v>0</v>
      </c>
      <c r="Y621" s="179"/>
      <c r="Z621" s="151"/>
      <c r="AA621" s="151"/>
    </row>
    <row r="622" spans="1:27">
      <c r="A622" s="144" t="s">
        <v>5263</v>
      </c>
      <c r="B622" s="144" t="s">
        <v>5263</v>
      </c>
      <c r="C622" s="146" t="s">
        <v>5169</v>
      </c>
      <c r="D622" s="147" t="s">
        <v>5320</v>
      </c>
      <c r="E622" s="139" t="s">
        <v>5321</v>
      </c>
      <c r="F622" s="156" t="s">
        <v>8216</v>
      </c>
      <c r="G622" s="162">
        <v>0.1</v>
      </c>
      <c r="H622" s="163"/>
      <c r="I622" s="149" t="s">
        <v>8200</v>
      </c>
      <c r="J622" s="182"/>
      <c r="K622" s="183"/>
      <c r="L622" s="184"/>
      <c r="M622" s="185"/>
      <c r="N622" s="168">
        <v>0</v>
      </c>
      <c r="O622" s="169"/>
      <c r="P622" s="170">
        <v>0</v>
      </c>
      <c r="Q622" s="171"/>
      <c r="R622" s="172">
        <v>0</v>
      </c>
      <c r="S622" s="173"/>
      <c r="T622" s="174">
        <v>0</v>
      </c>
      <c r="U622" s="175"/>
      <c r="V622" s="176">
        <v>0</v>
      </c>
      <c r="W622" s="177"/>
      <c r="X622" s="178">
        <v>0</v>
      </c>
      <c r="Y622" s="179"/>
      <c r="Z622" s="151"/>
      <c r="AA622" s="151"/>
    </row>
    <row r="623" spans="1:27">
      <c r="A623" s="144" t="s">
        <v>5263</v>
      </c>
      <c r="B623" s="144" t="s">
        <v>5263</v>
      </c>
      <c r="C623" s="146" t="s">
        <v>5169</v>
      </c>
      <c r="D623" s="147" t="s">
        <v>5322</v>
      </c>
      <c r="E623" s="139" t="s">
        <v>5323</v>
      </c>
      <c r="F623" s="156" t="s">
        <v>8201</v>
      </c>
      <c r="G623" s="162">
        <v>0.1</v>
      </c>
      <c r="H623" s="163"/>
      <c r="I623" s="149" t="s">
        <v>8200</v>
      </c>
      <c r="J623" s="182"/>
      <c r="K623" s="183"/>
      <c r="L623" s="184"/>
      <c r="M623" s="185"/>
      <c r="N623" s="168">
        <v>0</v>
      </c>
      <c r="O623" s="169"/>
      <c r="P623" s="170">
        <v>0</v>
      </c>
      <c r="Q623" s="171"/>
      <c r="R623" s="172">
        <v>0</v>
      </c>
      <c r="S623" s="173"/>
      <c r="T623" s="174">
        <v>0</v>
      </c>
      <c r="U623" s="175"/>
      <c r="V623" s="176">
        <v>0</v>
      </c>
      <c r="W623" s="177"/>
      <c r="X623" s="178">
        <v>0</v>
      </c>
      <c r="Y623" s="179"/>
      <c r="Z623" s="151"/>
      <c r="AA623" s="151"/>
    </row>
    <row r="624" spans="1:27">
      <c r="A624" s="144" t="s">
        <v>5263</v>
      </c>
      <c r="B624" s="144" t="s">
        <v>5263</v>
      </c>
      <c r="C624" s="146" t="s">
        <v>5169</v>
      </c>
      <c r="D624" s="147" t="s">
        <v>5324</v>
      </c>
      <c r="E624" s="139" t="s">
        <v>5325</v>
      </c>
      <c r="F624" s="156" t="s">
        <v>8202</v>
      </c>
      <c r="G624" s="162">
        <v>0.1</v>
      </c>
      <c r="H624" s="163"/>
      <c r="I624" s="149" t="s">
        <v>8200</v>
      </c>
      <c r="J624" s="182"/>
      <c r="K624" s="183"/>
      <c r="L624" s="184"/>
      <c r="M624" s="185"/>
      <c r="N624" s="168">
        <v>0</v>
      </c>
      <c r="O624" s="169"/>
      <c r="P624" s="170">
        <v>0</v>
      </c>
      <c r="Q624" s="171"/>
      <c r="R624" s="172">
        <v>0</v>
      </c>
      <c r="S624" s="173"/>
      <c r="T624" s="174">
        <v>0</v>
      </c>
      <c r="U624" s="175"/>
      <c r="V624" s="176">
        <v>0</v>
      </c>
      <c r="W624" s="177"/>
      <c r="X624" s="178">
        <v>0</v>
      </c>
      <c r="Y624" s="179"/>
      <c r="Z624" s="151"/>
      <c r="AA624" s="151"/>
    </row>
    <row r="625" spans="1:27">
      <c r="A625" s="144" t="s">
        <v>5263</v>
      </c>
      <c r="B625" s="144" t="s">
        <v>5263</v>
      </c>
      <c r="C625" s="146" t="s">
        <v>5169</v>
      </c>
      <c r="D625" s="147" t="s">
        <v>5326</v>
      </c>
      <c r="E625" s="139" t="s">
        <v>5327</v>
      </c>
      <c r="F625" s="156" t="s">
        <v>8062</v>
      </c>
      <c r="G625" s="162">
        <v>0.1</v>
      </c>
      <c r="H625" s="163"/>
      <c r="I625" s="149" t="s">
        <v>8200</v>
      </c>
      <c r="J625" s="182"/>
      <c r="K625" s="183"/>
      <c r="L625" s="184"/>
      <c r="M625" s="185"/>
      <c r="N625" s="168">
        <v>0</v>
      </c>
      <c r="O625" s="169"/>
      <c r="P625" s="170">
        <v>0</v>
      </c>
      <c r="Q625" s="171"/>
      <c r="R625" s="172">
        <v>0</v>
      </c>
      <c r="S625" s="173"/>
      <c r="T625" s="174">
        <v>0</v>
      </c>
      <c r="U625" s="175"/>
      <c r="V625" s="176">
        <v>0</v>
      </c>
      <c r="W625" s="177"/>
      <c r="X625" s="178">
        <v>0</v>
      </c>
      <c r="Y625" s="179"/>
      <c r="Z625" s="151"/>
      <c r="AA625" s="151"/>
    </row>
    <row r="626" ht="27" spans="1:27">
      <c r="A626" s="144" t="s">
        <v>5263</v>
      </c>
      <c r="B626" s="144" t="s">
        <v>5263</v>
      </c>
      <c r="C626" s="146" t="s">
        <v>5169</v>
      </c>
      <c r="D626" s="147" t="s">
        <v>5235</v>
      </c>
      <c r="E626" s="139" t="s">
        <v>5328</v>
      </c>
      <c r="F626" s="180" t="s">
        <v>8217</v>
      </c>
      <c r="G626" s="162">
        <v>0.1</v>
      </c>
      <c r="H626" s="163"/>
      <c r="I626" s="149" t="s">
        <v>8200</v>
      </c>
      <c r="J626" s="182"/>
      <c r="K626" s="183"/>
      <c r="L626" s="184"/>
      <c r="M626" s="185"/>
      <c r="N626" s="168">
        <v>0</v>
      </c>
      <c r="O626" s="169"/>
      <c r="P626" s="170">
        <v>0</v>
      </c>
      <c r="Q626" s="171"/>
      <c r="R626" s="172">
        <v>0</v>
      </c>
      <c r="S626" s="173"/>
      <c r="T626" s="174">
        <v>0</v>
      </c>
      <c r="U626" s="175"/>
      <c r="V626" s="176">
        <v>0</v>
      </c>
      <c r="W626" s="177"/>
      <c r="X626" s="178">
        <v>0</v>
      </c>
      <c r="Y626" s="179"/>
      <c r="Z626" s="151"/>
      <c r="AA626" s="151"/>
    </row>
    <row r="627" spans="1:27">
      <c r="A627" s="144" t="s">
        <v>5263</v>
      </c>
      <c r="B627" s="144" t="s">
        <v>5263</v>
      </c>
      <c r="C627" s="146" t="s">
        <v>5169</v>
      </c>
      <c r="D627" s="147" t="s">
        <v>5329</v>
      </c>
      <c r="E627" s="139" t="s">
        <v>5330</v>
      </c>
      <c r="F627" s="156" t="s">
        <v>8204</v>
      </c>
      <c r="G627" s="162">
        <v>0.1</v>
      </c>
      <c r="H627" s="163"/>
      <c r="I627" s="149" t="s">
        <v>8200</v>
      </c>
      <c r="J627" s="182"/>
      <c r="K627" s="183"/>
      <c r="L627" s="184"/>
      <c r="M627" s="185"/>
      <c r="N627" s="168">
        <v>0</v>
      </c>
      <c r="O627" s="169"/>
      <c r="P627" s="170">
        <v>0</v>
      </c>
      <c r="Q627" s="171"/>
      <c r="R627" s="172">
        <v>0</v>
      </c>
      <c r="S627" s="173"/>
      <c r="T627" s="174">
        <v>0</v>
      </c>
      <c r="U627" s="175"/>
      <c r="V627" s="176">
        <v>0</v>
      </c>
      <c r="W627" s="177"/>
      <c r="X627" s="178">
        <v>0</v>
      </c>
      <c r="Y627" s="179"/>
      <c r="Z627" s="151"/>
      <c r="AA627" s="151"/>
    </row>
    <row r="628" spans="1:27">
      <c r="A628" s="144" t="s">
        <v>5263</v>
      </c>
      <c r="B628" s="144" t="s">
        <v>5263</v>
      </c>
      <c r="C628" s="146" t="s">
        <v>5169</v>
      </c>
      <c r="D628" s="147" t="s">
        <v>5331</v>
      </c>
      <c r="E628" s="139" t="s">
        <v>5332</v>
      </c>
      <c r="F628" s="156" t="s">
        <v>8206</v>
      </c>
      <c r="G628" s="162">
        <v>0.1</v>
      </c>
      <c r="H628" s="163"/>
      <c r="I628" s="149" t="s">
        <v>8179</v>
      </c>
      <c r="J628" s="182"/>
      <c r="K628" s="183"/>
      <c r="L628" s="184"/>
      <c r="M628" s="185"/>
      <c r="N628" s="168">
        <v>0</v>
      </c>
      <c r="O628" s="169"/>
      <c r="P628" s="170">
        <v>0</v>
      </c>
      <c r="Q628" s="171"/>
      <c r="R628" s="172">
        <v>0</v>
      </c>
      <c r="S628" s="173"/>
      <c r="T628" s="174">
        <v>0</v>
      </c>
      <c r="U628" s="175"/>
      <c r="V628" s="176">
        <v>0</v>
      </c>
      <c r="W628" s="177"/>
      <c r="X628" s="178">
        <v>0</v>
      </c>
      <c r="Y628" s="179"/>
      <c r="Z628" s="151"/>
      <c r="AA628" s="151"/>
    </row>
    <row r="629" spans="1:27">
      <c r="A629" s="144" t="s">
        <v>5263</v>
      </c>
      <c r="B629" s="144" t="s">
        <v>5263</v>
      </c>
      <c r="C629" s="146" t="s">
        <v>5169</v>
      </c>
      <c r="D629" s="147" t="s">
        <v>5333</v>
      </c>
      <c r="E629" s="139" t="s">
        <v>5334</v>
      </c>
      <c r="F629" s="156" t="s">
        <v>8207</v>
      </c>
      <c r="G629" s="162">
        <v>0.1</v>
      </c>
      <c r="H629" s="163"/>
      <c r="I629" s="149" t="s">
        <v>8179</v>
      </c>
      <c r="J629" s="182"/>
      <c r="K629" s="183"/>
      <c r="L629" s="184"/>
      <c r="M629" s="185"/>
      <c r="N629" s="168">
        <v>0</v>
      </c>
      <c r="O629" s="169"/>
      <c r="P629" s="170">
        <v>0</v>
      </c>
      <c r="Q629" s="171"/>
      <c r="R629" s="172">
        <v>0</v>
      </c>
      <c r="S629" s="173"/>
      <c r="T629" s="174">
        <v>0</v>
      </c>
      <c r="U629" s="175"/>
      <c r="V629" s="176">
        <v>0</v>
      </c>
      <c r="W629" s="177"/>
      <c r="X629" s="178">
        <v>0</v>
      </c>
      <c r="Y629" s="179"/>
      <c r="Z629" s="151"/>
      <c r="AA629" s="151"/>
    </row>
    <row r="630" spans="1:27">
      <c r="A630" s="144" t="s">
        <v>5263</v>
      </c>
      <c r="B630" s="144" t="s">
        <v>5263</v>
      </c>
      <c r="C630" s="146" t="s">
        <v>5169</v>
      </c>
      <c r="D630" s="147" t="s">
        <v>5335</v>
      </c>
      <c r="E630" s="139" t="s">
        <v>5336</v>
      </c>
      <c r="F630" s="156" t="s">
        <v>8208</v>
      </c>
      <c r="G630" s="162">
        <v>0.1</v>
      </c>
      <c r="H630" s="163"/>
      <c r="I630" s="149" t="s">
        <v>8179</v>
      </c>
      <c r="J630" s="182"/>
      <c r="K630" s="183"/>
      <c r="L630" s="184"/>
      <c r="M630" s="185"/>
      <c r="N630" s="168">
        <v>0</v>
      </c>
      <c r="O630" s="169"/>
      <c r="P630" s="170">
        <v>0</v>
      </c>
      <c r="Q630" s="171"/>
      <c r="R630" s="172">
        <v>0</v>
      </c>
      <c r="S630" s="173"/>
      <c r="T630" s="174">
        <v>0</v>
      </c>
      <c r="U630" s="175"/>
      <c r="V630" s="176">
        <v>0</v>
      </c>
      <c r="W630" s="177"/>
      <c r="X630" s="178">
        <v>0</v>
      </c>
      <c r="Y630" s="179"/>
      <c r="Z630" s="151"/>
      <c r="AA630" s="151"/>
    </row>
    <row r="631" spans="1:27">
      <c r="A631" s="144" t="s">
        <v>5263</v>
      </c>
      <c r="B631" s="144" t="s">
        <v>5263</v>
      </c>
      <c r="C631" s="146" t="s">
        <v>5169</v>
      </c>
      <c r="D631" s="147" t="s">
        <v>5337</v>
      </c>
      <c r="E631" s="139" t="s">
        <v>5338</v>
      </c>
      <c r="F631" s="156" t="s">
        <v>8209</v>
      </c>
      <c r="G631" s="162">
        <v>0.1</v>
      </c>
      <c r="H631" s="163"/>
      <c r="I631" s="149" t="s">
        <v>8179</v>
      </c>
      <c r="J631" s="182"/>
      <c r="K631" s="183"/>
      <c r="L631" s="184"/>
      <c r="M631" s="185"/>
      <c r="N631" s="168">
        <v>0</v>
      </c>
      <c r="O631" s="169"/>
      <c r="P631" s="170">
        <v>0</v>
      </c>
      <c r="Q631" s="171"/>
      <c r="R631" s="172">
        <v>0</v>
      </c>
      <c r="S631" s="173"/>
      <c r="T631" s="174">
        <v>0</v>
      </c>
      <c r="U631" s="175"/>
      <c r="V631" s="176">
        <v>0</v>
      </c>
      <c r="W631" s="177"/>
      <c r="X631" s="178">
        <v>0</v>
      </c>
      <c r="Y631" s="179"/>
      <c r="Z631" s="151"/>
      <c r="AA631" s="151"/>
    </row>
    <row r="632" spans="1:27">
      <c r="A632" s="144" t="s">
        <v>5263</v>
      </c>
      <c r="B632" s="144" t="s">
        <v>5263</v>
      </c>
      <c r="C632" s="146" t="s">
        <v>5169</v>
      </c>
      <c r="D632" s="147" t="s">
        <v>5339</v>
      </c>
      <c r="E632" s="139" t="s">
        <v>5340</v>
      </c>
      <c r="F632" s="156" t="s">
        <v>8210</v>
      </c>
      <c r="G632" s="162">
        <v>0.1</v>
      </c>
      <c r="H632" s="163"/>
      <c r="I632" s="149" t="s">
        <v>8179</v>
      </c>
      <c r="J632" s="182"/>
      <c r="K632" s="183"/>
      <c r="L632" s="184"/>
      <c r="M632" s="185"/>
      <c r="N632" s="168">
        <v>0</v>
      </c>
      <c r="O632" s="169"/>
      <c r="P632" s="170">
        <v>0</v>
      </c>
      <c r="Q632" s="171"/>
      <c r="R632" s="172">
        <v>0</v>
      </c>
      <c r="S632" s="173"/>
      <c r="T632" s="174">
        <v>0</v>
      </c>
      <c r="U632" s="175"/>
      <c r="V632" s="176">
        <v>0</v>
      </c>
      <c r="W632" s="177"/>
      <c r="X632" s="178">
        <v>0</v>
      </c>
      <c r="Y632" s="179"/>
      <c r="Z632" s="151"/>
      <c r="AA632" s="151"/>
    </row>
    <row r="633" spans="1:27">
      <c r="A633" s="144" t="s">
        <v>5263</v>
      </c>
      <c r="B633" s="144" t="s">
        <v>5263</v>
      </c>
      <c r="C633" s="146" t="s">
        <v>5169</v>
      </c>
      <c r="D633" s="147" t="s">
        <v>5341</v>
      </c>
      <c r="E633" s="139" t="s">
        <v>5342</v>
      </c>
      <c r="F633" s="156" t="s">
        <v>8211</v>
      </c>
      <c r="G633" s="162">
        <v>0.1</v>
      </c>
      <c r="H633" s="163"/>
      <c r="I633" s="149" t="s">
        <v>8179</v>
      </c>
      <c r="J633" s="182"/>
      <c r="K633" s="183"/>
      <c r="L633" s="184"/>
      <c r="M633" s="185"/>
      <c r="N633" s="168">
        <v>0</v>
      </c>
      <c r="O633" s="169"/>
      <c r="P633" s="170">
        <v>0</v>
      </c>
      <c r="Q633" s="171"/>
      <c r="R633" s="172">
        <v>0</v>
      </c>
      <c r="S633" s="173"/>
      <c r="T633" s="174">
        <v>0</v>
      </c>
      <c r="U633" s="175"/>
      <c r="V633" s="176">
        <v>0</v>
      </c>
      <c r="W633" s="177"/>
      <c r="X633" s="178">
        <v>0</v>
      </c>
      <c r="Y633" s="179"/>
      <c r="Z633" s="151"/>
      <c r="AA633" s="151"/>
    </row>
    <row r="634" spans="1:27">
      <c r="A634" s="144" t="s">
        <v>5263</v>
      </c>
      <c r="B634" s="144" t="s">
        <v>5263</v>
      </c>
      <c r="C634" s="146" t="s">
        <v>5169</v>
      </c>
      <c r="D634" s="147" t="s">
        <v>5343</v>
      </c>
      <c r="E634" s="139" t="s">
        <v>5344</v>
      </c>
      <c r="F634" s="156" t="s">
        <v>8212</v>
      </c>
      <c r="G634" s="162">
        <v>0.1</v>
      </c>
      <c r="H634" s="163"/>
      <c r="I634" s="149" t="s">
        <v>8178</v>
      </c>
      <c r="J634" s="182"/>
      <c r="K634" s="183"/>
      <c r="L634" s="184"/>
      <c r="M634" s="185"/>
      <c r="N634" s="168">
        <v>0</v>
      </c>
      <c r="O634" s="169"/>
      <c r="P634" s="170">
        <v>0</v>
      </c>
      <c r="Q634" s="171"/>
      <c r="R634" s="172">
        <v>0</v>
      </c>
      <c r="S634" s="173"/>
      <c r="T634" s="174">
        <v>0</v>
      </c>
      <c r="U634" s="175"/>
      <c r="V634" s="176">
        <v>0</v>
      </c>
      <c r="W634" s="177"/>
      <c r="X634" s="178">
        <v>0</v>
      </c>
      <c r="Y634" s="179"/>
      <c r="Z634" s="151"/>
      <c r="AA634" s="151"/>
    </row>
    <row r="635" spans="1:27">
      <c r="A635" s="144" t="s">
        <v>5263</v>
      </c>
      <c r="B635" s="144" t="s">
        <v>5263</v>
      </c>
      <c r="C635" s="146" t="s">
        <v>5169</v>
      </c>
      <c r="D635" s="147" t="s">
        <v>5345</v>
      </c>
      <c r="E635" s="139" t="s">
        <v>5346</v>
      </c>
      <c r="F635" s="156" t="s">
        <v>8213</v>
      </c>
      <c r="G635" s="162">
        <v>0.1</v>
      </c>
      <c r="H635" s="163"/>
      <c r="I635" s="149" t="s">
        <v>8178</v>
      </c>
      <c r="J635" s="182"/>
      <c r="K635" s="183"/>
      <c r="L635" s="184"/>
      <c r="M635" s="185"/>
      <c r="N635" s="168">
        <v>0</v>
      </c>
      <c r="O635" s="169"/>
      <c r="P635" s="170">
        <v>0</v>
      </c>
      <c r="Q635" s="171"/>
      <c r="R635" s="172">
        <v>0</v>
      </c>
      <c r="S635" s="173"/>
      <c r="T635" s="174">
        <v>0</v>
      </c>
      <c r="U635" s="175"/>
      <c r="V635" s="176">
        <v>0</v>
      </c>
      <c r="W635" s="177"/>
      <c r="X635" s="178">
        <v>0</v>
      </c>
      <c r="Y635" s="179"/>
      <c r="Z635" s="151"/>
      <c r="AA635" s="151"/>
    </row>
    <row r="636" spans="1:27">
      <c r="A636" s="144" t="s">
        <v>5263</v>
      </c>
      <c r="B636" s="144" t="s">
        <v>5263</v>
      </c>
      <c r="C636" s="146" t="s">
        <v>5169</v>
      </c>
      <c r="D636" s="147" t="s">
        <v>5347</v>
      </c>
      <c r="E636" s="139" t="s">
        <v>5348</v>
      </c>
      <c r="F636" s="156" t="s">
        <v>8214</v>
      </c>
      <c r="G636" s="162">
        <v>0.1</v>
      </c>
      <c r="H636" s="163"/>
      <c r="I636" s="149" t="s">
        <v>8178</v>
      </c>
      <c r="J636" s="182"/>
      <c r="K636" s="183"/>
      <c r="L636" s="184"/>
      <c r="M636" s="185"/>
      <c r="N636" s="168">
        <v>0</v>
      </c>
      <c r="O636" s="169"/>
      <c r="P636" s="170">
        <v>0</v>
      </c>
      <c r="Q636" s="171"/>
      <c r="R636" s="172">
        <v>0</v>
      </c>
      <c r="S636" s="173"/>
      <c r="T636" s="174">
        <v>0</v>
      </c>
      <c r="U636" s="175"/>
      <c r="V636" s="176">
        <v>0</v>
      </c>
      <c r="W636" s="177"/>
      <c r="X636" s="178">
        <v>0</v>
      </c>
      <c r="Y636" s="179"/>
      <c r="Z636" s="151"/>
      <c r="AA636" s="15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A636" etc:filterBottomFollowUsedRange="0">
    <extLst/>
  </autoFilter>
  <mergeCells count="2679">
    <mergeCell ref="G1:H1"/>
    <mergeCell ref="J1:K1"/>
    <mergeCell ref="L1:M1"/>
    <mergeCell ref="N1:O1"/>
    <mergeCell ref="P1:Q1"/>
    <mergeCell ref="R1:S1"/>
    <mergeCell ref="T1:U1"/>
    <mergeCell ref="V1:W1"/>
    <mergeCell ref="X1:Y1"/>
    <mergeCell ref="G272:H272"/>
    <mergeCell ref="J272:K272"/>
    <mergeCell ref="L272:M272"/>
    <mergeCell ref="N272:O272"/>
    <mergeCell ref="P272:Q272"/>
    <mergeCell ref="R272:S272"/>
    <mergeCell ref="T272:U272"/>
    <mergeCell ref="V272:W272"/>
    <mergeCell ref="X272:Y272"/>
    <mergeCell ref="G273:H273"/>
    <mergeCell ref="J273:K273"/>
    <mergeCell ref="L273:M273"/>
    <mergeCell ref="N273:O273"/>
    <mergeCell ref="P273:Q273"/>
    <mergeCell ref="R273:S273"/>
    <mergeCell ref="T273:U273"/>
    <mergeCell ref="V273:W273"/>
    <mergeCell ref="X273:Y273"/>
    <mergeCell ref="G274:H274"/>
    <mergeCell ref="J274:K274"/>
    <mergeCell ref="L274:M274"/>
    <mergeCell ref="N274:O274"/>
    <mergeCell ref="P274:Q274"/>
    <mergeCell ref="R274:S274"/>
    <mergeCell ref="T274:U274"/>
    <mergeCell ref="V274:W274"/>
    <mergeCell ref="X274:Y274"/>
    <mergeCell ref="G275:H275"/>
    <mergeCell ref="J275:K275"/>
    <mergeCell ref="L275:M275"/>
    <mergeCell ref="N275:O275"/>
    <mergeCell ref="P275:Q275"/>
    <mergeCell ref="R275:S275"/>
    <mergeCell ref="T275:U275"/>
    <mergeCell ref="V275:W275"/>
    <mergeCell ref="X275:Y275"/>
    <mergeCell ref="G276:H276"/>
    <mergeCell ref="J276:K276"/>
    <mergeCell ref="L276:M276"/>
    <mergeCell ref="N276:O276"/>
    <mergeCell ref="P276:Q276"/>
    <mergeCell ref="R276:S276"/>
    <mergeCell ref="T276:U276"/>
    <mergeCell ref="V276:W276"/>
    <mergeCell ref="X276:Y276"/>
    <mergeCell ref="G277:H277"/>
    <mergeCell ref="J277:K277"/>
    <mergeCell ref="L277:M277"/>
    <mergeCell ref="N277:O277"/>
    <mergeCell ref="P277:Q277"/>
    <mergeCell ref="R277:S277"/>
    <mergeCell ref="T277:U277"/>
    <mergeCell ref="V277:W277"/>
    <mergeCell ref="X277:Y277"/>
    <mergeCell ref="G278:H278"/>
    <mergeCell ref="J278:K278"/>
    <mergeCell ref="L278:M278"/>
    <mergeCell ref="N278:O278"/>
    <mergeCell ref="P278:Q278"/>
    <mergeCell ref="R278:S278"/>
    <mergeCell ref="T278:U278"/>
    <mergeCell ref="V278:W278"/>
    <mergeCell ref="X278:Y278"/>
    <mergeCell ref="G279:H279"/>
    <mergeCell ref="J279:K279"/>
    <mergeCell ref="L279:M279"/>
    <mergeCell ref="N279:O279"/>
    <mergeCell ref="P279:Q279"/>
    <mergeCell ref="R279:S279"/>
    <mergeCell ref="T279:U279"/>
    <mergeCell ref="V279:W279"/>
    <mergeCell ref="X279:Y279"/>
    <mergeCell ref="G280:H280"/>
    <mergeCell ref="J280:K280"/>
    <mergeCell ref="L280:M280"/>
    <mergeCell ref="N280:O280"/>
    <mergeCell ref="P280:Q280"/>
    <mergeCell ref="R280:S280"/>
    <mergeCell ref="T280:U280"/>
    <mergeCell ref="V280:W280"/>
    <mergeCell ref="X280:Y280"/>
    <mergeCell ref="G281:H281"/>
    <mergeCell ref="J281:K281"/>
    <mergeCell ref="L281:M281"/>
    <mergeCell ref="N281:O281"/>
    <mergeCell ref="P281:Q281"/>
    <mergeCell ref="R281:S281"/>
    <mergeCell ref="T281:U281"/>
    <mergeCell ref="V281:W281"/>
    <mergeCell ref="X281:Y281"/>
    <mergeCell ref="G282:H282"/>
    <mergeCell ref="J282:K282"/>
    <mergeCell ref="L282:M282"/>
    <mergeCell ref="N282:O282"/>
    <mergeCell ref="P282:Q282"/>
    <mergeCell ref="R282:S282"/>
    <mergeCell ref="T282:U282"/>
    <mergeCell ref="V282:W282"/>
    <mergeCell ref="X282:Y282"/>
    <mergeCell ref="G283:H283"/>
    <mergeCell ref="J283:K283"/>
    <mergeCell ref="L283:M283"/>
    <mergeCell ref="N283:O283"/>
    <mergeCell ref="P283:Q283"/>
    <mergeCell ref="R283:S283"/>
    <mergeCell ref="T283:U283"/>
    <mergeCell ref="V283:W283"/>
    <mergeCell ref="X283:Y283"/>
    <mergeCell ref="G284:H284"/>
    <mergeCell ref="J284:K284"/>
    <mergeCell ref="L284:M284"/>
    <mergeCell ref="N284:O284"/>
    <mergeCell ref="P284:Q284"/>
    <mergeCell ref="R284:S284"/>
    <mergeCell ref="T284:U284"/>
    <mergeCell ref="V284:W284"/>
    <mergeCell ref="X284:Y284"/>
    <mergeCell ref="G285:H285"/>
    <mergeCell ref="J285:K285"/>
    <mergeCell ref="L285:M285"/>
    <mergeCell ref="N285:O285"/>
    <mergeCell ref="P285:Q285"/>
    <mergeCell ref="R285:S285"/>
    <mergeCell ref="T285:U285"/>
    <mergeCell ref="V285:W285"/>
    <mergeCell ref="X285:Y285"/>
    <mergeCell ref="G286:H286"/>
    <mergeCell ref="J286:K286"/>
    <mergeCell ref="L286:M286"/>
    <mergeCell ref="N286:O286"/>
    <mergeCell ref="P286:Q286"/>
    <mergeCell ref="R286:S286"/>
    <mergeCell ref="T286:U286"/>
    <mergeCell ref="V286:W286"/>
    <mergeCell ref="X286:Y286"/>
    <mergeCell ref="G287:H287"/>
    <mergeCell ref="J287:K287"/>
    <mergeCell ref="L287:M287"/>
    <mergeCell ref="N287:O287"/>
    <mergeCell ref="P287:Q287"/>
    <mergeCell ref="R287:S287"/>
    <mergeCell ref="T287:U287"/>
    <mergeCell ref="V287:W287"/>
    <mergeCell ref="X287:Y287"/>
    <mergeCell ref="G288:H288"/>
    <mergeCell ref="J288:K288"/>
    <mergeCell ref="L288:M288"/>
    <mergeCell ref="N288:O288"/>
    <mergeCell ref="P288:Q288"/>
    <mergeCell ref="R288:S288"/>
    <mergeCell ref="T288:U288"/>
    <mergeCell ref="V288:W288"/>
    <mergeCell ref="X288:Y288"/>
    <mergeCell ref="G289:H289"/>
    <mergeCell ref="J289:K289"/>
    <mergeCell ref="L289:M289"/>
    <mergeCell ref="N289:O289"/>
    <mergeCell ref="P289:Q289"/>
    <mergeCell ref="R289:S289"/>
    <mergeCell ref="T289:U289"/>
    <mergeCell ref="V289:W289"/>
    <mergeCell ref="X289:Y289"/>
    <mergeCell ref="G290:H290"/>
    <mergeCell ref="J290:K290"/>
    <mergeCell ref="L290:M290"/>
    <mergeCell ref="N290:O290"/>
    <mergeCell ref="P290:Q290"/>
    <mergeCell ref="R290:S290"/>
    <mergeCell ref="T290:U290"/>
    <mergeCell ref="V290:W290"/>
    <mergeCell ref="X290:Y290"/>
    <mergeCell ref="G291:H291"/>
    <mergeCell ref="J291:K291"/>
    <mergeCell ref="L291:M291"/>
    <mergeCell ref="N291:O291"/>
    <mergeCell ref="P291:Q291"/>
    <mergeCell ref="R291:S291"/>
    <mergeCell ref="T291:U291"/>
    <mergeCell ref="V291:W291"/>
    <mergeCell ref="X291:Y291"/>
    <mergeCell ref="G292:H292"/>
    <mergeCell ref="J292:K292"/>
    <mergeCell ref="L292:M292"/>
    <mergeCell ref="N292:O292"/>
    <mergeCell ref="P292:Q292"/>
    <mergeCell ref="R292:S292"/>
    <mergeCell ref="T292:U292"/>
    <mergeCell ref="V292:W292"/>
    <mergeCell ref="X292:Y292"/>
    <mergeCell ref="G293:H293"/>
    <mergeCell ref="J293:K293"/>
    <mergeCell ref="L293:M293"/>
    <mergeCell ref="N293:O293"/>
    <mergeCell ref="P293:Q293"/>
    <mergeCell ref="R293:S293"/>
    <mergeCell ref="T293:U293"/>
    <mergeCell ref="V293:W293"/>
    <mergeCell ref="X293:Y293"/>
    <mergeCell ref="G294:H294"/>
    <mergeCell ref="J294:K294"/>
    <mergeCell ref="L294:M294"/>
    <mergeCell ref="N294:O294"/>
    <mergeCell ref="P294:Q294"/>
    <mergeCell ref="R294:S294"/>
    <mergeCell ref="T294:U294"/>
    <mergeCell ref="V294:W294"/>
    <mergeCell ref="X294:Y294"/>
    <mergeCell ref="G295:H295"/>
    <mergeCell ref="J295:K295"/>
    <mergeCell ref="L295:M295"/>
    <mergeCell ref="N295:O295"/>
    <mergeCell ref="P295:Q295"/>
    <mergeCell ref="R295:S295"/>
    <mergeCell ref="T295:U295"/>
    <mergeCell ref="V295:W295"/>
    <mergeCell ref="X295:Y295"/>
    <mergeCell ref="G526:H526"/>
    <mergeCell ref="J526:K526"/>
    <mergeCell ref="L526:M526"/>
    <mergeCell ref="N526:O526"/>
    <mergeCell ref="P526:Q526"/>
    <mergeCell ref="R526:S526"/>
    <mergeCell ref="T526:U526"/>
    <mergeCell ref="V526:W526"/>
    <mergeCell ref="X526:Y526"/>
    <mergeCell ref="G527:H527"/>
    <mergeCell ref="J527:K527"/>
    <mergeCell ref="L527:M527"/>
    <mergeCell ref="N527:O527"/>
    <mergeCell ref="P527:Q527"/>
    <mergeCell ref="R527:S527"/>
    <mergeCell ref="T527:U527"/>
    <mergeCell ref="V527:W527"/>
    <mergeCell ref="X527:Y527"/>
    <mergeCell ref="G528:H528"/>
    <mergeCell ref="J528:K528"/>
    <mergeCell ref="L528:M528"/>
    <mergeCell ref="N528:O528"/>
    <mergeCell ref="P528:Q528"/>
    <mergeCell ref="R528:S528"/>
    <mergeCell ref="T528:U528"/>
    <mergeCell ref="V528:W528"/>
    <mergeCell ref="X528:Y528"/>
    <mergeCell ref="G529:H529"/>
    <mergeCell ref="J529:K529"/>
    <mergeCell ref="L529:M529"/>
    <mergeCell ref="N529:O529"/>
    <mergeCell ref="P529:Q529"/>
    <mergeCell ref="R529:S529"/>
    <mergeCell ref="T529:U529"/>
    <mergeCell ref="V529:W529"/>
    <mergeCell ref="X529:Y529"/>
    <mergeCell ref="G530:H530"/>
    <mergeCell ref="J530:K530"/>
    <mergeCell ref="L530:M530"/>
    <mergeCell ref="N530:O530"/>
    <mergeCell ref="P530:Q530"/>
    <mergeCell ref="R530:S530"/>
    <mergeCell ref="T530:U530"/>
    <mergeCell ref="V530:W530"/>
    <mergeCell ref="X530:Y530"/>
    <mergeCell ref="G531:H531"/>
    <mergeCell ref="J531:K531"/>
    <mergeCell ref="L531:M531"/>
    <mergeCell ref="N531:O531"/>
    <mergeCell ref="P531:Q531"/>
    <mergeCell ref="R531:S531"/>
    <mergeCell ref="T531:U531"/>
    <mergeCell ref="V531:W531"/>
    <mergeCell ref="X531:Y531"/>
    <mergeCell ref="G532:H532"/>
    <mergeCell ref="J532:K532"/>
    <mergeCell ref="L532:M532"/>
    <mergeCell ref="N532:O532"/>
    <mergeCell ref="P532:Q532"/>
    <mergeCell ref="R532:S532"/>
    <mergeCell ref="T532:U532"/>
    <mergeCell ref="V532:W532"/>
    <mergeCell ref="X532:Y532"/>
    <mergeCell ref="G533:H533"/>
    <mergeCell ref="J533:K533"/>
    <mergeCell ref="L533:M533"/>
    <mergeCell ref="N533:O533"/>
    <mergeCell ref="P533:Q533"/>
    <mergeCell ref="R533:S533"/>
    <mergeCell ref="T533:U533"/>
    <mergeCell ref="V533:W533"/>
    <mergeCell ref="X533:Y533"/>
    <mergeCell ref="G534:H534"/>
    <mergeCell ref="J534:K534"/>
    <mergeCell ref="L534:M534"/>
    <mergeCell ref="N534:O534"/>
    <mergeCell ref="P534:Q534"/>
    <mergeCell ref="R534:S534"/>
    <mergeCell ref="T534:U534"/>
    <mergeCell ref="V534:W534"/>
    <mergeCell ref="X534:Y534"/>
    <mergeCell ref="G535:H535"/>
    <mergeCell ref="J535:K535"/>
    <mergeCell ref="L535:M535"/>
    <mergeCell ref="N535:O535"/>
    <mergeCell ref="P535:Q535"/>
    <mergeCell ref="R535:S535"/>
    <mergeCell ref="T535:U535"/>
    <mergeCell ref="V535:W535"/>
    <mergeCell ref="X535:Y535"/>
    <mergeCell ref="G536:H536"/>
    <mergeCell ref="J536:K536"/>
    <mergeCell ref="L536:M536"/>
    <mergeCell ref="N536:O536"/>
    <mergeCell ref="P536:Q536"/>
    <mergeCell ref="R536:S536"/>
    <mergeCell ref="T536:U536"/>
    <mergeCell ref="V536:W536"/>
    <mergeCell ref="X536:Y536"/>
    <mergeCell ref="G537:H537"/>
    <mergeCell ref="J537:K537"/>
    <mergeCell ref="L537:M537"/>
    <mergeCell ref="N537:O537"/>
    <mergeCell ref="P537:Q537"/>
    <mergeCell ref="R537:S537"/>
    <mergeCell ref="T537:U537"/>
    <mergeCell ref="V537:W537"/>
    <mergeCell ref="X537:Y537"/>
    <mergeCell ref="G538:H538"/>
    <mergeCell ref="J538:K538"/>
    <mergeCell ref="L538:M538"/>
    <mergeCell ref="N538:O538"/>
    <mergeCell ref="P538:Q538"/>
    <mergeCell ref="R538:S538"/>
    <mergeCell ref="T538:U538"/>
    <mergeCell ref="V538:W538"/>
    <mergeCell ref="X538:Y538"/>
    <mergeCell ref="G539:H539"/>
    <mergeCell ref="J539:K539"/>
    <mergeCell ref="L539:M539"/>
    <mergeCell ref="N539:O539"/>
    <mergeCell ref="P539:Q539"/>
    <mergeCell ref="R539:S539"/>
    <mergeCell ref="T539:U539"/>
    <mergeCell ref="V539:W539"/>
    <mergeCell ref="X539:Y539"/>
    <mergeCell ref="G540:H540"/>
    <mergeCell ref="J540:K540"/>
    <mergeCell ref="L540:M540"/>
    <mergeCell ref="N540:O540"/>
    <mergeCell ref="P540:Q540"/>
    <mergeCell ref="R540:S540"/>
    <mergeCell ref="T540:U540"/>
    <mergeCell ref="V540:W540"/>
    <mergeCell ref="X540:Y540"/>
    <mergeCell ref="G541:H541"/>
    <mergeCell ref="J541:K541"/>
    <mergeCell ref="L541:M541"/>
    <mergeCell ref="N541:O541"/>
    <mergeCell ref="P541:Q541"/>
    <mergeCell ref="R541:S541"/>
    <mergeCell ref="T541:U541"/>
    <mergeCell ref="V541:W541"/>
    <mergeCell ref="X541:Y541"/>
    <mergeCell ref="G542:H542"/>
    <mergeCell ref="J542:K542"/>
    <mergeCell ref="L542:M542"/>
    <mergeCell ref="N542:O542"/>
    <mergeCell ref="P542:Q542"/>
    <mergeCell ref="R542:S542"/>
    <mergeCell ref="T542:U542"/>
    <mergeCell ref="V542:W542"/>
    <mergeCell ref="X542:Y542"/>
    <mergeCell ref="G543:H543"/>
    <mergeCell ref="J543:K543"/>
    <mergeCell ref="L543:M543"/>
    <mergeCell ref="N543:O543"/>
    <mergeCell ref="P543:Q543"/>
    <mergeCell ref="R543:S543"/>
    <mergeCell ref="T543:U543"/>
    <mergeCell ref="V543:W543"/>
    <mergeCell ref="X543:Y543"/>
    <mergeCell ref="G544:H544"/>
    <mergeCell ref="J544:K544"/>
    <mergeCell ref="L544:M544"/>
    <mergeCell ref="N544:O544"/>
    <mergeCell ref="P544:Q544"/>
    <mergeCell ref="R544:S544"/>
    <mergeCell ref="T544:U544"/>
    <mergeCell ref="V544:W544"/>
    <mergeCell ref="X544:Y544"/>
    <mergeCell ref="G545:H545"/>
    <mergeCell ref="J545:K545"/>
    <mergeCell ref="L545:M545"/>
    <mergeCell ref="N545:O545"/>
    <mergeCell ref="P545:Q545"/>
    <mergeCell ref="R545:S545"/>
    <mergeCell ref="T545:U545"/>
    <mergeCell ref="V545:W545"/>
    <mergeCell ref="X545:Y545"/>
    <mergeCell ref="G546:H546"/>
    <mergeCell ref="J546:K546"/>
    <mergeCell ref="L546:M546"/>
    <mergeCell ref="N546:O546"/>
    <mergeCell ref="P546:Q546"/>
    <mergeCell ref="R546:S546"/>
    <mergeCell ref="T546:U546"/>
    <mergeCell ref="V546:W546"/>
    <mergeCell ref="X546:Y546"/>
    <mergeCell ref="G547:H547"/>
    <mergeCell ref="J547:K547"/>
    <mergeCell ref="L547:M547"/>
    <mergeCell ref="N547:O547"/>
    <mergeCell ref="P547:Q547"/>
    <mergeCell ref="R547:S547"/>
    <mergeCell ref="T547:U547"/>
    <mergeCell ref="V547:W547"/>
    <mergeCell ref="X547:Y547"/>
    <mergeCell ref="G548:H548"/>
    <mergeCell ref="J548:K548"/>
    <mergeCell ref="L548:M548"/>
    <mergeCell ref="N548:O548"/>
    <mergeCell ref="P548:Q548"/>
    <mergeCell ref="R548:S548"/>
    <mergeCell ref="T548:U548"/>
    <mergeCell ref="V548:W548"/>
    <mergeCell ref="X548:Y548"/>
    <mergeCell ref="G549:H549"/>
    <mergeCell ref="J549:K549"/>
    <mergeCell ref="L549:M549"/>
    <mergeCell ref="N549:O549"/>
    <mergeCell ref="P549:Q549"/>
    <mergeCell ref="R549:S549"/>
    <mergeCell ref="T549:U549"/>
    <mergeCell ref="V549:W549"/>
    <mergeCell ref="X549:Y549"/>
    <mergeCell ref="G550:H550"/>
    <mergeCell ref="J550:K550"/>
    <mergeCell ref="L550:M550"/>
    <mergeCell ref="N550:O550"/>
    <mergeCell ref="P550:Q550"/>
    <mergeCell ref="R550:S550"/>
    <mergeCell ref="T550:U550"/>
    <mergeCell ref="V550:W550"/>
    <mergeCell ref="X550:Y550"/>
    <mergeCell ref="G551:H551"/>
    <mergeCell ref="J551:K551"/>
    <mergeCell ref="L551:M551"/>
    <mergeCell ref="N551:O551"/>
    <mergeCell ref="P551:Q551"/>
    <mergeCell ref="R551:S551"/>
    <mergeCell ref="T551:U551"/>
    <mergeCell ref="V551:W551"/>
    <mergeCell ref="X551:Y551"/>
    <mergeCell ref="G552:H552"/>
    <mergeCell ref="J552:K552"/>
    <mergeCell ref="L552:M552"/>
    <mergeCell ref="N552:O552"/>
    <mergeCell ref="P552:Q552"/>
    <mergeCell ref="R552:S552"/>
    <mergeCell ref="T552:U552"/>
    <mergeCell ref="V552:W552"/>
    <mergeCell ref="X552:Y552"/>
    <mergeCell ref="G553:H553"/>
    <mergeCell ref="J553:K553"/>
    <mergeCell ref="L553:M553"/>
    <mergeCell ref="N553:O553"/>
    <mergeCell ref="P553:Q553"/>
    <mergeCell ref="R553:S553"/>
    <mergeCell ref="T553:U553"/>
    <mergeCell ref="V553:W553"/>
    <mergeCell ref="X553:Y553"/>
    <mergeCell ref="G554:H554"/>
    <mergeCell ref="J554:K554"/>
    <mergeCell ref="L554:M554"/>
    <mergeCell ref="N554:O554"/>
    <mergeCell ref="P554:Q554"/>
    <mergeCell ref="R554:S554"/>
    <mergeCell ref="T554:U554"/>
    <mergeCell ref="V554:W554"/>
    <mergeCell ref="X554:Y554"/>
    <mergeCell ref="G555:H555"/>
    <mergeCell ref="J555:K555"/>
    <mergeCell ref="L555:M555"/>
    <mergeCell ref="N555:O555"/>
    <mergeCell ref="P555:Q555"/>
    <mergeCell ref="R555:S555"/>
    <mergeCell ref="T555:U555"/>
    <mergeCell ref="V555:W555"/>
    <mergeCell ref="X555:Y555"/>
    <mergeCell ref="G556:H556"/>
    <mergeCell ref="J556:K556"/>
    <mergeCell ref="L556:M556"/>
    <mergeCell ref="N556:O556"/>
    <mergeCell ref="P556:Q556"/>
    <mergeCell ref="R556:S556"/>
    <mergeCell ref="T556:U556"/>
    <mergeCell ref="V556:W556"/>
    <mergeCell ref="X556:Y556"/>
    <mergeCell ref="G557:H557"/>
    <mergeCell ref="J557:K557"/>
    <mergeCell ref="L557:M557"/>
    <mergeCell ref="N557:O557"/>
    <mergeCell ref="P557:Q557"/>
    <mergeCell ref="R557:S557"/>
    <mergeCell ref="T557:U557"/>
    <mergeCell ref="V557:W557"/>
    <mergeCell ref="X557:Y557"/>
    <mergeCell ref="G558:H558"/>
    <mergeCell ref="J558:K558"/>
    <mergeCell ref="L558:M558"/>
    <mergeCell ref="N558:O558"/>
    <mergeCell ref="P558:Q558"/>
    <mergeCell ref="R558:S558"/>
    <mergeCell ref="T558:U558"/>
    <mergeCell ref="V558:W558"/>
    <mergeCell ref="X558:Y558"/>
    <mergeCell ref="G559:H559"/>
    <mergeCell ref="J559:K559"/>
    <mergeCell ref="L559:M559"/>
    <mergeCell ref="N559:O559"/>
    <mergeCell ref="P559:Q559"/>
    <mergeCell ref="R559:S559"/>
    <mergeCell ref="T559:U559"/>
    <mergeCell ref="V559:W559"/>
    <mergeCell ref="X559:Y559"/>
    <mergeCell ref="G560:H560"/>
    <mergeCell ref="J560:K560"/>
    <mergeCell ref="L560:M560"/>
    <mergeCell ref="N560:O560"/>
    <mergeCell ref="P560:Q560"/>
    <mergeCell ref="R560:S560"/>
    <mergeCell ref="T560:U560"/>
    <mergeCell ref="V560:W560"/>
    <mergeCell ref="X560:Y560"/>
    <mergeCell ref="G561:H561"/>
    <mergeCell ref="J561:K561"/>
    <mergeCell ref="L561:M561"/>
    <mergeCell ref="N561:O561"/>
    <mergeCell ref="P561:Q561"/>
    <mergeCell ref="R561:S561"/>
    <mergeCell ref="T561:U561"/>
    <mergeCell ref="V561:W561"/>
    <mergeCell ref="X561:Y561"/>
    <mergeCell ref="G562:H562"/>
    <mergeCell ref="J562:K562"/>
    <mergeCell ref="L562:M562"/>
    <mergeCell ref="N562:O562"/>
    <mergeCell ref="P562:Q562"/>
    <mergeCell ref="R562:S562"/>
    <mergeCell ref="T562:U562"/>
    <mergeCell ref="V562:W562"/>
    <mergeCell ref="X562:Y562"/>
    <mergeCell ref="G563:H563"/>
    <mergeCell ref="J563:K563"/>
    <mergeCell ref="L563:M563"/>
    <mergeCell ref="N563:O563"/>
    <mergeCell ref="P563:Q563"/>
    <mergeCell ref="R563:S563"/>
    <mergeCell ref="T563:U563"/>
    <mergeCell ref="V563:W563"/>
    <mergeCell ref="X563:Y563"/>
    <mergeCell ref="G564:H564"/>
    <mergeCell ref="J564:K564"/>
    <mergeCell ref="L564:M564"/>
    <mergeCell ref="N564:O564"/>
    <mergeCell ref="P564:Q564"/>
    <mergeCell ref="R564:S564"/>
    <mergeCell ref="T564:U564"/>
    <mergeCell ref="V564:W564"/>
    <mergeCell ref="X564:Y564"/>
    <mergeCell ref="G565:H565"/>
    <mergeCell ref="J565:K565"/>
    <mergeCell ref="L565:M565"/>
    <mergeCell ref="N565:O565"/>
    <mergeCell ref="P565:Q565"/>
    <mergeCell ref="R565:S565"/>
    <mergeCell ref="T565:U565"/>
    <mergeCell ref="V565:W565"/>
    <mergeCell ref="X565:Y565"/>
    <mergeCell ref="G566:H566"/>
    <mergeCell ref="J566:K566"/>
    <mergeCell ref="L566:M566"/>
    <mergeCell ref="N566:O566"/>
    <mergeCell ref="P566:Q566"/>
    <mergeCell ref="R566:S566"/>
    <mergeCell ref="T566:U566"/>
    <mergeCell ref="V566:W566"/>
    <mergeCell ref="X566:Y566"/>
    <mergeCell ref="G567:H567"/>
    <mergeCell ref="J567:K567"/>
    <mergeCell ref="L567:M567"/>
    <mergeCell ref="N567:O567"/>
    <mergeCell ref="P567:Q567"/>
    <mergeCell ref="R567:S567"/>
    <mergeCell ref="T567:U567"/>
    <mergeCell ref="V567:W567"/>
    <mergeCell ref="X567:Y567"/>
    <mergeCell ref="G568:H568"/>
    <mergeCell ref="J568:K568"/>
    <mergeCell ref="L568:M568"/>
    <mergeCell ref="N568:O568"/>
    <mergeCell ref="P568:Q568"/>
    <mergeCell ref="R568:S568"/>
    <mergeCell ref="T568:U568"/>
    <mergeCell ref="V568:W568"/>
    <mergeCell ref="X568:Y568"/>
    <mergeCell ref="G569:H569"/>
    <mergeCell ref="J569:K569"/>
    <mergeCell ref="L569:M569"/>
    <mergeCell ref="N569:O569"/>
    <mergeCell ref="P569:Q569"/>
    <mergeCell ref="R569:S569"/>
    <mergeCell ref="T569:U569"/>
    <mergeCell ref="V569:W569"/>
    <mergeCell ref="X569:Y569"/>
    <mergeCell ref="G570:H570"/>
    <mergeCell ref="J570:K570"/>
    <mergeCell ref="L570:M570"/>
    <mergeCell ref="N570:O570"/>
    <mergeCell ref="P570:Q570"/>
    <mergeCell ref="R570:S570"/>
    <mergeCell ref="T570:U570"/>
    <mergeCell ref="V570:W570"/>
    <mergeCell ref="X570:Y570"/>
    <mergeCell ref="G571:H571"/>
    <mergeCell ref="J571:K571"/>
    <mergeCell ref="L571:M571"/>
    <mergeCell ref="N571:O571"/>
    <mergeCell ref="P571:Q571"/>
    <mergeCell ref="R571:S571"/>
    <mergeCell ref="T571:U571"/>
    <mergeCell ref="V571:W571"/>
    <mergeCell ref="X571:Y571"/>
    <mergeCell ref="G572:H572"/>
    <mergeCell ref="J572:K572"/>
    <mergeCell ref="L572:M572"/>
    <mergeCell ref="N572:O572"/>
    <mergeCell ref="P572:Q572"/>
    <mergeCell ref="R572:S572"/>
    <mergeCell ref="T572:U572"/>
    <mergeCell ref="V572:W572"/>
    <mergeCell ref="X572:Y572"/>
    <mergeCell ref="G573:H573"/>
    <mergeCell ref="J573:K573"/>
    <mergeCell ref="L573:M573"/>
    <mergeCell ref="N573:O573"/>
    <mergeCell ref="P573:Q573"/>
    <mergeCell ref="R573:S573"/>
    <mergeCell ref="T573:U573"/>
    <mergeCell ref="V573:W573"/>
    <mergeCell ref="X573:Y573"/>
    <mergeCell ref="G574:H574"/>
    <mergeCell ref="J574:K574"/>
    <mergeCell ref="L574:M574"/>
    <mergeCell ref="N574:O574"/>
    <mergeCell ref="P574:Q574"/>
    <mergeCell ref="R574:S574"/>
    <mergeCell ref="T574:U574"/>
    <mergeCell ref="V574:W574"/>
    <mergeCell ref="X574:Y574"/>
    <mergeCell ref="G575:H575"/>
    <mergeCell ref="J575:K575"/>
    <mergeCell ref="L575:M575"/>
    <mergeCell ref="N575:O575"/>
    <mergeCell ref="P575:Q575"/>
    <mergeCell ref="R575:S575"/>
    <mergeCell ref="T575:U575"/>
    <mergeCell ref="V575:W575"/>
    <mergeCell ref="X575:Y575"/>
    <mergeCell ref="G576:H576"/>
    <mergeCell ref="J576:K576"/>
    <mergeCell ref="L576:M576"/>
    <mergeCell ref="N576:O576"/>
    <mergeCell ref="P576:Q576"/>
    <mergeCell ref="R576:S576"/>
    <mergeCell ref="T576:U576"/>
    <mergeCell ref="V576:W576"/>
    <mergeCell ref="X576:Y576"/>
    <mergeCell ref="G577:H577"/>
    <mergeCell ref="J577:K577"/>
    <mergeCell ref="L577:M577"/>
    <mergeCell ref="N577:O577"/>
    <mergeCell ref="P577:Q577"/>
    <mergeCell ref="R577:S577"/>
    <mergeCell ref="T577:U577"/>
    <mergeCell ref="V577:W577"/>
    <mergeCell ref="X577:Y577"/>
    <mergeCell ref="G578:H578"/>
    <mergeCell ref="J578:K578"/>
    <mergeCell ref="L578:M578"/>
    <mergeCell ref="N578:O578"/>
    <mergeCell ref="P578:Q578"/>
    <mergeCell ref="R578:S578"/>
    <mergeCell ref="T578:U578"/>
    <mergeCell ref="V578:W578"/>
    <mergeCell ref="X578:Y578"/>
    <mergeCell ref="G579:H579"/>
    <mergeCell ref="J579:K579"/>
    <mergeCell ref="L579:M579"/>
    <mergeCell ref="N579:O579"/>
    <mergeCell ref="P579:Q579"/>
    <mergeCell ref="R579:S579"/>
    <mergeCell ref="T579:U579"/>
    <mergeCell ref="V579:W579"/>
    <mergeCell ref="X579:Y579"/>
    <mergeCell ref="G580:H580"/>
    <mergeCell ref="J580:K580"/>
    <mergeCell ref="L580:M580"/>
    <mergeCell ref="N580:O580"/>
    <mergeCell ref="P580:Q580"/>
    <mergeCell ref="R580:S580"/>
    <mergeCell ref="T580:U580"/>
    <mergeCell ref="V580:W580"/>
    <mergeCell ref="X580:Y580"/>
    <mergeCell ref="G581:H581"/>
    <mergeCell ref="J581:K581"/>
    <mergeCell ref="L581:M581"/>
    <mergeCell ref="N581:O581"/>
    <mergeCell ref="P581:Q581"/>
    <mergeCell ref="R581:S581"/>
    <mergeCell ref="T581:U581"/>
    <mergeCell ref="V581:W581"/>
    <mergeCell ref="X581:Y581"/>
    <mergeCell ref="G582:H582"/>
    <mergeCell ref="J582:K582"/>
    <mergeCell ref="L582:M582"/>
    <mergeCell ref="N582:O582"/>
    <mergeCell ref="P582:Q582"/>
    <mergeCell ref="R582:S582"/>
    <mergeCell ref="T582:U582"/>
    <mergeCell ref="V582:W582"/>
    <mergeCell ref="X582:Y582"/>
    <mergeCell ref="G583:H583"/>
    <mergeCell ref="J583:K583"/>
    <mergeCell ref="L583:M583"/>
    <mergeCell ref="N583:O583"/>
    <mergeCell ref="P583:Q583"/>
    <mergeCell ref="R583:S583"/>
    <mergeCell ref="T583:U583"/>
    <mergeCell ref="V583:W583"/>
    <mergeCell ref="X583:Y583"/>
    <mergeCell ref="G584:H584"/>
    <mergeCell ref="J584:K584"/>
    <mergeCell ref="L584:M584"/>
    <mergeCell ref="N584:O584"/>
    <mergeCell ref="P584:Q584"/>
    <mergeCell ref="R584:S584"/>
    <mergeCell ref="T584:U584"/>
    <mergeCell ref="V584:W584"/>
    <mergeCell ref="X584:Y584"/>
    <mergeCell ref="G585:H585"/>
    <mergeCell ref="J585:K585"/>
    <mergeCell ref="L585:M585"/>
    <mergeCell ref="N585:O585"/>
    <mergeCell ref="P585:Q585"/>
    <mergeCell ref="R585:S585"/>
    <mergeCell ref="T585:U585"/>
    <mergeCell ref="V585:W585"/>
    <mergeCell ref="X585:Y585"/>
    <mergeCell ref="G586:H586"/>
    <mergeCell ref="J586:K586"/>
    <mergeCell ref="L586:M586"/>
    <mergeCell ref="N586:O586"/>
    <mergeCell ref="P586:Q586"/>
    <mergeCell ref="R586:S586"/>
    <mergeCell ref="T586:U586"/>
    <mergeCell ref="V586:W586"/>
    <mergeCell ref="X586:Y586"/>
    <mergeCell ref="G587:H587"/>
    <mergeCell ref="J587:K587"/>
    <mergeCell ref="L587:M587"/>
    <mergeCell ref="N587:O587"/>
    <mergeCell ref="P587:Q587"/>
    <mergeCell ref="R587:S587"/>
    <mergeCell ref="T587:U587"/>
    <mergeCell ref="V587:W587"/>
    <mergeCell ref="X587:Y587"/>
    <mergeCell ref="G588:H588"/>
    <mergeCell ref="J588:K588"/>
    <mergeCell ref="L588:M588"/>
    <mergeCell ref="N588:O588"/>
    <mergeCell ref="P588:Q588"/>
    <mergeCell ref="R588:S588"/>
    <mergeCell ref="T588:U588"/>
    <mergeCell ref="V588:W588"/>
    <mergeCell ref="X588:Y588"/>
    <mergeCell ref="G589:H589"/>
    <mergeCell ref="J589:K589"/>
    <mergeCell ref="L589:M589"/>
    <mergeCell ref="N589:O589"/>
    <mergeCell ref="P589:Q589"/>
    <mergeCell ref="R589:S589"/>
    <mergeCell ref="T589:U589"/>
    <mergeCell ref="V589:W589"/>
    <mergeCell ref="X589:Y589"/>
    <mergeCell ref="G590:H590"/>
    <mergeCell ref="J590:K590"/>
    <mergeCell ref="L590:M590"/>
    <mergeCell ref="N590:O590"/>
    <mergeCell ref="P590:Q590"/>
    <mergeCell ref="R590:S590"/>
    <mergeCell ref="T590:U590"/>
    <mergeCell ref="V590:W590"/>
    <mergeCell ref="X590:Y590"/>
    <mergeCell ref="G591:H591"/>
    <mergeCell ref="J591:K591"/>
    <mergeCell ref="L591:M591"/>
    <mergeCell ref="N591:O591"/>
    <mergeCell ref="P591:Q591"/>
    <mergeCell ref="R591:S591"/>
    <mergeCell ref="T591:U591"/>
    <mergeCell ref="V591:W591"/>
    <mergeCell ref="X591:Y591"/>
    <mergeCell ref="G592:H592"/>
    <mergeCell ref="J592:K592"/>
    <mergeCell ref="L592:M592"/>
    <mergeCell ref="N592:O592"/>
    <mergeCell ref="P592:Q592"/>
    <mergeCell ref="R592:S592"/>
    <mergeCell ref="T592:U592"/>
    <mergeCell ref="V592:W592"/>
    <mergeCell ref="X592:Y592"/>
    <mergeCell ref="G593:H593"/>
    <mergeCell ref="J593:K593"/>
    <mergeCell ref="L593:M593"/>
    <mergeCell ref="N593:O593"/>
    <mergeCell ref="P593:Q593"/>
    <mergeCell ref="R593:S593"/>
    <mergeCell ref="T593:U593"/>
    <mergeCell ref="V593:W593"/>
    <mergeCell ref="X593:Y593"/>
    <mergeCell ref="G594:H594"/>
    <mergeCell ref="J594:K594"/>
    <mergeCell ref="L594:M594"/>
    <mergeCell ref="N594:O594"/>
    <mergeCell ref="P594:Q594"/>
    <mergeCell ref="R594:S594"/>
    <mergeCell ref="T594:U594"/>
    <mergeCell ref="V594:W594"/>
    <mergeCell ref="X594:Y594"/>
    <mergeCell ref="G595:H595"/>
    <mergeCell ref="J595:K595"/>
    <mergeCell ref="L595:M595"/>
    <mergeCell ref="N595:O595"/>
    <mergeCell ref="P595:Q595"/>
    <mergeCell ref="R595:S595"/>
    <mergeCell ref="T595:U595"/>
    <mergeCell ref="V595:W595"/>
    <mergeCell ref="X595:Y595"/>
    <mergeCell ref="G596:H596"/>
    <mergeCell ref="J596:K596"/>
    <mergeCell ref="L596:M596"/>
    <mergeCell ref="N596:O596"/>
    <mergeCell ref="P596:Q596"/>
    <mergeCell ref="R596:S596"/>
    <mergeCell ref="T596:U596"/>
    <mergeCell ref="V596:W596"/>
    <mergeCell ref="X596:Y596"/>
    <mergeCell ref="G597:H597"/>
    <mergeCell ref="J597:K597"/>
    <mergeCell ref="L597:M597"/>
    <mergeCell ref="N597:O597"/>
    <mergeCell ref="P597:Q597"/>
    <mergeCell ref="R597:S597"/>
    <mergeCell ref="T597:U597"/>
    <mergeCell ref="V597:W597"/>
    <mergeCell ref="X597:Y597"/>
    <mergeCell ref="G598:H598"/>
    <mergeCell ref="J598:K598"/>
    <mergeCell ref="L598:M598"/>
    <mergeCell ref="N598:O598"/>
    <mergeCell ref="P598:Q598"/>
    <mergeCell ref="R598:S598"/>
    <mergeCell ref="T598:U598"/>
    <mergeCell ref="V598:W598"/>
    <mergeCell ref="X598:Y598"/>
    <mergeCell ref="G599:H599"/>
    <mergeCell ref="J599:K599"/>
    <mergeCell ref="L599:M599"/>
    <mergeCell ref="N599:O599"/>
    <mergeCell ref="P599:Q599"/>
    <mergeCell ref="R599:S599"/>
    <mergeCell ref="T599:U599"/>
    <mergeCell ref="V599:W599"/>
    <mergeCell ref="X599:Y599"/>
    <mergeCell ref="G600:H600"/>
    <mergeCell ref="J600:K600"/>
    <mergeCell ref="L600:M600"/>
    <mergeCell ref="N600:O600"/>
    <mergeCell ref="P600:Q600"/>
    <mergeCell ref="R600:S600"/>
    <mergeCell ref="T600:U600"/>
    <mergeCell ref="V600:W600"/>
    <mergeCell ref="X600:Y600"/>
    <mergeCell ref="G601:H601"/>
    <mergeCell ref="J601:K601"/>
    <mergeCell ref="L601:M601"/>
    <mergeCell ref="N601:O601"/>
    <mergeCell ref="P601:Q601"/>
    <mergeCell ref="R601:S601"/>
    <mergeCell ref="T601:U601"/>
    <mergeCell ref="V601:W601"/>
    <mergeCell ref="X601:Y601"/>
    <mergeCell ref="G602:H602"/>
    <mergeCell ref="J602:K602"/>
    <mergeCell ref="L602:M602"/>
    <mergeCell ref="N602:O602"/>
    <mergeCell ref="P602:Q602"/>
    <mergeCell ref="R602:S602"/>
    <mergeCell ref="T602:U602"/>
    <mergeCell ref="V602:W602"/>
    <mergeCell ref="X602:Y602"/>
    <mergeCell ref="G603:H603"/>
    <mergeCell ref="J603:K603"/>
    <mergeCell ref="L603:M603"/>
    <mergeCell ref="N603:O603"/>
    <mergeCell ref="P603:Q603"/>
    <mergeCell ref="R603:S603"/>
    <mergeCell ref="T603:U603"/>
    <mergeCell ref="V603:W603"/>
    <mergeCell ref="X603:Y603"/>
    <mergeCell ref="G604:H604"/>
    <mergeCell ref="J604:K604"/>
    <mergeCell ref="L604:M604"/>
    <mergeCell ref="N604:O604"/>
    <mergeCell ref="P604:Q604"/>
    <mergeCell ref="R604:S604"/>
    <mergeCell ref="T604:U604"/>
    <mergeCell ref="V604:W604"/>
    <mergeCell ref="X604:Y604"/>
    <mergeCell ref="G605:H605"/>
    <mergeCell ref="J605:K605"/>
    <mergeCell ref="L605:M605"/>
    <mergeCell ref="N605:O605"/>
    <mergeCell ref="P605:Q605"/>
    <mergeCell ref="R605:S605"/>
    <mergeCell ref="T605:U605"/>
    <mergeCell ref="V605:W605"/>
    <mergeCell ref="X605:Y605"/>
    <mergeCell ref="G606:H606"/>
    <mergeCell ref="J606:K606"/>
    <mergeCell ref="L606:M606"/>
    <mergeCell ref="N606:O606"/>
    <mergeCell ref="P606:Q606"/>
    <mergeCell ref="R606:S606"/>
    <mergeCell ref="T606:U606"/>
    <mergeCell ref="V606:W606"/>
    <mergeCell ref="X606:Y606"/>
    <mergeCell ref="G607:H607"/>
    <mergeCell ref="J607:K607"/>
    <mergeCell ref="L607:M607"/>
    <mergeCell ref="N607:O607"/>
    <mergeCell ref="P607:Q607"/>
    <mergeCell ref="R607:S607"/>
    <mergeCell ref="T607:U607"/>
    <mergeCell ref="V607:W607"/>
    <mergeCell ref="X607:Y607"/>
    <mergeCell ref="G608:H608"/>
    <mergeCell ref="J608:K608"/>
    <mergeCell ref="L608:M608"/>
    <mergeCell ref="N608:O608"/>
    <mergeCell ref="P608:Q608"/>
    <mergeCell ref="R608:S608"/>
    <mergeCell ref="T608:U608"/>
    <mergeCell ref="V608:W608"/>
    <mergeCell ref="X608:Y608"/>
    <mergeCell ref="G609:H609"/>
    <mergeCell ref="J609:K609"/>
    <mergeCell ref="L609:M609"/>
    <mergeCell ref="N609:O609"/>
    <mergeCell ref="P609:Q609"/>
    <mergeCell ref="R609:S609"/>
    <mergeCell ref="T609:U609"/>
    <mergeCell ref="V609:W609"/>
    <mergeCell ref="X609:Y609"/>
    <mergeCell ref="G610:H610"/>
    <mergeCell ref="J610:K610"/>
    <mergeCell ref="L610:M610"/>
    <mergeCell ref="N610:O610"/>
    <mergeCell ref="P610:Q610"/>
    <mergeCell ref="R610:S610"/>
    <mergeCell ref="T610:U610"/>
    <mergeCell ref="V610:W610"/>
    <mergeCell ref="X610:Y610"/>
    <mergeCell ref="G611:H611"/>
    <mergeCell ref="J611:K611"/>
    <mergeCell ref="L611:M611"/>
    <mergeCell ref="N611:O611"/>
    <mergeCell ref="P611:Q611"/>
    <mergeCell ref="R611:S611"/>
    <mergeCell ref="T611:U611"/>
    <mergeCell ref="V611:W611"/>
    <mergeCell ref="X611:Y611"/>
    <mergeCell ref="G612:H612"/>
    <mergeCell ref="J612:K612"/>
    <mergeCell ref="L612:M612"/>
    <mergeCell ref="N612:O612"/>
    <mergeCell ref="P612:Q612"/>
    <mergeCell ref="R612:S612"/>
    <mergeCell ref="T612:U612"/>
    <mergeCell ref="V612:W612"/>
    <mergeCell ref="X612:Y612"/>
    <mergeCell ref="G613:H613"/>
    <mergeCell ref="J613:K613"/>
    <mergeCell ref="L613:M613"/>
    <mergeCell ref="N613:O613"/>
    <mergeCell ref="P613:Q613"/>
    <mergeCell ref="R613:S613"/>
    <mergeCell ref="T613:U613"/>
    <mergeCell ref="V613:W613"/>
    <mergeCell ref="X613:Y613"/>
    <mergeCell ref="G614:H614"/>
    <mergeCell ref="J614:K614"/>
    <mergeCell ref="L614:M614"/>
    <mergeCell ref="N614:O614"/>
    <mergeCell ref="P614:Q614"/>
    <mergeCell ref="R614:S614"/>
    <mergeCell ref="T614:U614"/>
    <mergeCell ref="V614:W614"/>
    <mergeCell ref="X614:Y614"/>
    <mergeCell ref="G615:H615"/>
    <mergeCell ref="J615:K615"/>
    <mergeCell ref="L615:M615"/>
    <mergeCell ref="N615:O615"/>
    <mergeCell ref="P615:Q615"/>
    <mergeCell ref="R615:S615"/>
    <mergeCell ref="T615:U615"/>
    <mergeCell ref="V615:W615"/>
    <mergeCell ref="X615:Y615"/>
    <mergeCell ref="G616:H616"/>
    <mergeCell ref="J616:K616"/>
    <mergeCell ref="L616:M616"/>
    <mergeCell ref="N616:O616"/>
    <mergeCell ref="P616:Q616"/>
    <mergeCell ref="R616:S616"/>
    <mergeCell ref="T616:U616"/>
    <mergeCell ref="V616:W616"/>
    <mergeCell ref="X616:Y616"/>
    <mergeCell ref="G617:H617"/>
    <mergeCell ref="J617:K617"/>
    <mergeCell ref="L617:M617"/>
    <mergeCell ref="N617:O617"/>
    <mergeCell ref="P617:Q617"/>
    <mergeCell ref="R617:S617"/>
    <mergeCell ref="T617:U617"/>
    <mergeCell ref="V617:W617"/>
    <mergeCell ref="X617:Y617"/>
    <mergeCell ref="G618:H618"/>
    <mergeCell ref="J618:K618"/>
    <mergeCell ref="L618:M618"/>
    <mergeCell ref="N618:O618"/>
    <mergeCell ref="P618:Q618"/>
    <mergeCell ref="R618:S618"/>
    <mergeCell ref="T618:U618"/>
    <mergeCell ref="V618:W618"/>
    <mergeCell ref="X618:Y618"/>
    <mergeCell ref="G619:H619"/>
    <mergeCell ref="J619:K619"/>
    <mergeCell ref="L619:M619"/>
    <mergeCell ref="N619:O619"/>
    <mergeCell ref="P619:Q619"/>
    <mergeCell ref="R619:S619"/>
    <mergeCell ref="T619:U619"/>
    <mergeCell ref="V619:W619"/>
    <mergeCell ref="X619:Y619"/>
    <mergeCell ref="G620:H620"/>
    <mergeCell ref="J620:K620"/>
    <mergeCell ref="L620:M620"/>
    <mergeCell ref="N620:O620"/>
    <mergeCell ref="P620:Q620"/>
    <mergeCell ref="R620:S620"/>
    <mergeCell ref="T620:U620"/>
    <mergeCell ref="V620:W620"/>
    <mergeCell ref="X620:Y620"/>
    <mergeCell ref="G621:H621"/>
    <mergeCell ref="J621:K621"/>
    <mergeCell ref="L621:M621"/>
    <mergeCell ref="N621:O621"/>
    <mergeCell ref="P621:Q621"/>
    <mergeCell ref="R621:S621"/>
    <mergeCell ref="T621:U621"/>
    <mergeCell ref="V621:W621"/>
    <mergeCell ref="X621:Y621"/>
    <mergeCell ref="G622:H622"/>
    <mergeCell ref="J622:K622"/>
    <mergeCell ref="L622:M622"/>
    <mergeCell ref="N622:O622"/>
    <mergeCell ref="P622:Q622"/>
    <mergeCell ref="R622:S622"/>
    <mergeCell ref="T622:U622"/>
    <mergeCell ref="V622:W622"/>
    <mergeCell ref="X622:Y622"/>
    <mergeCell ref="G623:H623"/>
    <mergeCell ref="J623:K623"/>
    <mergeCell ref="L623:M623"/>
    <mergeCell ref="N623:O623"/>
    <mergeCell ref="P623:Q623"/>
    <mergeCell ref="R623:S623"/>
    <mergeCell ref="T623:U623"/>
    <mergeCell ref="V623:W623"/>
    <mergeCell ref="X623:Y623"/>
    <mergeCell ref="G624:H624"/>
    <mergeCell ref="J624:K624"/>
    <mergeCell ref="L624:M624"/>
    <mergeCell ref="N624:O624"/>
    <mergeCell ref="P624:Q624"/>
    <mergeCell ref="R624:S624"/>
    <mergeCell ref="T624:U624"/>
    <mergeCell ref="V624:W624"/>
    <mergeCell ref="X624:Y624"/>
    <mergeCell ref="G625:H625"/>
    <mergeCell ref="J625:K625"/>
    <mergeCell ref="L625:M625"/>
    <mergeCell ref="N625:O625"/>
    <mergeCell ref="P625:Q625"/>
    <mergeCell ref="R625:S625"/>
    <mergeCell ref="T625:U625"/>
    <mergeCell ref="V625:W625"/>
    <mergeCell ref="X625:Y625"/>
    <mergeCell ref="G626:H626"/>
    <mergeCell ref="J626:K626"/>
    <mergeCell ref="L626:M626"/>
    <mergeCell ref="N626:O626"/>
    <mergeCell ref="P626:Q626"/>
    <mergeCell ref="R626:S626"/>
    <mergeCell ref="T626:U626"/>
    <mergeCell ref="V626:W626"/>
    <mergeCell ref="X626:Y626"/>
    <mergeCell ref="G627:H627"/>
    <mergeCell ref="J627:K627"/>
    <mergeCell ref="L627:M627"/>
    <mergeCell ref="N627:O627"/>
    <mergeCell ref="P627:Q627"/>
    <mergeCell ref="R627:S627"/>
    <mergeCell ref="T627:U627"/>
    <mergeCell ref="V627:W627"/>
    <mergeCell ref="X627:Y627"/>
    <mergeCell ref="G628:H628"/>
    <mergeCell ref="J628:K628"/>
    <mergeCell ref="L628:M628"/>
    <mergeCell ref="N628:O628"/>
    <mergeCell ref="P628:Q628"/>
    <mergeCell ref="R628:S628"/>
    <mergeCell ref="T628:U628"/>
    <mergeCell ref="V628:W628"/>
    <mergeCell ref="X628:Y628"/>
    <mergeCell ref="G629:H629"/>
    <mergeCell ref="J629:K629"/>
    <mergeCell ref="L629:M629"/>
    <mergeCell ref="N629:O629"/>
    <mergeCell ref="P629:Q629"/>
    <mergeCell ref="R629:S629"/>
    <mergeCell ref="T629:U629"/>
    <mergeCell ref="V629:W629"/>
    <mergeCell ref="X629:Y629"/>
    <mergeCell ref="G630:H630"/>
    <mergeCell ref="J630:K630"/>
    <mergeCell ref="L630:M630"/>
    <mergeCell ref="N630:O630"/>
    <mergeCell ref="P630:Q630"/>
    <mergeCell ref="R630:S630"/>
    <mergeCell ref="T630:U630"/>
    <mergeCell ref="V630:W630"/>
    <mergeCell ref="X630:Y630"/>
    <mergeCell ref="G631:H631"/>
    <mergeCell ref="J631:K631"/>
    <mergeCell ref="L631:M631"/>
    <mergeCell ref="N631:O631"/>
    <mergeCell ref="P631:Q631"/>
    <mergeCell ref="R631:S631"/>
    <mergeCell ref="T631:U631"/>
    <mergeCell ref="V631:W631"/>
    <mergeCell ref="X631:Y631"/>
    <mergeCell ref="G632:H632"/>
    <mergeCell ref="J632:K632"/>
    <mergeCell ref="L632:M632"/>
    <mergeCell ref="N632:O632"/>
    <mergeCell ref="P632:Q632"/>
    <mergeCell ref="R632:S632"/>
    <mergeCell ref="T632:U632"/>
    <mergeCell ref="V632:W632"/>
    <mergeCell ref="X632:Y632"/>
    <mergeCell ref="G633:H633"/>
    <mergeCell ref="J633:K633"/>
    <mergeCell ref="L633:M633"/>
    <mergeCell ref="N633:O633"/>
    <mergeCell ref="P633:Q633"/>
    <mergeCell ref="R633:S633"/>
    <mergeCell ref="T633:U633"/>
    <mergeCell ref="V633:W633"/>
    <mergeCell ref="X633:Y633"/>
    <mergeCell ref="G634:H634"/>
    <mergeCell ref="J634:K634"/>
    <mergeCell ref="L634:M634"/>
    <mergeCell ref="N634:O634"/>
    <mergeCell ref="P634:Q634"/>
    <mergeCell ref="R634:S634"/>
    <mergeCell ref="T634:U634"/>
    <mergeCell ref="V634:W634"/>
    <mergeCell ref="X634:Y634"/>
    <mergeCell ref="G635:H635"/>
    <mergeCell ref="J635:K635"/>
    <mergeCell ref="L635:M635"/>
    <mergeCell ref="N635:O635"/>
    <mergeCell ref="P635:Q635"/>
    <mergeCell ref="R635:S635"/>
    <mergeCell ref="T635:U635"/>
    <mergeCell ref="V635:W635"/>
    <mergeCell ref="X635:Y635"/>
    <mergeCell ref="G636:H636"/>
    <mergeCell ref="J636:K636"/>
    <mergeCell ref="L636:M636"/>
    <mergeCell ref="N636:O636"/>
    <mergeCell ref="P636:Q636"/>
    <mergeCell ref="R636:S636"/>
    <mergeCell ref="T636:U636"/>
    <mergeCell ref="V636:W636"/>
    <mergeCell ref="X636:Y636"/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7:A151"/>
    <mergeCell ref="A152:A156"/>
    <mergeCell ref="A157:A161"/>
    <mergeCell ref="A162:A166"/>
    <mergeCell ref="A167:A171"/>
    <mergeCell ref="A172:A176"/>
    <mergeCell ref="A177:A181"/>
    <mergeCell ref="A182:A186"/>
    <mergeCell ref="A187:A191"/>
    <mergeCell ref="A192:A196"/>
    <mergeCell ref="A197:A201"/>
    <mergeCell ref="A202:A206"/>
    <mergeCell ref="A207:A211"/>
    <mergeCell ref="A212:A216"/>
    <mergeCell ref="A217:A221"/>
    <mergeCell ref="A222:A226"/>
    <mergeCell ref="A227:A231"/>
    <mergeCell ref="A232:A236"/>
    <mergeCell ref="A237:A241"/>
    <mergeCell ref="A242:A246"/>
    <mergeCell ref="A247:A251"/>
    <mergeCell ref="A252:A256"/>
    <mergeCell ref="A257:A261"/>
    <mergeCell ref="A262:A266"/>
    <mergeCell ref="A267:A271"/>
    <mergeCell ref="A296:A300"/>
    <mergeCell ref="A301:A305"/>
    <mergeCell ref="A306:A310"/>
    <mergeCell ref="A311:A315"/>
    <mergeCell ref="A316:A320"/>
    <mergeCell ref="A321:A325"/>
    <mergeCell ref="A326:A330"/>
    <mergeCell ref="A331:A335"/>
    <mergeCell ref="A336:A340"/>
    <mergeCell ref="A341:A345"/>
    <mergeCell ref="A346:A350"/>
    <mergeCell ref="A351:A355"/>
    <mergeCell ref="A356:A360"/>
    <mergeCell ref="A361:A365"/>
    <mergeCell ref="A366:A370"/>
    <mergeCell ref="A371:A375"/>
    <mergeCell ref="A376:A380"/>
    <mergeCell ref="A381:A385"/>
    <mergeCell ref="A386:A390"/>
    <mergeCell ref="A391:A395"/>
    <mergeCell ref="A396:A400"/>
    <mergeCell ref="A401:A405"/>
    <mergeCell ref="A406:A410"/>
    <mergeCell ref="A411:A415"/>
    <mergeCell ref="A416:A420"/>
    <mergeCell ref="A421:A425"/>
    <mergeCell ref="A426:A430"/>
    <mergeCell ref="A431:A435"/>
    <mergeCell ref="A436:A440"/>
    <mergeCell ref="A441:A445"/>
    <mergeCell ref="A446:A450"/>
    <mergeCell ref="A451:A455"/>
    <mergeCell ref="A456:A460"/>
    <mergeCell ref="A461:A465"/>
    <mergeCell ref="A466:A470"/>
    <mergeCell ref="A471:A475"/>
    <mergeCell ref="A476:A480"/>
    <mergeCell ref="A481:A485"/>
    <mergeCell ref="A486:A490"/>
    <mergeCell ref="A491:A495"/>
    <mergeCell ref="A496:A500"/>
    <mergeCell ref="A501:A505"/>
    <mergeCell ref="A506:A510"/>
    <mergeCell ref="A511:A515"/>
    <mergeCell ref="A516:A520"/>
    <mergeCell ref="A521:A525"/>
    <mergeCell ref="B2:B6"/>
    <mergeCell ref="B7:B11"/>
    <mergeCell ref="B12:B16"/>
    <mergeCell ref="B17:B21"/>
    <mergeCell ref="B22:B26"/>
    <mergeCell ref="B27:B31"/>
    <mergeCell ref="B32:B36"/>
    <mergeCell ref="B37:B41"/>
    <mergeCell ref="B42:B46"/>
    <mergeCell ref="B47:B51"/>
    <mergeCell ref="B52:B56"/>
    <mergeCell ref="B57:B61"/>
    <mergeCell ref="B62:B66"/>
    <mergeCell ref="B67:B71"/>
    <mergeCell ref="B72:B76"/>
    <mergeCell ref="B77:B81"/>
    <mergeCell ref="B82:B86"/>
    <mergeCell ref="B87:B91"/>
    <mergeCell ref="B92:B96"/>
    <mergeCell ref="B97:B101"/>
    <mergeCell ref="B102:B106"/>
    <mergeCell ref="B107:B111"/>
    <mergeCell ref="B112:B116"/>
    <mergeCell ref="B117:B121"/>
    <mergeCell ref="B122:B126"/>
    <mergeCell ref="B127:B131"/>
    <mergeCell ref="B132:B136"/>
    <mergeCell ref="B137:B141"/>
    <mergeCell ref="B142:B146"/>
    <mergeCell ref="B147:B151"/>
    <mergeCell ref="B152:B156"/>
    <mergeCell ref="B157:B161"/>
    <mergeCell ref="B162:B166"/>
    <mergeCell ref="B167:B171"/>
    <mergeCell ref="B172:B176"/>
    <mergeCell ref="B177:B181"/>
    <mergeCell ref="B182:B186"/>
    <mergeCell ref="B187:B191"/>
    <mergeCell ref="B192:B196"/>
    <mergeCell ref="B197:B201"/>
    <mergeCell ref="B202:B206"/>
    <mergeCell ref="B207:B211"/>
    <mergeCell ref="B212:B216"/>
    <mergeCell ref="B217:B221"/>
    <mergeCell ref="B222:B226"/>
    <mergeCell ref="B227:B231"/>
    <mergeCell ref="B232:B236"/>
    <mergeCell ref="B237:B241"/>
    <mergeCell ref="B242:B246"/>
    <mergeCell ref="B247:B251"/>
    <mergeCell ref="B252:B256"/>
    <mergeCell ref="B257:B261"/>
    <mergeCell ref="B262:B266"/>
    <mergeCell ref="B267:B271"/>
    <mergeCell ref="B296:B300"/>
    <mergeCell ref="B301:B305"/>
    <mergeCell ref="B306:B310"/>
    <mergeCell ref="B311:B315"/>
    <mergeCell ref="B316:B320"/>
    <mergeCell ref="B321:B325"/>
    <mergeCell ref="B326:B330"/>
    <mergeCell ref="B331:B335"/>
    <mergeCell ref="B336:B340"/>
    <mergeCell ref="B341:B345"/>
    <mergeCell ref="B346:B350"/>
    <mergeCell ref="B351:B355"/>
    <mergeCell ref="B356:B360"/>
    <mergeCell ref="B361:B365"/>
    <mergeCell ref="B366:B370"/>
    <mergeCell ref="B371:B375"/>
    <mergeCell ref="B376:B380"/>
    <mergeCell ref="B381:B385"/>
    <mergeCell ref="B386:B390"/>
    <mergeCell ref="B391:B395"/>
    <mergeCell ref="B396:B400"/>
    <mergeCell ref="B401:B405"/>
    <mergeCell ref="B406:B410"/>
    <mergeCell ref="B411:B415"/>
    <mergeCell ref="B416:B420"/>
    <mergeCell ref="B421:B425"/>
    <mergeCell ref="B426:B430"/>
    <mergeCell ref="B431:B435"/>
    <mergeCell ref="B436:B440"/>
    <mergeCell ref="B441:B445"/>
    <mergeCell ref="B446:B450"/>
    <mergeCell ref="B451:B455"/>
    <mergeCell ref="B456:B460"/>
    <mergeCell ref="B461:B465"/>
    <mergeCell ref="B466:B470"/>
    <mergeCell ref="B471:B475"/>
    <mergeCell ref="B476:B480"/>
    <mergeCell ref="B481:B485"/>
    <mergeCell ref="B486:B490"/>
    <mergeCell ref="B491:B495"/>
    <mergeCell ref="B496:B500"/>
    <mergeCell ref="B501:B505"/>
    <mergeCell ref="B506:B510"/>
    <mergeCell ref="B511:B515"/>
    <mergeCell ref="B516:B520"/>
    <mergeCell ref="B521:B525"/>
    <mergeCell ref="F7:F11"/>
    <mergeCell ref="F12:F16"/>
    <mergeCell ref="F17:F21"/>
    <mergeCell ref="F22:F26"/>
    <mergeCell ref="F27:F31"/>
    <mergeCell ref="F32:F36"/>
    <mergeCell ref="F37:F41"/>
    <mergeCell ref="F42:F46"/>
    <mergeCell ref="F47:F51"/>
    <mergeCell ref="F67:F71"/>
    <mergeCell ref="F72:F76"/>
    <mergeCell ref="F77:F81"/>
    <mergeCell ref="F82:F86"/>
    <mergeCell ref="F87:F91"/>
    <mergeCell ref="F97:F101"/>
    <mergeCell ref="F102:F106"/>
    <mergeCell ref="F107:F111"/>
    <mergeCell ref="F162:F166"/>
    <mergeCell ref="F167:F171"/>
    <mergeCell ref="F182:F186"/>
    <mergeCell ref="F187:F191"/>
    <mergeCell ref="F192:F196"/>
    <mergeCell ref="F207:F211"/>
    <mergeCell ref="F212:F216"/>
    <mergeCell ref="F217:F221"/>
    <mergeCell ref="F222:F226"/>
    <mergeCell ref="F227:F231"/>
    <mergeCell ref="F232:F236"/>
    <mergeCell ref="F242:F246"/>
    <mergeCell ref="F247:F251"/>
    <mergeCell ref="F252:F256"/>
    <mergeCell ref="F257:F261"/>
    <mergeCell ref="F262:F266"/>
    <mergeCell ref="F267:F271"/>
    <mergeCell ref="F301:F305"/>
    <mergeCell ref="F307:F310"/>
    <mergeCell ref="F321:F325"/>
    <mergeCell ref="F326:F330"/>
    <mergeCell ref="F331:F335"/>
    <mergeCell ref="F367:F370"/>
    <mergeCell ref="F381:F385"/>
    <mergeCell ref="F386:F390"/>
    <mergeCell ref="F391:F395"/>
    <mergeCell ref="F397:F400"/>
    <mergeCell ref="F431:F435"/>
    <mergeCell ref="F461:F465"/>
    <mergeCell ref="F466:F470"/>
    <mergeCell ref="F471:F475"/>
    <mergeCell ref="F476:F480"/>
    <mergeCell ref="F481:F485"/>
    <mergeCell ref="F491:F495"/>
    <mergeCell ref="F506:F510"/>
    <mergeCell ref="F511:F515"/>
    <mergeCell ref="F516:F520"/>
    <mergeCell ref="F521:F525"/>
    <mergeCell ref="H2:H6"/>
    <mergeCell ref="H7:H11"/>
    <mergeCell ref="H12:H16"/>
    <mergeCell ref="H17:H21"/>
    <mergeCell ref="H22:H26"/>
    <mergeCell ref="H27:H31"/>
    <mergeCell ref="H32:H36"/>
    <mergeCell ref="H37:H41"/>
    <mergeCell ref="H42:H46"/>
    <mergeCell ref="H47:H51"/>
    <mergeCell ref="H52:H56"/>
    <mergeCell ref="H57:H61"/>
    <mergeCell ref="H62:H66"/>
    <mergeCell ref="H67:H71"/>
    <mergeCell ref="H72:H76"/>
    <mergeCell ref="H77:H81"/>
    <mergeCell ref="H82:H86"/>
    <mergeCell ref="H87:H91"/>
    <mergeCell ref="H92:H96"/>
    <mergeCell ref="H97:H101"/>
    <mergeCell ref="H102:H106"/>
    <mergeCell ref="H107:H111"/>
    <mergeCell ref="H112:H116"/>
    <mergeCell ref="H117:H121"/>
    <mergeCell ref="H122:H126"/>
    <mergeCell ref="H127:H131"/>
    <mergeCell ref="H132:H136"/>
    <mergeCell ref="H137:H141"/>
    <mergeCell ref="H142:H146"/>
    <mergeCell ref="H147:H151"/>
    <mergeCell ref="H152:H156"/>
    <mergeCell ref="H157:H161"/>
    <mergeCell ref="H162:H166"/>
    <mergeCell ref="H167:H171"/>
    <mergeCell ref="H172:H176"/>
    <mergeCell ref="H177:H181"/>
    <mergeCell ref="H182:H186"/>
    <mergeCell ref="H187:H191"/>
    <mergeCell ref="H192:H196"/>
    <mergeCell ref="H197:H201"/>
    <mergeCell ref="H202:H206"/>
    <mergeCell ref="H207:H211"/>
    <mergeCell ref="H212:H216"/>
    <mergeCell ref="H217:H221"/>
    <mergeCell ref="H222:H226"/>
    <mergeCell ref="H227:H231"/>
    <mergeCell ref="H232:H236"/>
    <mergeCell ref="H237:H241"/>
    <mergeCell ref="H242:H246"/>
    <mergeCell ref="H247:H251"/>
    <mergeCell ref="H252:H256"/>
    <mergeCell ref="H257:H261"/>
    <mergeCell ref="H262:H266"/>
    <mergeCell ref="H267:H271"/>
    <mergeCell ref="H296:H300"/>
    <mergeCell ref="H301:H305"/>
    <mergeCell ref="H306:H310"/>
    <mergeCell ref="H311:H315"/>
    <mergeCell ref="H316:H320"/>
    <mergeCell ref="H321:H325"/>
    <mergeCell ref="H326:H330"/>
    <mergeCell ref="H331:H335"/>
    <mergeCell ref="H336:H340"/>
    <mergeCell ref="H341:H345"/>
    <mergeCell ref="H346:H350"/>
    <mergeCell ref="H351:H355"/>
    <mergeCell ref="H356:H360"/>
    <mergeCell ref="H361:H365"/>
    <mergeCell ref="H366:H370"/>
    <mergeCell ref="H371:H375"/>
    <mergeCell ref="H376:H380"/>
    <mergeCell ref="H381:H385"/>
    <mergeCell ref="H386:H390"/>
    <mergeCell ref="H391:H395"/>
    <mergeCell ref="H396:H400"/>
    <mergeCell ref="H401:H405"/>
    <mergeCell ref="H406:H410"/>
    <mergeCell ref="H411:H415"/>
    <mergeCell ref="H416:H420"/>
    <mergeCell ref="H421:H425"/>
    <mergeCell ref="H426:H430"/>
    <mergeCell ref="H431:H435"/>
    <mergeCell ref="H436:H440"/>
    <mergeCell ref="H441:H445"/>
    <mergeCell ref="H446:H450"/>
    <mergeCell ref="H451:H455"/>
    <mergeCell ref="H456:H460"/>
    <mergeCell ref="H461:H465"/>
    <mergeCell ref="H466:H470"/>
    <mergeCell ref="H471:H475"/>
    <mergeCell ref="H476:H480"/>
    <mergeCell ref="H481:H485"/>
    <mergeCell ref="H486:H490"/>
    <mergeCell ref="H491:H495"/>
    <mergeCell ref="H496:H500"/>
    <mergeCell ref="H501:H505"/>
    <mergeCell ref="H506:H510"/>
    <mergeCell ref="H511:H515"/>
    <mergeCell ref="H516:H520"/>
    <mergeCell ref="H521:H525"/>
    <mergeCell ref="I2:I6"/>
    <mergeCell ref="I7:I11"/>
    <mergeCell ref="I12:I16"/>
    <mergeCell ref="I17:I21"/>
    <mergeCell ref="I22:I26"/>
    <mergeCell ref="I27:I31"/>
    <mergeCell ref="I32:I36"/>
    <mergeCell ref="I37:I41"/>
    <mergeCell ref="I42:I46"/>
    <mergeCell ref="I47:I51"/>
    <mergeCell ref="I52:I56"/>
    <mergeCell ref="I57:I61"/>
    <mergeCell ref="I62:I66"/>
    <mergeCell ref="I67:I71"/>
    <mergeCell ref="I72:I76"/>
    <mergeCell ref="I77:I81"/>
    <mergeCell ref="I82:I86"/>
    <mergeCell ref="I87:I91"/>
    <mergeCell ref="I92:I96"/>
    <mergeCell ref="I97:I101"/>
    <mergeCell ref="I102:I106"/>
    <mergeCell ref="I107:I111"/>
    <mergeCell ref="I112:I116"/>
    <mergeCell ref="I117:I121"/>
    <mergeCell ref="I122:I126"/>
    <mergeCell ref="I127:I131"/>
    <mergeCell ref="I132:I136"/>
    <mergeCell ref="I137:I141"/>
    <mergeCell ref="I142:I146"/>
    <mergeCell ref="I147:I151"/>
    <mergeCell ref="I152:I156"/>
    <mergeCell ref="I157:I161"/>
    <mergeCell ref="I162:I166"/>
    <mergeCell ref="I167:I171"/>
    <mergeCell ref="I172:I176"/>
    <mergeCell ref="I177:I181"/>
    <mergeCell ref="I182:I186"/>
    <mergeCell ref="I187:I191"/>
    <mergeCell ref="I192:I196"/>
    <mergeCell ref="I197:I201"/>
    <mergeCell ref="I202:I206"/>
    <mergeCell ref="I207:I211"/>
    <mergeCell ref="I212:I216"/>
    <mergeCell ref="I217:I221"/>
    <mergeCell ref="I222:I226"/>
    <mergeCell ref="I227:I231"/>
    <mergeCell ref="I232:I236"/>
    <mergeCell ref="I237:I241"/>
    <mergeCell ref="I242:I246"/>
    <mergeCell ref="I247:I251"/>
    <mergeCell ref="I252:I256"/>
    <mergeCell ref="I257:I261"/>
    <mergeCell ref="I262:I266"/>
    <mergeCell ref="I267:I271"/>
    <mergeCell ref="I296:I300"/>
    <mergeCell ref="I301:I305"/>
    <mergeCell ref="I306:I310"/>
    <mergeCell ref="I311:I315"/>
    <mergeCell ref="I316:I320"/>
    <mergeCell ref="I321:I325"/>
    <mergeCell ref="I326:I330"/>
    <mergeCell ref="I331:I335"/>
    <mergeCell ref="I336:I340"/>
    <mergeCell ref="I341:I345"/>
    <mergeCell ref="I346:I350"/>
    <mergeCell ref="I351:I355"/>
    <mergeCell ref="I356:I360"/>
    <mergeCell ref="I361:I365"/>
    <mergeCell ref="I366:I370"/>
    <mergeCell ref="I371:I375"/>
    <mergeCell ref="I376:I380"/>
    <mergeCell ref="I381:I385"/>
    <mergeCell ref="I386:I390"/>
    <mergeCell ref="I391:I395"/>
    <mergeCell ref="I396:I400"/>
    <mergeCell ref="I401:I405"/>
    <mergeCell ref="I406:I410"/>
    <mergeCell ref="I411:I415"/>
    <mergeCell ref="I416:I420"/>
    <mergeCell ref="I421:I425"/>
    <mergeCell ref="I426:I430"/>
    <mergeCell ref="I431:I435"/>
    <mergeCell ref="I436:I440"/>
    <mergeCell ref="I441:I445"/>
    <mergeCell ref="I446:I450"/>
    <mergeCell ref="I451:I455"/>
    <mergeCell ref="I456:I460"/>
    <mergeCell ref="I461:I465"/>
    <mergeCell ref="I466:I470"/>
    <mergeCell ref="I471:I475"/>
    <mergeCell ref="I476:I480"/>
    <mergeCell ref="I481:I485"/>
    <mergeCell ref="I486:I490"/>
    <mergeCell ref="I491:I495"/>
    <mergeCell ref="I496:I500"/>
    <mergeCell ref="I501:I505"/>
    <mergeCell ref="I506:I510"/>
    <mergeCell ref="I511:I515"/>
    <mergeCell ref="I516:I520"/>
    <mergeCell ref="I521:I525"/>
    <mergeCell ref="K2:K6"/>
    <mergeCell ref="K7:K11"/>
    <mergeCell ref="K12:K16"/>
    <mergeCell ref="K17:K21"/>
    <mergeCell ref="K22:K26"/>
    <mergeCell ref="K27:K31"/>
    <mergeCell ref="K32:K36"/>
    <mergeCell ref="K37:K41"/>
    <mergeCell ref="K42:K46"/>
    <mergeCell ref="K47:K51"/>
    <mergeCell ref="K52:K56"/>
    <mergeCell ref="K57:K61"/>
    <mergeCell ref="K62:K66"/>
    <mergeCell ref="K67:K71"/>
    <mergeCell ref="K72:K76"/>
    <mergeCell ref="K77:K81"/>
    <mergeCell ref="K82:K86"/>
    <mergeCell ref="K87:K91"/>
    <mergeCell ref="K92:K96"/>
    <mergeCell ref="K97:K101"/>
    <mergeCell ref="K102:K106"/>
    <mergeCell ref="K107:K111"/>
    <mergeCell ref="K112:K116"/>
    <mergeCell ref="K117:K121"/>
    <mergeCell ref="K122:K126"/>
    <mergeCell ref="K127:K131"/>
    <mergeCell ref="K132:K136"/>
    <mergeCell ref="K137:K141"/>
    <mergeCell ref="K142:K146"/>
    <mergeCell ref="K147:K151"/>
    <mergeCell ref="K152:K156"/>
    <mergeCell ref="K157:K161"/>
    <mergeCell ref="K162:K166"/>
    <mergeCell ref="K167:K171"/>
    <mergeCell ref="K172:K176"/>
    <mergeCell ref="K177:K181"/>
    <mergeCell ref="K182:K186"/>
    <mergeCell ref="K187:K191"/>
    <mergeCell ref="K192:K196"/>
    <mergeCell ref="K197:K201"/>
    <mergeCell ref="K202:K206"/>
    <mergeCell ref="K207:K211"/>
    <mergeCell ref="K212:K216"/>
    <mergeCell ref="K217:K221"/>
    <mergeCell ref="K222:K226"/>
    <mergeCell ref="K227:K231"/>
    <mergeCell ref="K232:K236"/>
    <mergeCell ref="K237:K241"/>
    <mergeCell ref="K242:K246"/>
    <mergeCell ref="K247:K251"/>
    <mergeCell ref="K252:K256"/>
    <mergeCell ref="K257:K261"/>
    <mergeCell ref="K262:K266"/>
    <mergeCell ref="K267:K271"/>
    <mergeCell ref="K296:K300"/>
    <mergeCell ref="K301:K305"/>
    <mergeCell ref="K306:K310"/>
    <mergeCell ref="K311:K315"/>
    <mergeCell ref="K316:K320"/>
    <mergeCell ref="K321:K325"/>
    <mergeCell ref="K326:K330"/>
    <mergeCell ref="K331:K335"/>
    <mergeCell ref="K336:K340"/>
    <mergeCell ref="K341:K345"/>
    <mergeCell ref="K346:K350"/>
    <mergeCell ref="K351:K355"/>
    <mergeCell ref="K356:K360"/>
    <mergeCell ref="K361:K365"/>
    <mergeCell ref="K366:K370"/>
    <mergeCell ref="K371:K375"/>
    <mergeCell ref="K376:K380"/>
    <mergeCell ref="K381:K385"/>
    <mergeCell ref="K386:K390"/>
    <mergeCell ref="K391:K395"/>
    <mergeCell ref="K396:K400"/>
    <mergeCell ref="K401:K405"/>
    <mergeCell ref="K406:K410"/>
    <mergeCell ref="K411:K415"/>
    <mergeCell ref="K416:K420"/>
    <mergeCell ref="K421:K425"/>
    <mergeCell ref="K426:K430"/>
    <mergeCell ref="K431:K435"/>
    <mergeCell ref="K436:K440"/>
    <mergeCell ref="K441:K445"/>
    <mergeCell ref="K446:K450"/>
    <mergeCell ref="K451:K455"/>
    <mergeCell ref="K456:K460"/>
    <mergeCell ref="K461:K465"/>
    <mergeCell ref="K466:K470"/>
    <mergeCell ref="K471:K475"/>
    <mergeCell ref="K476:K480"/>
    <mergeCell ref="K481:K485"/>
    <mergeCell ref="K486:K490"/>
    <mergeCell ref="K491:K495"/>
    <mergeCell ref="K496:K500"/>
    <mergeCell ref="K501:K505"/>
    <mergeCell ref="K506:K510"/>
    <mergeCell ref="K511:K515"/>
    <mergeCell ref="K516:K520"/>
    <mergeCell ref="K521:K525"/>
    <mergeCell ref="M2:M6"/>
    <mergeCell ref="M7:M11"/>
    <mergeCell ref="M12:M16"/>
    <mergeCell ref="M17:M21"/>
    <mergeCell ref="M22:M26"/>
    <mergeCell ref="M27:M31"/>
    <mergeCell ref="M32:M36"/>
    <mergeCell ref="M37:M41"/>
    <mergeCell ref="M42:M46"/>
    <mergeCell ref="M47:M51"/>
    <mergeCell ref="M52:M56"/>
    <mergeCell ref="M57:M61"/>
    <mergeCell ref="M62:M66"/>
    <mergeCell ref="M67:M71"/>
    <mergeCell ref="M72:M76"/>
    <mergeCell ref="M77:M81"/>
    <mergeCell ref="M82:M86"/>
    <mergeCell ref="M87:M91"/>
    <mergeCell ref="M92:M96"/>
    <mergeCell ref="M97:M101"/>
    <mergeCell ref="M102:M106"/>
    <mergeCell ref="M107:M111"/>
    <mergeCell ref="M112:M116"/>
    <mergeCell ref="M117:M121"/>
    <mergeCell ref="M122:M126"/>
    <mergeCell ref="M127:M131"/>
    <mergeCell ref="M132:M136"/>
    <mergeCell ref="M137:M141"/>
    <mergeCell ref="M142:M146"/>
    <mergeCell ref="M147:M151"/>
    <mergeCell ref="M152:M156"/>
    <mergeCell ref="M157:M161"/>
    <mergeCell ref="M162:M166"/>
    <mergeCell ref="M167:M171"/>
    <mergeCell ref="M172:M176"/>
    <mergeCell ref="M177:M181"/>
    <mergeCell ref="M182:M186"/>
    <mergeCell ref="M187:M191"/>
    <mergeCell ref="M192:M196"/>
    <mergeCell ref="M197:M201"/>
    <mergeCell ref="M202:M206"/>
    <mergeCell ref="M207:M211"/>
    <mergeCell ref="M212:M216"/>
    <mergeCell ref="M217:M221"/>
    <mergeCell ref="M222:M226"/>
    <mergeCell ref="M227:M231"/>
    <mergeCell ref="M232:M236"/>
    <mergeCell ref="M237:M241"/>
    <mergeCell ref="M242:M246"/>
    <mergeCell ref="M247:M251"/>
    <mergeCell ref="M252:M256"/>
    <mergeCell ref="M257:M261"/>
    <mergeCell ref="M262:M266"/>
    <mergeCell ref="M267:M271"/>
    <mergeCell ref="M296:M300"/>
    <mergeCell ref="M301:M305"/>
    <mergeCell ref="M306:M310"/>
    <mergeCell ref="M311:M315"/>
    <mergeCell ref="M316:M320"/>
    <mergeCell ref="M321:M325"/>
    <mergeCell ref="M326:M330"/>
    <mergeCell ref="M331:M335"/>
    <mergeCell ref="M336:M340"/>
    <mergeCell ref="M341:M345"/>
    <mergeCell ref="M346:M350"/>
    <mergeCell ref="M351:M355"/>
    <mergeCell ref="M356:M360"/>
    <mergeCell ref="M361:M365"/>
    <mergeCell ref="M366:M370"/>
    <mergeCell ref="M371:M375"/>
    <mergeCell ref="M376:M380"/>
    <mergeCell ref="M381:M385"/>
    <mergeCell ref="M386:M390"/>
    <mergeCell ref="M391:M395"/>
    <mergeCell ref="M396:M400"/>
    <mergeCell ref="M401:M405"/>
    <mergeCell ref="M406:M410"/>
    <mergeCell ref="M411:M415"/>
    <mergeCell ref="M416:M420"/>
    <mergeCell ref="M421:M425"/>
    <mergeCell ref="M426:M430"/>
    <mergeCell ref="M431:M435"/>
    <mergeCell ref="M436:M440"/>
    <mergeCell ref="M441:M445"/>
    <mergeCell ref="M446:M450"/>
    <mergeCell ref="M451:M455"/>
    <mergeCell ref="M456:M460"/>
    <mergeCell ref="M461:M465"/>
    <mergeCell ref="M466:M470"/>
    <mergeCell ref="M471:M475"/>
    <mergeCell ref="M476:M480"/>
    <mergeCell ref="M481:M485"/>
    <mergeCell ref="M486:M490"/>
    <mergeCell ref="M491:M495"/>
    <mergeCell ref="M496:M500"/>
    <mergeCell ref="M501:M505"/>
    <mergeCell ref="M506:M510"/>
    <mergeCell ref="M511:M515"/>
    <mergeCell ref="M516:M520"/>
    <mergeCell ref="M521:M525"/>
    <mergeCell ref="O2:O6"/>
    <mergeCell ref="O7:O11"/>
    <mergeCell ref="O12:O16"/>
    <mergeCell ref="O17:O21"/>
    <mergeCell ref="O22:O26"/>
    <mergeCell ref="O27:O31"/>
    <mergeCell ref="O32:O36"/>
    <mergeCell ref="O37:O41"/>
    <mergeCell ref="O42:O46"/>
    <mergeCell ref="O47:O51"/>
    <mergeCell ref="O52:O56"/>
    <mergeCell ref="O57:O61"/>
    <mergeCell ref="O62:O66"/>
    <mergeCell ref="O67:O71"/>
    <mergeCell ref="O72:O76"/>
    <mergeCell ref="O77:O81"/>
    <mergeCell ref="O82:O86"/>
    <mergeCell ref="O87:O91"/>
    <mergeCell ref="O92:O96"/>
    <mergeCell ref="O97:O101"/>
    <mergeCell ref="O102:O106"/>
    <mergeCell ref="O107:O111"/>
    <mergeCell ref="O112:O116"/>
    <mergeCell ref="O117:O121"/>
    <mergeCell ref="O122:O126"/>
    <mergeCell ref="O127:O131"/>
    <mergeCell ref="O132:O136"/>
    <mergeCell ref="O137:O141"/>
    <mergeCell ref="O142:O146"/>
    <mergeCell ref="O147:O151"/>
    <mergeCell ref="O152:O156"/>
    <mergeCell ref="O157:O161"/>
    <mergeCell ref="O162:O166"/>
    <mergeCell ref="O167:O171"/>
    <mergeCell ref="O172:O176"/>
    <mergeCell ref="O177:O181"/>
    <mergeCell ref="O182:O186"/>
    <mergeCell ref="O187:O191"/>
    <mergeCell ref="O192:O196"/>
    <mergeCell ref="O197:O201"/>
    <mergeCell ref="O202:O206"/>
    <mergeCell ref="O207:O211"/>
    <mergeCell ref="O212:O216"/>
    <mergeCell ref="O217:O221"/>
    <mergeCell ref="O222:O226"/>
    <mergeCell ref="O227:O231"/>
    <mergeCell ref="O232:O236"/>
    <mergeCell ref="O237:O241"/>
    <mergeCell ref="O242:O246"/>
    <mergeCell ref="O247:O251"/>
    <mergeCell ref="O252:O256"/>
    <mergeCell ref="O257:O261"/>
    <mergeCell ref="O262:O266"/>
    <mergeCell ref="O267:O271"/>
    <mergeCell ref="O296:O300"/>
    <mergeCell ref="O301:O305"/>
    <mergeCell ref="O306:O310"/>
    <mergeCell ref="O311:O315"/>
    <mergeCell ref="O316:O320"/>
    <mergeCell ref="O321:O325"/>
    <mergeCell ref="O326:O330"/>
    <mergeCell ref="O331:O335"/>
    <mergeCell ref="O336:O340"/>
    <mergeCell ref="O341:O345"/>
    <mergeCell ref="O346:O350"/>
    <mergeCell ref="O351:O355"/>
    <mergeCell ref="O356:O360"/>
    <mergeCell ref="O361:O365"/>
    <mergeCell ref="O366:O370"/>
    <mergeCell ref="O371:O375"/>
    <mergeCell ref="O376:O380"/>
    <mergeCell ref="O381:O385"/>
    <mergeCell ref="O386:O390"/>
    <mergeCell ref="O391:O395"/>
    <mergeCell ref="O396:O400"/>
    <mergeCell ref="O401:O405"/>
    <mergeCell ref="O406:O410"/>
    <mergeCell ref="O411:O415"/>
    <mergeCell ref="O416:O420"/>
    <mergeCell ref="O421:O425"/>
    <mergeCell ref="O426:O430"/>
    <mergeCell ref="O431:O435"/>
    <mergeCell ref="O436:O440"/>
    <mergeCell ref="O441:O445"/>
    <mergeCell ref="O446:O450"/>
    <mergeCell ref="O451:O455"/>
    <mergeCell ref="O456:O460"/>
    <mergeCell ref="O461:O465"/>
    <mergeCell ref="O466:O470"/>
    <mergeCell ref="O471:O475"/>
    <mergeCell ref="O476:O480"/>
    <mergeCell ref="O481:O485"/>
    <mergeCell ref="O486:O490"/>
    <mergeCell ref="O491:O495"/>
    <mergeCell ref="O496:O500"/>
    <mergeCell ref="O501:O505"/>
    <mergeCell ref="O506:O510"/>
    <mergeCell ref="O511:O515"/>
    <mergeCell ref="O516:O520"/>
    <mergeCell ref="O521:O525"/>
    <mergeCell ref="Q2:Q6"/>
    <mergeCell ref="Q7:Q11"/>
    <mergeCell ref="Q12:Q16"/>
    <mergeCell ref="Q17:Q21"/>
    <mergeCell ref="Q22:Q26"/>
    <mergeCell ref="Q27:Q31"/>
    <mergeCell ref="Q32:Q36"/>
    <mergeCell ref="Q37:Q41"/>
    <mergeCell ref="Q42:Q46"/>
    <mergeCell ref="Q47:Q51"/>
    <mergeCell ref="Q52:Q56"/>
    <mergeCell ref="Q57:Q61"/>
    <mergeCell ref="Q62:Q66"/>
    <mergeCell ref="Q67:Q71"/>
    <mergeCell ref="Q72:Q76"/>
    <mergeCell ref="Q77:Q81"/>
    <mergeCell ref="Q82:Q86"/>
    <mergeCell ref="Q87:Q91"/>
    <mergeCell ref="Q92:Q96"/>
    <mergeCell ref="Q97:Q101"/>
    <mergeCell ref="Q102:Q106"/>
    <mergeCell ref="Q107:Q111"/>
    <mergeCell ref="Q112:Q116"/>
    <mergeCell ref="Q117:Q121"/>
    <mergeCell ref="Q122:Q126"/>
    <mergeCell ref="Q127:Q131"/>
    <mergeCell ref="Q132:Q136"/>
    <mergeCell ref="Q137:Q141"/>
    <mergeCell ref="Q142:Q146"/>
    <mergeCell ref="Q147:Q151"/>
    <mergeCell ref="Q152:Q156"/>
    <mergeCell ref="Q157:Q161"/>
    <mergeCell ref="Q162:Q166"/>
    <mergeCell ref="Q167:Q171"/>
    <mergeCell ref="Q172:Q176"/>
    <mergeCell ref="Q177:Q181"/>
    <mergeCell ref="Q182:Q186"/>
    <mergeCell ref="Q187:Q191"/>
    <mergeCell ref="Q192:Q196"/>
    <mergeCell ref="Q197:Q201"/>
    <mergeCell ref="Q202:Q206"/>
    <mergeCell ref="Q207:Q211"/>
    <mergeCell ref="Q212:Q216"/>
    <mergeCell ref="Q217:Q221"/>
    <mergeCell ref="Q222:Q226"/>
    <mergeCell ref="Q227:Q231"/>
    <mergeCell ref="Q232:Q236"/>
    <mergeCell ref="Q237:Q241"/>
    <mergeCell ref="Q242:Q246"/>
    <mergeCell ref="Q247:Q251"/>
    <mergeCell ref="Q252:Q256"/>
    <mergeCell ref="Q257:Q261"/>
    <mergeCell ref="Q262:Q266"/>
    <mergeCell ref="Q267:Q271"/>
    <mergeCell ref="Q296:Q300"/>
    <mergeCell ref="Q301:Q305"/>
    <mergeCell ref="Q306:Q310"/>
    <mergeCell ref="Q311:Q315"/>
    <mergeCell ref="Q316:Q320"/>
    <mergeCell ref="Q321:Q325"/>
    <mergeCell ref="Q326:Q330"/>
    <mergeCell ref="Q331:Q335"/>
    <mergeCell ref="Q336:Q340"/>
    <mergeCell ref="Q341:Q345"/>
    <mergeCell ref="Q346:Q350"/>
    <mergeCell ref="Q351:Q355"/>
    <mergeCell ref="Q356:Q360"/>
    <mergeCell ref="Q361:Q365"/>
    <mergeCell ref="Q366:Q370"/>
    <mergeCell ref="Q371:Q375"/>
    <mergeCell ref="Q376:Q380"/>
    <mergeCell ref="Q381:Q385"/>
    <mergeCell ref="Q386:Q390"/>
    <mergeCell ref="Q391:Q395"/>
    <mergeCell ref="Q396:Q400"/>
    <mergeCell ref="Q401:Q405"/>
    <mergeCell ref="Q406:Q410"/>
    <mergeCell ref="Q411:Q415"/>
    <mergeCell ref="Q416:Q420"/>
    <mergeCell ref="Q421:Q425"/>
    <mergeCell ref="Q426:Q430"/>
    <mergeCell ref="Q431:Q435"/>
    <mergeCell ref="Q436:Q440"/>
    <mergeCell ref="Q441:Q445"/>
    <mergeCell ref="Q446:Q450"/>
    <mergeCell ref="Q451:Q455"/>
    <mergeCell ref="Q456:Q460"/>
    <mergeCell ref="Q461:Q465"/>
    <mergeCell ref="Q466:Q470"/>
    <mergeCell ref="Q471:Q475"/>
    <mergeCell ref="Q476:Q480"/>
    <mergeCell ref="Q481:Q485"/>
    <mergeCell ref="Q486:Q490"/>
    <mergeCell ref="Q491:Q495"/>
    <mergeCell ref="Q496:Q500"/>
    <mergeCell ref="Q501:Q505"/>
    <mergeCell ref="Q506:Q510"/>
    <mergeCell ref="Q511:Q515"/>
    <mergeCell ref="Q516:Q520"/>
    <mergeCell ref="Q521:Q525"/>
    <mergeCell ref="S2:S6"/>
    <mergeCell ref="S7:S11"/>
    <mergeCell ref="S12:S16"/>
    <mergeCell ref="S17:S21"/>
    <mergeCell ref="S22:S26"/>
    <mergeCell ref="S27:S31"/>
    <mergeCell ref="S32:S36"/>
    <mergeCell ref="S37:S41"/>
    <mergeCell ref="S42:S46"/>
    <mergeCell ref="S47:S51"/>
    <mergeCell ref="S52:S56"/>
    <mergeCell ref="S57:S61"/>
    <mergeCell ref="S62:S66"/>
    <mergeCell ref="S67:S71"/>
    <mergeCell ref="S72:S76"/>
    <mergeCell ref="S77:S81"/>
    <mergeCell ref="S82:S86"/>
    <mergeCell ref="S87:S91"/>
    <mergeCell ref="S92:S96"/>
    <mergeCell ref="S97:S101"/>
    <mergeCell ref="S102:S106"/>
    <mergeCell ref="S107:S111"/>
    <mergeCell ref="S112:S116"/>
    <mergeCell ref="S117:S121"/>
    <mergeCell ref="S122:S126"/>
    <mergeCell ref="S127:S131"/>
    <mergeCell ref="S132:S136"/>
    <mergeCell ref="S137:S141"/>
    <mergeCell ref="S142:S146"/>
    <mergeCell ref="S147:S151"/>
    <mergeCell ref="S152:S156"/>
    <mergeCell ref="S157:S161"/>
    <mergeCell ref="S162:S166"/>
    <mergeCell ref="S167:S171"/>
    <mergeCell ref="S172:S176"/>
    <mergeCell ref="S177:S181"/>
    <mergeCell ref="S182:S186"/>
    <mergeCell ref="S187:S191"/>
    <mergeCell ref="S192:S196"/>
    <mergeCell ref="S197:S201"/>
    <mergeCell ref="S202:S206"/>
    <mergeCell ref="S207:S211"/>
    <mergeCell ref="S212:S216"/>
    <mergeCell ref="S217:S221"/>
    <mergeCell ref="S222:S226"/>
    <mergeCell ref="S227:S231"/>
    <mergeCell ref="S232:S236"/>
    <mergeCell ref="S237:S241"/>
    <mergeCell ref="S242:S246"/>
    <mergeCell ref="S247:S251"/>
    <mergeCell ref="S252:S256"/>
    <mergeCell ref="S257:S261"/>
    <mergeCell ref="S262:S266"/>
    <mergeCell ref="S267:S271"/>
    <mergeCell ref="S296:S300"/>
    <mergeCell ref="S301:S305"/>
    <mergeCell ref="S306:S310"/>
    <mergeCell ref="S311:S315"/>
    <mergeCell ref="S316:S320"/>
    <mergeCell ref="S321:S325"/>
    <mergeCell ref="S326:S330"/>
    <mergeCell ref="S331:S335"/>
    <mergeCell ref="S336:S340"/>
    <mergeCell ref="S341:S345"/>
    <mergeCell ref="S346:S350"/>
    <mergeCell ref="S351:S355"/>
    <mergeCell ref="S356:S360"/>
    <mergeCell ref="S361:S365"/>
    <mergeCell ref="S366:S370"/>
    <mergeCell ref="S371:S375"/>
    <mergeCell ref="S376:S380"/>
    <mergeCell ref="S381:S385"/>
    <mergeCell ref="S386:S390"/>
    <mergeCell ref="S391:S395"/>
    <mergeCell ref="S396:S400"/>
    <mergeCell ref="S401:S405"/>
    <mergeCell ref="S406:S410"/>
    <mergeCell ref="S411:S415"/>
    <mergeCell ref="S416:S420"/>
    <mergeCell ref="S421:S425"/>
    <mergeCell ref="S426:S430"/>
    <mergeCell ref="S431:S435"/>
    <mergeCell ref="S436:S440"/>
    <mergeCell ref="S441:S445"/>
    <mergeCell ref="S446:S450"/>
    <mergeCell ref="S451:S455"/>
    <mergeCell ref="S456:S460"/>
    <mergeCell ref="S461:S465"/>
    <mergeCell ref="S466:S470"/>
    <mergeCell ref="S471:S475"/>
    <mergeCell ref="S476:S480"/>
    <mergeCell ref="S481:S485"/>
    <mergeCell ref="S486:S490"/>
    <mergeCell ref="S491:S495"/>
    <mergeCell ref="S496:S500"/>
    <mergeCell ref="S501:S505"/>
    <mergeCell ref="S506:S510"/>
    <mergeCell ref="S511:S515"/>
    <mergeCell ref="S516:S520"/>
    <mergeCell ref="S521:S525"/>
    <mergeCell ref="U2:U6"/>
    <mergeCell ref="U7:U11"/>
    <mergeCell ref="U12:U16"/>
    <mergeCell ref="U17:U21"/>
    <mergeCell ref="U22:U26"/>
    <mergeCell ref="U27:U31"/>
    <mergeCell ref="U32:U36"/>
    <mergeCell ref="U37:U41"/>
    <mergeCell ref="U42:U46"/>
    <mergeCell ref="U47:U51"/>
    <mergeCell ref="U52:U56"/>
    <mergeCell ref="U57:U61"/>
    <mergeCell ref="U62:U66"/>
    <mergeCell ref="U67:U71"/>
    <mergeCell ref="U72:U76"/>
    <mergeCell ref="U77:U81"/>
    <mergeCell ref="U82:U86"/>
    <mergeCell ref="U87:U91"/>
    <mergeCell ref="U92:U96"/>
    <mergeCell ref="U97:U101"/>
    <mergeCell ref="U102:U106"/>
    <mergeCell ref="U107:U111"/>
    <mergeCell ref="U112:U116"/>
    <mergeCell ref="U117:U121"/>
    <mergeCell ref="U122:U126"/>
    <mergeCell ref="U127:U131"/>
    <mergeCell ref="U132:U136"/>
    <mergeCell ref="U137:U141"/>
    <mergeCell ref="U142:U146"/>
    <mergeCell ref="U147:U151"/>
    <mergeCell ref="U152:U156"/>
    <mergeCell ref="U157:U161"/>
    <mergeCell ref="U162:U166"/>
    <mergeCell ref="U167:U171"/>
    <mergeCell ref="U172:U176"/>
    <mergeCell ref="U177:U181"/>
    <mergeCell ref="U182:U186"/>
    <mergeCell ref="U187:U191"/>
    <mergeCell ref="U192:U196"/>
    <mergeCell ref="U197:U201"/>
    <mergeCell ref="U202:U206"/>
    <mergeCell ref="U207:U211"/>
    <mergeCell ref="U212:U216"/>
    <mergeCell ref="U217:U221"/>
    <mergeCell ref="U222:U226"/>
    <mergeCell ref="U227:U231"/>
    <mergeCell ref="U232:U236"/>
    <mergeCell ref="U237:U241"/>
    <mergeCell ref="U242:U246"/>
    <mergeCell ref="U247:U251"/>
    <mergeCell ref="U252:U256"/>
    <mergeCell ref="U257:U261"/>
    <mergeCell ref="U262:U266"/>
    <mergeCell ref="U267:U271"/>
    <mergeCell ref="U296:U300"/>
    <mergeCell ref="U301:U305"/>
    <mergeCell ref="U306:U310"/>
    <mergeCell ref="U311:U315"/>
    <mergeCell ref="U316:U320"/>
    <mergeCell ref="U321:U325"/>
    <mergeCell ref="U326:U330"/>
    <mergeCell ref="U331:U335"/>
    <mergeCell ref="U336:U340"/>
    <mergeCell ref="U341:U345"/>
    <mergeCell ref="U346:U350"/>
    <mergeCell ref="U351:U355"/>
    <mergeCell ref="U356:U360"/>
    <mergeCell ref="U361:U365"/>
    <mergeCell ref="U366:U370"/>
    <mergeCell ref="U371:U375"/>
    <mergeCell ref="U376:U380"/>
    <mergeCell ref="U381:U385"/>
    <mergeCell ref="U386:U390"/>
    <mergeCell ref="U391:U395"/>
    <mergeCell ref="U396:U400"/>
    <mergeCell ref="U401:U405"/>
    <mergeCell ref="U406:U410"/>
    <mergeCell ref="U411:U415"/>
    <mergeCell ref="U416:U420"/>
    <mergeCell ref="U421:U425"/>
    <mergeCell ref="U426:U430"/>
    <mergeCell ref="U431:U435"/>
    <mergeCell ref="U436:U440"/>
    <mergeCell ref="U441:U445"/>
    <mergeCell ref="U446:U450"/>
    <mergeCell ref="U451:U455"/>
    <mergeCell ref="U456:U460"/>
    <mergeCell ref="U461:U465"/>
    <mergeCell ref="U466:U470"/>
    <mergeCell ref="U471:U475"/>
    <mergeCell ref="U476:U480"/>
    <mergeCell ref="U481:U485"/>
    <mergeCell ref="U486:U490"/>
    <mergeCell ref="U491:U495"/>
    <mergeCell ref="U496:U500"/>
    <mergeCell ref="U501:U505"/>
    <mergeCell ref="U506:U510"/>
    <mergeCell ref="U511:U515"/>
    <mergeCell ref="U516:U520"/>
    <mergeCell ref="U521:U525"/>
    <mergeCell ref="W2:W6"/>
    <mergeCell ref="W7:W11"/>
    <mergeCell ref="W12:W16"/>
    <mergeCell ref="W17:W21"/>
    <mergeCell ref="W22:W26"/>
    <mergeCell ref="W27:W31"/>
    <mergeCell ref="W32:W36"/>
    <mergeCell ref="W37:W41"/>
    <mergeCell ref="W42:W46"/>
    <mergeCell ref="W47:W51"/>
    <mergeCell ref="W52:W56"/>
    <mergeCell ref="W57:W61"/>
    <mergeCell ref="W62:W66"/>
    <mergeCell ref="W67:W71"/>
    <mergeCell ref="W72:W76"/>
    <mergeCell ref="W77:W81"/>
    <mergeCell ref="W82:W86"/>
    <mergeCell ref="W87:W91"/>
    <mergeCell ref="W92:W96"/>
    <mergeCell ref="W97:W101"/>
    <mergeCell ref="W102:W106"/>
    <mergeCell ref="W107:W111"/>
    <mergeCell ref="W112:W116"/>
    <mergeCell ref="W117:W121"/>
    <mergeCell ref="W122:W126"/>
    <mergeCell ref="W127:W131"/>
    <mergeCell ref="W132:W136"/>
    <mergeCell ref="W137:W141"/>
    <mergeCell ref="W142:W146"/>
    <mergeCell ref="W147:W151"/>
    <mergeCell ref="W152:W156"/>
    <mergeCell ref="W157:W161"/>
    <mergeCell ref="W162:W166"/>
    <mergeCell ref="W167:W171"/>
    <mergeCell ref="W172:W176"/>
    <mergeCell ref="W177:W181"/>
    <mergeCell ref="W182:W186"/>
    <mergeCell ref="W187:W191"/>
    <mergeCell ref="W192:W196"/>
    <mergeCell ref="W197:W201"/>
    <mergeCell ref="W202:W206"/>
    <mergeCell ref="W207:W211"/>
    <mergeCell ref="W212:W216"/>
    <mergeCell ref="W217:W221"/>
    <mergeCell ref="W222:W226"/>
    <mergeCell ref="W227:W231"/>
    <mergeCell ref="W232:W236"/>
    <mergeCell ref="W237:W241"/>
    <mergeCell ref="W242:W246"/>
    <mergeCell ref="W247:W251"/>
    <mergeCell ref="W252:W256"/>
    <mergeCell ref="W257:W261"/>
    <mergeCell ref="W262:W266"/>
    <mergeCell ref="W267:W271"/>
    <mergeCell ref="W296:W300"/>
    <mergeCell ref="W301:W305"/>
    <mergeCell ref="W306:W310"/>
    <mergeCell ref="W311:W315"/>
    <mergeCell ref="W316:W320"/>
    <mergeCell ref="W321:W325"/>
    <mergeCell ref="W326:W330"/>
    <mergeCell ref="W331:W335"/>
    <mergeCell ref="W336:W340"/>
    <mergeCell ref="W341:W345"/>
    <mergeCell ref="W346:W350"/>
    <mergeCell ref="W351:W355"/>
    <mergeCell ref="W356:W360"/>
    <mergeCell ref="W361:W365"/>
    <mergeCell ref="W366:W370"/>
    <mergeCell ref="W371:W375"/>
    <mergeCell ref="W376:W380"/>
    <mergeCell ref="W381:W385"/>
    <mergeCell ref="W386:W390"/>
    <mergeCell ref="W391:W395"/>
    <mergeCell ref="W396:W400"/>
    <mergeCell ref="W401:W405"/>
    <mergeCell ref="W406:W410"/>
    <mergeCell ref="W411:W415"/>
    <mergeCell ref="W416:W420"/>
    <mergeCell ref="W421:W425"/>
    <mergeCell ref="W426:W430"/>
    <mergeCell ref="W431:W435"/>
    <mergeCell ref="W436:W440"/>
    <mergeCell ref="W441:W445"/>
    <mergeCell ref="W446:W450"/>
    <mergeCell ref="W451:W455"/>
    <mergeCell ref="W456:W460"/>
    <mergeCell ref="W461:W465"/>
    <mergeCell ref="W466:W470"/>
    <mergeCell ref="W471:W475"/>
    <mergeCell ref="W476:W480"/>
    <mergeCell ref="W481:W485"/>
    <mergeCell ref="W486:W490"/>
    <mergeCell ref="W491:W495"/>
    <mergeCell ref="W496:W500"/>
    <mergeCell ref="W501:W505"/>
    <mergeCell ref="W506:W510"/>
    <mergeCell ref="W511:W515"/>
    <mergeCell ref="W516:W520"/>
    <mergeCell ref="W521:W525"/>
    <mergeCell ref="Y2:Y6"/>
    <mergeCell ref="Y7:Y11"/>
    <mergeCell ref="Y12:Y16"/>
    <mergeCell ref="Y17:Y21"/>
    <mergeCell ref="Y22:Y26"/>
    <mergeCell ref="Y27:Y31"/>
    <mergeCell ref="Y32:Y36"/>
    <mergeCell ref="Y37:Y41"/>
    <mergeCell ref="Y42:Y46"/>
    <mergeCell ref="Y47:Y51"/>
    <mergeCell ref="Y52:Y56"/>
    <mergeCell ref="Y57:Y61"/>
    <mergeCell ref="Y62:Y66"/>
    <mergeCell ref="Y67:Y71"/>
    <mergeCell ref="Y72:Y76"/>
    <mergeCell ref="Y77:Y81"/>
    <mergeCell ref="Y82:Y86"/>
    <mergeCell ref="Y87:Y91"/>
    <mergeCell ref="Y92:Y96"/>
    <mergeCell ref="Y97:Y101"/>
    <mergeCell ref="Y102:Y106"/>
    <mergeCell ref="Y107:Y111"/>
    <mergeCell ref="Y112:Y116"/>
    <mergeCell ref="Y117:Y121"/>
    <mergeCell ref="Y122:Y126"/>
    <mergeCell ref="Y127:Y131"/>
    <mergeCell ref="Y132:Y136"/>
    <mergeCell ref="Y137:Y141"/>
    <mergeCell ref="Y142:Y146"/>
    <mergeCell ref="Y147:Y151"/>
    <mergeCell ref="Y152:Y156"/>
    <mergeCell ref="Y157:Y161"/>
    <mergeCell ref="Y162:Y166"/>
    <mergeCell ref="Y167:Y171"/>
    <mergeCell ref="Y172:Y176"/>
    <mergeCell ref="Y177:Y181"/>
    <mergeCell ref="Y182:Y186"/>
    <mergeCell ref="Y187:Y191"/>
    <mergeCell ref="Y192:Y196"/>
    <mergeCell ref="Y197:Y201"/>
    <mergeCell ref="Y202:Y206"/>
    <mergeCell ref="Y207:Y211"/>
    <mergeCell ref="Y212:Y216"/>
    <mergeCell ref="Y217:Y221"/>
    <mergeCell ref="Y222:Y226"/>
    <mergeCell ref="Y227:Y231"/>
    <mergeCell ref="Y232:Y236"/>
    <mergeCell ref="Y237:Y241"/>
    <mergeCell ref="Y242:Y246"/>
    <mergeCell ref="Y247:Y251"/>
    <mergeCell ref="Y252:Y256"/>
    <mergeCell ref="Y257:Y261"/>
    <mergeCell ref="Y262:Y266"/>
    <mergeCell ref="Y267:Y271"/>
    <mergeCell ref="Y296:Y300"/>
    <mergeCell ref="Y301:Y305"/>
    <mergeCell ref="Y306:Y310"/>
    <mergeCell ref="Y311:Y315"/>
    <mergeCell ref="Y316:Y320"/>
    <mergeCell ref="Y321:Y325"/>
    <mergeCell ref="Y326:Y330"/>
    <mergeCell ref="Y331:Y335"/>
    <mergeCell ref="Y336:Y340"/>
    <mergeCell ref="Y341:Y345"/>
    <mergeCell ref="Y346:Y350"/>
    <mergeCell ref="Y351:Y355"/>
    <mergeCell ref="Y356:Y360"/>
    <mergeCell ref="Y361:Y365"/>
    <mergeCell ref="Y366:Y370"/>
    <mergeCell ref="Y371:Y375"/>
    <mergeCell ref="Y376:Y380"/>
    <mergeCell ref="Y381:Y385"/>
    <mergeCell ref="Y386:Y390"/>
    <mergeCell ref="Y391:Y395"/>
    <mergeCell ref="Y396:Y400"/>
    <mergeCell ref="Y401:Y405"/>
    <mergeCell ref="Y406:Y410"/>
    <mergeCell ref="Y411:Y415"/>
    <mergeCell ref="Y416:Y420"/>
    <mergeCell ref="Y421:Y425"/>
    <mergeCell ref="Y426:Y430"/>
    <mergeCell ref="Y431:Y435"/>
    <mergeCell ref="Y436:Y440"/>
    <mergeCell ref="Y441:Y445"/>
    <mergeCell ref="Y446:Y450"/>
    <mergeCell ref="Y451:Y455"/>
    <mergeCell ref="Y456:Y460"/>
    <mergeCell ref="Y461:Y465"/>
    <mergeCell ref="Y466:Y470"/>
    <mergeCell ref="Y471:Y475"/>
    <mergeCell ref="Y476:Y480"/>
    <mergeCell ref="Y481:Y485"/>
    <mergeCell ref="Y486:Y490"/>
    <mergeCell ref="Y491:Y495"/>
    <mergeCell ref="Y496:Y500"/>
    <mergeCell ref="Y501:Y505"/>
    <mergeCell ref="Y506:Y510"/>
    <mergeCell ref="Y511:Y515"/>
    <mergeCell ref="Y516:Y520"/>
    <mergeCell ref="Y521:Y525"/>
    <mergeCell ref="Z2:Z6"/>
    <mergeCell ref="Z7:Z11"/>
    <mergeCell ref="Z12:Z16"/>
    <mergeCell ref="Z17:Z21"/>
    <mergeCell ref="Z22:Z26"/>
    <mergeCell ref="Z27:Z31"/>
    <mergeCell ref="Z32:Z36"/>
    <mergeCell ref="Z37:Z41"/>
    <mergeCell ref="Z42:Z46"/>
    <mergeCell ref="Z47:Z51"/>
    <mergeCell ref="Z52:Z56"/>
    <mergeCell ref="Z57:Z61"/>
    <mergeCell ref="Z62:Z66"/>
    <mergeCell ref="Z67:Z71"/>
    <mergeCell ref="Z72:Z76"/>
    <mergeCell ref="Z77:Z81"/>
    <mergeCell ref="Z82:Z86"/>
    <mergeCell ref="Z87:Z91"/>
    <mergeCell ref="Z92:Z96"/>
    <mergeCell ref="Z97:Z101"/>
    <mergeCell ref="Z102:Z106"/>
    <mergeCell ref="Z107:Z111"/>
    <mergeCell ref="Z112:Z116"/>
    <mergeCell ref="Z117:Z121"/>
    <mergeCell ref="Z122:Z126"/>
    <mergeCell ref="Z127:Z131"/>
    <mergeCell ref="Z132:Z136"/>
    <mergeCell ref="Z137:Z141"/>
    <mergeCell ref="Z142:Z146"/>
    <mergeCell ref="Z147:Z151"/>
    <mergeCell ref="Z152:Z156"/>
    <mergeCell ref="Z157:Z161"/>
    <mergeCell ref="Z162:Z166"/>
    <mergeCell ref="Z167:Z171"/>
    <mergeCell ref="Z172:Z176"/>
    <mergeCell ref="Z177:Z181"/>
    <mergeCell ref="Z182:Z186"/>
    <mergeCell ref="Z187:Z191"/>
    <mergeCell ref="Z192:Z196"/>
    <mergeCell ref="Z197:Z201"/>
    <mergeCell ref="Z202:Z206"/>
    <mergeCell ref="Z207:Z211"/>
    <mergeCell ref="Z212:Z216"/>
    <mergeCell ref="Z217:Z221"/>
    <mergeCell ref="Z222:Z226"/>
    <mergeCell ref="Z227:Z231"/>
    <mergeCell ref="Z232:Z236"/>
    <mergeCell ref="Z237:Z241"/>
    <mergeCell ref="Z242:Z246"/>
    <mergeCell ref="Z247:Z251"/>
    <mergeCell ref="Z252:Z256"/>
    <mergeCell ref="Z257:Z261"/>
    <mergeCell ref="Z262:Z266"/>
    <mergeCell ref="Z267:Z271"/>
    <mergeCell ref="Z296:Z300"/>
    <mergeCell ref="Z301:Z305"/>
    <mergeCell ref="Z306:Z310"/>
    <mergeCell ref="Z311:Z315"/>
    <mergeCell ref="Z316:Z320"/>
    <mergeCell ref="Z321:Z325"/>
    <mergeCell ref="Z326:Z330"/>
    <mergeCell ref="Z331:Z335"/>
    <mergeCell ref="Z336:Z340"/>
    <mergeCell ref="Z341:Z345"/>
    <mergeCell ref="Z346:Z350"/>
    <mergeCell ref="Z351:Z355"/>
    <mergeCell ref="Z356:Z360"/>
    <mergeCell ref="Z361:Z365"/>
    <mergeCell ref="Z366:Z370"/>
    <mergeCell ref="Z371:Z375"/>
    <mergeCell ref="Z376:Z380"/>
    <mergeCell ref="Z381:Z385"/>
    <mergeCell ref="Z386:Z390"/>
    <mergeCell ref="Z391:Z395"/>
    <mergeCell ref="Z396:Z400"/>
    <mergeCell ref="Z401:Z405"/>
    <mergeCell ref="Z406:Z410"/>
    <mergeCell ref="Z411:Z415"/>
    <mergeCell ref="Z416:Z420"/>
    <mergeCell ref="Z421:Z425"/>
    <mergeCell ref="Z426:Z430"/>
    <mergeCell ref="Z431:Z435"/>
    <mergeCell ref="Z436:Z440"/>
    <mergeCell ref="Z441:Z445"/>
    <mergeCell ref="Z446:Z450"/>
    <mergeCell ref="Z451:Z455"/>
    <mergeCell ref="Z456:Z460"/>
    <mergeCell ref="Z461:Z465"/>
    <mergeCell ref="Z466:Z470"/>
    <mergeCell ref="Z471:Z475"/>
    <mergeCell ref="Z476:Z480"/>
    <mergeCell ref="Z481:Z485"/>
    <mergeCell ref="Z486:Z490"/>
    <mergeCell ref="Z491:Z495"/>
    <mergeCell ref="Z496:Z500"/>
    <mergeCell ref="Z501:Z505"/>
    <mergeCell ref="Z506:Z510"/>
    <mergeCell ref="Z511:Z515"/>
    <mergeCell ref="Z516:Z520"/>
    <mergeCell ref="Z521:Z525"/>
    <mergeCell ref="AA2:AA6"/>
    <mergeCell ref="AA7:AA11"/>
    <mergeCell ref="AA12:AA16"/>
    <mergeCell ref="AA17:AA21"/>
    <mergeCell ref="AA22:AA26"/>
    <mergeCell ref="AA27:AA31"/>
    <mergeCell ref="AA32:AA36"/>
    <mergeCell ref="AA37:AA41"/>
    <mergeCell ref="AA42:AA46"/>
    <mergeCell ref="AA47:AA51"/>
    <mergeCell ref="AA52:AA56"/>
    <mergeCell ref="AA57:AA61"/>
    <mergeCell ref="AA62:AA66"/>
    <mergeCell ref="AA67:AA71"/>
    <mergeCell ref="AA72:AA76"/>
    <mergeCell ref="AA77:AA81"/>
    <mergeCell ref="AA82:AA86"/>
    <mergeCell ref="AA87:AA91"/>
    <mergeCell ref="AA92:AA96"/>
    <mergeCell ref="AA97:AA101"/>
    <mergeCell ref="AA102:AA106"/>
    <mergeCell ref="AA107:AA111"/>
    <mergeCell ref="AA112:AA116"/>
    <mergeCell ref="AA117:AA121"/>
    <mergeCell ref="AA122:AA126"/>
    <mergeCell ref="AA127:AA131"/>
    <mergeCell ref="AA132:AA136"/>
    <mergeCell ref="AA137:AA141"/>
    <mergeCell ref="AA142:AA146"/>
    <mergeCell ref="AA147:AA151"/>
    <mergeCell ref="AA152:AA156"/>
    <mergeCell ref="AA157:AA161"/>
    <mergeCell ref="AA162:AA166"/>
    <mergeCell ref="AA167:AA171"/>
    <mergeCell ref="AA172:AA176"/>
    <mergeCell ref="AA177:AA181"/>
    <mergeCell ref="AA182:AA186"/>
    <mergeCell ref="AA187:AA191"/>
    <mergeCell ref="AA192:AA196"/>
    <mergeCell ref="AA197:AA201"/>
    <mergeCell ref="AA202:AA206"/>
    <mergeCell ref="AA207:AA211"/>
    <mergeCell ref="AA212:AA216"/>
    <mergeCell ref="AA217:AA221"/>
    <mergeCell ref="AA222:AA226"/>
    <mergeCell ref="AA227:AA231"/>
    <mergeCell ref="AA232:AA236"/>
    <mergeCell ref="AA237:AA241"/>
    <mergeCell ref="AA242:AA246"/>
    <mergeCell ref="AA247:AA251"/>
    <mergeCell ref="AA252:AA256"/>
    <mergeCell ref="AA257:AA261"/>
    <mergeCell ref="AA262:AA266"/>
    <mergeCell ref="AA267:AA271"/>
    <mergeCell ref="AA296:AA300"/>
    <mergeCell ref="AA301:AA305"/>
    <mergeCell ref="AA306:AA310"/>
    <mergeCell ref="AA311:AA315"/>
    <mergeCell ref="AA316:AA320"/>
    <mergeCell ref="AA321:AA325"/>
    <mergeCell ref="AA326:AA330"/>
    <mergeCell ref="AA331:AA335"/>
    <mergeCell ref="AA336:AA340"/>
    <mergeCell ref="AA341:AA345"/>
    <mergeCell ref="AA346:AA350"/>
    <mergeCell ref="AA351:AA355"/>
    <mergeCell ref="AA356:AA360"/>
    <mergeCell ref="AA361:AA365"/>
    <mergeCell ref="AA366:AA370"/>
    <mergeCell ref="AA371:AA375"/>
    <mergeCell ref="AA376:AA380"/>
    <mergeCell ref="AA381:AA385"/>
    <mergeCell ref="AA386:AA390"/>
    <mergeCell ref="AA391:AA395"/>
    <mergeCell ref="AA396:AA400"/>
    <mergeCell ref="AA401:AA405"/>
    <mergeCell ref="AA406:AA410"/>
    <mergeCell ref="AA411:AA415"/>
    <mergeCell ref="AA416:AA420"/>
    <mergeCell ref="AA421:AA425"/>
    <mergeCell ref="AA426:AA430"/>
    <mergeCell ref="AA431:AA435"/>
    <mergeCell ref="AA436:AA440"/>
    <mergeCell ref="AA441:AA445"/>
    <mergeCell ref="AA446:AA450"/>
    <mergeCell ref="AA451:AA455"/>
    <mergeCell ref="AA456:AA460"/>
    <mergeCell ref="AA461:AA465"/>
    <mergeCell ref="AA466:AA470"/>
    <mergeCell ref="AA471:AA475"/>
    <mergeCell ref="AA476:AA480"/>
    <mergeCell ref="AA481:AA485"/>
    <mergeCell ref="AA486:AA490"/>
    <mergeCell ref="AA491:AA495"/>
    <mergeCell ref="AA496:AA500"/>
    <mergeCell ref="AA501:AA505"/>
    <mergeCell ref="AA506:AA510"/>
    <mergeCell ref="AA511:AA515"/>
    <mergeCell ref="AA516:AA520"/>
    <mergeCell ref="AA521:AA525"/>
  </mergeCells>
  <pageMargins left="0.75" right="0.75" top="1" bottom="1" header="0.5" footer="0.5"/>
  <headerFooter/>
  <ignoredErrors>
    <ignoredError sqref="A301:AA579 D3:F6 A581:AA625 A628:AA636 F627:AA627 A627:D627 A133:F133 D299:L299 N300:X300 D300:F300 H292:O295 Q292:W295 Y292:Y295 V291 T291 R291 Z122:AA124 D127:X127 Z127:AA127 D128:AA131 D125:P125 AA125 H126:X126 D126:F126 D96:F96 H96:AA96 D97:AA98 D12:AA92 D93:G94 I93:AA94 D95:AA95 D10:E10 D7:AA8 L11:X11 D11:E11 D99:X99 D100:AA100 D106:G106 N106:AA106 D107:AA121 D102:AA104 D105:E105 H105:AA105 H101:X101 D101:E101 B132:H132 L3:L4 L6 N6:X6" formula="1"/>
    <ignoredError sqref="I132:AA134 G5:AA5 A7:C131 D1:AA2 A134:C134 G133:H133 A292:C295 A297:C300 M299:AA299 K299 H299:I299 K299 H299:I299 Y300:AA300 W300 U300 S300 Q300 O300 W300 U300 S300 Q300 O300 G300:M300 G296:AA298 G292:G295 Z291:AA295 X292:X295 V292:V295 T292:T295 R292:R295 V291:V295 T291:T295 R291:R295 P291:P295 U122:W124 Y122:Y124 Y127 AA127 F131:G131 W131 U131 S131 Q131 O131 F127:W129 AA127 F131:G131 W131 U131 S131 Q131 O131 F127:W129 Q125:Z125 Y126:AA126 W126 U126 S126 Q126 O126 W126 U126 S126 Q126 O126 G126 G96 Y96:AA96 W96 U96 S96 Q96 O96 H93:H94 D92:H92 F88:AA90 I87:AA87 X85:AA85 I80:AA80 I77:T79 F77:G81 F72:G74 H67:H70 G62:AA65 G60:AA60 D59:AA59 G57:AA58 G52:AA55 F47:AA50 F43:AA45 D42:AA42 F38:AA40 D37:AA37 F32:AA35 F27:AA30 F22:AA25 F17:AA20 F12:AA15 I92:AA94 Y91:AA91 W91 U91 S91 Q91 O91 W86 U86 S86 Q86 O86 Y86:AA86 Y81:AA84 W81 U81 S81 Q81 O81 X75:AA75 W76 U76 S76 Q76 O76 F91:G91 F86:M86 F75:T75 Y71:AA71 W71 U71 S71 Q71 O71 F71:M71 Y66:AA66 W66 U66 S66 Q66 O66 G66:M66 Y61:AA61 W61 U61 S61 Q61 O61 G61:M61 Y56:AA56 W56 U56 S56 Q56 O56 G56:M56 Y51:AA51 W51 U51 S51 Q51 O51 F51:M51 Y46:AA46 W46 U46 S46 Q46 O46 F46:M46 Y41:AA41 W41 U41 S41 Q41 O41 F41:M41 Y36:AA36 W36 U36 S36 Q36 O36 F36:M36 Y31:AA31 W31 U31 S31 Q31 O31 F31:M31 Y26:AA26 W26 U26 S26 Q26 O26 F26:M26 Y21:AA21 W21 U21 S21 Q21 O21 F21:M21 Y16:AA16 W16 U16 S16 Q16 O16 F16:M16 D92:H92 F88:AA90 I87:AA87 X85:AA85 I80:AA80 I77:T79 F77:G81 F72:G74 H67:H70 G62:AA65 G60:AA60 D59:AA59 G57:AA58 G52:AA55 F47:AA50 F43:AA45 D42:AA42 F38:AA40 D37:AA37 F32:AA35 F27:AA30 F22:AA25 F17:AA20 F12:AA15 F10:AA10 D9:AA9 M8:AA8 F8:K8 D7:AA7 M8:AA8 F8:K8 D7:AA7 Y96:AA96 W96 U96 S96 Q96 O96 I92:AA94 Y91:AA91 W91 U91 S91 Q91 O91 W86 U86 S86 Q86 O86 Y86:AA86 Y81:AA84 W81 U81 S81 Q81 O81 X75:AA75 W76 U76 S76 Q76 O76 F91:G91 F86:M86 F75:T75 Y71:AA71 W71 U71 S71 Q71 O71 F71:M71 Y66:AA66 W66 U66 S66 Q66 O66 G66:M66 Y61:AA61 W61 U61 S61 Q61 O61 G61:M61 Y56:AA56 W56 U56 S56 Q56 O56 G56:M56 Y51:AA51 W51 U51 S51 Q51 O51 F51:M51 Y46:AA46 W46 U46 S46 Q46 O46 F46:M46 Y41:AA41 W41 U41 S41 Q41 O41 F41:M41 Y36:AA36 W36 U36 S36 Q36 O36 F36:M36 Y31:AA31 W31 U31 S31 Q31 O31 F31:M31 Y26:AA26 W26 U26 S26 Q26 O26 F26:M26 Y21:AA21 W21 U21 S21 Q21 O21 F21:M21 Y16:AA16 W16 U16 S16 Q16 O16 F16:M16 Y11:AA11 W11 U11 S11 Q11 O11 M11 W11 U11 S11 Q11 O11 M11 F11:K11 Y99:AA99 H106:M106 Y120 G116 F110:AA110 D109:AA109 I107:T108 F106:G106 Y121:AA121 W121 U121 S121 Q121 O121 Y116:AA116 W116 U116 S116 Q116 O116 Y111:AA111 W111 U111 S111 Q111 O111 W106 U106 S106 Q106 O106 G121 H117:H119 F111:G111 Y120 G116 F110:AA110 D109:AA109 I107:T108 F105:G105 X105:AA105 H102:AA104 Y121:AA121 W121 U121 S121 Q121 O121 Y116:AA116 W116 U116 S116 Q116 O116 Y111:AA111 W111 U111 S111 Q111 O111 X105:AA105 W106 U106 S106 Q106 O106 H102:AA104 Y101:AA101 W101 U101 S101 Q101 O101 W101 U101 S101 Q101 O101 G121 H117:H119 F111:G111 F101:G101 A132 M3:AA4 G3:K4 G6:K6 Y6:AA6 W6 U6 S6 Q6 O6 W6 U6 S6 Q6 O6 M6" formula="1" formulaRange="1"/>
    <ignoredError sqref="E291:G291 C296 A296 C289 A289 A286:C288 C285 A285 E292:E295 E288:E290 V277:V287 E280:E285 E277:E278 Z274:AA287 X274:X287 T274:T287 R274:R287 P274:P287 N274:N287 E272:E273 V274:V275 F263:X264 H202:X202 H177:AA177 H152:AA152 G205:AA205 G175:AA175 H166:M166 X225 X190 F270 F265 F256:G256 F255 F250 F245 F222:AA224 F217:AA220 F212:AA215 G197:AA200 F191:G191 G151 E142:E146 Y271:AA271 W271 U271 S271 Q271 O271 Y266:AA266 W266 U266 S266 Q266 O266 D262:G262 W261 U261 S261 Q261 O261 Y256:AA256 W256 U256 S256 Q256 O256 Y251:AA251 W251 U251 S251 Q251 O251 Y246:AA246 W246 U246 S246 Q246 O246 F242:G244 Y241:AA241 W241 U241 S241 Q241 O241 Y236:AA236 W236 U236 S236 Q236 O236 F232:AA235 Y231:AA231 W231 U231 S231 Q231 O231 S225:T225 F227:AA230 Y226:AA226 W226 U226 S226 Q226 O226 Y221:AA221 W221 U221 S221 Q221 O221 Y216:AA216 W216 U216 S216 Q216 O216 Y211:AA211 W211 U211 S211 Q211 O211 F211:M211 Y206:AA206 W206 U206 S206 Q206 O206 Y202:AA204 W201 U201 S201 Q201 O201 Y196:AA196 W196 U196 S196 Q196 O196 W191 U191 S191 Q191 O191 S190:T190 F187:AA189 W186 U186 S186 Q186 O186 I185:AA185 F186:G186 W181 U181 S181 Q181 O181 W176 U176 S176 Q176 O176 W171 U171 S171 Q171 O171 W166 U166 S166 Q166 O166 Y191:AA191 Y186:AA186 Y181:AA181 Y176:AA176 Y171:AA171 I170:AA170 F162:G166 W161 U161 S161 Q161 O161 Y155:AA157 W156 U156 S156 Q156 O156 Y151:AA151 W151 U151 S151 Q151 O151 D147:H147 Y146:AA146 W146 U146 S146 Q146 O146 G142:AA144 Y141:AA141 W141 U141 S141 Q141 O141 G238:H239 G203:X204 G178:AA180 G173:H174 G158:AA160 G153:AA154 G138:G139 F271:G271 F266:G266 F261:M261 F251:G251 F246:G246 G241 F236:M236 F231:G231 F226:G226 F221:G221 F216:G216 G206 G201 F196:M196 G181 G176 F171:G171 G161 G156 G146 G141 K123:M124 A135:C284 A290:C291 X291 V291 T291 R291 F105:G105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7"/>
  <sheetViews>
    <sheetView workbookViewId="0">
      <selection activeCell="H7" sqref="H7"/>
    </sheetView>
  </sheetViews>
  <sheetFormatPr defaultColWidth="9" defaultRowHeight="13.5"/>
  <cols>
    <col min="1" max="1" width="11.875" customWidth="1"/>
    <col min="2" max="2" width="25.125" customWidth="1"/>
    <col min="3" max="3" width="18" style="14" customWidth="1"/>
    <col min="4" max="4" width="39.375" style="52" customWidth="1"/>
    <col min="5" max="5" width="40.125" style="52" customWidth="1"/>
    <col min="6" max="6" width="20.375" style="14" customWidth="1"/>
    <col min="7" max="7" width="21.75" style="14" customWidth="1"/>
    <col min="8" max="8" width="38.125" style="53" customWidth="1"/>
    <col min="9" max="9" width="36" style="53" customWidth="1"/>
    <col min="10" max="10" width="29.625" customWidth="1"/>
  </cols>
  <sheetData>
    <row r="1" ht="18.75" spans="1:10">
      <c r="A1" s="15" t="s">
        <v>8218</v>
      </c>
      <c r="B1" s="15" t="s">
        <v>8219</v>
      </c>
      <c r="C1" s="15" t="s">
        <v>8220</v>
      </c>
      <c r="D1" s="15" t="s">
        <v>8221</v>
      </c>
      <c r="E1" s="15" t="s">
        <v>8222</v>
      </c>
      <c r="F1" s="15" t="s">
        <v>8223</v>
      </c>
      <c r="G1" s="15" t="s">
        <v>8224</v>
      </c>
      <c r="H1" s="34" t="s">
        <v>5657</v>
      </c>
      <c r="I1" s="34" t="s">
        <v>8225</v>
      </c>
      <c r="J1" s="15" t="s">
        <v>3284</v>
      </c>
    </row>
    <row r="2" ht="30" customHeight="1" spans="1:10">
      <c r="A2" s="35" t="s">
        <v>5350</v>
      </c>
      <c r="B2" s="35" t="s">
        <v>5351</v>
      </c>
      <c r="C2" s="54" t="s">
        <v>7548</v>
      </c>
      <c r="D2" s="55" t="s">
        <v>2821</v>
      </c>
      <c r="E2" s="56" t="s">
        <v>8226</v>
      </c>
      <c r="F2" s="24">
        <v>6</v>
      </c>
      <c r="G2" s="24" t="s">
        <v>5659</v>
      </c>
      <c r="H2" s="57" t="s">
        <v>8227</v>
      </c>
      <c r="I2" s="57" t="s">
        <v>8228</v>
      </c>
      <c r="J2" s="58"/>
    </row>
    <row r="3" ht="30" customHeight="1" spans="1:10">
      <c r="A3" s="59"/>
      <c r="B3" s="59"/>
      <c r="C3" s="54" t="s">
        <v>7573</v>
      </c>
      <c r="D3" s="55" t="s">
        <v>2893</v>
      </c>
      <c r="E3" s="56" t="s">
        <v>8229</v>
      </c>
      <c r="F3" s="24">
        <v>6</v>
      </c>
      <c r="G3" s="24" t="s">
        <v>5825</v>
      </c>
      <c r="H3" s="60" t="s">
        <v>8230</v>
      </c>
      <c r="I3" s="60" t="s">
        <v>8231</v>
      </c>
      <c r="J3" s="58"/>
    </row>
    <row r="4" ht="30" customHeight="1" spans="1:10">
      <c r="A4" s="35" t="s">
        <v>5352</v>
      </c>
      <c r="B4" s="35" t="s">
        <v>5353</v>
      </c>
      <c r="C4" s="54" t="s">
        <v>7548</v>
      </c>
      <c r="D4" s="55" t="s">
        <v>2823</v>
      </c>
      <c r="E4" s="56" t="s">
        <v>8232</v>
      </c>
      <c r="F4" s="24">
        <v>8</v>
      </c>
      <c r="G4" s="24" t="s">
        <v>5661</v>
      </c>
      <c r="H4" s="57" t="s">
        <v>8233</v>
      </c>
      <c r="I4" s="57"/>
      <c r="J4" s="58"/>
    </row>
    <row r="5" ht="30" customHeight="1" spans="1:10">
      <c r="A5" s="59"/>
      <c r="B5" s="59"/>
      <c r="C5" s="54" t="s">
        <v>7573</v>
      </c>
      <c r="D5" s="55" t="s">
        <v>2893</v>
      </c>
      <c r="E5" s="56" t="s">
        <v>8229</v>
      </c>
      <c r="F5" s="24">
        <v>12</v>
      </c>
      <c r="G5" s="24" t="s">
        <v>5859</v>
      </c>
      <c r="H5" s="60" t="s">
        <v>8234</v>
      </c>
      <c r="I5" s="60"/>
      <c r="J5" s="58"/>
    </row>
    <row r="6" ht="30" customHeight="1" spans="1:10">
      <c r="A6" s="35" t="s">
        <v>5354</v>
      </c>
      <c r="B6" s="35" t="s">
        <v>5355</v>
      </c>
      <c r="C6" s="54" t="s">
        <v>7548</v>
      </c>
      <c r="D6" s="55" t="s">
        <v>2825</v>
      </c>
      <c r="E6" s="56" t="s">
        <v>8235</v>
      </c>
      <c r="F6" s="24">
        <v>12</v>
      </c>
      <c r="G6" s="24" t="s">
        <v>5663</v>
      </c>
      <c r="H6" s="57" t="s">
        <v>8236</v>
      </c>
      <c r="I6" s="57"/>
      <c r="J6" s="58"/>
    </row>
    <row r="7" ht="30" customHeight="1" spans="1:10">
      <c r="A7" s="59"/>
      <c r="B7" s="59"/>
      <c r="C7" s="54" t="s">
        <v>7573</v>
      </c>
      <c r="D7" s="55" t="s">
        <v>2893</v>
      </c>
      <c r="E7" s="56" t="s">
        <v>8229</v>
      </c>
      <c r="F7" s="24">
        <v>17</v>
      </c>
      <c r="G7" s="24" t="s">
        <v>5829</v>
      </c>
      <c r="H7" s="60" t="s">
        <v>8237</v>
      </c>
      <c r="I7" s="60"/>
      <c r="J7" s="58"/>
    </row>
    <row r="8" ht="30" customHeight="1" spans="1:10">
      <c r="A8" s="35" t="s">
        <v>5356</v>
      </c>
      <c r="B8" s="35" t="s">
        <v>5357</v>
      </c>
      <c r="C8" s="54" t="s">
        <v>7548</v>
      </c>
      <c r="D8" s="55" t="s">
        <v>2827</v>
      </c>
      <c r="E8" s="56" t="s">
        <v>8238</v>
      </c>
      <c r="F8" s="24">
        <v>10</v>
      </c>
      <c r="G8" s="24" t="s">
        <v>5665</v>
      </c>
      <c r="H8" s="57" t="s">
        <v>8239</v>
      </c>
      <c r="I8" s="57"/>
      <c r="J8" s="58"/>
    </row>
    <row r="9" ht="30" customHeight="1" spans="1:10">
      <c r="A9" s="59"/>
      <c r="B9" s="59"/>
      <c r="C9" s="54" t="s">
        <v>7573</v>
      </c>
      <c r="D9" s="55" t="s">
        <v>2893</v>
      </c>
      <c r="E9" s="56" t="s">
        <v>8229</v>
      </c>
      <c r="F9" s="24">
        <v>12</v>
      </c>
      <c r="G9" s="24" t="s">
        <v>5831</v>
      </c>
      <c r="H9" s="60" t="s">
        <v>8240</v>
      </c>
      <c r="I9" s="60"/>
      <c r="J9" s="58"/>
    </row>
    <row r="10" ht="30" customHeight="1" spans="1:10">
      <c r="A10" s="35" t="s">
        <v>5358</v>
      </c>
      <c r="B10" s="35" t="s">
        <v>5359</v>
      </c>
      <c r="C10" s="54" t="s">
        <v>7556</v>
      </c>
      <c r="D10" s="55" t="s">
        <v>3092</v>
      </c>
      <c r="E10" s="56" t="s">
        <v>8241</v>
      </c>
      <c r="F10" s="24">
        <v>10</v>
      </c>
      <c r="G10" s="24" t="s">
        <v>5667</v>
      </c>
      <c r="H10" s="57" t="s">
        <v>8242</v>
      </c>
      <c r="I10" s="57"/>
      <c r="J10" s="58"/>
    </row>
    <row r="11" ht="30" customHeight="1" spans="1:10">
      <c r="A11" s="59"/>
      <c r="B11" s="59"/>
      <c r="C11" s="54" t="s">
        <v>7548</v>
      </c>
      <c r="D11" s="55" t="s">
        <v>2864</v>
      </c>
      <c r="E11" s="56" t="s">
        <v>8243</v>
      </c>
      <c r="F11" s="24">
        <v>14</v>
      </c>
      <c r="G11" s="24" t="s">
        <v>5833</v>
      </c>
      <c r="H11" s="60" t="s">
        <v>8244</v>
      </c>
      <c r="I11" s="60"/>
      <c r="J11" s="58"/>
    </row>
    <row r="12" ht="30" customHeight="1" spans="1:10">
      <c r="A12" s="35" t="s">
        <v>5360</v>
      </c>
      <c r="B12" s="35" t="s">
        <v>5361</v>
      </c>
      <c r="C12" s="54" t="s">
        <v>7581</v>
      </c>
      <c r="D12" s="55" t="s">
        <v>3058</v>
      </c>
      <c r="E12" s="56" t="s">
        <v>3041</v>
      </c>
      <c r="F12" s="24">
        <v>6</v>
      </c>
      <c r="G12" s="24" t="s">
        <v>5669</v>
      </c>
      <c r="H12" s="57" t="s">
        <v>8245</v>
      </c>
      <c r="I12" s="57"/>
      <c r="J12" s="58"/>
    </row>
    <row r="13" ht="30" customHeight="1" spans="1:10">
      <c r="A13" s="59"/>
      <c r="B13" s="59"/>
      <c r="C13" s="24" t="s">
        <v>7542</v>
      </c>
      <c r="D13" s="61" t="s">
        <v>2686</v>
      </c>
      <c r="E13" s="56" t="s">
        <v>8246</v>
      </c>
      <c r="F13" s="24">
        <v>7</v>
      </c>
      <c r="G13" s="24" t="s">
        <v>5835</v>
      </c>
      <c r="H13" s="60" t="s">
        <v>8247</v>
      </c>
      <c r="I13" s="60"/>
      <c r="J13" s="58"/>
    </row>
    <row r="14" ht="30" customHeight="1" spans="1:10">
      <c r="A14" s="35" t="s">
        <v>5362</v>
      </c>
      <c r="B14" s="35" t="s">
        <v>5363</v>
      </c>
      <c r="C14" s="54" t="s">
        <v>7550</v>
      </c>
      <c r="D14" s="55" t="s">
        <v>2925</v>
      </c>
      <c r="E14" s="56" t="s">
        <v>8248</v>
      </c>
      <c r="F14" s="24">
        <v>6</v>
      </c>
      <c r="G14" s="24" t="s">
        <v>5671</v>
      </c>
      <c r="H14" s="57" t="s">
        <v>8249</v>
      </c>
      <c r="I14" s="57"/>
      <c r="J14" s="58"/>
    </row>
    <row r="15" ht="30" customHeight="1" spans="1:10">
      <c r="A15" s="59"/>
      <c r="B15" s="59"/>
      <c r="C15" s="54" t="s">
        <v>7573</v>
      </c>
      <c r="D15" s="55" t="s">
        <v>2884</v>
      </c>
      <c r="E15" s="56" t="s">
        <v>8250</v>
      </c>
      <c r="F15" s="24">
        <v>8</v>
      </c>
      <c r="G15" s="24" t="s">
        <v>5837</v>
      </c>
      <c r="H15" s="60" t="s">
        <v>8251</v>
      </c>
      <c r="I15" s="60"/>
      <c r="J15" s="58"/>
    </row>
    <row r="16" ht="30" customHeight="1" spans="1:10">
      <c r="A16" s="35" t="s">
        <v>5364</v>
      </c>
      <c r="B16" s="35" t="s">
        <v>5365</v>
      </c>
      <c r="C16" s="24" t="s">
        <v>7542</v>
      </c>
      <c r="D16" s="55" t="s">
        <v>2696</v>
      </c>
      <c r="E16" s="56" t="s">
        <v>762</v>
      </c>
      <c r="F16" s="24">
        <v>6</v>
      </c>
      <c r="G16" s="24" t="s">
        <v>5673</v>
      </c>
      <c r="H16" s="57" t="s">
        <v>8252</v>
      </c>
      <c r="I16" s="57"/>
      <c r="J16" s="58"/>
    </row>
    <row r="17" ht="30" customHeight="1" spans="1:10">
      <c r="A17" s="59"/>
      <c r="B17" s="59"/>
      <c r="C17" s="54" t="s">
        <v>7581</v>
      </c>
      <c r="D17" s="55" t="s">
        <v>3054</v>
      </c>
      <c r="E17" s="56" t="s">
        <v>8253</v>
      </c>
      <c r="F17" s="24">
        <v>9</v>
      </c>
      <c r="G17" s="24" t="s">
        <v>5851</v>
      </c>
      <c r="H17" s="60" t="s">
        <v>8254</v>
      </c>
      <c r="I17" s="60"/>
      <c r="J17" s="58"/>
    </row>
    <row r="18" ht="30" customHeight="1" spans="1:10">
      <c r="A18" s="35" t="s">
        <v>5366</v>
      </c>
      <c r="B18" s="35" t="s">
        <v>5367</v>
      </c>
      <c r="C18" s="54" t="s">
        <v>7581</v>
      </c>
      <c r="D18" s="55" t="s">
        <v>3050</v>
      </c>
      <c r="E18" s="56" t="s">
        <v>8255</v>
      </c>
      <c r="F18" s="24">
        <v>6</v>
      </c>
      <c r="G18" s="24" t="s">
        <v>5675</v>
      </c>
      <c r="H18" s="57" t="s">
        <v>8256</v>
      </c>
      <c r="I18" s="57"/>
      <c r="J18" s="58"/>
    </row>
    <row r="19" ht="30" customHeight="1" spans="1:10">
      <c r="A19" s="59"/>
      <c r="B19" s="59"/>
      <c r="C19" s="54" t="s">
        <v>7550</v>
      </c>
      <c r="D19" s="55" t="s">
        <v>2921</v>
      </c>
      <c r="E19" s="56" t="s">
        <v>8257</v>
      </c>
      <c r="F19" s="24">
        <v>9</v>
      </c>
      <c r="G19" s="24" t="s">
        <v>5913</v>
      </c>
      <c r="H19" s="60" t="s">
        <v>8258</v>
      </c>
      <c r="I19" s="60"/>
      <c r="J19" s="58"/>
    </row>
    <row r="20" ht="30" customHeight="1" spans="1:10">
      <c r="A20" s="35" t="s">
        <v>5368</v>
      </c>
      <c r="B20" s="35" t="s">
        <v>5369</v>
      </c>
      <c r="C20" s="54" t="s">
        <v>7552</v>
      </c>
      <c r="D20" s="55" t="s">
        <v>2995</v>
      </c>
      <c r="E20" s="56" t="s">
        <v>8259</v>
      </c>
      <c r="F20" s="24">
        <v>6</v>
      </c>
      <c r="G20" s="24" t="s">
        <v>5677</v>
      </c>
      <c r="H20" s="57" t="s">
        <v>8260</v>
      </c>
      <c r="I20" s="57"/>
      <c r="J20" s="58"/>
    </row>
    <row r="21" ht="30" customHeight="1" spans="1:10">
      <c r="A21" s="59"/>
      <c r="B21" s="59"/>
      <c r="C21" s="54" t="s">
        <v>7556</v>
      </c>
      <c r="D21" s="55" t="s">
        <v>3119</v>
      </c>
      <c r="E21" s="56" t="s">
        <v>8261</v>
      </c>
      <c r="F21" s="24">
        <v>8</v>
      </c>
      <c r="G21" s="24" t="s">
        <v>5841</v>
      </c>
      <c r="H21" s="60" t="s">
        <v>8262</v>
      </c>
      <c r="I21" s="60"/>
      <c r="J21" s="58"/>
    </row>
    <row r="22" ht="30" customHeight="1" spans="1:10">
      <c r="A22" s="35" t="s">
        <v>5370</v>
      </c>
      <c r="B22" s="35" t="s">
        <v>5371</v>
      </c>
      <c r="C22" s="54" t="s">
        <v>7548</v>
      </c>
      <c r="D22" s="55" t="s">
        <v>2837</v>
      </c>
      <c r="E22" s="56" t="s">
        <v>278</v>
      </c>
      <c r="F22" s="24">
        <v>6</v>
      </c>
      <c r="G22" s="24" t="s">
        <v>5679</v>
      </c>
      <c r="H22" s="57" t="s">
        <v>8263</v>
      </c>
      <c r="I22" s="57"/>
      <c r="J22" s="58"/>
    </row>
    <row r="23" ht="30" customHeight="1" spans="1:10">
      <c r="A23" s="59"/>
      <c r="B23" s="59"/>
      <c r="C23" s="54" t="s">
        <v>7556</v>
      </c>
      <c r="D23" s="55" t="s">
        <v>3103</v>
      </c>
      <c r="E23" s="56" t="s">
        <v>8264</v>
      </c>
      <c r="F23" s="24">
        <v>9</v>
      </c>
      <c r="G23" s="24" t="s">
        <v>5843</v>
      </c>
      <c r="H23" s="60" t="s">
        <v>8265</v>
      </c>
      <c r="I23" s="60"/>
      <c r="J23" s="58"/>
    </row>
    <row r="24" ht="30" customHeight="1" spans="1:10">
      <c r="A24" s="35" t="s">
        <v>5372</v>
      </c>
      <c r="B24" s="35" t="s">
        <v>5373</v>
      </c>
      <c r="C24" s="54" t="s">
        <v>7551</v>
      </c>
      <c r="D24" s="55" t="s">
        <v>2961</v>
      </c>
      <c r="E24" s="56" t="s">
        <v>8266</v>
      </c>
      <c r="F24" s="24">
        <v>9</v>
      </c>
      <c r="G24" s="24" t="s">
        <v>5681</v>
      </c>
      <c r="H24" s="57" t="s">
        <v>8267</v>
      </c>
      <c r="I24" s="57"/>
      <c r="J24" s="58"/>
    </row>
    <row r="25" ht="30" customHeight="1" spans="1:10">
      <c r="A25" s="59"/>
      <c r="B25" s="59"/>
      <c r="C25" s="54" t="s">
        <v>7581</v>
      </c>
      <c r="D25" s="55" t="s">
        <v>3056</v>
      </c>
      <c r="E25" s="56" t="s">
        <v>3039</v>
      </c>
      <c r="F25" s="24">
        <v>13</v>
      </c>
      <c r="G25" s="24" t="s">
        <v>5845</v>
      </c>
      <c r="H25" s="60" t="s">
        <v>8268</v>
      </c>
      <c r="I25" s="60"/>
      <c r="J25" s="58"/>
    </row>
    <row r="26" ht="30" customHeight="1" spans="1:10">
      <c r="A26" s="35" t="s">
        <v>5374</v>
      </c>
      <c r="B26" s="35" t="s">
        <v>5375</v>
      </c>
      <c r="C26" s="54" t="s">
        <v>7556</v>
      </c>
      <c r="D26" s="55" t="s">
        <v>3115</v>
      </c>
      <c r="E26" s="56" t="s">
        <v>8269</v>
      </c>
      <c r="F26" s="24">
        <v>8</v>
      </c>
      <c r="G26" s="24" t="s">
        <v>5683</v>
      </c>
      <c r="H26" s="57" t="s">
        <v>8270</v>
      </c>
      <c r="I26" s="57"/>
      <c r="J26" s="58"/>
    </row>
    <row r="27" ht="30" customHeight="1" spans="1:10">
      <c r="A27" s="59"/>
      <c r="B27" s="59"/>
      <c r="C27" s="24" t="s">
        <v>7542</v>
      </c>
      <c r="D27" s="55" t="s">
        <v>2706</v>
      </c>
      <c r="E27" s="56" t="s">
        <v>8271</v>
      </c>
      <c r="F27" s="24">
        <v>12</v>
      </c>
      <c r="G27" s="24" t="s">
        <v>5847</v>
      </c>
      <c r="H27" s="60" t="s">
        <v>8272</v>
      </c>
      <c r="I27" s="60"/>
      <c r="J27" s="58"/>
    </row>
    <row r="28" ht="30" customHeight="1" spans="1:10">
      <c r="A28" s="35" t="s">
        <v>5376</v>
      </c>
      <c r="B28" s="35" t="s">
        <v>5377</v>
      </c>
      <c r="C28" s="54" t="s">
        <v>7547</v>
      </c>
      <c r="D28" s="55" t="s">
        <v>2760</v>
      </c>
      <c r="E28" s="56" t="s">
        <v>1024</v>
      </c>
      <c r="F28" s="24">
        <v>6</v>
      </c>
      <c r="G28" s="24" t="s">
        <v>5685</v>
      </c>
      <c r="H28" s="57" t="s">
        <v>8273</v>
      </c>
      <c r="I28" s="57"/>
      <c r="J28" s="58"/>
    </row>
    <row r="29" ht="30" customHeight="1" spans="1:10">
      <c r="A29" s="59"/>
      <c r="B29" s="59"/>
      <c r="C29" s="24" t="s">
        <v>7546</v>
      </c>
      <c r="D29" s="55" t="s">
        <v>2710</v>
      </c>
      <c r="E29" s="56" t="s">
        <v>8274</v>
      </c>
      <c r="F29" s="24">
        <v>7</v>
      </c>
      <c r="G29" s="24" t="s">
        <v>5849</v>
      </c>
      <c r="H29" s="60" t="s">
        <v>8275</v>
      </c>
      <c r="I29" s="60"/>
      <c r="J29" s="58"/>
    </row>
    <row r="30" ht="30" customHeight="1" spans="1:10">
      <c r="A30" s="35" t="s">
        <v>5378</v>
      </c>
      <c r="B30" s="35" t="s">
        <v>5379</v>
      </c>
      <c r="C30" s="54" t="s">
        <v>7547</v>
      </c>
      <c r="D30" s="55" t="s">
        <v>2756</v>
      </c>
      <c r="E30" s="56" t="s">
        <v>8276</v>
      </c>
      <c r="F30" s="24">
        <v>6</v>
      </c>
      <c r="G30" s="24" t="s">
        <v>5687</v>
      </c>
      <c r="H30" s="57" t="s">
        <v>8277</v>
      </c>
      <c r="I30" s="57"/>
      <c r="J30" s="58"/>
    </row>
    <row r="31" ht="30" customHeight="1" spans="1:10">
      <c r="A31" s="59"/>
      <c r="B31" s="59"/>
      <c r="C31" s="54" t="s">
        <v>7550</v>
      </c>
      <c r="D31" s="55" t="s">
        <v>2923</v>
      </c>
      <c r="E31" s="56" t="s">
        <v>8278</v>
      </c>
      <c r="F31" s="24">
        <v>6</v>
      </c>
      <c r="G31" s="24" t="s">
        <v>5923</v>
      </c>
      <c r="H31" s="60" t="s">
        <v>8279</v>
      </c>
      <c r="I31" s="60"/>
      <c r="J31" s="58"/>
    </row>
    <row r="32" ht="30" customHeight="1" spans="1:10">
      <c r="A32" s="35" t="s">
        <v>5380</v>
      </c>
      <c r="B32" s="35" t="s">
        <v>5381</v>
      </c>
      <c r="C32" s="54" t="s">
        <v>7550</v>
      </c>
      <c r="D32" s="55" t="s">
        <v>2927</v>
      </c>
      <c r="E32" s="56" t="s">
        <v>8280</v>
      </c>
      <c r="F32" s="24">
        <v>6</v>
      </c>
      <c r="G32" s="24" t="s">
        <v>5687</v>
      </c>
      <c r="H32" s="57" t="s">
        <v>8281</v>
      </c>
      <c r="I32" s="57"/>
      <c r="J32" s="58"/>
    </row>
    <row r="33" ht="30" customHeight="1" spans="1:10">
      <c r="A33" s="59"/>
      <c r="B33" s="59"/>
      <c r="C33" s="54" t="s">
        <v>7550</v>
      </c>
      <c r="D33" s="55" t="s">
        <v>2923</v>
      </c>
      <c r="E33" s="56" t="s">
        <v>8278</v>
      </c>
      <c r="F33" s="24">
        <v>7</v>
      </c>
      <c r="G33" s="24" t="s">
        <v>5923</v>
      </c>
      <c r="H33" s="60" t="s">
        <v>8279</v>
      </c>
      <c r="I33" s="60"/>
      <c r="J33" s="58"/>
    </row>
    <row r="34" ht="30" customHeight="1" spans="1:10">
      <c r="A34" s="35" t="s">
        <v>5382</v>
      </c>
      <c r="B34" s="35" t="s">
        <v>5383</v>
      </c>
      <c r="C34" s="54" t="s">
        <v>7553</v>
      </c>
      <c r="D34" s="55" t="s">
        <v>3016</v>
      </c>
      <c r="E34" s="56" t="s">
        <v>8282</v>
      </c>
      <c r="F34" s="24">
        <v>6</v>
      </c>
      <c r="G34" s="24" t="s">
        <v>5690</v>
      </c>
      <c r="H34" s="57" t="s">
        <v>8283</v>
      </c>
      <c r="I34" s="57"/>
      <c r="J34" s="58"/>
    </row>
    <row r="35" ht="30" customHeight="1" spans="1:10">
      <c r="A35" s="59"/>
      <c r="B35" s="59"/>
      <c r="C35" s="54" t="s">
        <v>7550</v>
      </c>
      <c r="D35" s="55" t="s">
        <v>2923</v>
      </c>
      <c r="E35" s="56" t="s">
        <v>8278</v>
      </c>
      <c r="F35" s="24">
        <v>7</v>
      </c>
      <c r="G35" s="24" t="s">
        <v>5853</v>
      </c>
      <c r="H35" s="60" t="s">
        <v>8284</v>
      </c>
      <c r="I35" s="60"/>
      <c r="J35" s="58"/>
    </row>
    <row r="36" ht="30" customHeight="1" spans="1:10">
      <c r="A36" s="35" t="s">
        <v>5384</v>
      </c>
      <c r="B36" s="35" t="s">
        <v>5385</v>
      </c>
      <c r="C36" s="54" t="s">
        <v>7548</v>
      </c>
      <c r="D36" s="55" t="s">
        <v>2856</v>
      </c>
      <c r="E36" s="56" t="s">
        <v>8285</v>
      </c>
      <c r="F36" s="24">
        <v>6</v>
      </c>
      <c r="G36" s="24" t="s">
        <v>5692</v>
      </c>
      <c r="H36" s="57" t="s">
        <v>8286</v>
      </c>
      <c r="I36" s="57"/>
      <c r="J36" s="58"/>
    </row>
    <row r="37" ht="30" customHeight="1" spans="1:10">
      <c r="A37" s="59"/>
      <c r="B37" s="59"/>
      <c r="C37" s="54" t="s">
        <v>7573</v>
      </c>
      <c r="D37" s="55" t="s">
        <v>2886</v>
      </c>
      <c r="E37" s="56" t="s">
        <v>8190</v>
      </c>
      <c r="F37" s="24">
        <v>6</v>
      </c>
      <c r="G37" s="24" t="s">
        <v>5877</v>
      </c>
      <c r="H37" s="60" t="s">
        <v>8287</v>
      </c>
      <c r="I37" s="60"/>
      <c r="J37" s="58"/>
    </row>
    <row r="38" ht="30" customHeight="1" spans="1:10">
      <c r="A38" s="35" t="s">
        <v>5386</v>
      </c>
      <c r="B38" s="35" t="s">
        <v>5387</v>
      </c>
      <c r="C38" s="54" t="s">
        <v>7551</v>
      </c>
      <c r="D38" s="55" t="s">
        <v>2967</v>
      </c>
      <c r="E38" s="56" t="s">
        <v>8288</v>
      </c>
      <c r="F38" s="24">
        <v>7</v>
      </c>
      <c r="G38" s="24" t="s">
        <v>5694</v>
      </c>
      <c r="H38" s="57" t="s">
        <v>8289</v>
      </c>
      <c r="I38" s="57"/>
      <c r="J38" s="58"/>
    </row>
    <row r="39" ht="30" customHeight="1" spans="1:10">
      <c r="A39" s="59"/>
      <c r="B39" s="59"/>
      <c r="C39" s="54" t="s">
        <v>7555</v>
      </c>
      <c r="D39" s="55" t="s">
        <v>3024</v>
      </c>
      <c r="E39" s="56" t="s">
        <v>8110</v>
      </c>
      <c r="F39" s="24">
        <v>10</v>
      </c>
      <c r="G39" s="24" t="s">
        <v>5855</v>
      </c>
      <c r="H39" s="60" t="s">
        <v>8290</v>
      </c>
      <c r="I39" s="60"/>
      <c r="J39" s="58"/>
    </row>
    <row r="40" ht="30" customHeight="1" spans="1:10">
      <c r="A40" s="35" t="s">
        <v>5388</v>
      </c>
      <c r="B40" s="35" t="s">
        <v>5389</v>
      </c>
      <c r="C40" s="54" t="s">
        <v>7555</v>
      </c>
      <c r="D40" s="55" t="s">
        <v>3020</v>
      </c>
      <c r="E40" s="56" t="s">
        <v>8291</v>
      </c>
      <c r="F40" s="24">
        <v>6</v>
      </c>
      <c r="G40" s="24" t="s">
        <v>5696</v>
      </c>
      <c r="H40" s="57" t="s">
        <v>8292</v>
      </c>
      <c r="I40" s="57"/>
      <c r="J40" s="58"/>
    </row>
    <row r="41" ht="30" customHeight="1" spans="1:10">
      <c r="A41" s="59"/>
      <c r="B41" s="59"/>
      <c r="C41" s="24" t="s">
        <v>7542</v>
      </c>
      <c r="D41" s="61" t="s">
        <v>2686</v>
      </c>
      <c r="E41" s="56" t="s">
        <v>8246</v>
      </c>
      <c r="F41" s="24">
        <v>6</v>
      </c>
      <c r="G41" s="24" t="s">
        <v>5857</v>
      </c>
      <c r="H41" s="60" t="s">
        <v>8293</v>
      </c>
      <c r="I41" s="60"/>
      <c r="J41" s="58"/>
    </row>
    <row r="42" ht="30" customHeight="1" spans="1:10">
      <c r="A42" s="35" t="s">
        <v>5390</v>
      </c>
      <c r="B42" s="35" t="s">
        <v>5391</v>
      </c>
      <c r="C42" s="54" t="s">
        <v>7573</v>
      </c>
      <c r="D42" s="55" t="s">
        <v>2887</v>
      </c>
      <c r="E42" s="56" t="s">
        <v>8294</v>
      </c>
      <c r="F42" s="24">
        <v>6</v>
      </c>
      <c r="G42" s="24" t="s">
        <v>5698</v>
      </c>
      <c r="H42" s="57" t="s">
        <v>8295</v>
      </c>
      <c r="I42" s="57"/>
      <c r="J42" s="58"/>
    </row>
    <row r="43" ht="30" customHeight="1" spans="1:10">
      <c r="A43" s="59"/>
      <c r="B43" s="59"/>
      <c r="C43" s="24" t="s">
        <v>7542</v>
      </c>
      <c r="D43" s="55" t="s">
        <v>2690</v>
      </c>
      <c r="E43" s="56" t="s">
        <v>8296</v>
      </c>
      <c r="F43" s="24">
        <v>7</v>
      </c>
      <c r="G43" s="24" t="s">
        <v>5827</v>
      </c>
      <c r="H43" s="60" t="s">
        <v>8297</v>
      </c>
      <c r="I43" s="60"/>
      <c r="J43" s="58"/>
    </row>
    <row r="44" ht="30" customHeight="1" spans="1:10">
      <c r="A44" s="35" t="s">
        <v>5392</v>
      </c>
      <c r="B44" s="35" t="s">
        <v>5393</v>
      </c>
      <c r="C44" s="54" t="s">
        <v>7566</v>
      </c>
      <c r="D44" s="55" t="s">
        <v>2721</v>
      </c>
      <c r="E44" s="56" t="s">
        <v>8298</v>
      </c>
      <c r="F44" s="24">
        <v>6</v>
      </c>
      <c r="G44" s="24" t="s">
        <v>5700</v>
      </c>
      <c r="H44" s="57" t="s">
        <v>8299</v>
      </c>
      <c r="I44" s="57"/>
      <c r="J44" s="58"/>
    </row>
    <row r="45" ht="30" customHeight="1" spans="1:10">
      <c r="A45" s="59"/>
      <c r="B45" s="59"/>
      <c r="C45" s="54" t="s">
        <v>7566</v>
      </c>
      <c r="D45" s="55" t="s">
        <v>2725</v>
      </c>
      <c r="E45" s="56" t="s">
        <v>8210</v>
      </c>
      <c r="F45" s="24">
        <v>7</v>
      </c>
      <c r="G45" s="24" t="s">
        <v>5861</v>
      </c>
      <c r="H45" s="60" t="s">
        <v>8300</v>
      </c>
      <c r="I45" s="60"/>
      <c r="J45" s="58"/>
    </row>
    <row r="46" ht="30" customHeight="1" spans="1:10">
      <c r="A46" s="35" t="s">
        <v>5394</v>
      </c>
      <c r="B46" s="35" t="s">
        <v>5395</v>
      </c>
      <c r="C46" s="54" t="s">
        <v>7556</v>
      </c>
      <c r="D46" s="55" t="s">
        <v>3094</v>
      </c>
      <c r="E46" s="56" t="s">
        <v>8301</v>
      </c>
      <c r="F46" s="24">
        <v>6</v>
      </c>
      <c r="G46" s="24" t="s">
        <v>5702</v>
      </c>
      <c r="H46" s="57" t="s">
        <v>8302</v>
      </c>
      <c r="I46" s="57"/>
      <c r="J46" s="58"/>
    </row>
    <row r="47" ht="30" customHeight="1" spans="1:10">
      <c r="A47" s="59"/>
      <c r="B47" s="59"/>
      <c r="C47" s="54" t="s">
        <v>7556</v>
      </c>
      <c r="D47" s="55" t="s">
        <v>1565</v>
      </c>
      <c r="E47" s="56" t="s">
        <v>8303</v>
      </c>
      <c r="F47" s="24">
        <v>7</v>
      </c>
      <c r="G47" s="24" t="s">
        <v>5863</v>
      </c>
      <c r="H47" s="60" t="s">
        <v>8304</v>
      </c>
      <c r="I47" s="60"/>
      <c r="J47" s="58"/>
    </row>
    <row r="48" ht="30" customHeight="1" spans="1:10">
      <c r="A48" s="35" t="s">
        <v>5396</v>
      </c>
      <c r="B48" s="35" t="s">
        <v>5397</v>
      </c>
      <c r="C48" s="54" t="s">
        <v>7556</v>
      </c>
      <c r="D48" s="55" t="s">
        <v>1567</v>
      </c>
      <c r="E48" s="56" t="s">
        <v>8305</v>
      </c>
      <c r="F48" s="24">
        <v>6</v>
      </c>
      <c r="G48" s="24" t="s">
        <v>5704</v>
      </c>
      <c r="H48" s="57" t="s">
        <v>8306</v>
      </c>
      <c r="I48" s="57"/>
      <c r="J48" s="58"/>
    </row>
    <row r="49" ht="30" customHeight="1" spans="1:10">
      <c r="A49" s="59"/>
      <c r="B49" s="59"/>
      <c r="C49" s="54" t="s">
        <v>7556</v>
      </c>
      <c r="D49" s="55" t="s">
        <v>3090</v>
      </c>
      <c r="E49" s="56" t="s">
        <v>8307</v>
      </c>
      <c r="F49" s="24">
        <v>7</v>
      </c>
      <c r="G49" s="24" t="s">
        <v>5865</v>
      </c>
      <c r="H49" s="60" t="s">
        <v>8308</v>
      </c>
      <c r="I49" s="60"/>
      <c r="J49" s="58"/>
    </row>
    <row r="50" ht="30" customHeight="1" spans="1:10">
      <c r="A50" s="35" t="s">
        <v>5398</v>
      </c>
      <c r="B50" s="35" t="s">
        <v>8309</v>
      </c>
      <c r="C50" s="54" t="s">
        <v>7556</v>
      </c>
      <c r="D50" s="55" t="s">
        <v>3097</v>
      </c>
      <c r="E50" s="56" t="s">
        <v>8310</v>
      </c>
      <c r="F50" s="24">
        <v>6</v>
      </c>
      <c r="G50" s="24" t="s">
        <v>5706</v>
      </c>
      <c r="H50" s="57" t="s">
        <v>8311</v>
      </c>
      <c r="I50" s="57"/>
      <c r="J50" s="58"/>
    </row>
    <row r="51" ht="30" customHeight="1" spans="1:10">
      <c r="A51" s="59"/>
      <c r="B51" s="59"/>
      <c r="C51" s="54" t="s">
        <v>7556</v>
      </c>
      <c r="D51" s="55" t="s">
        <v>3092</v>
      </c>
      <c r="E51" s="56" t="s">
        <v>8241</v>
      </c>
      <c r="F51" s="24">
        <v>7</v>
      </c>
      <c r="G51" s="24" t="s">
        <v>5867</v>
      </c>
      <c r="H51" s="60" t="s">
        <v>8312</v>
      </c>
      <c r="I51" s="60"/>
      <c r="J51" s="58"/>
    </row>
    <row r="52" ht="30" customHeight="1" spans="1:10">
      <c r="A52" s="35" t="s">
        <v>5400</v>
      </c>
      <c r="B52" s="35" t="s">
        <v>8313</v>
      </c>
      <c r="C52" s="54" t="s">
        <v>7556</v>
      </c>
      <c r="D52" s="55" t="s">
        <v>3099</v>
      </c>
      <c r="E52" s="56" t="s">
        <v>8314</v>
      </c>
      <c r="F52" s="24">
        <v>6</v>
      </c>
      <c r="G52" s="24" t="s">
        <v>5708</v>
      </c>
      <c r="H52" s="57" t="s">
        <v>8315</v>
      </c>
      <c r="I52" s="57"/>
      <c r="J52" s="58"/>
    </row>
    <row r="53" ht="30" customHeight="1" spans="1:10">
      <c r="A53" s="59"/>
      <c r="B53" s="59"/>
      <c r="C53" s="54" t="s">
        <v>7556</v>
      </c>
      <c r="D53" s="55" t="s">
        <v>3088</v>
      </c>
      <c r="E53" s="56" t="s">
        <v>8316</v>
      </c>
      <c r="F53" s="24">
        <v>7</v>
      </c>
      <c r="G53" s="24" t="s">
        <v>5869</v>
      </c>
      <c r="H53" s="60" t="s">
        <v>8317</v>
      </c>
      <c r="I53" s="60"/>
      <c r="J53" s="58"/>
    </row>
    <row r="54" ht="30" customHeight="1" spans="1:10">
      <c r="A54" s="35" t="s">
        <v>5402</v>
      </c>
      <c r="B54" s="35" t="s">
        <v>5403</v>
      </c>
      <c r="C54" s="24" t="s">
        <v>7566</v>
      </c>
      <c r="D54" s="55" t="s">
        <v>2723</v>
      </c>
      <c r="E54" s="56" t="s">
        <v>8318</v>
      </c>
      <c r="F54" s="24">
        <v>6</v>
      </c>
      <c r="G54" s="24" t="s">
        <v>5710</v>
      </c>
      <c r="H54" s="57" t="s">
        <v>8319</v>
      </c>
      <c r="I54" s="57"/>
      <c r="J54" s="58"/>
    </row>
    <row r="55" ht="30" customHeight="1" spans="1:10">
      <c r="A55" s="59"/>
      <c r="B55" s="59"/>
      <c r="C55" s="54" t="s">
        <v>7556</v>
      </c>
      <c r="D55" s="55" t="s">
        <v>3113</v>
      </c>
      <c r="E55" s="56" t="s">
        <v>8320</v>
      </c>
      <c r="F55" s="24">
        <v>7</v>
      </c>
      <c r="G55" s="24" t="s">
        <v>5895</v>
      </c>
      <c r="H55" s="60" t="s">
        <v>8321</v>
      </c>
      <c r="I55" s="60"/>
      <c r="J55" s="58"/>
    </row>
    <row r="56" ht="30" customHeight="1" spans="1:10">
      <c r="A56" s="35" t="s">
        <v>5404</v>
      </c>
      <c r="B56" s="35" t="s">
        <v>5405</v>
      </c>
      <c r="C56" s="54" t="s">
        <v>7556</v>
      </c>
      <c r="D56" s="55" t="s">
        <v>3117</v>
      </c>
      <c r="E56" s="56" t="s">
        <v>8322</v>
      </c>
      <c r="F56" s="24">
        <v>8</v>
      </c>
      <c r="G56" s="24" t="s">
        <v>5712</v>
      </c>
      <c r="H56" s="57" t="s">
        <v>8323</v>
      </c>
      <c r="I56" s="57"/>
      <c r="J56" s="58"/>
    </row>
    <row r="57" ht="30" customHeight="1" spans="1:10">
      <c r="A57" s="59"/>
      <c r="B57" s="59"/>
      <c r="C57" s="54" t="s">
        <v>7548</v>
      </c>
      <c r="D57" s="55" t="s">
        <v>2854</v>
      </c>
      <c r="E57" s="56" t="s">
        <v>1719</v>
      </c>
      <c r="F57" s="24">
        <v>12</v>
      </c>
      <c r="G57" s="24" t="s">
        <v>5871</v>
      </c>
      <c r="H57" s="60" t="s">
        <v>8324</v>
      </c>
      <c r="I57" s="60"/>
      <c r="J57" s="58"/>
    </row>
    <row r="58" ht="30" customHeight="1" spans="1:10">
      <c r="A58" s="35" t="s">
        <v>5406</v>
      </c>
      <c r="B58" s="35" t="s">
        <v>5407</v>
      </c>
      <c r="C58" s="54" t="s">
        <v>7556</v>
      </c>
      <c r="D58" s="55" t="s">
        <v>3111</v>
      </c>
      <c r="E58" s="56" t="s">
        <v>8325</v>
      </c>
      <c r="F58" s="24">
        <v>6</v>
      </c>
      <c r="G58" s="24" t="s">
        <v>5714</v>
      </c>
      <c r="H58" s="57" t="s">
        <v>8326</v>
      </c>
      <c r="I58" s="57"/>
      <c r="J58" s="58"/>
    </row>
    <row r="59" ht="30" customHeight="1" spans="1:10">
      <c r="A59" s="59"/>
      <c r="B59" s="59"/>
      <c r="C59" s="54" t="s">
        <v>7581</v>
      </c>
      <c r="D59" s="55" t="s">
        <v>3054</v>
      </c>
      <c r="E59" s="56" t="s">
        <v>8253</v>
      </c>
      <c r="F59" s="24">
        <v>7</v>
      </c>
      <c r="G59" s="24" t="s">
        <v>5873</v>
      </c>
      <c r="H59" s="60" t="s">
        <v>8327</v>
      </c>
      <c r="I59" s="60"/>
      <c r="J59" s="58"/>
    </row>
    <row r="60" ht="30" customHeight="1" spans="1:10">
      <c r="A60" s="35" t="s">
        <v>5408</v>
      </c>
      <c r="B60" s="35" t="s">
        <v>5409</v>
      </c>
      <c r="C60" s="54" t="s">
        <v>7547</v>
      </c>
      <c r="D60" s="55" t="s">
        <v>2760</v>
      </c>
      <c r="E60" s="56" t="s">
        <v>1024</v>
      </c>
      <c r="F60" s="24">
        <v>6</v>
      </c>
      <c r="G60" s="24" t="s">
        <v>5716</v>
      </c>
      <c r="H60" s="57" t="s">
        <v>8328</v>
      </c>
      <c r="I60" s="57"/>
      <c r="J60" s="58"/>
    </row>
    <row r="61" ht="30" customHeight="1" spans="1:10">
      <c r="A61" s="59"/>
      <c r="B61" s="59"/>
      <c r="C61" s="54" t="s">
        <v>7550</v>
      </c>
      <c r="D61" s="55" t="s">
        <v>2923</v>
      </c>
      <c r="E61" s="56" t="s">
        <v>8278</v>
      </c>
      <c r="F61" s="24">
        <v>8</v>
      </c>
      <c r="G61" s="24" t="s">
        <v>5875</v>
      </c>
      <c r="H61" s="60" t="s">
        <v>8329</v>
      </c>
      <c r="I61" s="60"/>
      <c r="J61" s="58"/>
    </row>
    <row r="62" ht="30" customHeight="1" spans="1:10">
      <c r="A62" s="35" t="s">
        <v>5410</v>
      </c>
      <c r="B62" s="35" t="s">
        <v>5411</v>
      </c>
      <c r="C62" s="54" t="s">
        <v>7556</v>
      </c>
      <c r="D62" s="55" t="s">
        <v>3113</v>
      </c>
      <c r="E62" s="56" t="s">
        <v>8320</v>
      </c>
      <c r="F62" s="24">
        <v>6</v>
      </c>
      <c r="G62" s="24" t="s">
        <v>5718</v>
      </c>
      <c r="H62" s="57" t="s">
        <v>8330</v>
      </c>
      <c r="I62" s="57"/>
      <c r="J62" s="58"/>
    </row>
    <row r="63" ht="30" customHeight="1" spans="1:10">
      <c r="A63" s="59"/>
      <c r="B63" s="59"/>
      <c r="C63" s="54" t="s">
        <v>7573</v>
      </c>
      <c r="D63" s="55" t="s">
        <v>2886</v>
      </c>
      <c r="E63" s="56" t="s">
        <v>8190</v>
      </c>
      <c r="F63" s="24">
        <v>8</v>
      </c>
      <c r="G63" s="24" t="s">
        <v>5895</v>
      </c>
      <c r="H63" s="60" t="s">
        <v>8321</v>
      </c>
      <c r="I63" s="60"/>
      <c r="J63" s="58"/>
    </row>
    <row r="64" ht="30" customHeight="1" spans="1:10">
      <c r="A64" s="35" t="s">
        <v>5412</v>
      </c>
      <c r="B64" s="35" t="s">
        <v>5413</v>
      </c>
      <c r="C64" s="54" t="s">
        <v>7566</v>
      </c>
      <c r="D64" s="55" t="s">
        <v>2726</v>
      </c>
      <c r="E64" s="56" t="s">
        <v>8211</v>
      </c>
      <c r="F64" s="24">
        <v>6</v>
      </c>
      <c r="G64" s="24" t="s">
        <v>5720</v>
      </c>
      <c r="H64" s="57" t="s">
        <v>8331</v>
      </c>
      <c r="I64" s="57"/>
      <c r="J64" s="58"/>
    </row>
    <row r="65" ht="30" customHeight="1" spans="1:10">
      <c r="A65" s="59"/>
      <c r="B65" s="59"/>
      <c r="C65" s="54" t="s">
        <v>7548</v>
      </c>
      <c r="D65" s="55" t="s">
        <v>2839</v>
      </c>
      <c r="E65" s="56" t="s">
        <v>280</v>
      </c>
      <c r="F65" s="24">
        <v>8</v>
      </c>
      <c r="G65" s="24" t="s">
        <v>5879</v>
      </c>
      <c r="H65" s="60" t="s">
        <v>8332</v>
      </c>
      <c r="I65" s="60"/>
      <c r="J65" s="58"/>
    </row>
    <row r="66" ht="30" customHeight="1" spans="1:10">
      <c r="A66" s="35" t="s">
        <v>5414</v>
      </c>
      <c r="B66" s="35" t="s">
        <v>5415</v>
      </c>
      <c r="C66" s="24" t="s">
        <v>7546</v>
      </c>
      <c r="D66" s="55" t="s">
        <v>2716</v>
      </c>
      <c r="E66" s="56" t="s">
        <v>8333</v>
      </c>
      <c r="F66" s="24">
        <v>8</v>
      </c>
      <c r="G66" s="24" t="s">
        <v>5722</v>
      </c>
      <c r="H66" s="57" t="s">
        <v>8334</v>
      </c>
      <c r="I66" s="57"/>
      <c r="J66" s="58"/>
    </row>
    <row r="67" ht="30" customHeight="1" spans="1:10">
      <c r="A67" s="59"/>
      <c r="B67" s="59"/>
      <c r="C67" s="54" t="s">
        <v>7551</v>
      </c>
      <c r="D67" s="55" t="s">
        <v>2973</v>
      </c>
      <c r="E67" s="56" t="s">
        <v>8335</v>
      </c>
      <c r="F67" s="24">
        <v>12</v>
      </c>
      <c r="G67" s="24" t="s">
        <v>5959</v>
      </c>
      <c r="H67" s="60" t="s">
        <v>8336</v>
      </c>
      <c r="I67" s="60"/>
      <c r="J67" s="58"/>
    </row>
    <row r="68" ht="30" customHeight="1" spans="1:10">
      <c r="A68" s="35" t="s">
        <v>5416</v>
      </c>
      <c r="B68" s="35" t="s">
        <v>5417</v>
      </c>
      <c r="C68" s="54" t="s">
        <v>7550</v>
      </c>
      <c r="D68" s="55" t="s">
        <v>2929</v>
      </c>
      <c r="E68" s="56" t="s">
        <v>8337</v>
      </c>
      <c r="F68" s="24">
        <v>8</v>
      </c>
      <c r="G68" s="24" t="s">
        <v>5724</v>
      </c>
      <c r="H68" s="57" t="s">
        <v>8338</v>
      </c>
      <c r="I68" s="57"/>
      <c r="J68" s="58"/>
    </row>
    <row r="69" ht="30" customHeight="1" spans="1:10">
      <c r="A69" s="59"/>
      <c r="B69" s="59"/>
      <c r="C69" s="24" t="s">
        <v>7546</v>
      </c>
      <c r="D69" s="55" t="s">
        <v>2712</v>
      </c>
      <c r="E69" s="56" t="s">
        <v>8339</v>
      </c>
      <c r="F69" s="24">
        <v>11</v>
      </c>
      <c r="G69" s="24" t="s">
        <v>5881</v>
      </c>
      <c r="H69" s="60" t="s">
        <v>8340</v>
      </c>
      <c r="I69" s="60"/>
      <c r="J69" s="58"/>
    </row>
    <row r="70" ht="30" customHeight="1" spans="1:10">
      <c r="A70" s="35" t="s">
        <v>5418</v>
      </c>
      <c r="B70" s="35" t="s">
        <v>5419</v>
      </c>
      <c r="C70" s="54" t="s">
        <v>7573</v>
      </c>
      <c r="D70" s="55" t="s">
        <v>2895</v>
      </c>
      <c r="E70" s="56" t="s">
        <v>8341</v>
      </c>
      <c r="F70" s="24">
        <v>11</v>
      </c>
      <c r="G70" s="24" t="s">
        <v>5726</v>
      </c>
      <c r="H70" s="57" t="s">
        <v>8342</v>
      </c>
      <c r="I70" s="57"/>
      <c r="J70" s="58"/>
    </row>
    <row r="71" ht="30" customHeight="1" spans="1:10">
      <c r="A71" s="59"/>
      <c r="B71" s="59"/>
      <c r="C71" s="24" t="s">
        <v>7542</v>
      </c>
      <c r="D71" s="55" t="s">
        <v>2688</v>
      </c>
      <c r="E71" s="56" t="s">
        <v>8343</v>
      </c>
      <c r="F71" s="24">
        <v>16</v>
      </c>
      <c r="G71" s="24" t="s">
        <v>5883</v>
      </c>
      <c r="H71" s="60" t="s">
        <v>8344</v>
      </c>
      <c r="I71" s="60"/>
      <c r="J71" s="58"/>
    </row>
    <row r="72" ht="30" customHeight="1" spans="1:10">
      <c r="A72" s="35" t="s">
        <v>5420</v>
      </c>
      <c r="B72" s="35" t="s">
        <v>5421</v>
      </c>
      <c r="C72" s="54" t="s">
        <v>7551</v>
      </c>
      <c r="D72" s="55" t="s">
        <v>2965</v>
      </c>
      <c r="E72" s="56" t="s">
        <v>8345</v>
      </c>
      <c r="F72" s="24">
        <v>14</v>
      </c>
      <c r="G72" s="24" t="s">
        <v>5728</v>
      </c>
      <c r="H72" s="57" t="s">
        <v>8346</v>
      </c>
      <c r="I72" s="57"/>
      <c r="J72" s="58"/>
    </row>
    <row r="73" ht="30" customHeight="1" spans="1:10">
      <c r="A73" s="59"/>
      <c r="B73" s="59"/>
      <c r="C73" s="54" t="s">
        <v>7549</v>
      </c>
      <c r="D73" s="55" t="s">
        <v>2876</v>
      </c>
      <c r="E73" s="56" t="s">
        <v>8347</v>
      </c>
      <c r="F73" s="24">
        <v>20</v>
      </c>
      <c r="G73" s="24" t="s">
        <v>5885</v>
      </c>
      <c r="H73" s="60" t="s">
        <v>8348</v>
      </c>
      <c r="I73" s="60"/>
      <c r="J73" s="58"/>
    </row>
    <row r="74" ht="30" customHeight="1" spans="1:10">
      <c r="A74" s="35" t="s">
        <v>5422</v>
      </c>
      <c r="B74" s="35" t="s">
        <v>5423</v>
      </c>
      <c r="C74" s="24" t="s">
        <v>7542</v>
      </c>
      <c r="D74" s="55" t="s">
        <v>2708</v>
      </c>
      <c r="E74" s="56" t="s">
        <v>8349</v>
      </c>
      <c r="F74" s="24">
        <v>12</v>
      </c>
      <c r="G74" s="24" t="s">
        <v>5730</v>
      </c>
      <c r="H74" s="57" t="s">
        <v>8350</v>
      </c>
      <c r="I74" s="57"/>
      <c r="J74" s="58"/>
    </row>
    <row r="75" ht="30" customHeight="1" spans="1:10">
      <c r="A75" s="59"/>
      <c r="B75" s="59"/>
      <c r="C75" s="54" t="s">
        <v>7573</v>
      </c>
      <c r="D75" s="55" t="s">
        <v>2880</v>
      </c>
      <c r="E75" s="56" t="s">
        <v>8351</v>
      </c>
      <c r="F75" s="24">
        <v>17</v>
      </c>
      <c r="G75" s="24" t="s">
        <v>5887</v>
      </c>
      <c r="H75" s="60" t="s">
        <v>8352</v>
      </c>
      <c r="I75" s="60"/>
      <c r="J75" s="58"/>
    </row>
    <row r="76" ht="30" customHeight="1" spans="1:10">
      <c r="A76" s="35" t="s">
        <v>5424</v>
      </c>
      <c r="B76" s="35" t="s">
        <v>5425</v>
      </c>
      <c r="C76" s="54" t="s">
        <v>7581</v>
      </c>
      <c r="D76" s="55" t="s">
        <v>3052</v>
      </c>
      <c r="E76" s="56" t="s">
        <v>3033</v>
      </c>
      <c r="F76" s="24">
        <v>10</v>
      </c>
      <c r="G76" s="24" t="s">
        <v>5732</v>
      </c>
      <c r="H76" s="57" t="s">
        <v>8353</v>
      </c>
      <c r="I76" s="57"/>
      <c r="J76" s="58"/>
    </row>
    <row r="77" ht="30" customHeight="1" spans="1:10">
      <c r="A77" s="59"/>
      <c r="B77" s="59"/>
      <c r="C77" s="24" t="s">
        <v>7542</v>
      </c>
      <c r="D77" s="55" t="s">
        <v>2700</v>
      </c>
      <c r="E77" s="56" t="s">
        <v>8354</v>
      </c>
      <c r="F77" s="24">
        <v>14</v>
      </c>
      <c r="G77" s="24" t="s">
        <v>5889</v>
      </c>
      <c r="H77" s="60" t="s">
        <v>8355</v>
      </c>
      <c r="I77" s="60"/>
      <c r="J77" s="58"/>
    </row>
    <row r="78" ht="30" customHeight="1" spans="1:10">
      <c r="A78" s="35" t="s">
        <v>5426</v>
      </c>
      <c r="B78" s="35" t="s">
        <v>5427</v>
      </c>
      <c r="C78" s="54" t="s">
        <v>7549</v>
      </c>
      <c r="D78" s="55" t="s">
        <v>2870</v>
      </c>
      <c r="E78" s="56" t="s">
        <v>8356</v>
      </c>
      <c r="F78" s="24">
        <v>11</v>
      </c>
      <c r="G78" s="24" t="s">
        <v>5734</v>
      </c>
      <c r="H78" s="57" t="s">
        <v>8357</v>
      </c>
      <c r="I78" s="57"/>
      <c r="J78" s="58"/>
    </row>
    <row r="79" ht="30" customHeight="1" spans="1:10">
      <c r="A79" s="59"/>
      <c r="B79" s="59"/>
      <c r="C79" s="54" t="s">
        <v>7552</v>
      </c>
      <c r="D79" s="55" t="s">
        <v>2997</v>
      </c>
      <c r="E79" s="56" t="s">
        <v>8358</v>
      </c>
      <c r="F79" s="24">
        <v>16</v>
      </c>
      <c r="G79" s="24" t="s">
        <v>5891</v>
      </c>
      <c r="H79" s="60" t="s">
        <v>8359</v>
      </c>
      <c r="I79" s="60"/>
      <c r="J79" s="58"/>
    </row>
    <row r="80" ht="30" customHeight="1" spans="1:10">
      <c r="A80" s="35" t="s">
        <v>5428</v>
      </c>
      <c r="B80" s="35" t="s">
        <v>5429</v>
      </c>
      <c r="C80" s="54" t="s">
        <v>7551</v>
      </c>
      <c r="D80" s="55" t="s">
        <v>2959</v>
      </c>
      <c r="E80" s="56" t="s">
        <v>8360</v>
      </c>
      <c r="F80" s="24">
        <v>6</v>
      </c>
      <c r="G80" s="24" t="s">
        <v>5736</v>
      </c>
      <c r="H80" s="57" t="s">
        <v>8361</v>
      </c>
      <c r="I80" s="57"/>
      <c r="J80" s="58"/>
    </row>
    <row r="81" ht="30" customHeight="1" spans="1:10">
      <c r="A81" s="59"/>
      <c r="B81" s="59"/>
      <c r="C81" s="54" t="s">
        <v>7556</v>
      </c>
      <c r="D81" s="55" t="s">
        <v>1565</v>
      </c>
      <c r="E81" s="56" t="s">
        <v>8303</v>
      </c>
      <c r="F81" s="24">
        <v>7</v>
      </c>
      <c r="G81" s="24" t="s">
        <v>5893</v>
      </c>
      <c r="H81" s="60" t="s">
        <v>8362</v>
      </c>
      <c r="I81" s="60"/>
      <c r="J81" s="58"/>
    </row>
    <row r="82" ht="30" customHeight="1" spans="1:10">
      <c r="A82" s="35" t="s">
        <v>5430</v>
      </c>
      <c r="B82" s="35" t="s">
        <v>5431</v>
      </c>
      <c r="C82" s="54" t="s">
        <v>7550</v>
      </c>
      <c r="D82" s="55" t="s">
        <v>2919</v>
      </c>
      <c r="E82" s="56" t="s">
        <v>8363</v>
      </c>
      <c r="F82" s="24">
        <v>12</v>
      </c>
      <c r="G82" s="24" t="s">
        <v>5738</v>
      </c>
      <c r="H82" s="57" t="s">
        <v>8364</v>
      </c>
      <c r="I82" s="57"/>
      <c r="J82" s="58"/>
    </row>
    <row r="83" ht="30" customHeight="1" spans="1:10">
      <c r="A83" s="59"/>
      <c r="B83" s="59"/>
      <c r="C83" s="54" t="s">
        <v>7547</v>
      </c>
      <c r="D83" s="55" t="s">
        <v>2756</v>
      </c>
      <c r="E83" s="56" t="s">
        <v>8276</v>
      </c>
      <c r="F83" s="24">
        <v>17</v>
      </c>
      <c r="G83" s="24" t="s">
        <v>5913</v>
      </c>
      <c r="H83" s="60" t="s">
        <v>8258</v>
      </c>
      <c r="I83" s="60"/>
      <c r="J83" s="58"/>
    </row>
    <row r="84" ht="30" customHeight="1" spans="1:10">
      <c r="A84" s="35" t="s">
        <v>5432</v>
      </c>
      <c r="B84" s="35" t="s">
        <v>5433</v>
      </c>
      <c r="C84" s="54" t="s">
        <v>7548</v>
      </c>
      <c r="D84" s="55" t="s">
        <v>2831</v>
      </c>
      <c r="E84" s="56" t="s">
        <v>272</v>
      </c>
      <c r="F84" s="24">
        <v>8</v>
      </c>
      <c r="G84" s="24" t="s">
        <v>5740</v>
      </c>
      <c r="H84" s="57" t="s">
        <v>8365</v>
      </c>
      <c r="I84" s="57"/>
      <c r="J84" s="58"/>
    </row>
    <row r="85" ht="30" customHeight="1" spans="1:10">
      <c r="A85" s="59"/>
      <c r="B85" s="59"/>
      <c r="C85" s="54" t="s">
        <v>7556</v>
      </c>
      <c r="D85" s="55" t="s">
        <v>3107</v>
      </c>
      <c r="E85" s="56" t="s">
        <v>8366</v>
      </c>
      <c r="F85" s="24">
        <v>11</v>
      </c>
      <c r="G85" s="24" t="s">
        <v>5897</v>
      </c>
      <c r="H85" s="60" t="s">
        <v>8367</v>
      </c>
      <c r="I85" s="60"/>
      <c r="J85" s="58"/>
    </row>
    <row r="86" ht="30" customHeight="1" spans="1:10">
      <c r="A86" s="35" t="s">
        <v>5434</v>
      </c>
      <c r="B86" s="35" t="s">
        <v>5435</v>
      </c>
      <c r="C86" s="54" t="s">
        <v>7548</v>
      </c>
      <c r="D86" s="55" t="s">
        <v>2858</v>
      </c>
      <c r="E86" s="56" t="s">
        <v>8368</v>
      </c>
      <c r="F86" s="24">
        <v>9</v>
      </c>
      <c r="G86" s="24" t="s">
        <v>5742</v>
      </c>
      <c r="H86" s="57" t="s">
        <v>8369</v>
      </c>
      <c r="I86" s="57"/>
      <c r="J86" s="58"/>
    </row>
    <row r="87" ht="30" customHeight="1" spans="1:10">
      <c r="A87" s="59"/>
      <c r="B87" s="59"/>
      <c r="C87" s="54" t="s">
        <v>7555</v>
      </c>
      <c r="D87" s="55" t="s">
        <v>3022</v>
      </c>
      <c r="E87" s="56" t="s">
        <v>8370</v>
      </c>
      <c r="F87" s="24">
        <v>13</v>
      </c>
      <c r="G87" s="24" t="s">
        <v>5899</v>
      </c>
      <c r="H87" s="60" t="s">
        <v>8371</v>
      </c>
      <c r="I87" s="60"/>
      <c r="J87" s="58"/>
    </row>
    <row r="88" ht="30" customHeight="1" spans="1:10">
      <c r="A88" s="35" t="s">
        <v>5436</v>
      </c>
      <c r="B88" s="35" t="s">
        <v>5437</v>
      </c>
      <c r="C88" s="54" t="s">
        <v>7566</v>
      </c>
      <c r="D88" s="55" t="s">
        <v>2720</v>
      </c>
      <c r="E88" s="56" t="s">
        <v>8207</v>
      </c>
      <c r="F88" s="24">
        <v>8</v>
      </c>
      <c r="G88" s="24" t="s">
        <v>5744</v>
      </c>
      <c r="H88" s="57" t="s">
        <v>8372</v>
      </c>
      <c r="I88" s="57"/>
      <c r="J88" s="58"/>
    </row>
    <row r="89" ht="30" customHeight="1" spans="1:10">
      <c r="A89" s="59"/>
      <c r="B89" s="59"/>
      <c r="C89" s="54" t="s">
        <v>7556</v>
      </c>
      <c r="D89" s="55" t="s">
        <v>3101</v>
      </c>
      <c r="E89" s="56" t="s">
        <v>8373</v>
      </c>
      <c r="F89" s="24">
        <v>12</v>
      </c>
      <c r="G89" s="24" t="s">
        <v>5859</v>
      </c>
      <c r="H89" s="60" t="s">
        <v>8234</v>
      </c>
      <c r="I89" s="60"/>
      <c r="J89" s="58"/>
    </row>
    <row r="90" ht="30" customHeight="1" spans="1:10">
      <c r="A90" s="35" t="s">
        <v>5438</v>
      </c>
      <c r="B90" s="35" t="s">
        <v>5439</v>
      </c>
      <c r="C90" s="54" t="s">
        <v>7552</v>
      </c>
      <c r="D90" s="55" t="s">
        <v>2993</v>
      </c>
      <c r="E90" s="56" t="s">
        <v>8374</v>
      </c>
      <c r="F90" s="24">
        <v>6</v>
      </c>
      <c r="G90" s="24" t="s">
        <v>5746</v>
      </c>
      <c r="H90" s="57" t="s">
        <v>8375</v>
      </c>
      <c r="I90" s="57"/>
      <c r="J90" s="58"/>
    </row>
    <row r="91" ht="30" customHeight="1" spans="1:10">
      <c r="A91" s="59"/>
      <c r="B91" s="59"/>
      <c r="C91" s="54" t="s">
        <v>7550</v>
      </c>
      <c r="D91" s="55" t="s">
        <v>2927</v>
      </c>
      <c r="E91" s="56" t="s">
        <v>8280</v>
      </c>
      <c r="F91" s="24">
        <v>9</v>
      </c>
      <c r="G91" s="24" t="s">
        <v>5901</v>
      </c>
      <c r="H91" s="60" t="s">
        <v>8376</v>
      </c>
      <c r="I91" s="60"/>
      <c r="J91" s="58"/>
    </row>
    <row r="92" ht="30" customHeight="1" spans="1:10">
      <c r="A92" s="35" t="s">
        <v>5440</v>
      </c>
      <c r="B92" s="35" t="s">
        <v>5441</v>
      </c>
      <c r="C92" s="54" t="s">
        <v>7551</v>
      </c>
      <c r="D92" s="55" t="s">
        <v>2973</v>
      </c>
      <c r="E92" s="56" t="s">
        <v>8335</v>
      </c>
      <c r="F92" s="24">
        <v>12</v>
      </c>
      <c r="G92" s="24" t="s">
        <v>5748</v>
      </c>
      <c r="H92" s="57" t="s">
        <v>8377</v>
      </c>
      <c r="I92" s="57"/>
      <c r="J92" s="58"/>
    </row>
    <row r="93" ht="30" customHeight="1" spans="1:10">
      <c r="A93" s="59"/>
      <c r="B93" s="59"/>
      <c r="C93" s="54" t="s">
        <v>7551</v>
      </c>
      <c r="D93" s="55" t="s">
        <v>2969</v>
      </c>
      <c r="E93" s="56" t="s">
        <v>8378</v>
      </c>
      <c r="F93" s="24">
        <v>17</v>
      </c>
      <c r="G93" s="24" t="s">
        <v>5903</v>
      </c>
      <c r="H93" s="60" t="s">
        <v>8379</v>
      </c>
      <c r="I93" s="60"/>
      <c r="J93" s="58"/>
    </row>
    <row r="94" ht="30" customHeight="1" spans="1:10">
      <c r="A94" s="35" t="s">
        <v>5442</v>
      </c>
      <c r="B94" s="35" t="s">
        <v>5443</v>
      </c>
      <c r="C94" s="24" t="s">
        <v>7546</v>
      </c>
      <c r="D94" s="55" t="s">
        <v>2714</v>
      </c>
      <c r="E94" s="56" t="s">
        <v>8380</v>
      </c>
      <c r="F94" s="24">
        <v>11</v>
      </c>
      <c r="G94" s="24" t="s">
        <v>5750</v>
      </c>
      <c r="H94" s="57" t="s">
        <v>8381</v>
      </c>
      <c r="I94" s="57"/>
      <c r="J94" s="58"/>
    </row>
    <row r="95" ht="30" customHeight="1" spans="1:10">
      <c r="A95" s="59"/>
      <c r="B95" s="59"/>
      <c r="C95" s="54" t="s">
        <v>7551</v>
      </c>
      <c r="D95" s="55" t="s">
        <v>2961</v>
      </c>
      <c r="E95" s="56" t="s">
        <v>8266</v>
      </c>
      <c r="F95" s="24">
        <v>16</v>
      </c>
      <c r="G95" s="24" t="s">
        <v>5905</v>
      </c>
      <c r="H95" s="60" t="s">
        <v>8382</v>
      </c>
      <c r="I95" s="60"/>
      <c r="J95" s="58"/>
    </row>
    <row r="96" ht="30" customHeight="1" spans="1:10">
      <c r="A96" s="35" t="s">
        <v>5444</v>
      </c>
      <c r="B96" s="35" t="s">
        <v>5445</v>
      </c>
      <c r="C96" s="54" t="s">
        <v>7555</v>
      </c>
      <c r="D96" s="55" t="s">
        <v>3018</v>
      </c>
      <c r="E96" s="56" t="s">
        <v>8383</v>
      </c>
      <c r="F96" s="24">
        <v>6</v>
      </c>
      <c r="G96" s="24" t="s">
        <v>5752</v>
      </c>
      <c r="H96" s="57" t="s">
        <v>8384</v>
      </c>
      <c r="I96" s="57"/>
      <c r="J96" s="58"/>
    </row>
    <row r="97" ht="30" customHeight="1" spans="1:10">
      <c r="A97" s="59"/>
      <c r="B97" s="59"/>
      <c r="C97" s="54" t="s">
        <v>7548</v>
      </c>
      <c r="D97" s="55" t="s">
        <v>2860</v>
      </c>
      <c r="E97" s="56" t="s">
        <v>623</v>
      </c>
      <c r="F97" s="24">
        <v>9</v>
      </c>
      <c r="G97" s="24" t="s">
        <v>5907</v>
      </c>
      <c r="H97" s="60" t="s">
        <v>8385</v>
      </c>
      <c r="I97" s="60"/>
      <c r="J97" s="58"/>
    </row>
    <row r="98" ht="30" customHeight="1" spans="1:10">
      <c r="A98" s="35" t="s">
        <v>5446</v>
      </c>
      <c r="B98" s="35" t="s">
        <v>5447</v>
      </c>
      <c r="C98" s="54" t="s">
        <v>7556</v>
      </c>
      <c r="D98" s="55" t="s">
        <v>3090</v>
      </c>
      <c r="E98" s="56" t="s">
        <v>8307</v>
      </c>
      <c r="F98" s="24">
        <v>6</v>
      </c>
      <c r="G98" s="24" t="s">
        <v>5754</v>
      </c>
      <c r="H98" s="57" t="s">
        <v>8386</v>
      </c>
      <c r="I98" s="57"/>
      <c r="J98" s="58"/>
    </row>
    <row r="99" ht="30" customHeight="1" spans="1:10">
      <c r="A99" s="59"/>
      <c r="B99" s="59"/>
      <c r="C99" s="54" t="s">
        <v>7549</v>
      </c>
      <c r="D99" s="55" t="s">
        <v>2874</v>
      </c>
      <c r="E99" s="56" t="s">
        <v>8387</v>
      </c>
      <c r="F99" s="24">
        <v>7</v>
      </c>
      <c r="G99" s="24" t="s">
        <v>5909</v>
      </c>
      <c r="H99" s="60" t="s">
        <v>8388</v>
      </c>
      <c r="I99" s="60"/>
      <c r="J99" s="58"/>
    </row>
    <row r="100" ht="30" customHeight="1" spans="1:10">
      <c r="A100" s="35" t="s">
        <v>5448</v>
      </c>
      <c r="B100" s="35" t="s">
        <v>5449</v>
      </c>
      <c r="C100" s="54" t="s">
        <v>7548</v>
      </c>
      <c r="D100" s="55" t="s">
        <v>2835</v>
      </c>
      <c r="E100" s="56" t="s">
        <v>276</v>
      </c>
      <c r="F100" s="24">
        <v>8</v>
      </c>
      <c r="G100" s="24" t="s">
        <v>5756</v>
      </c>
      <c r="H100" s="57" t="s">
        <v>8389</v>
      </c>
      <c r="I100" s="57"/>
      <c r="J100" s="58"/>
    </row>
    <row r="101" ht="30" customHeight="1" spans="1:10">
      <c r="A101" s="59"/>
      <c r="B101" s="59"/>
      <c r="C101" s="24" t="s">
        <v>7566</v>
      </c>
      <c r="D101" s="55" t="s">
        <v>2719</v>
      </c>
      <c r="E101" s="56" t="s">
        <v>8062</v>
      </c>
      <c r="F101" s="24">
        <v>12</v>
      </c>
      <c r="G101" s="24" t="s">
        <v>5911</v>
      </c>
      <c r="H101" s="60" t="s">
        <v>8390</v>
      </c>
      <c r="I101" s="60"/>
      <c r="J101" s="58"/>
    </row>
    <row r="102" ht="30" customHeight="1" spans="1:10">
      <c r="A102" s="35" t="s">
        <v>5450</v>
      </c>
      <c r="B102" s="35" t="s">
        <v>5451</v>
      </c>
      <c r="C102" s="54" t="s">
        <v>7552</v>
      </c>
      <c r="D102" s="55" t="s">
        <v>2991</v>
      </c>
      <c r="E102" s="56" t="s">
        <v>8391</v>
      </c>
      <c r="F102" s="24">
        <v>9</v>
      </c>
      <c r="G102" s="24" t="s">
        <v>5758</v>
      </c>
      <c r="H102" s="57" t="s">
        <v>8392</v>
      </c>
      <c r="I102" s="57"/>
      <c r="J102" s="58"/>
    </row>
    <row r="103" ht="30" customHeight="1" spans="1:10">
      <c r="A103" s="59"/>
      <c r="B103" s="59"/>
      <c r="C103" s="54" t="s">
        <v>7549</v>
      </c>
      <c r="D103" s="55" t="s">
        <v>2870</v>
      </c>
      <c r="E103" s="56" t="s">
        <v>8356</v>
      </c>
      <c r="F103" s="24">
        <v>13</v>
      </c>
      <c r="G103" s="24" t="s">
        <v>5947</v>
      </c>
      <c r="H103" s="60" t="s">
        <v>8393</v>
      </c>
      <c r="I103" s="60"/>
      <c r="J103" s="58"/>
    </row>
    <row r="104" ht="30" customHeight="1" spans="1:10">
      <c r="A104" s="35" t="s">
        <v>5452</v>
      </c>
      <c r="B104" s="35" t="s">
        <v>5453</v>
      </c>
      <c r="C104" s="54" t="s">
        <v>7548</v>
      </c>
      <c r="D104" s="55" t="s">
        <v>2850</v>
      </c>
      <c r="E104" s="56" t="s">
        <v>8394</v>
      </c>
      <c r="F104" s="24">
        <v>10</v>
      </c>
      <c r="G104" s="24" t="s">
        <v>5760</v>
      </c>
      <c r="H104" s="57" t="s">
        <v>8395</v>
      </c>
      <c r="I104" s="57"/>
      <c r="J104" s="58"/>
    </row>
    <row r="105" ht="30" customHeight="1" spans="1:10">
      <c r="A105" s="59"/>
      <c r="B105" s="59"/>
      <c r="C105" s="24" t="s">
        <v>7542</v>
      </c>
      <c r="D105" s="55" t="s">
        <v>2692</v>
      </c>
      <c r="E105" s="56" t="s">
        <v>2635</v>
      </c>
      <c r="F105" s="24">
        <v>14</v>
      </c>
      <c r="G105" s="24" t="s">
        <v>5939</v>
      </c>
      <c r="H105" s="60" t="s">
        <v>8396</v>
      </c>
      <c r="I105" s="60"/>
      <c r="J105" s="58"/>
    </row>
    <row r="106" ht="30" customHeight="1" spans="1:10">
      <c r="A106" s="35" t="s">
        <v>5454</v>
      </c>
      <c r="B106" s="35" t="s">
        <v>5455</v>
      </c>
      <c r="C106" s="54" t="s">
        <v>7573</v>
      </c>
      <c r="D106" s="55" t="s">
        <v>2882</v>
      </c>
      <c r="E106" s="56" t="s">
        <v>8397</v>
      </c>
      <c r="F106" s="24">
        <v>13</v>
      </c>
      <c r="G106" s="24" t="s">
        <v>5762</v>
      </c>
      <c r="H106" s="57" t="s">
        <v>8398</v>
      </c>
      <c r="I106" s="57"/>
      <c r="J106" s="58"/>
    </row>
    <row r="107" ht="30" customHeight="1" spans="1:10">
      <c r="A107" s="59"/>
      <c r="B107" s="59"/>
      <c r="C107" s="54" t="s">
        <v>7573</v>
      </c>
      <c r="D107" s="55" t="s">
        <v>2893</v>
      </c>
      <c r="E107" s="56" t="s">
        <v>8229</v>
      </c>
      <c r="F107" s="24">
        <v>19</v>
      </c>
      <c r="G107" s="24" t="s">
        <v>5915</v>
      </c>
      <c r="H107" s="60" t="s">
        <v>8399</v>
      </c>
      <c r="I107" s="60"/>
      <c r="J107" s="58"/>
    </row>
    <row r="108" ht="30" customHeight="1" spans="1:10">
      <c r="A108" s="35" t="s">
        <v>5456</v>
      </c>
      <c r="B108" s="35" t="s">
        <v>5457</v>
      </c>
      <c r="C108" s="54" t="s">
        <v>7548</v>
      </c>
      <c r="D108" s="55" t="s">
        <v>2848</v>
      </c>
      <c r="E108" s="56" t="s">
        <v>8400</v>
      </c>
      <c r="F108" s="24">
        <v>6</v>
      </c>
      <c r="G108" s="24" t="s">
        <v>5764</v>
      </c>
      <c r="H108" s="57" t="s">
        <v>8401</v>
      </c>
      <c r="I108" s="57"/>
      <c r="J108" s="58"/>
    </row>
    <row r="109" ht="30" customHeight="1" spans="1:10">
      <c r="A109" s="59"/>
      <c r="B109" s="59"/>
      <c r="C109" s="54" t="s">
        <v>7548</v>
      </c>
      <c r="D109" s="55" t="s">
        <v>2854</v>
      </c>
      <c r="E109" s="56" t="s">
        <v>1719</v>
      </c>
      <c r="F109" s="24">
        <v>9</v>
      </c>
      <c r="G109" s="24" t="s">
        <v>5917</v>
      </c>
      <c r="H109" s="60" t="s">
        <v>8402</v>
      </c>
      <c r="I109" s="60"/>
      <c r="J109" s="58"/>
    </row>
    <row r="110" ht="30" customHeight="1" spans="1:10">
      <c r="A110" s="35" t="s">
        <v>5458</v>
      </c>
      <c r="B110" s="35" t="s">
        <v>5459</v>
      </c>
      <c r="C110" s="54" t="s">
        <v>7548</v>
      </c>
      <c r="D110" s="55" t="s">
        <v>2846</v>
      </c>
      <c r="E110" s="56" t="s">
        <v>8403</v>
      </c>
      <c r="F110" s="24">
        <v>10</v>
      </c>
      <c r="G110" s="24" t="s">
        <v>5766</v>
      </c>
      <c r="H110" s="57" t="s">
        <v>8404</v>
      </c>
      <c r="I110" s="57"/>
      <c r="J110" s="58"/>
    </row>
    <row r="111" ht="30" customHeight="1" spans="1:10">
      <c r="A111" s="59"/>
      <c r="B111" s="59"/>
      <c r="C111" s="54" t="s">
        <v>7548</v>
      </c>
      <c r="D111" s="55" t="s">
        <v>2815</v>
      </c>
      <c r="E111" s="56" t="s">
        <v>8405</v>
      </c>
      <c r="F111" s="24">
        <v>14</v>
      </c>
      <c r="G111" s="24" t="s">
        <v>5919</v>
      </c>
      <c r="H111" s="60" t="s">
        <v>8406</v>
      </c>
      <c r="I111" s="60"/>
      <c r="J111" s="58"/>
    </row>
    <row r="112" ht="30" customHeight="1" spans="1:10">
      <c r="A112" s="35" t="s">
        <v>5460</v>
      </c>
      <c r="B112" s="35" t="s">
        <v>5461</v>
      </c>
      <c r="C112" s="54" t="s">
        <v>7548</v>
      </c>
      <c r="D112" s="55" t="s">
        <v>2852</v>
      </c>
      <c r="E112" s="56" t="s">
        <v>8407</v>
      </c>
      <c r="F112" s="24">
        <v>13</v>
      </c>
      <c r="G112" s="24" t="s">
        <v>5768</v>
      </c>
      <c r="H112" s="57" t="s">
        <v>8408</v>
      </c>
      <c r="I112" s="57"/>
      <c r="J112" s="58"/>
    </row>
    <row r="113" ht="30" customHeight="1" spans="1:10">
      <c r="A113" s="59"/>
      <c r="B113" s="59"/>
      <c r="C113" s="54" t="s">
        <v>7550</v>
      </c>
      <c r="D113" s="55" t="s">
        <v>2927</v>
      </c>
      <c r="E113" s="56" t="s">
        <v>8280</v>
      </c>
      <c r="F113" s="24">
        <v>19</v>
      </c>
      <c r="G113" s="24" t="s">
        <v>5921</v>
      </c>
      <c r="H113" s="60" t="s">
        <v>8409</v>
      </c>
      <c r="I113" s="60"/>
      <c r="J113" s="58"/>
    </row>
    <row r="114" ht="30" customHeight="1" spans="1:10">
      <c r="A114" s="35" t="s">
        <v>5462</v>
      </c>
      <c r="B114" s="35" t="s">
        <v>5463</v>
      </c>
      <c r="C114" s="54" t="s">
        <v>7552</v>
      </c>
      <c r="D114" s="55" t="s">
        <v>2991</v>
      </c>
      <c r="E114" s="56" t="s">
        <v>8391</v>
      </c>
      <c r="F114" s="24">
        <v>6</v>
      </c>
      <c r="G114" s="24" t="s">
        <v>5770</v>
      </c>
      <c r="H114" s="57" t="s">
        <v>8410</v>
      </c>
      <c r="I114" s="57"/>
      <c r="J114" s="58"/>
    </row>
    <row r="115" ht="30" customHeight="1" spans="1:10">
      <c r="A115" s="59"/>
      <c r="B115" s="59"/>
      <c r="C115" s="54" t="s">
        <v>7550</v>
      </c>
      <c r="D115" s="55" t="s">
        <v>2923</v>
      </c>
      <c r="E115" s="56" t="s">
        <v>8278</v>
      </c>
      <c r="F115" s="24">
        <v>7</v>
      </c>
      <c r="G115" s="24" t="s">
        <v>5851</v>
      </c>
      <c r="H115" s="60" t="s">
        <v>8254</v>
      </c>
      <c r="I115" s="60"/>
      <c r="J115" s="58"/>
    </row>
    <row r="116" ht="30" customHeight="1" spans="1:10">
      <c r="A116" s="35" t="s">
        <v>5464</v>
      </c>
      <c r="B116" s="35" t="s">
        <v>5465</v>
      </c>
      <c r="C116" s="54" t="s">
        <v>7573</v>
      </c>
      <c r="D116" s="55" t="s">
        <v>2895</v>
      </c>
      <c r="E116" s="56" t="s">
        <v>8341</v>
      </c>
      <c r="F116" s="24">
        <v>12</v>
      </c>
      <c r="G116" s="24" t="s">
        <v>5772</v>
      </c>
      <c r="H116" s="57" t="s">
        <v>8411</v>
      </c>
      <c r="I116" s="57"/>
      <c r="J116" s="58"/>
    </row>
    <row r="117" ht="30" customHeight="1" spans="1:10">
      <c r="A117" s="59"/>
      <c r="B117" s="59"/>
      <c r="C117" s="24" t="s">
        <v>7542</v>
      </c>
      <c r="D117" s="55" t="s">
        <v>2688</v>
      </c>
      <c r="E117" s="56" t="s">
        <v>8343</v>
      </c>
      <c r="F117" s="24">
        <v>17</v>
      </c>
      <c r="G117" s="24" t="s">
        <v>5925</v>
      </c>
      <c r="H117" s="60" t="s">
        <v>8412</v>
      </c>
      <c r="I117" s="60"/>
      <c r="J117" s="58"/>
    </row>
    <row r="118" ht="30" customHeight="1" spans="1:10">
      <c r="A118" s="35" t="s">
        <v>5466</v>
      </c>
      <c r="B118" s="35" t="s">
        <v>5467</v>
      </c>
      <c r="C118" s="54" t="s">
        <v>7556</v>
      </c>
      <c r="D118" s="55" t="s">
        <v>3088</v>
      </c>
      <c r="E118" s="56" t="s">
        <v>8316</v>
      </c>
      <c r="F118" s="24">
        <v>11</v>
      </c>
      <c r="G118" s="24" t="s">
        <v>5774</v>
      </c>
      <c r="H118" s="57" t="s">
        <v>8413</v>
      </c>
      <c r="I118" s="57"/>
      <c r="J118" s="58"/>
    </row>
    <row r="119" ht="30" customHeight="1" spans="1:10">
      <c r="A119" s="59"/>
      <c r="B119" s="59"/>
      <c r="C119" s="54" t="s">
        <v>7581</v>
      </c>
      <c r="D119" s="55" t="s">
        <v>3050</v>
      </c>
      <c r="E119" s="56" t="s">
        <v>8255</v>
      </c>
      <c r="F119" s="24">
        <v>15</v>
      </c>
      <c r="G119" s="24" t="s">
        <v>5927</v>
      </c>
      <c r="H119" s="60" t="s">
        <v>8414</v>
      </c>
      <c r="I119" s="60"/>
      <c r="J119" s="58"/>
    </row>
    <row r="120" ht="30" customHeight="1" spans="1:10">
      <c r="A120" s="35" t="s">
        <v>5468</v>
      </c>
      <c r="B120" s="35" t="s">
        <v>5469</v>
      </c>
      <c r="C120" s="54" t="s">
        <v>7556</v>
      </c>
      <c r="D120" s="55" t="s">
        <v>3101</v>
      </c>
      <c r="E120" s="56" t="s">
        <v>8373</v>
      </c>
      <c r="F120" s="24">
        <v>6</v>
      </c>
      <c r="G120" s="24" t="s">
        <v>5776</v>
      </c>
      <c r="H120" s="57" t="s">
        <v>8415</v>
      </c>
      <c r="I120" s="57"/>
      <c r="J120" s="58"/>
    </row>
    <row r="121" ht="30" customHeight="1" spans="1:10">
      <c r="A121" s="59"/>
      <c r="B121" s="59"/>
      <c r="C121" s="24" t="s">
        <v>7542</v>
      </c>
      <c r="D121" s="55" t="s">
        <v>2694</v>
      </c>
      <c r="E121" s="56" t="s">
        <v>754</v>
      </c>
      <c r="F121" s="24">
        <v>8</v>
      </c>
      <c r="G121" s="24" t="s">
        <v>5929</v>
      </c>
      <c r="H121" s="60" t="s">
        <v>8416</v>
      </c>
      <c r="I121" s="60"/>
      <c r="J121" s="58"/>
    </row>
    <row r="122" ht="30" customHeight="1" spans="1:10">
      <c r="A122" s="35" t="s">
        <v>5470</v>
      </c>
      <c r="B122" s="35" t="s">
        <v>5471</v>
      </c>
      <c r="C122" s="54" t="s">
        <v>7556</v>
      </c>
      <c r="D122" s="55" t="s">
        <v>1565</v>
      </c>
      <c r="E122" s="56" t="s">
        <v>8303</v>
      </c>
      <c r="F122" s="24">
        <v>12</v>
      </c>
      <c r="G122" s="24" t="s">
        <v>5778</v>
      </c>
      <c r="H122" s="57" t="s">
        <v>8417</v>
      </c>
      <c r="I122" s="57"/>
      <c r="J122" s="58"/>
    </row>
    <row r="123" ht="30" customHeight="1" spans="1:10">
      <c r="A123" s="59"/>
      <c r="B123" s="59"/>
      <c r="C123" s="54" t="s">
        <v>7548</v>
      </c>
      <c r="D123" s="55" t="s">
        <v>2843</v>
      </c>
      <c r="E123" s="56" t="s">
        <v>8418</v>
      </c>
      <c r="F123" s="24">
        <v>17</v>
      </c>
      <c r="G123" s="24" t="s">
        <v>5931</v>
      </c>
      <c r="H123" s="60" t="s">
        <v>8419</v>
      </c>
      <c r="I123" s="60"/>
      <c r="J123" s="58"/>
    </row>
    <row r="124" ht="30" customHeight="1" spans="1:10">
      <c r="A124" s="35" t="s">
        <v>5472</v>
      </c>
      <c r="B124" s="35" t="s">
        <v>5473</v>
      </c>
      <c r="C124" s="24" t="s">
        <v>7566</v>
      </c>
      <c r="D124" s="55" t="s">
        <v>2719</v>
      </c>
      <c r="E124" s="56" t="s">
        <v>8062</v>
      </c>
      <c r="F124" s="24">
        <v>6</v>
      </c>
      <c r="G124" s="24" t="s">
        <v>5780</v>
      </c>
      <c r="H124" s="57" t="s">
        <v>8420</v>
      </c>
      <c r="I124" s="57"/>
      <c r="J124" s="58"/>
    </row>
    <row r="125" ht="30" customHeight="1" spans="1:10">
      <c r="A125" s="59"/>
      <c r="B125" s="59"/>
      <c r="C125" s="54" t="s">
        <v>7548</v>
      </c>
      <c r="D125" s="55" t="s">
        <v>2841</v>
      </c>
      <c r="E125" s="56" t="s">
        <v>1070</v>
      </c>
      <c r="F125" s="24">
        <v>9</v>
      </c>
      <c r="G125" s="24" t="s">
        <v>5933</v>
      </c>
      <c r="H125" s="60" t="s">
        <v>8421</v>
      </c>
      <c r="I125" s="60"/>
      <c r="J125" s="58"/>
    </row>
    <row r="126" ht="30" customHeight="1" spans="1:10">
      <c r="A126" s="35" t="s">
        <v>5474</v>
      </c>
      <c r="B126" s="35" t="s">
        <v>5475</v>
      </c>
      <c r="C126" s="54" t="s">
        <v>7549</v>
      </c>
      <c r="D126" s="55" t="s">
        <v>2878</v>
      </c>
      <c r="E126" s="56" t="s">
        <v>8422</v>
      </c>
      <c r="F126" s="24">
        <v>14</v>
      </c>
      <c r="G126" s="24" t="s">
        <v>5782</v>
      </c>
      <c r="H126" s="57" t="s">
        <v>8423</v>
      </c>
      <c r="I126" s="57"/>
      <c r="J126" s="58"/>
    </row>
    <row r="127" ht="30" customHeight="1" spans="1:10">
      <c r="A127" s="59"/>
      <c r="B127" s="59"/>
      <c r="C127" s="54" t="s">
        <v>7556</v>
      </c>
      <c r="D127" s="55" t="s">
        <v>3109</v>
      </c>
      <c r="E127" s="56" t="s">
        <v>8424</v>
      </c>
      <c r="F127" s="24">
        <v>20</v>
      </c>
      <c r="G127" s="24" t="s">
        <v>5839</v>
      </c>
      <c r="H127" s="60" t="s">
        <v>8425</v>
      </c>
      <c r="I127" s="60"/>
      <c r="J127" s="58"/>
    </row>
    <row r="128" ht="30" customHeight="1" spans="1:10">
      <c r="A128" s="35" t="s">
        <v>5476</v>
      </c>
      <c r="B128" s="35" t="s">
        <v>5477</v>
      </c>
      <c r="C128" s="54" t="s">
        <v>7548</v>
      </c>
      <c r="D128" s="55" t="s">
        <v>2829</v>
      </c>
      <c r="E128" s="56" t="s">
        <v>270</v>
      </c>
      <c r="F128" s="24">
        <v>13</v>
      </c>
      <c r="G128" s="24" t="s">
        <v>5784</v>
      </c>
      <c r="H128" s="57" t="s">
        <v>8426</v>
      </c>
      <c r="I128" s="57"/>
      <c r="J128" s="58"/>
    </row>
    <row r="129" ht="30" customHeight="1" spans="1:10">
      <c r="A129" s="59"/>
      <c r="B129" s="59"/>
      <c r="C129" s="54" t="s">
        <v>7581</v>
      </c>
      <c r="D129" s="55" t="s">
        <v>3058</v>
      </c>
      <c r="E129" s="56" t="s">
        <v>3041</v>
      </c>
      <c r="F129" s="24">
        <v>18</v>
      </c>
      <c r="G129" s="24" t="s">
        <v>5935</v>
      </c>
      <c r="H129" s="60" t="s">
        <v>8427</v>
      </c>
      <c r="I129" s="60"/>
      <c r="J129" s="58"/>
    </row>
    <row r="130" ht="30" customHeight="1" spans="1:10">
      <c r="A130" s="35" t="s">
        <v>5478</v>
      </c>
      <c r="B130" s="35" t="s">
        <v>5479</v>
      </c>
      <c r="C130" s="24" t="s">
        <v>7542</v>
      </c>
      <c r="D130" s="55" t="s">
        <v>2698</v>
      </c>
      <c r="E130" s="56" t="s">
        <v>2669</v>
      </c>
      <c r="F130" s="24">
        <v>14</v>
      </c>
      <c r="G130" s="24" t="s">
        <v>5786</v>
      </c>
      <c r="H130" s="57" t="s">
        <v>8428</v>
      </c>
      <c r="I130" s="57"/>
      <c r="J130" s="58"/>
    </row>
    <row r="131" ht="30" customHeight="1" spans="1:10">
      <c r="A131" s="59"/>
      <c r="B131" s="59"/>
      <c r="C131" s="54" t="s">
        <v>7573</v>
      </c>
      <c r="D131" s="55" t="s">
        <v>2889</v>
      </c>
      <c r="E131" s="56" t="s">
        <v>8429</v>
      </c>
      <c r="F131" s="24">
        <v>20</v>
      </c>
      <c r="G131" s="24" t="s">
        <v>5947</v>
      </c>
      <c r="H131" s="60" t="s">
        <v>8393</v>
      </c>
      <c r="I131" s="60"/>
      <c r="J131" s="58"/>
    </row>
    <row r="132" ht="30" customHeight="1" spans="1:10">
      <c r="A132" s="35" t="s">
        <v>5480</v>
      </c>
      <c r="B132" s="35" t="s">
        <v>5481</v>
      </c>
      <c r="C132" s="54" t="s">
        <v>7548</v>
      </c>
      <c r="D132" s="55" t="s">
        <v>2862</v>
      </c>
      <c r="E132" s="56" t="s">
        <v>342</v>
      </c>
      <c r="F132" s="24">
        <v>9</v>
      </c>
      <c r="G132" s="24" t="s">
        <v>5788</v>
      </c>
      <c r="H132" s="57" t="s">
        <v>8430</v>
      </c>
      <c r="I132" s="57"/>
      <c r="J132" s="58"/>
    </row>
    <row r="133" ht="30" customHeight="1" spans="1:10">
      <c r="A133" s="59"/>
      <c r="B133" s="59"/>
      <c r="C133" s="54" t="s">
        <v>7573</v>
      </c>
      <c r="D133" s="55" t="s">
        <v>2895</v>
      </c>
      <c r="E133" s="56" t="s">
        <v>8341</v>
      </c>
      <c r="F133" s="24">
        <v>13</v>
      </c>
      <c r="G133" s="24" t="s">
        <v>5877</v>
      </c>
      <c r="H133" s="60" t="s">
        <v>8287</v>
      </c>
      <c r="I133" s="60"/>
      <c r="J133" s="58"/>
    </row>
    <row r="134" ht="30" customHeight="1" spans="1:10">
      <c r="A134" s="35" t="s">
        <v>5482</v>
      </c>
      <c r="B134" s="35" t="s">
        <v>5483</v>
      </c>
      <c r="C134" s="24" t="s">
        <v>7542</v>
      </c>
      <c r="D134" s="55" t="s">
        <v>2702</v>
      </c>
      <c r="E134" s="56" t="s">
        <v>8431</v>
      </c>
      <c r="F134" s="24">
        <v>7</v>
      </c>
      <c r="G134" s="24" t="s">
        <v>5790</v>
      </c>
      <c r="H134" s="57" t="s">
        <v>8432</v>
      </c>
      <c r="I134" s="57"/>
      <c r="J134" s="58"/>
    </row>
    <row r="135" ht="30" customHeight="1" spans="1:10">
      <c r="A135" s="59"/>
      <c r="B135" s="59"/>
      <c r="C135" s="24" t="s">
        <v>7542</v>
      </c>
      <c r="D135" s="55" t="s">
        <v>2704</v>
      </c>
      <c r="E135" s="56" t="s">
        <v>8433</v>
      </c>
      <c r="F135" s="24">
        <v>10</v>
      </c>
      <c r="G135" s="24" t="s">
        <v>5939</v>
      </c>
      <c r="H135" s="60" t="s">
        <v>8396</v>
      </c>
      <c r="I135" s="60"/>
      <c r="J135" s="58"/>
    </row>
    <row r="136" ht="30" customHeight="1" spans="1:10">
      <c r="A136" s="35" t="s">
        <v>5484</v>
      </c>
      <c r="B136" s="35" t="s">
        <v>5485</v>
      </c>
      <c r="C136" s="24" t="s">
        <v>7566</v>
      </c>
      <c r="D136" s="55" t="s">
        <v>2719</v>
      </c>
      <c r="E136" s="56" t="s">
        <v>8062</v>
      </c>
      <c r="F136" s="24">
        <v>14</v>
      </c>
      <c r="G136" s="24" t="s">
        <v>5792</v>
      </c>
      <c r="H136" s="57" t="s">
        <v>8434</v>
      </c>
      <c r="I136" s="57"/>
      <c r="J136" s="58"/>
    </row>
    <row r="137" ht="30" customHeight="1" spans="1:10">
      <c r="A137" s="59"/>
      <c r="B137" s="59"/>
      <c r="C137" s="54" t="s">
        <v>7548</v>
      </c>
      <c r="D137" s="55" t="s">
        <v>2843</v>
      </c>
      <c r="E137" s="56" t="s">
        <v>8418</v>
      </c>
      <c r="F137" s="24">
        <v>20</v>
      </c>
      <c r="G137" s="24" t="s">
        <v>5941</v>
      </c>
      <c r="H137" s="60" t="s">
        <v>8435</v>
      </c>
      <c r="I137" s="60"/>
      <c r="J137" s="58"/>
    </row>
    <row r="138" ht="30" customHeight="1" spans="1:10">
      <c r="A138" s="35" t="s">
        <v>5486</v>
      </c>
      <c r="B138" s="35" t="s">
        <v>5487</v>
      </c>
      <c r="C138" s="54" t="s">
        <v>7547</v>
      </c>
      <c r="D138" s="55" t="s">
        <v>2758</v>
      </c>
      <c r="E138" s="56" t="s">
        <v>8436</v>
      </c>
      <c r="F138" s="24">
        <v>6</v>
      </c>
      <c r="G138" s="24" t="s">
        <v>5794</v>
      </c>
      <c r="H138" s="57" t="s">
        <v>8437</v>
      </c>
      <c r="I138" s="57"/>
      <c r="J138" s="58"/>
    </row>
    <row r="139" ht="30" customHeight="1" spans="1:10">
      <c r="A139" s="59"/>
      <c r="B139" s="59"/>
      <c r="C139" s="54" t="s">
        <v>7548</v>
      </c>
      <c r="D139" s="55" t="s">
        <v>2845</v>
      </c>
      <c r="E139" s="56" t="s">
        <v>304</v>
      </c>
      <c r="F139" s="24">
        <v>7</v>
      </c>
      <c r="G139" s="24" t="s">
        <v>5943</v>
      </c>
      <c r="H139" s="60" t="s">
        <v>8438</v>
      </c>
      <c r="I139" s="60"/>
      <c r="J139" s="58"/>
    </row>
    <row r="140" ht="30" customHeight="1" spans="1:10">
      <c r="A140" s="35" t="s">
        <v>5488</v>
      </c>
      <c r="B140" s="35" t="s">
        <v>5489</v>
      </c>
      <c r="C140" s="54" t="s">
        <v>7547</v>
      </c>
      <c r="D140" s="55" t="s">
        <v>2758</v>
      </c>
      <c r="E140" s="56" t="s">
        <v>8436</v>
      </c>
      <c r="F140" s="24">
        <v>8</v>
      </c>
      <c r="G140" s="24" t="s">
        <v>5796</v>
      </c>
      <c r="H140" s="57" t="s">
        <v>8439</v>
      </c>
      <c r="I140" s="57"/>
      <c r="J140" s="58"/>
    </row>
    <row r="141" ht="30" customHeight="1" spans="1:10">
      <c r="A141" s="59"/>
      <c r="B141" s="59"/>
      <c r="C141" s="54" t="s">
        <v>7548</v>
      </c>
      <c r="D141" s="55" t="s">
        <v>2845</v>
      </c>
      <c r="E141" s="56" t="s">
        <v>304</v>
      </c>
      <c r="F141" s="24">
        <v>12</v>
      </c>
      <c r="G141" s="24" t="s">
        <v>5827</v>
      </c>
      <c r="H141" s="60" t="s">
        <v>8297</v>
      </c>
      <c r="I141" s="60"/>
      <c r="J141" s="58"/>
    </row>
    <row r="142" ht="30" customHeight="1" spans="1:10">
      <c r="A142" s="35" t="s">
        <v>5490</v>
      </c>
      <c r="B142" s="35" t="s">
        <v>5491</v>
      </c>
      <c r="C142" s="54" t="s">
        <v>7548</v>
      </c>
      <c r="D142" s="55" t="s">
        <v>2833</v>
      </c>
      <c r="E142" s="56" t="s">
        <v>274</v>
      </c>
      <c r="F142" s="24">
        <v>7</v>
      </c>
      <c r="G142" s="24" t="s">
        <v>5798</v>
      </c>
      <c r="H142" s="57" t="s">
        <v>8440</v>
      </c>
      <c r="I142" s="57"/>
      <c r="J142" s="58"/>
    </row>
    <row r="143" ht="30" customHeight="1" spans="1:10">
      <c r="A143" s="59"/>
      <c r="B143" s="59"/>
      <c r="C143" s="54" t="s">
        <v>7547</v>
      </c>
      <c r="D143" s="55" t="s">
        <v>2762</v>
      </c>
      <c r="E143" s="56" t="s">
        <v>8441</v>
      </c>
      <c r="F143" s="24">
        <v>10</v>
      </c>
      <c r="G143" s="24" t="s">
        <v>5945</v>
      </c>
      <c r="H143" s="60" t="s">
        <v>8442</v>
      </c>
      <c r="I143" s="60"/>
      <c r="J143" s="58"/>
    </row>
    <row r="144" ht="30" customHeight="1" spans="1:10">
      <c r="A144" s="35" t="s">
        <v>5492</v>
      </c>
      <c r="B144" s="35" t="s">
        <v>5493</v>
      </c>
      <c r="C144" s="54" t="s">
        <v>7573</v>
      </c>
      <c r="D144" s="55" t="s">
        <v>2891</v>
      </c>
      <c r="E144" s="56" t="s">
        <v>8443</v>
      </c>
      <c r="F144" s="24">
        <v>6</v>
      </c>
      <c r="G144" s="24" t="s">
        <v>5800</v>
      </c>
      <c r="H144" s="57" t="s">
        <v>8444</v>
      </c>
      <c r="I144" s="57"/>
      <c r="J144" s="58"/>
    </row>
    <row r="145" ht="30" customHeight="1" spans="1:10">
      <c r="A145" s="59"/>
      <c r="B145" s="59"/>
      <c r="C145" s="24" t="s">
        <v>7566</v>
      </c>
      <c r="D145" s="55" t="s">
        <v>2718</v>
      </c>
      <c r="E145" s="56" t="s">
        <v>872</v>
      </c>
      <c r="F145" s="24">
        <v>7</v>
      </c>
      <c r="G145" s="24" t="s">
        <v>5959</v>
      </c>
      <c r="H145" s="60" t="s">
        <v>8336</v>
      </c>
      <c r="I145" s="60"/>
      <c r="J145" s="58"/>
    </row>
    <row r="146" ht="30" customHeight="1" spans="1:10">
      <c r="A146" s="35" t="s">
        <v>5494</v>
      </c>
      <c r="B146" s="35" t="s">
        <v>5495</v>
      </c>
      <c r="C146" s="54" t="s">
        <v>7549</v>
      </c>
      <c r="D146" s="55" t="s">
        <v>2872</v>
      </c>
      <c r="E146" s="56" t="s">
        <v>8445</v>
      </c>
      <c r="F146" s="24">
        <v>6</v>
      </c>
      <c r="G146" s="24" t="s">
        <v>5802</v>
      </c>
      <c r="H146" s="57" t="s">
        <v>8446</v>
      </c>
      <c r="I146" s="57"/>
      <c r="J146" s="58"/>
    </row>
    <row r="147" ht="30" customHeight="1" spans="1:10">
      <c r="A147" s="59"/>
      <c r="B147" s="59"/>
      <c r="C147" s="54" t="s">
        <v>7548</v>
      </c>
      <c r="D147" s="55" t="s">
        <v>2817</v>
      </c>
      <c r="E147" s="56" t="s">
        <v>8447</v>
      </c>
      <c r="F147" s="24">
        <v>7</v>
      </c>
      <c r="G147" s="24" t="s">
        <v>5949</v>
      </c>
      <c r="H147" s="60" t="s">
        <v>8448</v>
      </c>
      <c r="I147" s="60"/>
      <c r="J147" s="58"/>
    </row>
    <row r="148" ht="30" customHeight="1" spans="1:10">
      <c r="A148" s="35" t="s">
        <v>5496</v>
      </c>
      <c r="B148" s="35" t="s">
        <v>5497</v>
      </c>
      <c r="C148" s="54" t="s">
        <v>7551</v>
      </c>
      <c r="D148" s="55" t="s">
        <v>2971</v>
      </c>
      <c r="E148" s="56" t="s">
        <v>8449</v>
      </c>
      <c r="F148" s="24">
        <v>6</v>
      </c>
      <c r="G148" s="24" t="s">
        <v>5804</v>
      </c>
      <c r="H148" s="57" t="s">
        <v>8450</v>
      </c>
      <c r="I148" s="57"/>
      <c r="J148" s="58"/>
    </row>
    <row r="149" ht="30" customHeight="1" spans="1:10">
      <c r="A149" s="59"/>
      <c r="B149" s="59"/>
      <c r="C149" s="54" t="s">
        <v>7548</v>
      </c>
      <c r="D149" s="55" t="s">
        <v>2845</v>
      </c>
      <c r="E149" s="56" t="s">
        <v>304</v>
      </c>
      <c r="F149" s="24">
        <v>7</v>
      </c>
      <c r="G149" s="24" t="s">
        <v>5951</v>
      </c>
      <c r="H149" s="60" t="s">
        <v>8451</v>
      </c>
      <c r="I149" s="60"/>
      <c r="J149" s="58"/>
    </row>
    <row r="150" ht="30" customHeight="1" spans="1:10">
      <c r="A150" s="35" t="s">
        <v>5498</v>
      </c>
      <c r="B150" s="35" t="s">
        <v>5499</v>
      </c>
      <c r="C150" s="54" t="s">
        <v>7551</v>
      </c>
      <c r="D150" s="55" t="s">
        <v>2963</v>
      </c>
      <c r="E150" s="56" t="s">
        <v>8452</v>
      </c>
      <c r="F150" s="24">
        <v>6</v>
      </c>
      <c r="G150" s="24" t="s">
        <v>5806</v>
      </c>
      <c r="H150" s="57" t="s">
        <v>8453</v>
      </c>
      <c r="I150" s="57"/>
      <c r="J150" s="58"/>
    </row>
    <row r="151" ht="30" customHeight="1" spans="1:10">
      <c r="A151" s="59"/>
      <c r="B151" s="59"/>
      <c r="C151" s="54" t="s">
        <v>7547</v>
      </c>
      <c r="D151" s="55" t="s">
        <v>2754</v>
      </c>
      <c r="E151" s="56" t="s">
        <v>8454</v>
      </c>
      <c r="F151" s="24">
        <v>7</v>
      </c>
      <c r="G151" s="24" t="s">
        <v>5953</v>
      </c>
      <c r="H151" s="60" t="s">
        <v>8455</v>
      </c>
      <c r="I151" s="60"/>
      <c r="J151" s="58"/>
    </row>
    <row r="152" ht="30" customHeight="1" spans="1:10">
      <c r="A152" s="35" t="s">
        <v>5500</v>
      </c>
      <c r="B152" s="35" t="s">
        <v>5501</v>
      </c>
      <c r="C152" s="54" t="s">
        <v>7548</v>
      </c>
      <c r="D152" s="55" t="s">
        <v>2819</v>
      </c>
      <c r="E152" s="56" t="s">
        <v>8456</v>
      </c>
      <c r="F152" s="24">
        <v>6</v>
      </c>
      <c r="G152" s="24" t="s">
        <v>5808</v>
      </c>
      <c r="H152" s="57" t="s">
        <v>8457</v>
      </c>
      <c r="I152" s="57"/>
      <c r="J152" s="58"/>
    </row>
    <row r="153" ht="30" customHeight="1" spans="1:10">
      <c r="A153" s="59"/>
      <c r="B153" s="59"/>
      <c r="C153" s="54" t="s">
        <v>7547</v>
      </c>
      <c r="D153" s="55" t="s">
        <v>2764</v>
      </c>
      <c r="E153" s="56" t="s">
        <v>8458</v>
      </c>
      <c r="F153" s="24">
        <v>7</v>
      </c>
      <c r="G153" s="24" t="s">
        <v>5955</v>
      </c>
      <c r="H153" s="60" t="s">
        <v>8459</v>
      </c>
      <c r="I153" s="60"/>
      <c r="J153" s="58"/>
    </row>
    <row r="154" ht="30" customHeight="1" spans="1:10">
      <c r="A154" s="35" t="s">
        <v>5502</v>
      </c>
      <c r="B154" s="35" t="s">
        <v>5503</v>
      </c>
      <c r="C154" s="54" t="s">
        <v>7556</v>
      </c>
      <c r="D154" s="55" t="s">
        <v>3105</v>
      </c>
      <c r="E154" s="56" t="s">
        <v>8460</v>
      </c>
      <c r="F154" s="24">
        <v>6</v>
      </c>
      <c r="G154" s="24" t="s">
        <v>5810</v>
      </c>
      <c r="H154" s="57" t="s">
        <v>8461</v>
      </c>
      <c r="I154" s="57"/>
      <c r="J154" s="58"/>
    </row>
    <row r="155" ht="30" customHeight="1" spans="1:10">
      <c r="A155" s="59"/>
      <c r="B155" s="59"/>
      <c r="C155" s="24" t="s">
        <v>7546</v>
      </c>
      <c r="D155" s="55" t="s">
        <v>2714</v>
      </c>
      <c r="E155" s="56" t="s">
        <v>8380</v>
      </c>
      <c r="F155" s="24">
        <v>7</v>
      </c>
      <c r="G155" s="24" t="s">
        <v>5957</v>
      </c>
      <c r="H155" s="60" t="s">
        <v>8462</v>
      </c>
      <c r="I155" s="60"/>
      <c r="J155" s="58"/>
    </row>
    <row r="156" ht="30" customHeight="1" spans="1:10">
      <c r="A156" s="35" t="s">
        <v>5504</v>
      </c>
      <c r="B156" s="35" t="s">
        <v>5505</v>
      </c>
      <c r="C156" s="54" t="s">
        <v>7551</v>
      </c>
      <c r="D156" s="55" t="s">
        <v>2973</v>
      </c>
      <c r="E156" s="56" t="s">
        <v>8335</v>
      </c>
      <c r="F156" s="24">
        <v>6</v>
      </c>
      <c r="G156" s="24" t="s">
        <v>5812</v>
      </c>
      <c r="H156" s="57" t="s">
        <v>8463</v>
      </c>
      <c r="I156" s="57"/>
      <c r="J156" s="58"/>
    </row>
    <row r="157" ht="30" customHeight="1" spans="1:10">
      <c r="A157" s="59"/>
      <c r="B157" s="59"/>
      <c r="C157" s="54" t="s">
        <v>7573</v>
      </c>
      <c r="D157" s="55" t="s">
        <v>2893</v>
      </c>
      <c r="E157" s="56" t="s">
        <v>8229</v>
      </c>
      <c r="F157" s="24">
        <v>8</v>
      </c>
      <c r="G157" s="24" t="s">
        <v>5839</v>
      </c>
      <c r="H157" s="60" t="s">
        <v>8425</v>
      </c>
      <c r="I157" s="60"/>
      <c r="J157" s="58"/>
    </row>
    <row r="158" ht="30" customHeight="1" spans="1:10">
      <c r="A158" s="35" t="s">
        <v>5506</v>
      </c>
      <c r="B158" s="35" t="s">
        <v>5507</v>
      </c>
      <c r="C158" s="24" t="s">
        <v>7546</v>
      </c>
      <c r="D158" s="55" t="s">
        <v>2716</v>
      </c>
      <c r="E158" s="56" t="s">
        <v>8333</v>
      </c>
      <c r="F158" s="24">
        <v>10</v>
      </c>
      <c r="G158" s="24" t="s">
        <v>5814</v>
      </c>
      <c r="H158" s="57" t="s">
        <v>8464</v>
      </c>
      <c r="I158" s="57"/>
      <c r="J158" s="58"/>
    </row>
    <row r="159" ht="30" customHeight="1" spans="1:10">
      <c r="A159" s="59"/>
      <c r="B159" s="59"/>
      <c r="C159" s="54" t="s">
        <v>7566</v>
      </c>
      <c r="D159" s="55" t="s">
        <v>2720</v>
      </c>
      <c r="E159" s="56" t="s">
        <v>8207</v>
      </c>
      <c r="F159" s="24">
        <v>12</v>
      </c>
      <c r="G159" s="24" t="s">
        <v>5937</v>
      </c>
      <c r="H159" s="60" t="s">
        <v>8465</v>
      </c>
      <c r="I159" s="60"/>
      <c r="J159" s="58"/>
    </row>
    <row r="160" ht="30" customHeight="1" spans="1:10">
      <c r="A160" s="35" t="s">
        <v>5508</v>
      </c>
      <c r="B160" s="35" t="s">
        <v>5509</v>
      </c>
      <c r="C160" s="24" t="s">
        <v>7542</v>
      </c>
      <c r="D160" s="55" t="s">
        <v>2685</v>
      </c>
      <c r="E160" s="22" t="s">
        <v>8147</v>
      </c>
      <c r="F160" s="24">
        <v>10</v>
      </c>
      <c r="G160" s="24" t="s">
        <v>5816</v>
      </c>
      <c r="H160" s="57" t="s">
        <v>8466</v>
      </c>
      <c r="I160" s="57"/>
      <c r="J160" s="58"/>
    </row>
    <row r="161" ht="30" customHeight="1" spans="1:10">
      <c r="A161" s="59"/>
      <c r="B161" s="59"/>
      <c r="C161" s="54" t="s">
        <v>7550</v>
      </c>
      <c r="D161" s="55" t="s">
        <v>2919</v>
      </c>
      <c r="E161" s="56" t="s">
        <v>8363</v>
      </c>
      <c r="F161" s="24">
        <v>12</v>
      </c>
      <c r="G161" s="24" t="s">
        <v>5937</v>
      </c>
      <c r="H161" s="60" t="s">
        <v>8465</v>
      </c>
      <c r="I161" s="60"/>
      <c r="J161" s="58"/>
    </row>
    <row r="162" ht="30" customHeight="1" spans="1:10">
      <c r="A162" s="35" t="s">
        <v>5510</v>
      </c>
      <c r="B162" s="35" t="s">
        <v>5511</v>
      </c>
      <c r="C162" s="24" t="s">
        <v>7566</v>
      </c>
      <c r="D162" s="55" t="s">
        <v>2727</v>
      </c>
      <c r="E162" s="56" t="s">
        <v>8467</v>
      </c>
      <c r="F162" s="24">
        <v>10</v>
      </c>
      <c r="G162" s="24" t="s">
        <v>5818</v>
      </c>
      <c r="H162" s="57" t="s">
        <v>8468</v>
      </c>
      <c r="I162" s="57"/>
      <c r="J162" s="58"/>
    </row>
    <row r="163" ht="30" customHeight="1" spans="1:10">
      <c r="A163" s="59"/>
      <c r="B163" s="59"/>
      <c r="C163" s="54" t="s">
        <v>7550</v>
      </c>
      <c r="D163" s="55" t="s">
        <v>2925</v>
      </c>
      <c r="E163" s="56" t="s">
        <v>8248</v>
      </c>
      <c r="F163" s="24">
        <v>12</v>
      </c>
      <c r="G163" s="24" t="s">
        <v>5961</v>
      </c>
      <c r="H163" s="60" t="s">
        <v>8469</v>
      </c>
      <c r="I163" s="60"/>
      <c r="J163" s="58"/>
    </row>
    <row r="164" ht="30" customHeight="1" spans="1:10">
      <c r="A164" s="35" t="s">
        <v>5512</v>
      </c>
      <c r="B164" s="35" t="s">
        <v>5513</v>
      </c>
      <c r="C164" s="54" t="s">
        <v>7556</v>
      </c>
      <c r="D164" s="55" t="s">
        <v>3099</v>
      </c>
      <c r="E164" s="56" t="s">
        <v>8314</v>
      </c>
      <c r="F164" s="24">
        <v>10</v>
      </c>
      <c r="G164" s="24" t="s">
        <v>5820</v>
      </c>
      <c r="H164" s="57" t="s">
        <v>8470</v>
      </c>
      <c r="I164" s="57"/>
      <c r="J164" s="58"/>
    </row>
    <row r="165" ht="30" customHeight="1" spans="1:10">
      <c r="A165" s="59"/>
      <c r="B165" s="59"/>
      <c r="C165" s="54" t="s">
        <v>7556</v>
      </c>
      <c r="D165" s="55" t="s">
        <v>3088</v>
      </c>
      <c r="E165" s="56" t="s">
        <v>8316</v>
      </c>
      <c r="F165" s="24">
        <v>12</v>
      </c>
      <c r="G165" s="24" t="s">
        <v>5963</v>
      </c>
      <c r="H165" s="60" t="s">
        <v>8471</v>
      </c>
      <c r="I165" s="60"/>
      <c r="J165" s="58"/>
    </row>
    <row r="166" ht="30" customHeight="1" spans="1:10">
      <c r="A166" s="35" t="s">
        <v>5514</v>
      </c>
      <c r="B166" s="35" t="s">
        <v>5515</v>
      </c>
      <c r="C166" s="54" t="s">
        <v>7551</v>
      </c>
      <c r="D166" s="55" t="s">
        <v>2967</v>
      </c>
      <c r="E166" s="56" t="s">
        <v>8288</v>
      </c>
      <c r="F166" s="24">
        <v>13</v>
      </c>
      <c r="G166" s="24" t="s">
        <v>5822</v>
      </c>
      <c r="H166" s="57" t="s">
        <v>8472</v>
      </c>
      <c r="I166" s="57"/>
      <c r="J166" s="58"/>
    </row>
    <row r="167" ht="30" customHeight="1" spans="1:10">
      <c r="A167" s="59"/>
      <c r="B167" s="59"/>
      <c r="C167" s="54" t="s">
        <v>7556</v>
      </c>
      <c r="D167" s="55" t="s">
        <v>3101</v>
      </c>
      <c r="E167" s="56" t="s">
        <v>8373</v>
      </c>
      <c r="F167" s="24">
        <v>15</v>
      </c>
      <c r="G167" s="24" t="s">
        <v>5965</v>
      </c>
      <c r="H167" s="60" t="s">
        <v>8473</v>
      </c>
      <c r="I167" s="60"/>
      <c r="J167" s="58"/>
    </row>
  </sheetData>
  <autoFilter xmlns:etc="http://www.wps.cn/officeDocument/2017/etCustomData" ref="A1:J167" etc:filterBottomFollowUsedRange="0">
    <extLst/>
  </autoFilter>
  <mergeCells count="16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6"/>
  <sheetViews>
    <sheetView workbookViewId="0">
      <pane ySplit="1" topLeftCell="A2" activePane="bottomLeft" state="frozen"/>
      <selection/>
      <selection pane="bottomLeft" activeCell="D39" sqref="D39"/>
    </sheetView>
  </sheetViews>
  <sheetFormatPr defaultColWidth="9" defaultRowHeight="13.5" outlineLevelCol="5"/>
  <cols>
    <col min="1" max="1" width="21.25" customWidth="1"/>
    <col min="2" max="2" width="40" customWidth="1"/>
    <col min="3" max="3" width="22.75" customWidth="1"/>
    <col min="4" max="4" width="39" customWidth="1"/>
    <col min="5" max="5" width="43.125" style="31" customWidth="1"/>
    <col min="6" max="6" width="64.75" style="32" customWidth="1"/>
  </cols>
  <sheetData>
    <row r="1" ht="18.75" spans="1:6">
      <c r="A1" s="15" t="s">
        <v>8474</v>
      </c>
      <c r="B1" s="15" t="s">
        <v>8475</v>
      </c>
      <c r="C1" s="15" t="s">
        <v>8476</v>
      </c>
      <c r="D1" s="15" t="s">
        <v>8477</v>
      </c>
      <c r="E1" s="33" t="s">
        <v>8478</v>
      </c>
      <c r="F1" s="34" t="s">
        <v>3284</v>
      </c>
    </row>
    <row r="2" spans="1:6">
      <c r="A2" s="24" t="s">
        <v>3192</v>
      </c>
      <c r="B2" s="35" t="s">
        <v>3190</v>
      </c>
      <c r="C2" s="36" t="s">
        <v>3191</v>
      </c>
      <c r="D2" s="37" t="s">
        <v>8479</v>
      </c>
      <c r="E2" s="38" t="s">
        <v>8480</v>
      </c>
      <c r="F2" s="39"/>
    </row>
    <row r="3" spans="1:6">
      <c r="A3" s="24"/>
      <c r="B3" s="40"/>
      <c r="C3" s="36"/>
      <c r="D3" s="37" t="s">
        <v>8481</v>
      </c>
      <c r="E3" s="38" t="s">
        <v>8482</v>
      </c>
      <c r="F3" s="39"/>
    </row>
    <row r="4" spans="1:6">
      <c r="A4" s="24"/>
      <c r="B4" s="40"/>
      <c r="C4" s="36"/>
      <c r="D4" s="37" t="s">
        <v>8483</v>
      </c>
      <c r="E4" s="38" t="s">
        <v>8484</v>
      </c>
      <c r="F4" s="39"/>
    </row>
    <row r="5" spans="1:6">
      <c r="A5" s="24"/>
      <c r="B5" s="40"/>
      <c r="C5" s="36"/>
      <c r="D5" s="37" t="s">
        <v>8485</v>
      </c>
      <c r="E5" s="38" t="s">
        <v>8486</v>
      </c>
      <c r="F5" s="39"/>
    </row>
    <row r="6" spans="1:6">
      <c r="A6" s="24"/>
      <c r="B6" s="40"/>
      <c r="C6" s="36"/>
      <c r="D6" s="37" t="s">
        <v>8487</v>
      </c>
      <c r="E6" s="38"/>
      <c r="F6" s="39"/>
    </row>
    <row r="7" spans="1:6">
      <c r="A7" s="24" t="s">
        <v>3192</v>
      </c>
      <c r="B7" s="24" t="s">
        <v>3193</v>
      </c>
      <c r="C7" s="36" t="s">
        <v>3194</v>
      </c>
      <c r="D7" s="37" t="s">
        <v>4936</v>
      </c>
      <c r="E7" s="38" t="s">
        <v>8488</v>
      </c>
      <c r="F7" s="39"/>
    </row>
    <row r="8" spans="1:6">
      <c r="A8" s="24"/>
      <c r="B8" s="24"/>
      <c r="C8" s="36"/>
      <c r="D8" s="37" t="s">
        <v>4938</v>
      </c>
      <c r="E8" s="38" t="s">
        <v>8489</v>
      </c>
      <c r="F8" s="39"/>
    </row>
    <row r="9" spans="1:6">
      <c r="A9" s="24"/>
      <c r="B9" s="24"/>
      <c r="C9" s="36"/>
      <c r="D9" s="37" t="s">
        <v>4940</v>
      </c>
      <c r="E9" s="38" t="s">
        <v>8490</v>
      </c>
      <c r="F9" s="39"/>
    </row>
    <row r="10" spans="1:6">
      <c r="A10" s="24"/>
      <c r="B10" s="24"/>
      <c r="C10" s="36"/>
      <c r="D10" s="37" t="s">
        <v>4942</v>
      </c>
      <c r="E10" s="41" t="s">
        <v>8491</v>
      </c>
      <c r="F10" s="39"/>
    </row>
    <row r="11" spans="1:6">
      <c r="A11" s="24"/>
      <c r="B11" s="24"/>
      <c r="C11" s="36"/>
      <c r="D11" s="37" t="s">
        <v>4944</v>
      </c>
      <c r="E11" s="42"/>
      <c r="F11" s="39"/>
    </row>
    <row r="12" spans="1:6">
      <c r="A12" s="24" t="s">
        <v>3192</v>
      </c>
      <c r="B12" s="24" t="s">
        <v>3195</v>
      </c>
      <c r="C12" s="36" t="s">
        <v>3196</v>
      </c>
      <c r="D12" s="37" t="s">
        <v>8492</v>
      </c>
      <c r="E12" s="38" t="s">
        <v>8488</v>
      </c>
      <c r="F12" s="39" t="s">
        <v>8493</v>
      </c>
    </row>
    <row r="13" spans="1:6">
      <c r="A13" s="24"/>
      <c r="B13" s="24"/>
      <c r="C13" s="36"/>
      <c r="D13" s="37" t="s">
        <v>8494</v>
      </c>
      <c r="E13" s="38" t="s">
        <v>8495</v>
      </c>
      <c r="F13" s="39"/>
    </row>
    <row r="14" spans="1:6">
      <c r="A14" s="24"/>
      <c r="B14" s="24"/>
      <c r="C14" s="36"/>
      <c r="D14" s="37" t="s">
        <v>8496</v>
      </c>
      <c r="E14" s="38" t="s">
        <v>8497</v>
      </c>
      <c r="F14" s="39"/>
    </row>
    <row r="15" spans="1:6">
      <c r="A15" s="24"/>
      <c r="B15" s="24"/>
      <c r="C15" s="36"/>
      <c r="D15" s="37" t="s">
        <v>8498</v>
      </c>
      <c r="E15" s="38" t="s">
        <v>8499</v>
      </c>
      <c r="F15" s="39"/>
    </row>
    <row r="16" spans="1:6">
      <c r="A16" s="24"/>
      <c r="B16" s="24"/>
      <c r="C16" s="36"/>
      <c r="D16" s="37" t="s">
        <v>8500</v>
      </c>
      <c r="E16" s="38"/>
      <c r="F16" s="39"/>
    </row>
    <row r="17" spans="1:6">
      <c r="A17" s="24" t="s">
        <v>3123</v>
      </c>
      <c r="B17" s="24" t="s">
        <v>3121</v>
      </c>
      <c r="C17" s="36" t="s">
        <v>3122</v>
      </c>
      <c r="D17" s="37" t="s">
        <v>4455</v>
      </c>
      <c r="E17" s="38" t="s">
        <v>8501</v>
      </c>
      <c r="F17" s="39"/>
    </row>
    <row r="18" spans="1:6">
      <c r="A18" s="24"/>
      <c r="B18" s="24"/>
      <c r="C18" s="36"/>
      <c r="D18" s="37" t="s">
        <v>4457</v>
      </c>
      <c r="E18" s="38" t="s">
        <v>8502</v>
      </c>
      <c r="F18" s="39"/>
    </row>
    <row r="19" spans="1:6">
      <c r="A19" s="24"/>
      <c r="B19" s="24"/>
      <c r="C19" s="36"/>
      <c r="D19" s="37" t="s">
        <v>4459</v>
      </c>
      <c r="E19" s="38" t="s">
        <v>8503</v>
      </c>
      <c r="F19" s="39"/>
    </row>
    <row r="20" spans="1:6">
      <c r="A20" s="24"/>
      <c r="B20" s="24"/>
      <c r="C20" s="36"/>
      <c r="D20" s="37" t="s">
        <v>4461</v>
      </c>
      <c r="E20" s="38" t="s">
        <v>8504</v>
      </c>
      <c r="F20" s="39"/>
    </row>
    <row r="21" spans="1:6">
      <c r="A21" s="24"/>
      <c r="B21" s="24"/>
      <c r="C21" s="36"/>
      <c r="D21" s="37" t="s">
        <v>4463</v>
      </c>
      <c r="E21" s="38" t="s">
        <v>8505</v>
      </c>
      <c r="F21" s="39"/>
    </row>
    <row r="22" spans="1:6">
      <c r="A22" s="24"/>
      <c r="B22" s="24"/>
      <c r="C22" s="36"/>
      <c r="D22" s="37" t="s">
        <v>3420</v>
      </c>
      <c r="E22" s="38"/>
      <c r="F22" s="39"/>
    </row>
    <row r="23" spans="1:6">
      <c r="A23" s="24" t="s">
        <v>3123</v>
      </c>
      <c r="B23" s="24" t="s">
        <v>3124</v>
      </c>
      <c r="C23" s="36" t="s">
        <v>3125</v>
      </c>
      <c r="D23" s="37" t="s">
        <v>4515</v>
      </c>
      <c r="E23" s="43" t="s">
        <v>8506</v>
      </c>
      <c r="F23" s="39"/>
    </row>
    <row r="24" spans="1:6">
      <c r="A24" s="24"/>
      <c r="B24" s="24"/>
      <c r="C24" s="36"/>
      <c r="D24" s="37" t="s">
        <v>4517</v>
      </c>
      <c r="E24" s="38" t="s">
        <v>8507</v>
      </c>
      <c r="F24" s="39"/>
    </row>
    <row r="25" spans="1:6">
      <c r="A25" s="24"/>
      <c r="B25" s="24"/>
      <c r="C25" s="36"/>
      <c r="D25" s="37" t="s">
        <v>4519</v>
      </c>
      <c r="E25" s="38" t="s">
        <v>8508</v>
      </c>
      <c r="F25" s="39"/>
    </row>
    <row r="26" spans="1:6">
      <c r="A26" s="24"/>
      <c r="B26" s="24"/>
      <c r="C26" s="36"/>
      <c r="D26" s="37" t="s">
        <v>4521</v>
      </c>
      <c r="E26" s="38" t="s">
        <v>8509</v>
      </c>
      <c r="F26" s="39"/>
    </row>
    <row r="27" spans="1:6">
      <c r="A27" s="24"/>
      <c r="B27" s="24"/>
      <c r="C27" s="36"/>
      <c r="D27" s="37" t="s">
        <v>4523</v>
      </c>
      <c r="E27" s="38" t="s">
        <v>8510</v>
      </c>
      <c r="F27" s="39"/>
    </row>
    <row r="28" spans="1:6">
      <c r="A28" s="24"/>
      <c r="B28" s="24"/>
      <c r="C28" s="36"/>
      <c r="D28" s="37" t="s">
        <v>7220</v>
      </c>
      <c r="E28" s="38"/>
      <c r="F28" s="39"/>
    </row>
    <row r="29" spans="1:6">
      <c r="A29" s="24" t="s">
        <v>3192</v>
      </c>
      <c r="B29" s="24" t="s">
        <v>3197</v>
      </c>
      <c r="C29" s="36" t="s">
        <v>3198</v>
      </c>
      <c r="D29" s="37" t="s">
        <v>5016</v>
      </c>
      <c r="E29" s="43" t="s">
        <v>8511</v>
      </c>
      <c r="F29" s="39"/>
    </row>
    <row r="30" spans="1:6">
      <c r="A30" s="24"/>
      <c r="B30" s="24"/>
      <c r="C30" s="36"/>
      <c r="D30" s="37" t="s">
        <v>5018</v>
      </c>
      <c r="E30" s="43" t="s">
        <v>8512</v>
      </c>
      <c r="F30" s="39"/>
    </row>
    <row r="31" spans="1:6">
      <c r="A31" s="24"/>
      <c r="B31" s="24"/>
      <c r="C31" s="36"/>
      <c r="D31" s="37" t="s">
        <v>5020</v>
      </c>
      <c r="E31" s="38" t="s">
        <v>8513</v>
      </c>
      <c r="F31" s="39"/>
    </row>
    <row r="32" spans="1:6">
      <c r="A32" s="24"/>
      <c r="B32" s="24"/>
      <c r="C32" s="36"/>
      <c r="D32" s="37" t="s">
        <v>5022</v>
      </c>
      <c r="E32" s="43" t="s">
        <v>8514</v>
      </c>
      <c r="F32" s="39"/>
    </row>
    <row r="33" spans="1:6">
      <c r="A33" s="24"/>
      <c r="B33" s="24"/>
      <c r="C33" s="36"/>
      <c r="D33" s="37" t="s">
        <v>5024</v>
      </c>
      <c r="E33" s="43" t="s">
        <v>8515</v>
      </c>
      <c r="F33" s="39"/>
    </row>
    <row r="34" spans="1:6">
      <c r="A34" s="24"/>
      <c r="B34" s="24"/>
      <c r="C34" s="36"/>
      <c r="D34" s="37" t="s">
        <v>3826</v>
      </c>
      <c r="E34" s="43" t="s">
        <v>8516</v>
      </c>
      <c r="F34" s="39"/>
    </row>
    <row r="35" spans="1:6">
      <c r="A35" s="24"/>
      <c r="B35" s="24"/>
      <c r="C35" s="36"/>
      <c r="D35" s="37" t="s">
        <v>3731</v>
      </c>
      <c r="E35" s="38"/>
      <c r="F35" s="39"/>
    </row>
    <row r="36" spans="1:6">
      <c r="A36" s="24" t="s">
        <v>3123</v>
      </c>
      <c r="B36" s="24" t="s">
        <v>3126</v>
      </c>
      <c r="C36" s="36" t="s">
        <v>3127</v>
      </c>
      <c r="D36" s="37" t="s">
        <v>4535</v>
      </c>
      <c r="E36" s="43" t="s">
        <v>8517</v>
      </c>
      <c r="F36" s="39"/>
    </row>
    <row r="37" spans="1:6">
      <c r="A37" s="24"/>
      <c r="B37" s="24"/>
      <c r="C37" s="36"/>
      <c r="D37" s="37" t="s">
        <v>4537</v>
      </c>
      <c r="E37" s="43" t="s">
        <v>8518</v>
      </c>
      <c r="F37" s="39"/>
    </row>
    <row r="38" spans="1:6">
      <c r="A38" s="24"/>
      <c r="B38" s="24"/>
      <c r="C38" s="36"/>
      <c r="D38" s="37" t="s">
        <v>4539</v>
      </c>
      <c r="E38" s="43" t="s">
        <v>8519</v>
      </c>
      <c r="F38" s="39"/>
    </row>
    <row r="39" spans="1:6">
      <c r="A39" s="24"/>
      <c r="B39" s="24"/>
      <c r="C39" s="36"/>
      <c r="D39" s="37" t="s">
        <v>4541</v>
      </c>
      <c r="E39" s="43" t="s">
        <v>8520</v>
      </c>
      <c r="F39" s="39"/>
    </row>
    <row r="40" spans="1:6">
      <c r="A40" s="24"/>
      <c r="B40" s="24"/>
      <c r="C40" s="36"/>
      <c r="D40" s="37" t="s">
        <v>4543</v>
      </c>
      <c r="E40" s="43" t="s">
        <v>8521</v>
      </c>
      <c r="F40" s="39"/>
    </row>
    <row r="41" spans="1:6">
      <c r="A41" s="24"/>
      <c r="B41" s="24"/>
      <c r="C41" s="36"/>
      <c r="D41" s="37" t="s">
        <v>3481</v>
      </c>
      <c r="E41" s="38"/>
      <c r="F41" s="39"/>
    </row>
    <row r="42" spans="1:6">
      <c r="A42" s="24" t="s">
        <v>3123</v>
      </c>
      <c r="B42" s="24" t="s">
        <v>3128</v>
      </c>
      <c r="C42" s="36" t="s">
        <v>3129</v>
      </c>
      <c r="D42" s="37" t="s">
        <v>4505</v>
      </c>
      <c r="E42" s="38" t="s">
        <v>8522</v>
      </c>
      <c r="F42" s="39"/>
    </row>
    <row r="43" spans="1:6">
      <c r="A43" s="24"/>
      <c r="B43" s="24"/>
      <c r="C43" s="36"/>
      <c r="D43" s="37" t="s">
        <v>4507</v>
      </c>
      <c r="E43" s="38" t="s">
        <v>8507</v>
      </c>
      <c r="F43" s="39"/>
    </row>
    <row r="44" spans="1:6">
      <c r="A44" s="24"/>
      <c r="B44" s="24"/>
      <c r="C44" s="36"/>
      <c r="D44" s="37" t="s">
        <v>4509</v>
      </c>
      <c r="E44" s="38" t="s">
        <v>8523</v>
      </c>
      <c r="F44" s="39"/>
    </row>
    <row r="45" spans="1:6">
      <c r="A45" s="24"/>
      <c r="B45" s="24"/>
      <c r="C45" s="36"/>
      <c r="D45" s="37" t="s">
        <v>4511</v>
      </c>
      <c r="E45" s="44" t="s">
        <v>8524</v>
      </c>
      <c r="F45" s="39"/>
    </row>
    <row r="46" spans="1:6">
      <c r="A46" s="24"/>
      <c r="B46" s="24"/>
      <c r="C46" s="36"/>
      <c r="D46" s="37" t="s">
        <v>4513</v>
      </c>
      <c r="E46" s="45"/>
      <c r="F46" s="39"/>
    </row>
    <row r="47" spans="1:6">
      <c r="A47" s="24" t="s">
        <v>3123</v>
      </c>
      <c r="B47" s="24" t="s">
        <v>3130</v>
      </c>
      <c r="C47" s="36" t="s">
        <v>3131</v>
      </c>
      <c r="D47" s="37" t="s">
        <v>4415</v>
      </c>
      <c r="E47" s="38" t="s">
        <v>8525</v>
      </c>
      <c r="F47" s="39"/>
    </row>
    <row r="48" spans="1:6">
      <c r="A48" s="24"/>
      <c r="B48" s="24"/>
      <c r="C48" s="36"/>
      <c r="D48" s="37" t="s">
        <v>4417</v>
      </c>
      <c r="E48" s="38" t="s">
        <v>8526</v>
      </c>
      <c r="F48" s="39"/>
    </row>
    <row r="49" spans="1:6">
      <c r="A49" s="24"/>
      <c r="B49" s="24"/>
      <c r="C49" s="36"/>
      <c r="D49" s="37" t="s">
        <v>4419</v>
      </c>
      <c r="E49" s="38" t="s">
        <v>8527</v>
      </c>
      <c r="F49" s="39"/>
    </row>
    <row r="50" spans="1:6">
      <c r="A50" s="24"/>
      <c r="B50" s="24"/>
      <c r="C50" s="36"/>
      <c r="D50" s="37" t="s">
        <v>4421</v>
      </c>
      <c r="E50" s="38" t="s">
        <v>8528</v>
      </c>
      <c r="F50" s="39"/>
    </row>
    <row r="51" spans="1:6">
      <c r="A51" s="24"/>
      <c r="B51" s="24"/>
      <c r="C51" s="36"/>
      <c r="D51" s="37" t="s">
        <v>4423</v>
      </c>
      <c r="E51" s="38" t="s">
        <v>8529</v>
      </c>
      <c r="F51" s="39"/>
    </row>
    <row r="52" spans="1:6">
      <c r="A52" s="24"/>
      <c r="B52" s="24"/>
      <c r="C52" s="36"/>
      <c r="D52" s="37" t="s">
        <v>3365</v>
      </c>
      <c r="E52" s="38" t="s">
        <v>8530</v>
      </c>
      <c r="F52" s="39"/>
    </row>
    <row r="53" spans="1:6">
      <c r="A53" s="24"/>
      <c r="B53" s="24"/>
      <c r="C53" s="36"/>
      <c r="D53" s="37" t="s">
        <v>4091</v>
      </c>
      <c r="E53" s="38"/>
      <c r="F53" s="39"/>
    </row>
    <row r="54" spans="1:6">
      <c r="A54" s="24" t="s">
        <v>3123</v>
      </c>
      <c r="B54" s="24" t="s">
        <v>3132</v>
      </c>
      <c r="C54" s="36" t="s">
        <v>3133</v>
      </c>
      <c r="D54" s="37" t="s">
        <v>4425</v>
      </c>
      <c r="E54" s="38" t="s">
        <v>8531</v>
      </c>
      <c r="F54" s="39" t="s">
        <v>8532</v>
      </c>
    </row>
    <row r="55" spans="1:6">
      <c r="A55" s="24"/>
      <c r="B55" s="24"/>
      <c r="C55" s="36"/>
      <c r="D55" s="37" t="s">
        <v>4427</v>
      </c>
      <c r="E55" s="44" t="s">
        <v>8533</v>
      </c>
      <c r="F55" s="39"/>
    </row>
    <row r="56" spans="1:6">
      <c r="A56" s="24"/>
      <c r="B56" s="24"/>
      <c r="C56" s="36"/>
      <c r="D56" s="37" t="s">
        <v>4429</v>
      </c>
      <c r="E56" s="45"/>
      <c r="F56" s="39"/>
    </row>
    <row r="57" spans="1:6">
      <c r="A57" s="24"/>
      <c r="B57" s="24"/>
      <c r="C57" s="36"/>
      <c r="D57" s="37" t="s">
        <v>4431</v>
      </c>
      <c r="E57" s="38" t="s">
        <v>8534</v>
      </c>
      <c r="F57" s="39"/>
    </row>
    <row r="58" spans="1:6">
      <c r="A58" s="24"/>
      <c r="B58" s="24"/>
      <c r="C58" s="36"/>
      <c r="D58" s="37" t="s">
        <v>4433</v>
      </c>
      <c r="E58" s="38" t="s">
        <v>8535</v>
      </c>
      <c r="F58" s="39"/>
    </row>
    <row r="59" spans="1:6">
      <c r="A59" s="24"/>
      <c r="B59" s="24"/>
      <c r="C59" s="36"/>
      <c r="D59" s="37" t="s">
        <v>3554</v>
      </c>
      <c r="E59" s="38" t="s">
        <v>8536</v>
      </c>
      <c r="F59" s="39"/>
    </row>
    <row r="60" spans="1:6">
      <c r="A60" s="24" t="s">
        <v>3192</v>
      </c>
      <c r="B60" s="24" t="s">
        <v>3199</v>
      </c>
      <c r="C60" s="36" t="s">
        <v>3200</v>
      </c>
      <c r="D60" s="37" t="s">
        <v>5006</v>
      </c>
      <c r="E60" s="38" t="s">
        <v>8537</v>
      </c>
      <c r="F60" s="39"/>
    </row>
    <row r="61" spans="1:6">
      <c r="A61" s="24"/>
      <c r="B61" s="24"/>
      <c r="C61" s="36"/>
      <c r="D61" s="37" t="s">
        <v>5008</v>
      </c>
      <c r="E61" s="38" t="s">
        <v>8538</v>
      </c>
      <c r="F61" s="39"/>
    </row>
    <row r="62" spans="1:6">
      <c r="A62" s="24"/>
      <c r="B62" s="24"/>
      <c r="C62" s="36"/>
      <c r="D62" s="37" t="s">
        <v>5010</v>
      </c>
      <c r="E62" s="38" t="s">
        <v>8539</v>
      </c>
      <c r="F62" s="39"/>
    </row>
    <row r="63" spans="1:6">
      <c r="A63" s="24"/>
      <c r="B63" s="24"/>
      <c r="C63" s="36"/>
      <c r="D63" s="37" t="s">
        <v>5012</v>
      </c>
      <c r="E63" s="38" t="s">
        <v>8540</v>
      </c>
      <c r="F63" s="39"/>
    </row>
    <row r="64" spans="1:6">
      <c r="A64" s="24"/>
      <c r="B64" s="24"/>
      <c r="C64" s="36"/>
      <c r="D64" s="37" t="s">
        <v>5014</v>
      </c>
      <c r="E64" s="38" t="s">
        <v>8541</v>
      </c>
      <c r="F64" s="39"/>
    </row>
    <row r="65" spans="1:6">
      <c r="A65" s="24"/>
      <c r="B65" s="24"/>
      <c r="C65" s="36"/>
      <c r="D65" s="37" t="s">
        <v>3736</v>
      </c>
      <c r="E65" s="38"/>
      <c r="F65" s="39"/>
    </row>
    <row r="66" spans="1:6">
      <c r="A66" s="24" t="s">
        <v>3123</v>
      </c>
      <c r="B66" s="24" t="s">
        <v>3134</v>
      </c>
      <c r="C66" s="36" t="s">
        <v>3135</v>
      </c>
      <c r="D66" s="37" t="s">
        <v>4525</v>
      </c>
      <c r="E66" s="38" t="s">
        <v>8542</v>
      </c>
      <c r="F66" s="39"/>
    </row>
    <row r="67" spans="1:6">
      <c r="A67" s="24"/>
      <c r="B67" s="24"/>
      <c r="C67" s="36"/>
      <c r="D67" s="37" t="s">
        <v>4527</v>
      </c>
      <c r="E67" s="38" t="s">
        <v>8543</v>
      </c>
      <c r="F67" s="39"/>
    </row>
    <row r="68" spans="1:6">
      <c r="A68" s="24"/>
      <c r="B68" s="24"/>
      <c r="C68" s="36"/>
      <c r="D68" s="37" t="s">
        <v>4529</v>
      </c>
      <c r="E68" s="38" t="s">
        <v>8544</v>
      </c>
      <c r="F68" s="39"/>
    </row>
    <row r="69" spans="1:6">
      <c r="A69" s="24"/>
      <c r="B69" s="24"/>
      <c r="C69" s="36"/>
      <c r="D69" s="37" t="s">
        <v>4531</v>
      </c>
      <c r="E69" s="38" t="s">
        <v>8545</v>
      </c>
      <c r="F69" s="39"/>
    </row>
    <row r="70" spans="1:6">
      <c r="A70" s="24"/>
      <c r="B70" s="24"/>
      <c r="C70" s="36"/>
      <c r="D70" s="37" t="s">
        <v>4533</v>
      </c>
      <c r="E70" s="38" t="s">
        <v>8546</v>
      </c>
      <c r="F70" s="39"/>
    </row>
    <row r="71" spans="1:6">
      <c r="A71" s="24"/>
      <c r="B71" s="24"/>
      <c r="C71" s="36"/>
      <c r="D71" s="37" t="s">
        <v>3359</v>
      </c>
      <c r="E71" s="38"/>
      <c r="F71" s="39"/>
    </row>
    <row r="72" spans="1:6">
      <c r="A72" s="24" t="s">
        <v>3192</v>
      </c>
      <c r="B72" s="24" t="s">
        <v>3201</v>
      </c>
      <c r="C72" s="36" t="s">
        <v>3202</v>
      </c>
      <c r="D72" s="37" t="s">
        <v>5086</v>
      </c>
      <c r="E72" s="38" t="s">
        <v>8547</v>
      </c>
      <c r="F72" s="39"/>
    </row>
    <row r="73" spans="1:6">
      <c r="A73" s="24"/>
      <c r="B73" s="24"/>
      <c r="C73" s="36"/>
      <c r="D73" s="37" t="s">
        <v>5088</v>
      </c>
      <c r="E73" s="38" t="s">
        <v>8548</v>
      </c>
      <c r="F73" s="39"/>
    </row>
    <row r="74" spans="1:6">
      <c r="A74" s="24"/>
      <c r="B74" s="24"/>
      <c r="C74" s="36"/>
      <c r="D74" s="37" t="s">
        <v>5090</v>
      </c>
      <c r="E74" s="38" t="s">
        <v>8549</v>
      </c>
      <c r="F74" s="39"/>
    </row>
    <row r="75" spans="1:6">
      <c r="A75" s="24"/>
      <c r="B75" s="24"/>
      <c r="C75" s="36"/>
      <c r="D75" s="37" t="s">
        <v>5092</v>
      </c>
      <c r="E75" s="38" t="s">
        <v>8550</v>
      </c>
      <c r="F75" s="39"/>
    </row>
    <row r="76" spans="1:6">
      <c r="A76" s="24"/>
      <c r="B76" s="24"/>
      <c r="C76" s="36"/>
      <c r="D76" s="37" t="s">
        <v>5094</v>
      </c>
      <c r="E76" s="38" t="s">
        <v>8551</v>
      </c>
      <c r="F76" s="39"/>
    </row>
    <row r="77" spans="1:6">
      <c r="A77" s="24"/>
      <c r="B77" s="24"/>
      <c r="C77" s="36"/>
      <c r="D77" s="37" t="s">
        <v>3832</v>
      </c>
      <c r="E77" s="38"/>
      <c r="F77" s="39"/>
    </row>
    <row r="78" spans="1:6">
      <c r="A78" s="24" t="s">
        <v>3192</v>
      </c>
      <c r="B78" s="24" t="s">
        <v>3203</v>
      </c>
      <c r="C78" s="36" t="s">
        <v>3204</v>
      </c>
      <c r="D78" s="37" t="s">
        <v>5026</v>
      </c>
      <c r="E78" s="38" t="s">
        <v>8480</v>
      </c>
      <c r="F78" s="39"/>
    </row>
    <row r="79" spans="1:6">
      <c r="A79" s="24"/>
      <c r="B79" s="24"/>
      <c r="C79" s="36"/>
      <c r="D79" s="37" t="s">
        <v>5028</v>
      </c>
      <c r="E79" s="38" t="s">
        <v>8552</v>
      </c>
      <c r="F79" s="39"/>
    </row>
    <row r="80" spans="1:6">
      <c r="A80" s="24"/>
      <c r="B80" s="24"/>
      <c r="C80" s="36"/>
      <c r="D80" s="37" t="s">
        <v>5030</v>
      </c>
      <c r="E80" s="38" t="s">
        <v>8553</v>
      </c>
      <c r="F80" s="39"/>
    </row>
    <row r="81" spans="1:6">
      <c r="A81" s="24"/>
      <c r="B81" s="24"/>
      <c r="C81" s="36"/>
      <c r="D81" s="37" t="s">
        <v>5032</v>
      </c>
      <c r="E81" s="38" t="s">
        <v>8554</v>
      </c>
      <c r="F81" s="39"/>
    </row>
    <row r="82" spans="1:6">
      <c r="A82" s="24"/>
      <c r="B82" s="24"/>
      <c r="C82" s="36"/>
      <c r="D82" s="37" t="s">
        <v>5034</v>
      </c>
      <c r="E82" s="44" t="s">
        <v>8555</v>
      </c>
      <c r="F82" s="39"/>
    </row>
    <row r="83" spans="1:6">
      <c r="A83" s="24"/>
      <c r="B83" s="24"/>
      <c r="C83" s="36"/>
      <c r="D83" s="37" t="s">
        <v>4070</v>
      </c>
      <c r="E83" s="45"/>
      <c r="F83" s="39"/>
    </row>
    <row r="84" spans="1:6">
      <c r="A84" s="24" t="s">
        <v>3123</v>
      </c>
      <c r="B84" s="24" t="s">
        <v>3136</v>
      </c>
      <c r="C84" s="36" t="s">
        <v>3137</v>
      </c>
      <c r="D84" s="37" t="s">
        <v>4465</v>
      </c>
      <c r="E84" s="43" t="s">
        <v>8556</v>
      </c>
      <c r="F84" s="39" t="s">
        <v>8557</v>
      </c>
    </row>
    <row r="85" spans="1:6">
      <c r="A85" s="24"/>
      <c r="B85" s="24"/>
      <c r="C85" s="36"/>
      <c r="D85" s="37" t="s">
        <v>4467</v>
      </c>
      <c r="E85" s="38" t="s">
        <v>8558</v>
      </c>
      <c r="F85" s="39"/>
    </row>
    <row r="86" spans="1:6">
      <c r="A86" s="24"/>
      <c r="B86" s="24"/>
      <c r="C86" s="36"/>
      <c r="D86" s="37" t="s">
        <v>4469</v>
      </c>
      <c r="E86" s="38" t="s">
        <v>8559</v>
      </c>
      <c r="F86" s="39"/>
    </row>
    <row r="87" spans="1:6">
      <c r="A87" s="24"/>
      <c r="B87" s="24"/>
      <c r="C87" s="36"/>
      <c r="D87" s="37" t="s">
        <v>4471</v>
      </c>
      <c r="E87" s="38" t="s">
        <v>8560</v>
      </c>
      <c r="F87" s="39"/>
    </row>
    <row r="88" spans="1:6">
      <c r="A88" s="24"/>
      <c r="B88" s="24"/>
      <c r="C88" s="36"/>
      <c r="D88" s="37" t="s">
        <v>4473</v>
      </c>
      <c r="E88" s="38" t="s">
        <v>8561</v>
      </c>
      <c r="F88" s="39"/>
    </row>
    <row r="89" spans="1:6">
      <c r="A89" s="24"/>
      <c r="B89" s="24"/>
      <c r="C89" s="36"/>
      <c r="D89" s="37" t="s">
        <v>4064</v>
      </c>
      <c r="E89" s="38"/>
      <c r="F89" s="39"/>
    </row>
    <row r="90" spans="1:6">
      <c r="A90" s="24" t="s">
        <v>3123</v>
      </c>
      <c r="B90" s="24" t="s">
        <v>3138</v>
      </c>
      <c r="C90" s="36" t="s">
        <v>3139</v>
      </c>
      <c r="D90" s="37" t="s">
        <v>4475</v>
      </c>
      <c r="E90" s="43" t="s">
        <v>8480</v>
      </c>
      <c r="F90" s="39"/>
    </row>
    <row r="91" spans="1:6">
      <c r="A91" s="24"/>
      <c r="B91" s="24"/>
      <c r="C91" s="36"/>
      <c r="D91" s="37" t="s">
        <v>4477</v>
      </c>
      <c r="E91" s="38" t="s">
        <v>8562</v>
      </c>
      <c r="F91" s="39"/>
    </row>
    <row r="92" spans="1:6">
      <c r="A92" s="24"/>
      <c r="B92" s="24"/>
      <c r="C92" s="36"/>
      <c r="D92" s="37" t="s">
        <v>8563</v>
      </c>
      <c r="E92" s="38" t="s">
        <v>8564</v>
      </c>
      <c r="F92" s="39"/>
    </row>
    <row r="93" spans="1:6">
      <c r="A93" s="24"/>
      <c r="B93" s="24"/>
      <c r="C93" s="36"/>
      <c r="D93" s="37" t="s">
        <v>4481</v>
      </c>
      <c r="E93" s="38" t="s">
        <v>8565</v>
      </c>
      <c r="F93" s="39"/>
    </row>
    <row r="94" spans="1:6">
      <c r="A94" s="24"/>
      <c r="B94" s="24"/>
      <c r="C94" s="36"/>
      <c r="D94" s="37" t="s">
        <v>4483</v>
      </c>
      <c r="E94" s="38" t="s">
        <v>8566</v>
      </c>
      <c r="F94" s="39"/>
    </row>
    <row r="95" spans="1:6">
      <c r="A95" s="24"/>
      <c r="B95" s="24"/>
      <c r="C95" s="36"/>
      <c r="D95" s="37" t="s">
        <v>3312</v>
      </c>
      <c r="E95" s="38" t="s">
        <v>8567</v>
      </c>
      <c r="F95" s="39"/>
    </row>
    <row r="96" spans="1:6">
      <c r="A96" s="24"/>
      <c r="B96" s="24"/>
      <c r="C96" s="36"/>
      <c r="D96" s="37" t="s">
        <v>3653</v>
      </c>
      <c r="E96" s="38"/>
      <c r="F96" s="39"/>
    </row>
    <row r="97" spans="1:6">
      <c r="A97" s="24" t="s">
        <v>3123</v>
      </c>
      <c r="B97" s="24" t="s">
        <v>3140</v>
      </c>
      <c r="C97" s="36" t="s">
        <v>3141</v>
      </c>
      <c r="D97" s="37" t="s">
        <v>4545</v>
      </c>
      <c r="E97" s="38" t="s">
        <v>8568</v>
      </c>
      <c r="F97" s="39"/>
    </row>
    <row r="98" spans="1:6">
      <c r="A98" s="24"/>
      <c r="B98" s="24"/>
      <c r="C98" s="36"/>
      <c r="D98" s="37" t="s">
        <v>4547</v>
      </c>
      <c r="E98" s="43" t="s">
        <v>8569</v>
      </c>
      <c r="F98" s="39"/>
    </row>
    <row r="99" spans="1:6">
      <c r="A99" s="24"/>
      <c r="B99" s="24"/>
      <c r="C99" s="36"/>
      <c r="D99" s="37" t="s">
        <v>4549</v>
      </c>
      <c r="E99" s="38" t="s">
        <v>8570</v>
      </c>
      <c r="F99" s="39"/>
    </row>
    <row r="100" spans="1:6">
      <c r="A100" s="24"/>
      <c r="B100" s="24"/>
      <c r="C100" s="36"/>
      <c r="D100" s="37" t="s">
        <v>4551</v>
      </c>
      <c r="E100" s="38" t="s">
        <v>8571</v>
      </c>
      <c r="F100" s="39"/>
    </row>
    <row r="101" spans="1:6">
      <c r="A101" s="24"/>
      <c r="B101" s="24"/>
      <c r="C101" s="36"/>
      <c r="D101" s="37" t="s">
        <v>4553</v>
      </c>
      <c r="E101" s="38" t="s">
        <v>8572</v>
      </c>
      <c r="F101" s="39"/>
    </row>
    <row r="102" spans="1:6">
      <c r="A102" s="24"/>
      <c r="B102" s="24"/>
      <c r="C102" s="36"/>
      <c r="D102" s="37" t="s">
        <v>3560</v>
      </c>
      <c r="E102" s="38" t="s">
        <v>8573</v>
      </c>
      <c r="F102" s="39"/>
    </row>
    <row r="103" spans="1:6">
      <c r="A103" s="24"/>
      <c r="B103" s="24"/>
      <c r="C103" s="36"/>
      <c r="D103" s="37" t="s">
        <v>3622</v>
      </c>
      <c r="E103" s="38"/>
      <c r="F103" s="39"/>
    </row>
    <row r="104" spans="1:6">
      <c r="A104" s="24" t="s">
        <v>3123</v>
      </c>
      <c r="B104" s="24" t="s">
        <v>3142</v>
      </c>
      <c r="C104" s="36" t="s">
        <v>3143</v>
      </c>
      <c r="D104" s="37" t="s">
        <v>4555</v>
      </c>
      <c r="E104" s="43" t="s">
        <v>8480</v>
      </c>
      <c r="F104" s="39"/>
    </row>
    <row r="105" spans="1:6">
      <c r="A105" s="24"/>
      <c r="B105" s="24"/>
      <c r="C105" s="36"/>
      <c r="D105" s="37" t="s">
        <v>4557</v>
      </c>
      <c r="E105" s="38" t="s">
        <v>8574</v>
      </c>
      <c r="F105" s="39"/>
    </row>
    <row r="106" spans="1:6">
      <c r="A106" s="24"/>
      <c r="B106" s="24"/>
      <c r="C106" s="36"/>
      <c r="D106" s="37" t="s">
        <v>4559</v>
      </c>
      <c r="E106" s="38" t="s">
        <v>8575</v>
      </c>
      <c r="F106" s="39"/>
    </row>
    <row r="107" spans="1:6">
      <c r="A107" s="24"/>
      <c r="B107" s="24"/>
      <c r="C107" s="36"/>
      <c r="D107" s="37" t="s">
        <v>4561</v>
      </c>
      <c r="E107" s="38" t="s">
        <v>8576</v>
      </c>
      <c r="F107" s="39"/>
    </row>
    <row r="108" spans="1:6">
      <c r="A108" s="24"/>
      <c r="B108" s="24"/>
      <c r="C108" s="36"/>
      <c r="D108" s="37" t="s">
        <v>4563</v>
      </c>
      <c r="E108" s="38" t="s">
        <v>8577</v>
      </c>
      <c r="F108" s="39"/>
    </row>
    <row r="109" spans="1:6">
      <c r="A109" s="24"/>
      <c r="B109" s="24"/>
      <c r="C109" s="36"/>
      <c r="D109" s="37" t="s">
        <v>6957</v>
      </c>
      <c r="E109" s="38" t="s">
        <v>8578</v>
      </c>
      <c r="F109" s="39"/>
    </row>
    <row r="110" spans="1:6">
      <c r="A110" s="24"/>
      <c r="B110" s="24"/>
      <c r="C110" s="36"/>
      <c r="D110" s="37" t="s">
        <v>4072</v>
      </c>
      <c r="E110" s="38"/>
      <c r="F110" s="39"/>
    </row>
    <row r="111" spans="1:6">
      <c r="A111" s="24" t="s">
        <v>3123</v>
      </c>
      <c r="B111" s="24" t="s">
        <v>3144</v>
      </c>
      <c r="C111" s="36" t="s">
        <v>3145</v>
      </c>
      <c r="D111" s="37" t="s">
        <v>4201</v>
      </c>
      <c r="E111" s="38" t="s">
        <v>8579</v>
      </c>
      <c r="F111" s="39"/>
    </row>
    <row r="112" spans="1:6">
      <c r="A112" s="24"/>
      <c r="B112" s="24"/>
      <c r="C112" s="36"/>
      <c r="D112" s="37" t="s">
        <v>4203</v>
      </c>
      <c r="E112" s="38" t="s">
        <v>8580</v>
      </c>
      <c r="F112" s="39"/>
    </row>
    <row r="113" spans="1:6">
      <c r="A113" s="24"/>
      <c r="B113" s="24"/>
      <c r="C113" s="36"/>
      <c r="D113" s="37" t="s">
        <v>4205</v>
      </c>
      <c r="E113" s="38" t="s">
        <v>8581</v>
      </c>
      <c r="F113" s="39"/>
    </row>
    <row r="114" spans="1:6">
      <c r="A114" s="24"/>
      <c r="B114" s="24"/>
      <c r="C114" s="36"/>
      <c r="D114" s="37" t="s">
        <v>4207</v>
      </c>
      <c r="E114" s="38" t="s">
        <v>8582</v>
      </c>
      <c r="F114" s="39"/>
    </row>
    <row r="115" spans="1:6">
      <c r="A115" s="24"/>
      <c r="B115" s="24"/>
      <c r="C115" s="36"/>
      <c r="D115" s="37" t="s">
        <v>4209</v>
      </c>
      <c r="E115" s="38" t="s">
        <v>8583</v>
      </c>
      <c r="F115" s="39"/>
    </row>
    <row r="116" spans="1:6">
      <c r="A116" s="24"/>
      <c r="B116" s="24"/>
      <c r="C116" s="36"/>
      <c r="D116" s="37" t="s">
        <v>3562</v>
      </c>
      <c r="E116" s="38" t="s">
        <v>8584</v>
      </c>
      <c r="F116" s="39"/>
    </row>
    <row r="117" spans="1:6">
      <c r="A117" s="24"/>
      <c r="B117" s="24"/>
      <c r="C117" s="36"/>
      <c r="D117" s="37" t="s">
        <v>4080</v>
      </c>
      <c r="E117" s="38"/>
      <c r="F117" s="39"/>
    </row>
    <row r="118" spans="1:6">
      <c r="A118" s="24" t="s">
        <v>3123</v>
      </c>
      <c r="B118" s="24" t="s">
        <v>3146</v>
      </c>
      <c r="C118" s="36" t="s">
        <v>3147</v>
      </c>
      <c r="D118" s="37" t="s">
        <v>4295</v>
      </c>
      <c r="E118" s="38" t="s">
        <v>8585</v>
      </c>
      <c r="F118" s="39" t="s">
        <v>8586</v>
      </c>
    </row>
    <row r="119" spans="1:6">
      <c r="A119" s="24"/>
      <c r="B119" s="24"/>
      <c r="C119" s="36"/>
      <c r="D119" s="37" t="s">
        <v>4297</v>
      </c>
      <c r="E119" s="38" t="s">
        <v>8587</v>
      </c>
      <c r="F119" s="39"/>
    </row>
    <row r="120" spans="1:6">
      <c r="A120" s="24"/>
      <c r="B120" s="24"/>
      <c r="C120" s="36"/>
      <c r="D120" s="37" t="s">
        <v>4299</v>
      </c>
      <c r="E120" s="38" t="s">
        <v>8588</v>
      </c>
      <c r="F120" s="39"/>
    </row>
    <row r="121" spans="1:6">
      <c r="A121" s="24"/>
      <c r="B121" s="24"/>
      <c r="C121" s="36"/>
      <c r="D121" s="37" t="s">
        <v>4301</v>
      </c>
      <c r="E121" s="38" t="s">
        <v>8589</v>
      </c>
      <c r="F121" s="39"/>
    </row>
    <row r="122" spans="1:6">
      <c r="A122" s="24"/>
      <c r="B122" s="24"/>
      <c r="C122" s="36"/>
      <c r="D122" s="37" t="s">
        <v>4303</v>
      </c>
      <c r="E122" s="38" t="s">
        <v>8590</v>
      </c>
      <c r="F122" s="39"/>
    </row>
    <row r="123" spans="1:6">
      <c r="A123" s="24"/>
      <c r="B123" s="24"/>
      <c r="C123" s="36"/>
      <c r="D123" s="37" t="s">
        <v>3568</v>
      </c>
      <c r="E123" s="38"/>
      <c r="F123" s="39"/>
    </row>
    <row r="124" spans="1:6">
      <c r="A124" s="24" t="s">
        <v>3123</v>
      </c>
      <c r="B124" s="24" t="s">
        <v>3148</v>
      </c>
      <c r="C124" s="36" t="s">
        <v>3149</v>
      </c>
      <c r="D124" s="37" t="s">
        <v>4187</v>
      </c>
      <c r="E124" s="38" t="s">
        <v>8591</v>
      </c>
      <c r="F124" s="39" t="s">
        <v>8592</v>
      </c>
    </row>
    <row r="125" spans="1:6">
      <c r="A125" s="24"/>
      <c r="B125" s="24"/>
      <c r="C125" s="36"/>
      <c r="D125" s="37" t="s">
        <v>4185</v>
      </c>
      <c r="E125" s="38" t="s">
        <v>8593</v>
      </c>
      <c r="F125" s="39"/>
    </row>
    <row r="126" spans="1:6">
      <c r="A126" s="24"/>
      <c r="B126" s="24"/>
      <c r="C126" s="36"/>
      <c r="D126" s="37" t="s">
        <v>4189</v>
      </c>
      <c r="E126" s="38" t="s">
        <v>8594</v>
      </c>
      <c r="F126" s="39"/>
    </row>
    <row r="127" spans="1:6">
      <c r="A127" s="24"/>
      <c r="B127" s="24"/>
      <c r="C127" s="36"/>
      <c r="D127" s="37" t="s">
        <v>4191</v>
      </c>
      <c r="E127" s="38" t="s">
        <v>8595</v>
      </c>
      <c r="F127" s="39"/>
    </row>
    <row r="128" spans="1:6">
      <c r="A128" s="24"/>
      <c r="B128" s="24"/>
      <c r="C128" s="36"/>
      <c r="D128" s="37" t="s">
        <v>3308</v>
      </c>
      <c r="E128" s="38"/>
      <c r="F128" s="39"/>
    </row>
    <row r="129" spans="1:6">
      <c r="A129" s="24" t="s">
        <v>3123</v>
      </c>
      <c r="B129" s="24" t="s">
        <v>3150</v>
      </c>
      <c r="C129" s="36" t="s">
        <v>3151</v>
      </c>
      <c r="D129" s="37" t="s">
        <v>4281</v>
      </c>
      <c r="E129" s="38" t="s">
        <v>8596</v>
      </c>
      <c r="F129" s="39"/>
    </row>
    <row r="130" spans="1:6">
      <c r="A130" s="24"/>
      <c r="B130" s="24"/>
      <c r="C130" s="36"/>
      <c r="D130" s="37" t="s">
        <v>4279</v>
      </c>
      <c r="E130" s="44" t="s">
        <v>8597</v>
      </c>
      <c r="F130" s="39"/>
    </row>
    <row r="131" spans="1:6">
      <c r="A131" s="24"/>
      <c r="B131" s="24"/>
      <c r="C131" s="36"/>
      <c r="D131" s="37" t="s">
        <v>4283</v>
      </c>
      <c r="E131" s="45"/>
      <c r="F131" s="39"/>
    </row>
    <row r="132" spans="1:6">
      <c r="A132" s="24"/>
      <c r="B132" s="24"/>
      <c r="C132" s="36"/>
      <c r="D132" s="37" t="s">
        <v>8598</v>
      </c>
      <c r="E132" s="38" t="s">
        <v>8599</v>
      </c>
      <c r="F132" s="39"/>
    </row>
    <row r="133" spans="1:6">
      <c r="A133" s="24" t="s">
        <v>3123</v>
      </c>
      <c r="B133" s="24" t="s">
        <v>3152</v>
      </c>
      <c r="C133" s="36" t="s">
        <v>3153</v>
      </c>
      <c r="D133" s="37" t="s">
        <v>4315</v>
      </c>
      <c r="E133" s="38" t="s">
        <v>8600</v>
      </c>
      <c r="F133" s="39"/>
    </row>
    <row r="134" spans="1:6">
      <c r="A134" s="24"/>
      <c r="B134" s="24"/>
      <c r="C134" s="36"/>
      <c r="D134" s="46" t="s">
        <v>4317</v>
      </c>
      <c r="E134" s="47" t="s">
        <v>8601</v>
      </c>
      <c r="F134" s="48"/>
    </row>
    <row r="135" spans="1:6">
      <c r="A135" s="24"/>
      <c r="B135" s="24"/>
      <c r="C135" s="36"/>
      <c r="D135" s="46" t="s">
        <v>4319</v>
      </c>
      <c r="E135" s="49"/>
      <c r="F135" s="48"/>
    </row>
    <row r="136" spans="1:6">
      <c r="A136" s="24"/>
      <c r="B136" s="24"/>
      <c r="C136" s="36"/>
      <c r="D136" s="37" t="s">
        <v>4321</v>
      </c>
      <c r="E136" s="38" t="s">
        <v>8602</v>
      </c>
      <c r="F136" s="39"/>
    </row>
    <row r="137" spans="1:6">
      <c r="A137" s="24"/>
      <c r="B137" s="24"/>
      <c r="C137" s="36"/>
      <c r="D137" s="37" t="s">
        <v>3501</v>
      </c>
      <c r="E137" s="38" t="s">
        <v>8603</v>
      </c>
      <c r="F137" s="39"/>
    </row>
    <row r="138" spans="1:6">
      <c r="A138" s="24" t="s">
        <v>3123</v>
      </c>
      <c r="B138" s="24" t="s">
        <v>3154</v>
      </c>
      <c r="C138" s="36" t="s">
        <v>3155</v>
      </c>
      <c r="D138" s="37" t="s">
        <v>4239</v>
      </c>
      <c r="E138" s="38" t="s">
        <v>8604</v>
      </c>
      <c r="F138" s="39"/>
    </row>
    <row r="139" spans="1:6">
      <c r="A139" s="24"/>
      <c r="B139" s="24"/>
      <c r="C139" s="36"/>
      <c r="D139" s="37" t="s">
        <v>4241</v>
      </c>
      <c r="E139" s="38" t="s">
        <v>8605</v>
      </c>
      <c r="F139" s="39"/>
    </row>
    <row r="140" spans="1:6">
      <c r="A140" s="24"/>
      <c r="B140" s="24"/>
      <c r="C140" s="36"/>
      <c r="D140" s="37" t="s">
        <v>4243</v>
      </c>
      <c r="E140" s="38" t="s">
        <v>8606</v>
      </c>
      <c r="F140" s="39"/>
    </row>
    <row r="141" spans="1:6">
      <c r="A141" s="24"/>
      <c r="B141" s="24"/>
      <c r="C141" s="36"/>
      <c r="D141" s="37" t="s">
        <v>4245</v>
      </c>
      <c r="E141" s="38" t="s">
        <v>8607</v>
      </c>
      <c r="F141" s="39"/>
    </row>
    <row r="142" spans="1:6">
      <c r="A142" s="24"/>
      <c r="B142" s="24"/>
      <c r="C142" s="36"/>
      <c r="D142" s="37" t="s">
        <v>4247</v>
      </c>
      <c r="E142" s="38" t="s">
        <v>8608</v>
      </c>
      <c r="F142" s="39"/>
    </row>
    <row r="143" spans="1:6">
      <c r="A143" s="24"/>
      <c r="B143" s="24"/>
      <c r="C143" s="36"/>
      <c r="D143" s="37" t="s">
        <v>3499</v>
      </c>
      <c r="E143" s="38"/>
      <c r="F143" s="39"/>
    </row>
    <row r="144" spans="1:6">
      <c r="A144" s="24" t="s">
        <v>3123</v>
      </c>
      <c r="B144" s="24" t="s">
        <v>3156</v>
      </c>
      <c r="C144" s="36" t="s">
        <v>3157</v>
      </c>
      <c r="D144" s="37" t="s">
        <v>4145</v>
      </c>
      <c r="E144" s="43" t="s">
        <v>8609</v>
      </c>
      <c r="F144" s="39" t="s">
        <v>8610</v>
      </c>
    </row>
    <row r="145" spans="1:6">
      <c r="A145" s="24"/>
      <c r="B145" s="24"/>
      <c r="C145" s="36"/>
      <c r="D145" s="37" t="s">
        <v>4147</v>
      </c>
      <c r="E145" s="43" t="s">
        <v>8611</v>
      </c>
      <c r="F145" s="39"/>
    </row>
    <row r="146" spans="1:6">
      <c r="A146" s="24"/>
      <c r="B146" s="24"/>
      <c r="C146" s="36"/>
      <c r="D146" s="37" t="s">
        <v>4149</v>
      </c>
      <c r="E146" s="38" t="s">
        <v>8612</v>
      </c>
      <c r="F146" s="39"/>
    </row>
    <row r="147" spans="1:6">
      <c r="A147" s="24"/>
      <c r="B147" s="24"/>
      <c r="C147" s="36"/>
      <c r="D147" s="37" t="s">
        <v>4151</v>
      </c>
      <c r="E147" s="43" t="s">
        <v>8613</v>
      </c>
      <c r="F147" s="39"/>
    </row>
    <row r="148" spans="1:6">
      <c r="A148" s="24"/>
      <c r="B148" s="24"/>
      <c r="C148" s="36"/>
      <c r="D148" s="37" t="s">
        <v>4153</v>
      </c>
      <c r="E148" s="50" t="s">
        <v>8614</v>
      </c>
      <c r="F148" s="39"/>
    </row>
    <row r="149" spans="1:6">
      <c r="A149" s="24"/>
      <c r="B149" s="24"/>
      <c r="C149" s="36"/>
      <c r="D149" s="37" t="s">
        <v>3306</v>
      </c>
      <c r="E149" s="38"/>
      <c r="F149" s="39"/>
    </row>
    <row r="150" spans="1:6">
      <c r="A150" s="24" t="s">
        <v>3123</v>
      </c>
      <c r="B150" s="24" t="s">
        <v>3158</v>
      </c>
      <c r="C150" s="36" t="s">
        <v>3159</v>
      </c>
      <c r="D150" s="37" t="s">
        <v>8615</v>
      </c>
      <c r="E150" s="38" t="s">
        <v>8616</v>
      </c>
      <c r="F150" s="39"/>
    </row>
    <row r="151" spans="1:6">
      <c r="A151" s="24"/>
      <c r="B151" s="24"/>
      <c r="C151" s="36"/>
      <c r="D151" s="37" t="s">
        <v>4128</v>
      </c>
      <c r="E151" s="38" t="s">
        <v>8617</v>
      </c>
      <c r="F151" s="39"/>
    </row>
    <row r="152" spans="1:6">
      <c r="A152" s="24"/>
      <c r="B152" s="24"/>
      <c r="C152" s="36"/>
      <c r="D152" s="37" t="s">
        <v>4130</v>
      </c>
      <c r="E152" s="38" t="s">
        <v>8618</v>
      </c>
      <c r="F152" s="39"/>
    </row>
    <row r="153" spans="1:6">
      <c r="A153" s="24"/>
      <c r="B153" s="24"/>
      <c r="C153" s="36"/>
      <c r="D153" s="37" t="s">
        <v>4132</v>
      </c>
      <c r="E153" s="38" t="s">
        <v>8619</v>
      </c>
      <c r="F153" s="39"/>
    </row>
    <row r="154" spans="1:6">
      <c r="A154" s="24"/>
      <c r="B154" s="24"/>
      <c r="C154" s="36"/>
      <c r="D154" s="37" t="s">
        <v>3363</v>
      </c>
      <c r="E154" s="38" t="s">
        <v>8620</v>
      </c>
      <c r="F154" s="39"/>
    </row>
    <row r="155" spans="1:6">
      <c r="A155" s="24"/>
      <c r="B155" s="24"/>
      <c r="C155" s="36"/>
      <c r="D155" s="37" t="s">
        <v>3334</v>
      </c>
      <c r="E155" s="38"/>
      <c r="F155" s="39"/>
    </row>
    <row r="156" spans="1:6">
      <c r="A156" s="24" t="s">
        <v>3123</v>
      </c>
      <c r="B156" s="24" t="s">
        <v>3160</v>
      </c>
      <c r="C156" s="36" t="s">
        <v>3161</v>
      </c>
      <c r="D156" s="37" t="s">
        <v>4165</v>
      </c>
      <c r="E156" s="51" t="s">
        <v>8621</v>
      </c>
      <c r="F156" s="39"/>
    </row>
    <row r="157" spans="1:6">
      <c r="A157" s="24"/>
      <c r="B157" s="24"/>
      <c r="C157" s="36"/>
      <c r="D157" s="37" t="s">
        <v>4167</v>
      </c>
      <c r="E157" s="38" t="s">
        <v>8622</v>
      </c>
      <c r="F157" s="39"/>
    </row>
    <row r="158" spans="1:6">
      <c r="A158" s="24"/>
      <c r="B158" s="24"/>
      <c r="C158" s="36"/>
      <c r="D158" s="37" t="s">
        <v>4169</v>
      </c>
      <c r="E158" s="38" t="s">
        <v>8623</v>
      </c>
      <c r="F158" s="39"/>
    </row>
    <row r="159" spans="1:6">
      <c r="A159" s="24"/>
      <c r="B159" s="24"/>
      <c r="C159" s="36"/>
      <c r="D159" s="37" t="s">
        <v>4171</v>
      </c>
      <c r="E159" s="38" t="s">
        <v>8624</v>
      </c>
      <c r="F159" s="39"/>
    </row>
    <row r="160" spans="1:6">
      <c r="A160" s="24"/>
      <c r="B160" s="24"/>
      <c r="C160" s="36"/>
      <c r="D160" s="37" t="s">
        <v>4173</v>
      </c>
      <c r="E160" s="38" t="s">
        <v>8625</v>
      </c>
      <c r="F160" s="39"/>
    </row>
    <row r="161" spans="1:6">
      <c r="A161" s="24"/>
      <c r="B161" s="24"/>
      <c r="C161" s="36"/>
      <c r="D161" s="37" t="s">
        <v>3310</v>
      </c>
      <c r="E161" s="38"/>
      <c r="F161" s="39"/>
    </row>
    <row r="162" spans="1:6">
      <c r="A162" s="24" t="s">
        <v>3192</v>
      </c>
      <c r="B162" s="24" t="s">
        <v>3205</v>
      </c>
      <c r="C162" s="36" t="s">
        <v>3206</v>
      </c>
      <c r="D162" s="37" t="s">
        <v>4820</v>
      </c>
      <c r="E162" s="51" t="s">
        <v>8626</v>
      </c>
      <c r="F162" s="39"/>
    </row>
    <row r="163" spans="1:6">
      <c r="A163" s="24"/>
      <c r="B163" s="24"/>
      <c r="C163" s="36"/>
      <c r="D163" s="37" t="s">
        <v>4818</v>
      </c>
      <c r="E163" s="38" t="s">
        <v>8512</v>
      </c>
      <c r="F163" s="39"/>
    </row>
    <row r="164" spans="1:6">
      <c r="A164" s="24"/>
      <c r="B164" s="24"/>
      <c r="C164" s="36"/>
      <c r="D164" s="37" t="s">
        <v>4822</v>
      </c>
      <c r="E164" s="38" t="s">
        <v>8627</v>
      </c>
      <c r="F164" s="39"/>
    </row>
    <row r="165" spans="1:6">
      <c r="A165" s="24"/>
      <c r="B165" s="24"/>
      <c r="C165" s="36"/>
      <c r="D165" s="37" t="s">
        <v>4824</v>
      </c>
      <c r="E165" s="38" t="s">
        <v>8628</v>
      </c>
      <c r="F165" s="39"/>
    </row>
    <row r="166" spans="1:6">
      <c r="A166" s="24"/>
      <c r="B166" s="24"/>
      <c r="C166" s="36"/>
      <c r="D166" s="37" t="s">
        <v>3310</v>
      </c>
      <c r="E166" s="38" t="s">
        <v>8629</v>
      </c>
      <c r="F166" s="39"/>
    </row>
    <row r="167" spans="1:6">
      <c r="A167" s="24"/>
      <c r="B167" s="24"/>
      <c r="C167" s="36"/>
      <c r="D167" s="37" t="s">
        <v>8630</v>
      </c>
      <c r="E167" s="38"/>
      <c r="F167" s="39"/>
    </row>
    <row r="168" spans="1:6">
      <c r="A168" s="24" t="s">
        <v>3123</v>
      </c>
      <c r="B168" s="24" t="s">
        <v>3162</v>
      </c>
      <c r="C168" s="36" t="s">
        <v>3163</v>
      </c>
      <c r="D168" s="37" t="s">
        <v>4195</v>
      </c>
      <c r="E168" s="38" t="s">
        <v>8631</v>
      </c>
      <c r="F168" s="39"/>
    </row>
    <row r="169" spans="1:6">
      <c r="A169" s="24"/>
      <c r="B169" s="24"/>
      <c r="C169" s="36"/>
      <c r="D169" s="37" t="s">
        <v>4193</v>
      </c>
      <c r="E169" s="38" t="s">
        <v>8632</v>
      </c>
      <c r="F169" s="39"/>
    </row>
    <row r="170" spans="1:6">
      <c r="A170" s="24"/>
      <c r="B170" s="24"/>
      <c r="C170" s="36"/>
      <c r="D170" s="37" t="s">
        <v>4197</v>
      </c>
      <c r="E170" s="38" t="s">
        <v>8633</v>
      </c>
      <c r="F170" s="39"/>
    </row>
    <row r="171" spans="1:6">
      <c r="A171" s="24"/>
      <c r="B171" s="24"/>
      <c r="C171" s="36"/>
      <c r="D171" s="37" t="s">
        <v>4199</v>
      </c>
      <c r="E171" s="38" t="s">
        <v>8634</v>
      </c>
      <c r="F171" s="39"/>
    </row>
    <row r="172" spans="1:6">
      <c r="A172" s="24"/>
      <c r="B172" s="24"/>
      <c r="C172" s="36"/>
      <c r="D172" s="37" t="s">
        <v>3371</v>
      </c>
      <c r="E172" s="38" t="s">
        <v>8635</v>
      </c>
      <c r="F172" s="39"/>
    </row>
    <row r="173" spans="1:6">
      <c r="A173" s="24"/>
      <c r="B173" s="24"/>
      <c r="C173" s="36"/>
      <c r="D173" s="37" t="s">
        <v>8636</v>
      </c>
      <c r="E173" s="38"/>
      <c r="F173" s="39"/>
    </row>
    <row r="174" spans="1:6">
      <c r="A174" s="24" t="s">
        <v>3123</v>
      </c>
      <c r="B174" s="24" t="s">
        <v>3164</v>
      </c>
      <c r="C174" s="36" t="s">
        <v>3165</v>
      </c>
      <c r="D174" s="37" t="s">
        <v>4249</v>
      </c>
      <c r="E174" s="38" t="s">
        <v>8600</v>
      </c>
      <c r="F174" s="39"/>
    </row>
    <row r="175" spans="1:6">
      <c r="A175" s="24"/>
      <c r="B175" s="24"/>
      <c r="C175" s="36"/>
      <c r="D175" s="37" t="s">
        <v>4251</v>
      </c>
      <c r="E175" s="38" t="s">
        <v>8637</v>
      </c>
      <c r="F175" s="39"/>
    </row>
    <row r="176" spans="1:6">
      <c r="A176" s="24"/>
      <c r="B176" s="24"/>
      <c r="C176" s="36"/>
      <c r="D176" s="37" t="s">
        <v>4253</v>
      </c>
      <c r="E176" s="38" t="s">
        <v>8638</v>
      </c>
      <c r="F176" s="39"/>
    </row>
    <row r="177" spans="1:6">
      <c r="A177" s="24"/>
      <c r="B177" s="24"/>
      <c r="C177" s="36"/>
      <c r="D177" s="37" t="s">
        <v>4255</v>
      </c>
      <c r="E177" s="38" t="s">
        <v>8639</v>
      </c>
      <c r="F177" s="39"/>
    </row>
    <row r="178" spans="1:6">
      <c r="A178" s="24"/>
      <c r="B178" s="24"/>
      <c r="C178" s="36"/>
      <c r="D178" s="37" t="s">
        <v>4257</v>
      </c>
      <c r="E178" s="38" t="s">
        <v>8640</v>
      </c>
      <c r="F178" s="39"/>
    </row>
    <row r="179" spans="1:6">
      <c r="A179" s="24"/>
      <c r="B179" s="24"/>
      <c r="C179" s="36"/>
      <c r="D179" s="37" t="s">
        <v>3353</v>
      </c>
      <c r="E179" s="38"/>
      <c r="F179" s="39"/>
    </row>
    <row r="180" spans="1:6">
      <c r="A180" s="24" t="s">
        <v>3123</v>
      </c>
      <c r="B180" s="24" t="s">
        <v>3166</v>
      </c>
      <c r="C180" s="36" t="s">
        <v>3167</v>
      </c>
      <c r="D180" s="37" t="s">
        <v>4269</v>
      </c>
      <c r="E180" s="38" t="s">
        <v>8511</v>
      </c>
      <c r="F180" s="39"/>
    </row>
    <row r="181" spans="1:6">
      <c r="A181" s="24"/>
      <c r="B181" s="24"/>
      <c r="C181" s="36"/>
      <c r="D181" s="37" t="s">
        <v>4271</v>
      </c>
      <c r="E181" s="38" t="s">
        <v>8641</v>
      </c>
      <c r="F181" s="39"/>
    </row>
    <row r="182" spans="1:6">
      <c r="A182" s="24"/>
      <c r="B182" s="24"/>
      <c r="C182" s="36"/>
      <c r="D182" s="37" t="s">
        <v>4273</v>
      </c>
      <c r="E182" s="38" t="s">
        <v>8642</v>
      </c>
      <c r="F182" s="39"/>
    </row>
    <row r="183" spans="1:6">
      <c r="A183" s="24"/>
      <c r="B183" s="24"/>
      <c r="C183" s="36"/>
      <c r="D183" s="37" t="s">
        <v>4275</v>
      </c>
      <c r="E183" s="38" t="s">
        <v>8643</v>
      </c>
      <c r="F183" s="39"/>
    </row>
    <row r="184" spans="1:6">
      <c r="A184" s="24"/>
      <c r="B184" s="24"/>
      <c r="C184" s="36"/>
      <c r="D184" s="37" t="s">
        <v>4277</v>
      </c>
      <c r="E184" s="38"/>
      <c r="F184" s="39"/>
    </row>
    <row r="185" spans="1:6">
      <c r="A185" s="24" t="s">
        <v>3123</v>
      </c>
      <c r="B185" s="24" t="s">
        <v>3168</v>
      </c>
      <c r="C185" s="36" t="s">
        <v>3169</v>
      </c>
      <c r="D185" s="37" t="s">
        <v>4135</v>
      </c>
      <c r="E185" s="38" t="s">
        <v>8644</v>
      </c>
      <c r="F185" s="39"/>
    </row>
    <row r="186" spans="1:6">
      <c r="A186" s="24"/>
      <c r="B186" s="24"/>
      <c r="C186" s="36"/>
      <c r="D186" s="37" t="s">
        <v>4137</v>
      </c>
      <c r="E186" s="38" t="s">
        <v>8645</v>
      </c>
      <c r="F186" s="39"/>
    </row>
    <row r="187" spans="1:6">
      <c r="A187" s="24"/>
      <c r="B187" s="24"/>
      <c r="C187" s="36"/>
      <c r="D187" s="37" t="s">
        <v>4139</v>
      </c>
      <c r="E187" s="38" t="s">
        <v>8646</v>
      </c>
      <c r="F187" s="39"/>
    </row>
    <row r="188" spans="1:6">
      <c r="A188" s="24"/>
      <c r="B188" s="24"/>
      <c r="C188" s="36"/>
      <c r="D188" s="37" t="s">
        <v>4141</v>
      </c>
      <c r="E188" s="38" t="s">
        <v>8647</v>
      </c>
      <c r="F188" s="39"/>
    </row>
    <row r="189" spans="1:6">
      <c r="A189" s="24"/>
      <c r="B189" s="24"/>
      <c r="C189" s="36"/>
      <c r="D189" s="37" t="s">
        <v>4143</v>
      </c>
      <c r="E189" s="38" t="s">
        <v>8648</v>
      </c>
      <c r="F189" s="39"/>
    </row>
    <row r="190" spans="1:6">
      <c r="A190" s="24"/>
      <c r="B190" s="24"/>
      <c r="C190" s="36"/>
      <c r="D190" s="37" t="s">
        <v>3304</v>
      </c>
      <c r="E190" s="38" t="s">
        <v>8649</v>
      </c>
      <c r="F190" s="39"/>
    </row>
    <row r="191" spans="1:6">
      <c r="A191" s="24"/>
      <c r="B191" s="24"/>
      <c r="C191" s="36"/>
      <c r="D191" s="37" t="s">
        <v>3626</v>
      </c>
      <c r="E191" s="38"/>
      <c r="F191" s="39"/>
    </row>
    <row r="192" spans="1:6">
      <c r="A192" s="24" t="s">
        <v>3123</v>
      </c>
      <c r="B192" s="24" t="s">
        <v>3170</v>
      </c>
      <c r="C192" s="36" t="s">
        <v>3171</v>
      </c>
      <c r="D192" s="37" t="s">
        <v>4305</v>
      </c>
      <c r="E192" s="38" t="s">
        <v>8650</v>
      </c>
      <c r="F192" s="39" t="s">
        <v>8651</v>
      </c>
    </row>
    <row r="193" spans="1:6">
      <c r="A193" s="24"/>
      <c r="B193" s="24"/>
      <c r="C193" s="36"/>
      <c r="D193" s="37" t="s">
        <v>4307</v>
      </c>
      <c r="E193" s="38" t="s">
        <v>8652</v>
      </c>
      <c r="F193" s="39"/>
    </row>
    <row r="194" spans="1:6">
      <c r="A194" s="24"/>
      <c r="B194" s="24"/>
      <c r="C194" s="36"/>
      <c r="D194" s="37" t="s">
        <v>8653</v>
      </c>
      <c r="E194" s="38" t="s">
        <v>8654</v>
      </c>
      <c r="F194" s="39"/>
    </row>
    <row r="195" spans="1:6">
      <c r="A195" s="24"/>
      <c r="B195" s="24"/>
      <c r="C195" s="36"/>
      <c r="D195" s="37" t="s">
        <v>4311</v>
      </c>
      <c r="E195" s="38" t="s">
        <v>8655</v>
      </c>
      <c r="F195" s="39"/>
    </row>
    <row r="196" spans="1:6">
      <c r="A196" s="24"/>
      <c r="B196" s="24"/>
      <c r="C196" s="36"/>
      <c r="D196" s="37" t="s">
        <v>8656</v>
      </c>
      <c r="E196" s="38" t="s">
        <v>8657</v>
      </c>
      <c r="F196" s="39"/>
    </row>
    <row r="197" spans="1:6">
      <c r="A197" s="24"/>
      <c r="B197" s="24"/>
      <c r="C197" s="36"/>
      <c r="D197" s="37" t="s">
        <v>3628</v>
      </c>
      <c r="E197" s="38"/>
      <c r="F197" s="39"/>
    </row>
    <row r="198" spans="1:6">
      <c r="A198" s="24" t="s">
        <v>3123</v>
      </c>
      <c r="B198" s="24" t="s">
        <v>3172</v>
      </c>
      <c r="C198" s="36" t="s">
        <v>3173</v>
      </c>
      <c r="D198" s="37" t="s">
        <v>4175</v>
      </c>
      <c r="E198" s="38" t="s">
        <v>8658</v>
      </c>
      <c r="F198" s="39"/>
    </row>
    <row r="199" spans="1:6">
      <c r="A199" s="24"/>
      <c r="B199" s="24"/>
      <c r="C199" s="36"/>
      <c r="D199" s="37" t="s">
        <v>4177</v>
      </c>
      <c r="E199" s="38" t="s">
        <v>8659</v>
      </c>
      <c r="F199" s="39"/>
    </row>
    <row r="200" spans="1:6">
      <c r="A200" s="24"/>
      <c r="B200" s="24"/>
      <c r="C200" s="36"/>
      <c r="D200" s="37" t="s">
        <v>4179</v>
      </c>
      <c r="E200" s="38" t="s">
        <v>8660</v>
      </c>
      <c r="F200" s="39"/>
    </row>
    <row r="201" spans="1:6">
      <c r="A201" s="24"/>
      <c r="B201" s="24"/>
      <c r="C201" s="36"/>
      <c r="D201" s="37" t="s">
        <v>4181</v>
      </c>
      <c r="E201" s="38" t="s">
        <v>8661</v>
      </c>
      <c r="F201" s="39"/>
    </row>
    <row r="202" spans="1:6">
      <c r="A202" s="24"/>
      <c r="B202" s="24"/>
      <c r="C202" s="36"/>
      <c r="D202" s="37" t="s">
        <v>4183</v>
      </c>
      <c r="E202" s="38" t="s">
        <v>8662</v>
      </c>
      <c r="F202" s="39"/>
    </row>
    <row r="203" spans="1:6">
      <c r="A203" s="24"/>
      <c r="B203" s="24"/>
      <c r="C203" s="36"/>
      <c r="D203" s="37" t="s">
        <v>3316</v>
      </c>
      <c r="E203" s="38" t="s">
        <v>8663</v>
      </c>
      <c r="F203" s="39"/>
    </row>
    <row r="204" spans="1:6">
      <c r="A204" s="24"/>
      <c r="B204" s="24"/>
      <c r="C204" s="36"/>
      <c r="D204" s="37" t="s">
        <v>4078</v>
      </c>
      <c r="E204" s="38"/>
      <c r="F204" s="39"/>
    </row>
    <row r="205" spans="1:6">
      <c r="A205" s="24" t="s">
        <v>3192</v>
      </c>
      <c r="B205" s="24" t="s">
        <v>3207</v>
      </c>
      <c r="C205" s="36" t="s">
        <v>3208</v>
      </c>
      <c r="D205" s="37" t="s">
        <v>4856</v>
      </c>
      <c r="E205" s="38" t="s">
        <v>8664</v>
      </c>
      <c r="F205" s="39"/>
    </row>
    <row r="206" spans="1:6">
      <c r="A206" s="24"/>
      <c r="B206" s="24"/>
      <c r="C206" s="36"/>
      <c r="D206" s="37" t="s">
        <v>4858</v>
      </c>
      <c r="E206" s="38" t="s">
        <v>8665</v>
      </c>
      <c r="F206" s="39"/>
    </row>
    <row r="207" spans="1:6">
      <c r="A207" s="24"/>
      <c r="B207" s="24"/>
      <c r="C207" s="36"/>
      <c r="D207" s="37" t="s">
        <v>4860</v>
      </c>
      <c r="E207" s="38" t="s">
        <v>8666</v>
      </c>
      <c r="F207" s="39"/>
    </row>
    <row r="208" spans="1:6">
      <c r="A208" s="24"/>
      <c r="B208" s="24"/>
      <c r="C208" s="36"/>
      <c r="D208" s="37" t="s">
        <v>4862</v>
      </c>
      <c r="E208" s="51" t="s">
        <v>8667</v>
      </c>
      <c r="F208" s="39"/>
    </row>
    <row r="209" spans="1:6">
      <c r="A209" s="24"/>
      <c r="B209" s="24"/>
      <c r="C209" s="36"/>
      <c r="D209" s="37" t="s">
        <v>4864</v>
      </c>
      <c r="E209" s="38" t="s">
        <v>8668</v>
      </c>
      <c r="F209" s="39"/>
    </row>
    <row r="210" spans="1:6">
      <c r="A210" s="24"/>
      <c r="B210" s="24"/>
      <c r="C210" s="36"/>
      <c r="D210" s="37" t="s">
        <v>3975</v>
      </c>
      <c r="E210" s="38"/>
      <c r="F210" s="39"/>
    </row>
    <row r="211" spans="1:6">
      <c r="A211" s="24" t="s">
        <v>3192</v>
      </c>
      <c r="B211" s="24" t="s">
        <v>3209</v>
      </c>
      <c r="C211" s="36" t="s">
        <v>3210</v>
      </c>
      <c r="D211" s="37" t="s">
        <v>4692</v>
      </c>
      <c r="E211" s="38" t="s">
        <v>8669</v>
      </c>
      <c r="F211" s="39" t="s">
        <v>8670</v>
      </c>
    </row>
    <row r="212" spans="1:6">
      <c r="A212" s="24"/>
      <c r="B212" s="24"/>
      <c r="C212" s="36"/>
      <c r="D212" s="37" t="s">
        <v>4694</v>
      </c>
      <c r="E212" s="38" t="s">
        <v>8671</v>
      </c>
      <c r="F212" s="39"/>
    </row>
    <row r="213" spans="1:6">
      <c r="A213" s="24"/>
      <c r="B213" s="24"/>
      <c r="C213" s="36"/>
      <c r="D213" s="37" t="s">
        <v>4696</v>
      </c>
      <c r="E213" s="38" t="s">
        <v>8672</v>
      </c>
      <c r="F213" s="39"/>
    </row>
    <row r="214" spans="1:6">
      <c r="A214" s="24"/>
      <c r="B214" s="24"/>
      <c r="C214" s="36"/>
      <c r="D214" s="37" t="s">
        <v>4698</v>
      </c>
      <c r="E214" s="38" t="s">
        <v>8673</v>
      </c>
      <c r="F214" s="39"/>
    </row>
    <row r="215" spans="1:6">
      <c r="A215" s="24"/>
      <c r="B215" s="24"/>
      <c r="C215" s="36"/>
      <c r="D215" s="37" t="s">
        <v>4700</v>
      </c>
      <c r="E215" s="38" t="s">
        <v>8674</v>
      </c>
      <c r="F215" s="39"/>
    </row>
    <row r="216" spans="1:6">
      <c r="A216" s="24"/>
      <c r="B216" s="24"/>
      <c r="C216" s="36"/>
      <c r="D216" s="37" t="s">
        <v>8675</v>
      </c>
      <c r="E216" s="38" t="s">
        <v>8676</v>
      </c>
      <c r="F216" s="39"/>
    </row>
    <row r="217" spans="1:6">
      <c r="A217" s="24"/>
      <c r="B217" s="24"/>
      <c r="C217" s="36"/>
      <c r="D217" s="37" t="s">
        <v>3749</v>
      </c>
      <c r="E217" s="38"/>
      <c r="F217" s="39"/>
    </row>
    <row r="218" spans="1:6">
      <c r="A218" s="24" t="s">
        <v>3123</v>
      </c>
      <c r="B218" s="24" t="s">
        <v>3174</v>
      </c>
      <c r="C218" s="36" t="s">
        <v>3175</v>
      </c>
      <c r="D218" s="37" t="s">
        <v>4155</v>
      </c>
      <c r="E218" s="38" t="s">
        <v>8677</v>
      </c>
      <c r="F218" s="39"/>
    </row>
    <row r="219" spans="1:6">
      <c r="A219" s="24"/>
      <c r="B219" s="24"/>
      <c r="C219" s="36"/>
      <c r="D219" s="37" t="s">
        <v>4157</v>
      </c>
      <c r="E219" s="38" t="s">
        <v>8678</v>
      </c>
      <c r="F219" s="39"/>
    </row>
    <row r="220" spans="1:6">
      <c r="A220" s="24"/>
      <c r="B220" s="24"/>
      <c r="C220" s="36"/>
      <c r="D220" s="37" t="s">
        <v>4159</v>
      </c>
      <c r="E220" s="38" t="s">
        <v>8679</v>
      </c>
      <c r="F220" s="39"/>
    </row>
    <row r="221" spans="1:6">
      <c r="A221" s="24"/>
      <c r="B221" s="24"/>
      <c r="C221" s="36"/>
      <c r="D221" s="37" t="s">
        <v>4161</v>
      </c>
      <c r="E221" s="38" t="s">
        <v>8680</v>
      </c>
      <c r="F221" s="39"/>
    </row>
    <row r="222" spans="1:6">
      <c r="A222" s="24"/>
      <c r="B222" s="24"/>
      <c r="C222" s="36"/>
      <c r="D222" s="37" t="s">
        <v>4163</v>
      </c>
      <c r="E222" s="38" t="s">
        <v>8681</v>
      </c>
      <c r="F222" s="39"/>
    </row>
    <row r="223" spans="1:6">
      <c r="A223" s="24"/>
      <c r="B223" s="24"/>
      <c r="C223" s="36"/>
      <c r="D223" s="37" t="s">
        <v>3324</v>
      </c>
      <c r="E223" s="38"/>
      <c r="F223" s="39"/>
    </row>
    <row r="224" spans="1:6">
      <c r="A224" s="24" t="s">
        <v>3192</v>
      </c>
      <c r="B224" s="24" t="s">
        <v>3211</v>
      </c>
      <c r="C224" s="36" t="s">
        <v>3212</v>
      </c>
      <c r="D224" s="37" t="s">
        <v>4876</v>
      </c>
      <c r="E224" s="38" t="s">
        <v>8682</v>
      </c>
      <c r="F224" s="39"/>
    </row>
    <row r="225" spans="1:6">
      <c r="A225" s="24"/>
      <c r="B225" s="24"/>
      <c r="C225" s="36"/>
      <c r="D225" s="37" t="s">
        <v>4878</v>
      </c>
      <c r="E225" s="38" t="s">
        <v>8683</v>
      </c>
      <c r="F225" s="39"/>
    </row>
    <row r="226" spans="1:6">
      <c r="A226" s="24"/>
      <c r="B226" s="24"/>
      <c r="C226" s="36"/>
      <c r="D226" s="37" t="s">
        <v>4880</v>
      </c>
      <c r="E226" s="38" t="s">
        <v>8684</v>
      </c>
      <c r="F226" s="39"/>
    </row>
    <row r="227" spans="1:6">
      <c r="A227" s="24"/>
      <c r="B227" s="24"/>
      <c r="C227" s="36"/>
      <c r="D227" s="37" t="s">
        <v>4882</v>
      </c>
      <c r="E227" s="38" t="s">
        <v>8685</v>
      </c>
      <c r="F227" s="39"/>
    </row>
    <row r="228" spans="1:6">
      <c r="A228" s="24"/>
      <c r="B228" s="24"/>
      <c r="C228" s="36"/>
      <c r="D228" s="37" t="s">
        <v>8686</v>
      </c>
      <c r="E228" s="51" t="s">
        <v>8687</v>
      </c>
      <c r="F228" s="39"/>
    </row>
    <row r="229" spans="1:6">
      <c r="A229" s="24"/>
      <c r="B229" s="24"/>
      <c r="C229" s="36"/>
      <c r="D229" s="37" t="s">
        <v>3971</v>
      </c>
      <c r="E229" s="38"/>
      <c r="F229" s="39"/>
    </row>
    <row r="230" spans="1:6">
      <c r="A230" s="24" t="s">
        <v>3192</v>
      </c>
      <c r="B230" s="24" t="s">
        <v>3213</v>
      </c>
      <c r="C230" s="36" t="s">
        <v>3214</v>
      </c>
      <c r="D230" s="37" t="s">
        <v>4836</v>
      </c>
      <c r="E230" s="38" t="s">
        <v>8688</v>
      </c>
      <c r="F230" s="39"/>
    </row>
    <row r="231" spans="1:6">
      <c r="A231" s="24"/>
      <c r="B231" s="24"/>
      <c r="C231" s="36"/>
      <c r="D231" s="37" t="s">
        <v>4838</v>
      </c>
      <c r="E231" s="38" t="s">
        <v>8689</v>
      </c>
      <c r="F231" s="39"/>
    </row>
    <row r="232" spans="1:6">
      <c r="A232" s="24"/>
      <c r="B232" s="24"/>
      <c r="C232" s="36"/>
      <c r="D232" s="37" t="s">
        <v>4840</v>
      </c>
      <c r="E232" s="38" t="s">
        <v>8690</v>
      </c>
      <c r="F232" s="39"/>
    </row>
    <row r="233" spans="1:6">
      <c r="A233" s="24"/>
      <c r="B233" s="24"/>
      <c r="C233" s="36"/>
      <c r="D233" s="37" t="s">
        <v>4842</v>
      </c>
      <c r="E233" s="38" t="s">
        <v>8691</v>
      </c>
      <c r="F233" s="39"/>
    </row>
    <row r="234" spans="1:6">
      <c r="A234" s="24"/>
      <c r="B234" s="24"/>
      <c r="C234" s="36"/>
      <c r="D234" s="37" t="s">
        <v>4844</v>
      </c>
      <c r="E234" s="38"/>
      <c r="F234" s="39"/>
    </row>
    <row r="235" spans="1:6">
      <c r="A235" s="24" t="s">
        <v>3192</v>
      </c>
      <c r="B235" s="24" t="s">
        <v>3215</v>
      </c>
      <c r="C235" s="36" t="s">
        <v>3216</v>
      </c>
      <c r="D235" s="37" t="s">
        <v>4846</v>
      </c>
      <c r="E235" s="38" t="s">
        <v>8692</v>
      </c>
      <c r="F235" s="39"/>
    </row>
    <row r="236" spans="1:6">
      <c r="A236" s="24"/>
      <c r="B236" s="24"/>
      <c r="C236" s="36"/>
      <c r="D236" s="37" t="s">
        <v>4848</v>
      </c>
      <c r="E236" s="38" t="s">
        <v>8693</v>
      </c>
      <c r="F236" s="39"/>
    </row>
    <row r="237" spans="1:6">
      <c r="A237" s="24"/>
      <c r="B237" s="24"/>
      <c r="C237" s="36"/>
      <c r="D237" s="37" t="s">
        <v>4850</v>
      </c>
      <c r="E237" s="38" t="s">
        <v>8694</v>
      </c>
      <c r="F237" s="39"/>
    </row>
    <row r="238" spans="1:6">
      <c r="A238" s="24"/>
      <c r="B238" s="24"/>
      <c r="C238" s="36"/>
      <c r="D238" s="37" t="s">
        <v>4852</v>
      </c>
      <c r="E238" s="38" t="s">
        <v>8695</v>
      </c>
      <c r="F238" s="39"/>
    </row>
    <row r="239" spans="1:6">
      <c r="A239" s="24"/>
      <c r="B239" s="24"/>
      <c r="C239" s="36"/>
      <c r="D239" s="37" t="s">
        <v>4854</v>
      </c>
      <c r="E239" s="38" t="s">
        <v>8696</v>
      </c>
      <c r="F239" s="39"/>
    </row>
    <row r="240" spans="1:6">
      <c r="A240" s="24"/>
      <c r="B240" s="24"/>
      <c r="C240" s="36"/>
      <c r="D240" s="37" t="s">
        <v>3924</v>
      </c>
      <c r="E240" s="38"/>
      <c r="F240" s="39"/>
    </row>
    <row r="241" spans="1:6">
      <c r="A241" s="24" t="s">
        <v>3192</v>
      </c>
      <c r="B241" s="24" t="s">
        <v>3217</v>
      </c>
      <c r="C241" s="36" t="s">
        <v>3218</v>
      </c>
      <c r="D241" s="37" t="s">
        <v>4738</v>
      </c>
      <c r="E241" s="38" t="s">
        <v>8697</v>
      </c>
      <c r="F241" s="39"/>
    </row>
    <row r="242" spans="1:6">
      <c r="A242" s="24"/>
      <c r="B242" s="24"/>
      <c r="C242" s="36"/>
      <c r="D242" s="37" t="s">
        <v>4740</v>
      </c>
      <c r="E242" s="38" t="s">
        <v>8698</v>
      </c>
      <c r="F242" s="39"/>
    </row>
    <row r="243" spans="1:6">
      <c r="A243" s="24"/>
      <c r="B243" s="24"/>
      <c r="C243" s="36"/>
      <c r="D243" s="37" t="s">
        <v>8699</v>
      </c>
      <c r="E243" s="38" t="s">
        <v>8700</v>
      </c>
      <c r="F243" s="39"/>
    </row>
    <row r="244" spans="1:6">
      <c r="A244" s="24"/>
      <c r="B244" s="24"/>
      <c r="C244" s="36"/>
      <c r="D244" s="37" t="s">
        <v>4744</v>
      </c>
      <c r="E244" s="38" t="s">
        <v>8701</v>
      </c>
      <c r="F244" s="39"/>
    </row>
    <row r="245" spans="1:6">
      <c r="A245" s="24"/>
      <c r="B245" s="24"/>
      <c r="C245" s="36"/>
      <c r="D245" s="37" t="s">
        <v>8702</v>
      </c>
      <c r="E245" s="38" t="s">
        <v>8703</v>
      </c>
      <c r="F245" s="39"/>
    </row>
    <row r="246" spans="1:6">
      <c r="A246" s="24"/>
      <c r="B246" s="24"/>
      <c r="C246" s="36"/>
      <c r="D246" s="37" t="s">
        <v>4020</v>
      </c>
      <c r="E246" s="38"/>
      <c r="F246" s="39"/>
    </row>
    <row r="247" spans="1:6">
      <c r="A247" s="24" t="s">
        <v>3192</v>
      </c>
      <c r="B247" s="24" t="s">
        <v>3219</v>
      </c>
      <c r="C247" s="36" t="s">
        <v>3220</v>
      </c>
      <c r="D247" s="37" t="s">
        <v>4748</v>
      </c>
      <c r="E247" s="38" t="s">
        <v>8704</v>
      </c>
      <c r="F247" s="39"/>
    </row>
    <row r="248" spans="1:6">
      <c r="A248" s="24"/>
      <c r="B248" s="24"/>
      <c r="C248" s="36"/>
      <c r="D248" s="37" t="s">
        <v>4750</v>
      </c>
      <c r="E248" s="38" t="s">
        <v>8705</v>
      </c>
      <c r="F248" s="39"/>
    </row>
    <row r="249" spans="1:6">
      <c r="A249" s="24"/>
      <c r="B249" s="24"/>
      <c r="C249" s="36"/>
      <c r="D249" s="37" t="s">
        <v>4752</v>
      </c>
      <c r="E249" s="38" t="s">
        <v>8706</v>
      </c>
      <c r="F249" s="39"/>
    </row>
    <row r="250" spans="1:6">
      <c r="A250" s="24"/>
      <c r="B250" s="24"/>
      <c r="C250" s="36"/>
      <c r="D250" s="37" t="s">
        <v>4754</v>
      </c>
      <c r="E250" s="38" t="s">
        <v>8707</v>
      </c>
      <c r="F250" s="39"/>
    </row>
    <row r="251" spans="1:6">
      <c r="A251" s="24"/>
      <c r="B251" s="24"/>
      <c r="C251" s="36"/>
      <c r="D251" s="37" t="s">
        <v>4756</v>
      </c>
      <c r="E251" s="38" t="s">
        <v>8708</v>
      </c>
      <c r="F251" s="39"/>
    </row>
    <row r="252" spans="1:6">
      <c r="A252" s="24"/>
      <c r="B252" s="24"/>
      <c r="C252" s="36"/>
      <c r="D252" s="37" t="s">
        <v>3881</v>
      </c>
      <c r="E252" s="38"/>
      <c r="F252" s="39"/>
    </row>
    <row r="253" spans="1:6">
      <c r="A253" s="24" t="s">
        <v>3192</v>
      </c>
      <c r="B253" s="24" t="s">
        <v>3221</v>
      </c>
      <c r="C253" s="36" t="s">
        <v>3222</v>
      </c>
      <c r="D253" s="37" t="s">
        <v>4702</v>
      </c>
      <c r="E253" s="38" t="s">
        <v>8709</v>
      </c>
      <c r="F253" s="39"/>
    </row>
    <row r="254" spans="1:6">
      <c r="A254" s="24"/>
      <c r="B254" s="24"/>
      <c r="C254" s="36"/>
      <c r="D254" s="37" t="s">
        <v>4704</v>
      </c>
      <c r="E254" s="38" t="s">
        <v>8710</v>
      </c>
      <c r="F254" s="39"/>
    </row>
    <row r="255" spans="1:6">
      <c r="A255" s="24"/>
      <c r="B255" s="24"/>
      <c r="C255" s="36"/>
      <c r="D255" s="37" t="s">
        <v>4706</v>
      </c>
      <c r="E255" s="44" t="s">
        <v>8711</v>
      </c>
      <c r="F255" s="39"/>
    </row>
    <row r="256" spans="1:6">
      <c r="A256" s="24"/>
      <c r="B256" s="24"/>
      <c r="C256" s="36"/>
      <c r="D256" s="37" t="s">
        <v>4708</v>
      </c>
      <c r="E256" s="45"/>
      <c r="F256" s="39"/>
    </row>
    <row r="257" spans="1:6">
      <c r="A257" s="24"/>
      <c r="B257" s="24"/>
      <c r="C257" s="36"/>
      <c r="D257" s="37" t="s">
        <v>3747</v>
      </c>
      <c r="E257" s="38" t="s">
        <v>8712</v>
      </c>
      <c r="F257" s="39"/>
    </row>
    <row r="258" spans="1:6">
      <c r="A258" s="24" t="s">
        <v>3192</v>
      </c>
      <c r="B258" s="24" t="s">
        <v>3223</v>
      </c>
      <c r="C258" s="36" t="s">
        <v>3224</v>
      </c>
      <c r="D258" s="37" t="s">
        <v>4866</v>
      </c>
      <c r="E258" s="38" t="s">
        <v>8511</v>
      </c>
      <c r="F258" s="39"/>
    </row>
    <row r="259" spans="1:6">
      <c r="A259" s="24"/>
      <c r="B259" s="24"/>
      <c r="C259" s="36"/>
      <c r="D259" s="37" t="s">
        <v>4868</v>
      </c>
      <c r="E259" s="38" t="s">
        <v>8713</v>
      </c>
      <c r="F259" s="39"/>
    </row>
    <row r="260" spans="1:6">
      <c r="A260" s="24"/>
      <c r="B260" s="24"/>
      <c r="C260" s="36"/>
      <c r="D260" s="37" t="s">
        <v>4870</v>
      </c>
      <c r="E260" s="38" t="s">
        <v>8714</v>
      </c>
      <c r="F260" s="39"/>
    </row>
    <row r="261" spans="1:6">
      <c r="A261" s="24"/>
      <c r="B261" s="24"/>
      <c r="C261" s="36"/>
      <c r="D261" s="37" t="s">
        <v>4872</v>
      </c>
      <c r="E261" s="38" t="s">
        <v>8715</v>
      </c>
      <c r="F261" s="39"/>
    </row>
    <row r="262" spans="1:6">
      <c r="A262" s="24"/>
      <c r="B262" s="24"/>
      <c r="C262" s="36"/>
      <c r="D262" s="37" t="s">
        <v>4874</v>
      </c>
      <c r="E262" s="38" t="s">
        <v>8716</v>
      </c>
      <c r="F262" s="39"/>
    </row>
    <row r="263" spans="1:6">
      <c r="A263" s="24"/>
      <c r="B263" s="24"/>
      <c r="C263" s="36"/>
      <c r="D263" s="37" t="s">
        <v>3816</v>
      </c>
      <c r="E263" s="38"/>
      <c r="F263" s="39"/>
    </row>
    <row r="264" spans="1:6">
      <c r="A264" s="24" t="s">
        <v>3192</v>
      </c>
      <c r="B264" s="24" t="s">
        <v>3225</v>
      </c>
      <c r="C264" s="36" t="s">
        <v>3226</v>
      </c>
      <c r="D264" s="37" t="s">
        <v>5036</v>
      </c>
      <c r="E264" s="38" t="s">
        <v>8717</v>
      </c>
      <c r="F264" s="39"/>
    </row>
    <row r="265" spans="1:6">
      <c r="A265" s="24"/>
      <c r="B265" s="24"/>
      <c r="C265" s="36"/>
      <c r="D265" s="37" t="s">
        <v>5038</v>
      </c>
      <c r="E265" s="38" t="s">
        <v>8718</v>
      </c>
      <c r="F265" s="39"/>
    </row>
    <row r="266" spans="1:6">
      <c r="A266" s="24"/>
      <c r="B266" s="24"/>
      <c r="C266" s="36"/>
      <c r="D266" s="37" t="s">
        <v>5040</v>
      </c>
      <c r="E266" s="38" t="s">
        <v>8719</v>
      </c>
      <c r="F266" s="39"/>
    </row>
    <row r="267" spans="1:6">
      <c r="A267" s="24"/>
      <c r="B267" s="24"/>
      <c r="C267" s="36"/>
      <c r="D267" s="37" t="s">
        <v>5042</v>
      </c>
      <c r="E267" s="38" t="s">
        <v>8720</v>
      </c>
      <c r="F267" s="39"/>
    </row>
    <row r="268" spans="1:6">
      <c r="A268" s="24"/>
      <c r="B268" s="24"/>
      <c r="C268" s="36"/>
      <c r="D268" s="37" t="s">
        <v>5044</v>
      </c>
      <c r="E268" s="38" t="s">
        <v>8721</v>
      </c>
      <c r="F268" s="39"/>
    </row>
    <row r="269" spans="1:6">
      <c r="A269" s="24"/>
      <c r="B269" s="24"/>
      <c r="C269" s="36"/>
      <c r="D269" s="37" t="s">
        <v>3969</v>
      </c>
      <c r="E269" s="38" t="s">
        <v>8722</v>
      </c>
      <c r="F269" s="39"/>
    </row>
    <row r="270" spans="1:6">
      <c r="A270" s="24"/>
      <c r="B270" s="24"/>
      <c r="C270" s="36"/>
      <c r="D270" s="37" t="s">
        <v>8723</v>
      </c>
      <c r="E270" s="38"/>
      <c r="F270" s="39"/>
    </row>
    <row r="271" spans="1:6">
      <c r="A271" s="24" t="s">
        <v>3192</v>
      </c>
      <c r="B271" s="24" t="s">
        <v>3227</v>
      </c>
      <c r="C271" s="36" t="s">
        <v>3228</v>
      </c>
      <c r="D271" s="37" t="s">
        <v>4728</v>
      </c>
      <c r="E271" s="38" t="s">
        <v>8724</v>
      </c>
      <c r="F271" s="39"/>
    </row>
    <row r="272" spans="1:6">
      <c r="A272" s="24"/>
      <c r="B272" s="24"/>
      <c r="C272" s="36"/>
      <c r="D272" s="37" t="s">
        <v>4730</v>
      </c>
      <c r="E272" s="38" t="s">
        <v>8725</v>
      </c>
      <c r="F272" s="39"/>
    </row>
    <row r="273" spans="1:6">
      <c r="A273" s="24"/>
      <c r="B273" s="24"/>
      <c r="C273" s="36"/>
      <c r="D273" s="37" t="s">
        <v>4732</v>
      </c>
      <c r="E273" s="38" t="s">
        <v>8726</v>
      </c>
      <c r="F273" s="39"/>
    </row>
    <row r="274" spans="1:6">
      <c r="A274" s="24"/>
      <c r="B274" s="24"/>
      <c r="C274" s="36"/>
      <c r="D274" s="37" t="s">
        <v>4734</v>
      </c>
      <c r="E274" s="38" t="s">
        <v>8727</v>
      </c>
      <c r="F274" s="39"/>
    </row>
    <row r="275" spans="1:6">
      <c r="A275" s="24"/>
      <c r="B275" s="24"/>
      <c r="C275" s="36"/>
      <c r="D275" s="37" t="s">
        <v>4736</v>
      </c>
      <c r="E275" s="43" t="s">
        <v>8728</v>
      </c>
      <c r="F275" s="39"/>
    </row>
    <row r="276" spans="1:6">
      <c r="A276" s="24"/>
      <c r="B276" s="24"/>
      <c r="C276" s="36"/>
      <c r="D276" s="37" t="s">
        <v>3994</v>
      </c>
      <c r="E276" s="38"/>
      <c r="F276" s="39"/>
    </row>
    <row r="277" spans="1:6">
      <c r="A277" s="24" t="s">
        <v>3123</v>
      </c>
      <c r="B277" s="24" t="s">
        <v>3176</v>
      </c>
      <c r="C277" s="36" t="s">
        <v>3177</v>
      </c>
      <c r="D277" s="37" t="s">
        <v>4259</v>
      </c>
      <c r="E277" s="38" t="s">
        <v>8729</v>
      </c>
      <c r="F277" s="39"/>
    </row>
    <row r="278" spans="1:6">
      <c r="A278" s="24"/>
      <c r="B278" s="24"/>
      <c r="C278" s="36"/>
      <c r="D278" s="37" t="s">
        <v>4261</v>
      </c>
      <c r="E278" s="38" t="s">
        <v>8730</v>
      </c>
      <c r="F278" s="39"/>
    </row>
    <row r="279" spans="1:6">
      <c r="A279" s="24"/>
      <c r="B279" s="24"/>
      <c r="C279" s="36"/>
      <c r="D279" s="37" t="s">
        <v>4263</v>
      </c>
      <c r="E279" s="38" t="s">
        <v>8731</v>
      </c>
      <c r="F279" s="39"/>
    </row>
    <row r="280" spans="1:6">
      <c r="A280" s="24"/>
      <c r="B280" s="24"/>
      <c r="C280" s="36"/>
      <c r="D280" s="37" t="s">
        <v>4265</v>
      </c>
      <c r="E280" s="38" t="s">
        <v>8732</v>
      </c>
      <c r="F280" s="39"/>
    </row>
    <row r="281" spans="1:6">
      <c r="A281" s="24"/>
      <c r="B281" s="24"/>
      <c r="C281" s="36"/>
      <c r="D281" s="37" t="s">
        <v>4267</v>
      </c>
      <c r="E281" s="38"/>
      <c r="F281" s="39"/>
    </row>
    <row r="282" spans="1:6">
      <c r="A282" s="24" t="s">
        <v>3192</v>
      </c>
      <c r="B282" s="24" t="s">
        <v>3229</v>
      </c>
      <c r="C282" s="36" t="s">
        <v>3230</v>
      </c>
      <c r="D282" s="37" t="s">
        <v>5106</v>
      </c>
      <c r="E282" s="38" t="s">
        <v>8733</v>
      </c>
      <c r="F282" s="39" t="s">
        <v>8734</v>
      </c>
    </row>
    <row r="283" spans="1:6">
      <c r="A283" s="24"/>
      <c r="B283" s="24"/>
      <c r="C283" s="36"/>
      <c r="D283" s="37" t="s">
        <v>5108</v>
      </c>
      <c r="E283" s="38" t="s">
        <v>8735</v>
      </c>
      <c r="F283" s="39"/>
    </row>
    <row r="284" spans="1:6">
      <c r="A284" s="24"/>
      <c r="B284" s="24"/>
      <c r="C284" s="36"/>
      <c r="D284" s="37" t="s">
        <v>5110</v>
      </c>
      <c r="E284" s="38" t="s">
        <v>8736</v>
      </c>
      <c r="F284" s="39"/>
    </row>
    <row r="285" spans="1:6">
      <c r="A285" s="24"/>
      <c r="B285" s="24"/>
      <c r="C285" s="36"/>
      <c r="D285" s="37" t="s">
        <v>5112</v>
      </c>
      <c r="E285" s="38" t="s">
        <v>8737</v>
      </c>
      <c r="F285" s="39"/>
    </row>
    <row r="286" spans="1:6">
      <c r="A286" s="24"/>
      <c r="B286" s="24"/>
      <c r="C286" s="36"/>
      <c r="D286" s="37" t="s">
        <v>5114</v>
      </c>
      <c r="E286" s="38" t="s">
        <v>8738</v>
      </c>
      <c r="F286" s="39"/>
    </row>
    <row r="287" spans="1:6">
      <c r="A287" s="24"/>
      <c r="B287" s="24"/>
      <c r="C287" s="36"/>
      <c r="D287" s="37" t="s">
        <v>3754</v>
      </c>
      <c r="E287" s="38" t="s">
        <v>8739</v>
      </c>
      <c r="F287" s="39"/>
    </row>
    <row r="288" spans="1:6">
      <c r="A288" s="24"/>
      <c r="B288" s="24"/>
      <c r="C288" s="36"/>
      <c r="D288" s="37" t="s">
        <v>3885</v>
      </c>
      <c r="E288" s="38"/>
      <c r="F288" s="39"/>
    </row>
    <row r="289" spans="1:6">
      <c r="A289" s="24" t="s">
        <v>3123</v>
      </c>
      <c r="B289" s="24" t="s">
        <v>3178</v>
      </c>
      <c r="C289" s="36" t="s">
        <v>3179</v>
      </c>
      <c r="D289" s="37" t="s">
        <v>4623</v>
      </c>
      <c r="E289" s="38" t="s">
        <v>8740</v>
      </c>
      <c r="F289" s="39" t="s">
        <v>8741</v>
      </c>
    </row>
    <row r="290" spans="1:6">
      <c r="A290" s="24"/>
      <c r="B290" s="24"/>
      <c r="C290" s="36"/>
      <c r="D290" s="37" t="s">
        <v>4625</v>
      </c>
      <c r="E290" s="38" t="s">
        <v>8742</v>
      </c>
      <c r="F290" s="39"/>
    </row>
    <row r="291" spans="1:6">
      <c r="A291" s="24"/>
      <c r="B291" s="24"/>
      <c r="C291" s="36"/>
      <c r="D291" s="37" t="s">
        <v>4627</v>
      </c>
      <c r="E291" s="38" t="s">
        <v>8743</v>
      </c>
      <c r="F291" s="39"/>
    </row>
    <row r="292" spans="1:6">
      <c r="A292" s="24"/>
      <c r="B292" s="24"/>
      <c r="C292" s="36"/>
      <c r="D292" s="37" t="s">
        <v>4629</v>
      </c>
      <c r="E292" s="38" t="s">
        <v>8744</v>
      </c>
      <c r="F292" s="39"/>
    </row>
    <row r="293" spans="1:6">
      <c r="A293" s="24"/>
      <c r="B293" s="24"/>
      <c r="C293" s="36"/>
      <c r="D293" s="37" t="s">
        <v>4631</v>
      </c>
      <c r="E293" s="38" t="s">
        <v>8745</v>
      </c>
      <c r="F293" s="39"/>
    </row>
    <row r="294" spans="1:6">
      <c r="A294" s="24"/>
      <c r="B294" s="24"/>
      <c r="C294" s="36"/>
      <c r="D294" s="37" t="s">
        <v>8746</v>
      </c>
      <c r="E294" s="38"/>
      <c r="F294" s="39"/>
    </row>
    <row r="295" spans="1:6">
      <c r="A295" s="24" t="s">
        <v>3123</v>
      </c>
      <c r="B295" s="24" t="s">
        <v>3180</v>
      </c>
      <c r="C295" s="36" t="s">
        <v>3181</v>
      </c>
      <c r="D295" s="37" t="s">
        <v>4605</v>
      </c>
      <c r="E295" s="38" t="s">
        <v>8747</v>
      </c>
      <c r="F295" s="39"/>
    </row>
    <row r="296" spans="1:6">
      <c r="A296" s="24"/>
      <c r="B296" s="24"/>
      <c r="C296" s="36"/>
      <c r="D296" s="37" t="s">
        <v>4607</v>
      </c>
      <c r="E296" s="38" t="s">
        <v>8748</v>
      </c>
      <c r="F296" s="39"/>
    </row>
    <row r="297" spans="1:6">
      <c r="A297" s="24"/>
      <c r="B297" s="24"/>
      <c r="C297" s="36"/>
      <c r="D297" s="37" t="s">
        <v>4609</v>
      </c>
      <c r="E297" s="38" t="s">
        <v>8623</v>
      </c>
      <c r="F297" s="39"/>
    </row>
    <row r="298" spans="1:6">
      <c r="A298" s="24"/>
      <c r="B298" s="24"/>
      <c r="C298" s="36"/>
      <c r="D298" s="37" t="s">
        <v>4611</v>
      </c>
      <c r="E298" s="38" t="s">
        <v>8749</v>
      </c>
      <c r="F298" s="39"/>
    </row>
    <row r="299" spans="1:6">
      <c r="A299" s="24"/>
      <c r="B299" s="24"/>
      <c r="C299" s="36"/>
      <c r="D299" s="37" t="s">
        <v>4613</v>
      </c>
      <c r="E299" s="38" t="s">
        <v>8750</v>
      </c>
      <c r="F299" s="39"/>
    </row>
    <row r="300" spans="1:6">
      <c r="A300" s="24"/>
      <c r="B300" s="24"/>
      <c r="C300" s="36"/>
      <c r="D300" s="37" t="s">
        <v>3338</v>
      </c>
      <c r="E300" s="38" t="s">
        <v>8751</v>
      </c>
      <c r="F300" s="39"/>
    </row>
    <row r="301" spans="1:6">
      <c r="A301" s="24"/>
      <c r="B301" s="24"/>
      <c r="C301" s="36"/>
      <c r="D301" s="37" t="s">
        <v>8752</v>
      </c>
      <c r="E301" s="38"/>
      <c r="F301" s="39"/>
    </row>
    <row r="302" spans="1:6">
      <c r="A302" s="24" t="s">
        <v>3123</v>
      </c>
      <c r="B302" s="24" t="s">
        <v>3182</v>
      </c>
      <c r="C302" s="36" t="s">
        <v>3183</v>
      </c>
      <c r="D302" s="37" t="s">
        <v>4575</v>
      </c>
      <c r="E302" s="43" t="s">
        <v>8753</v>
      </c>
      <c r="F302" s="39"/>
    </row>
    <row r="303" spans="1:6">
      <c r="A303" s="24"/>
      <c r="B303" s="24"/>
      <c r="C303" s="36"/>
      <c r="D303" s="37" t="s">
        <v>4577</v>
      </c>
      <c r="E303" s="43" t="s">
        <v>8754</v>
      </c>
      <c r="F303" s="39"/>
    </row>
    <row r="304" spans="1:6">
      <c r="A304" s="24"/>
      <c r="B304" s="24"/>
      <c r="C304" s="36"/>
      <c r="D304" s="37" t="s">
        <v>4579</v>
      </c>
      <c r="E304" s="38" t="s">
        <v>8755</v>
      </c>
      <c r="F304" s="39"/>
    </row>
    <row r="305" spans="1:6">
      <c r="A305" s="24"/>
      <c r="B305" s="24"/>
      <c r="C305" s="36"/>
      <c r="D305" s="37" t="s">
        <v>4581</v>
      </c>
      <c r="E305" s="38" t="s">
        <v>8756</v>
      </c>
      <c r="F305" s="39"/>
    </row>
    <row r="306" spans="1:6">
      <c r="A306" s="24"/>
      <c r="B306" s="24"/>
      <c r="C306" s="36"/>
      <c r="D306" s="37" t="s">
        <v>4583</v>
      </c>
      <c r="E306" s="43" t="s">
        <v>8757</v>
      </c>
      <c r="F306" s="39"/>
    </row>
    <row r="307" spans="1:6">
      <c r="A307" s="24"/>
      <c r="B307" s="24"/>
      <c r="C307" s="36"/>
      <c r="D307" s="37" t="s">
        <v>3432</v>
      </c>
      <c r="E307" s="38"/>
      <c r="F307" s="39"/>
    </row>
    <row r="308" spans="1:6">
      <c r="A308" s="24" t="s">
        <v>3123</v>
      </c>
      <c r="B308" s="24" t="s">
        <v>3184</v>
      </c>
      <c r="C308" s="36" t="s">
        <v>3185</v>
      </c>
      <c r="D308" s="37" t="s">
        <v>4595</v>
      </c>
      <c r="E308" s="38" t="s">
        <v>8501</v>
      </c>
      <c r="F308" s="39"/>
    </row>
    <row r="309" spans="1:6">
      <c r="A309" s="24"/>
      <c r="B309" s="24"/>
      <c r="C309" s="36"/>
      <c r="D309" s="37" t="s">
        <v>4597</v>
      </c>
      <c r="E309" s="38" t="s">
        <v>8758</v>
      </c>
      <c r="F309" s="39"/>
    </row>
    <row r="310" spans="1:6">
      <c r="A310" s="24"/>
      <c r="B310" s="24"/>
      <c r="C310" s="36"/>
      <c r="D310" s="37" t="s">
        <v>4599</v>
      </c>
      <c r="E310" s="43" t="s">
        <v>8759</v>
      </c>
      <c r="F310" s="39"/>
    </row>
    <row r="311" spans="1:6">
      <c r="A311" s="24"/>
      <c r="B311" s="24"/>
      <c r="C311" s="36"/>
      <c r="D311" s="37" t="s">
        <v>4601</v>
      </c>
      <c r="E311" s="38" t="s">
        <v>8737</v>
      </c>
      <c r="F311" s="39"/>
    </row>
    <row r="312" spans="1:6">
      <c r="A312" s="24"/>
      <c r="B312" s="24"/>
      <c r="C312" s="36"/>
      <c r="D312" s="37" t="s">
        <v>4603</v>
      </c>
      <c r="E312" s="38" t="s">
        <v>8760</v>
      </c>
      <c r="F312" s="39"/>
    </row>
    <row r="313" spans="1:6">
      <c r="A313" s="24"/>
      <c r="B313" s="24"/>
      <c r="C313" s="36"/>
      <c r="D313" s="37" t="s">
        <v>3675</v>
      </c>
      <c r="E313" s="38" t="s">
        <v>8761</v>
      </c>
      <c r="F313" s="39"/>
    </row>
    <row r="314" spans="1:6">
      <c r="A314" s="24"/>
      <c r="B314" s="24"/>
      <c r="C314" s="36"/>
      <c r="D314" s="37" t="s">
        <v>8762</v>
      </c>
      <c r="E314" s="38"/>
      <c r="F314" s="39"/>
    </row>
    <row r="315" spans="1:6">
      <c r="A315" s="24" t="s">
        <v>3123</v>
      </c>
      <c r="B315" s="24" t="s">
        <v>3186</v>
      </c>
      <c r="C315" s="36" t="s">
        <v>3187</v>
      </c>
      <c r="D315" s="37" t="s">
        <v>4585</v>
      </c>
      <c r="E315" s="38" t="s">
        <v>8763</v>
      </c>
      <c r="F315" s="39" t="s">
        <v>8764</v>
      </c>
    </row>
    <row r="316" spans="1:6">
      <c r="A316" s="24"/>
      <c r="B316" s="24"/>
      <c r="C316" s="36"/>
      <c r="D316" s="37" t="s">
        <v>4587</v>
      </c>
      <c r="E316" s="38" t="s">
        <v>8765</v>
      </c>
      <c r="F316" s="39"/>
    </row>
    <row r="317" spans="1:6">
      <c r="A317" s="24"/>
      <c r="B317" s="24"/>
      <c r="C317" s="36"/>
      <c r="D317" s="37" t="s">
        <v>4589</v>
      </c>
      <c r="E317" s="38" t="s">
        <v>8766</v>
      </c>
      <c r="F317" s="39"/>
    </row>
    <row r="318" spans="1:6">
      <c r="A318" s="24"/>
      <c r="B318" s="24"/>
      <c r="C318" s="36"/>
      <c r="D318" s="37" t="s">
        <v>4591</v>
      </c>
      <c r="E318" s="38" t="s">
        <v>8767</v>
      </c>
      <c r="F318" s="39"/>
    </row>
    <row r="319" spans="1:6">
      <c r="A319" s="24"/>
      <c r="B319" s="24"/>
      <c r="C319" s="36"/>
      <c r="D319" s="37" t="s">
        <v>4593</v>
      </c>
      <c r="E319" s="38" t="s">
        <v>8768</v>
      </c>
      <c r="F319" s="39"/>
    </row>
    <row r="320" spans="1:6">
      <c r="A320" s="24"/>
      <c r="B320" s="24"/>
      <c r="C320" s="36"/>
      <c r="D320" s="37" t="s">
        <v>3434</v>
      </c>
      <c r="E320" s="38" t="s">
        <v>8769</v>
      </c>
      <c r="F320" s="39"/>
    </row>
    <row r="321" spans="1:6">
      <c r="A321" s="24"/>
      <c r="B321" s="24"/>
      <c r="C321" s="36"/>
      <c r="D321" s="37" t="s">
        <v>8770</v>
      </c>
      <c r="E321" s="38"/>
      <c r="F321" s="39"/>
    </row>
    <row r="322" spans="1:6">
      <c r="A322" s="24" t="s">
        <v>3192</v>
      </c>
      <c r="B322" s="24" t="s">
        <v>3231</v>
      </c>
      <c r="C322" s="36" t="s">
        <v>3232</v>
      </c>
      <c r="D322" s="37" t="s">
        <v>5096</v>
      </c>
      <c r="E322" s="38" t="s">
        <v>8771</v>
      </c>
      <c r="F322" s="39"/>
    </row>
    <row r="323" spans="1:6">
      <c r="A323" s="24"/>
      <c r="B323" s="24"/>
      <c r="C323" s="36"/>
      <c r="D323" s="37" t="s">
        <v>5098</v>
      </c>
      <c r="E323" s="38" t="s">
        <v>8772</v>
      </c>
      <c r="F323" s="39"/>
    </row>
    <row r="324" spans="1:6">
      <c r="A324" s="24"/>
      <c r="B324" s="24"/>
      <c r="C324" s="36"/>
      <c r="D324" s="37" t="s">
        <v>5100</v>
      </c>
      <c r="E324" s="38" t="s">
        <v>8773</v>
      </c>
      <c r="F324" s="39"/>
    </row>
    <row r="325" spans="1:6">
      <c r="A325" s="24"/>
      <c r="B325" s="24"/>
      <c r="C325" s="36"/>
      <c r="D325" s="37" t="s">
        <v>5102</v>
      </c>
      <c r="E325" s="38" t="s">
        <v>8774</v>
      </c>
      <c r="F325" s="39"/>
    </row>
    <row r="326" spans="1:6">
      <c r="A326" s="24"/>
      <c r="B326" s="24"/>
      <c r="C326" s="36"/>
      <c r="D326" s="37" t="s">
        <v>5104</v>
      </c>
      <c r="E326" s="38" t="s">
        <v>8775</v>
      </c>
      <c r="F326" s="39"/>
    </row>
    <row r="327" spans="1:6">
      <c r="A327" s="24"/>
      <c r="B327" s="24"/>
      <c r="C327" s="36"/>
      <c r="D327" s="37" t="s">
        <v>3789</v>
      </c>
      <c r="E327" s="38"/>
      <c r="F327" s="39"/>
    </row>
    <row r="328" spans="1:6">
      <c r="A328" s="24" t="s">
        <v>3123</v>
      </c>
      <c r="B328" s="24" t="s">
        <v>3188</v>
      </c>
      <c r="C328" s="36" t="s">
        <v>3189</v>
      </c>
      <c r="D328" s="46" t="s">
        <v>4615</v>
      </c>
      <c r="E328" s="47" t="s">
        <v>8776</v>
      </c>
      <c r="F328" s="48" t="s">
        <v>8777</v>
      </c>
    </row>
    <row r="329" spans="1:6">
      <c r="A329" s="24"/>
      <c r="B329" s="24"/>
      <c r="C329" s="36"/>
      <c r="D329" s="46" t="s">
        <v>4617</v>
      </c>
      <c r="E329" s="49"/>
      <c r="F329" s="48"/>
    </row>
    <row r="330" spans="1:6">
      <c r="A330" s="24"/>
      <c r="B330" s="24"/>
      <c r="C330" s="36"/>
      <c r="D330" s="37" t="s">
        <v>4619</v>
      </c>
      <c r="E330" s="38" t="s">
        <v>8778</v>
      </c>
      <c r="F330" s="39"/>
    </row>
    <row r="331" spans="1:6">
      <c r="A331" s="24"/>
      <c r="B331" s="24"/>
      <c r="C331" s="36"/>
      <c r="D331" s="37" t="s">
        <v>4621</v>
      </c>
      <c r="E331" s="38" t="s">
        <v>8779</v>
      </c>
      <c r="F331" s="39"/>
    </row>
    <row r="332" spans="1:6">
      <c r="A332" s="24"/>
      <c r="B332" s="24"/>
      <c r="C332" s="36"/>
      <c r="D332" s="37" t="s">
        <v>3377</v>
      </c>
      <c r="E332" s="38" t="s">
        <v>8780</v>
      </c>
      <c r="F332" s="39"/>
    </row>
    <row r="333" spans="1:6">
      <c r="A333" s="24" t="s">
        <v>3192</v>
      </c>
      <c r="B333" s="24" t="s">
        <v>3233</v>
      </c>
      <c r="C333" s="36" t="s">
        <v>3234</v>
      </c>
      <c r="D333" s="37" t="s">
        <v>5116</v>
      </c>
      <c r="E333" s="38" t="s">
        <v>8501</v>
      </c>
      <c r="F333" s="39"/>
    </row>
    <row r="334" spans="1:6">
      <c r="A334" s="24"/>
      <c r="B334" s="24"/>
      <c r="C334" s="36"/>
      <c r="D334" s="37" t="s">
        <v>5118</v>
      </c>
      <c r="E334" s="38" t="s">
        <v>8781</v>
      </c>
      <c r="F334" s="39"/>
    </row>
    <row r="335" spans="1:6">
      <c r="A335" s="24"/>
      <c r="B335" s="24"/>
      <c r="C335" s="36"/>
      <c r="D335" s="37" t="s">
        <v>5120</v>
      </c>
      <c r="E335" s="38" t="s">
        <v>8782</v>
      </c>
      <c r="F335" s="39"/>
    </row>
    <row r="336" spans="1:6">
      <c r="A336" s="24"/>
      <c r="B336" s="24"/>
      <c r="C336" s="36"/>
      <c r="D336" s="37" t="s">
        <v>8783</v>
      </c>
      <c r="E336" s="38" t="s">
        <v>8784</v>
      </c>
      <c r="F336" s="39"/>
    </row>
    <row r="337" spans="1:6">
      <c r="A337" s="24"/>
      <c r="B337" s="24"/>
      <c r="C337" s="36"/>
      <c r="D337" s="37" t="s">
        <v>5124</v>
      </c>
      <c r="E337" s="38" t="s">
        <v>8546</v>
      </c>
      <c r="F337" s="39"/>
    </row>
    <row r="338" spans="1:6">
      <c r="A338" s="24"/>
      <c r="B338" s="24"/>
      <c r="C338" s="36"/>
      <c r="D338" s="37" t="s">
        <v>7048</v>
      </c>
      <c r="E338" s="38" t="s">
        <v>8785</v>
      </c>
      <c r="F338" s="39"/>
    </row>
    <row r="339" spans="1:6">
      <c r="A339" s="24"/>
      <c r="B339" s="24"/>
      <c r="C339" s="36"/>
      <c r="D339" s="37" t="s">
        <v>6969</v>
      </c>
      <c r="E339" s="38"/>
      <c r="F339" s="39"/>
    </row>
    <row r="340" spans="1:6">
      <c r="A340" s="24" t="s">
        <v>8786</v>
      </c>
      <c r="B340" s="24" t="s">
        <v>3235</v>
      </c>
      <c r="C340" s="36" t="s">
        <v>3236</v>
      </c>
      <c r="D340" s="37" t="s">
        <v>8787</v>
      </c>
      <c r="E340" s="38" t="s">
        <v>8788</v>
      </c>
      <c r="F340" s="39"/>
    </row>
    <row r="341" spans="1:6">
      <c r="A341" s="24"/>
      <c r="B341" s="24"/>
      <c r="C341" s="36"/>
      <c r="D341" s="37" t="s">
        <v>8787</v>
      </c>
      <c r="E341" s="38" t="s">
        <v>8698</v>
      </c>
      <c r="F341" s="39"/>
    </row>
    <row r="342" spans="1:6">
      <c r="A342" s="24"/>
      <c r="B342" s="24"/>
      <c r="C342" s="36"/>
      <c r="D342" s="37" t="s">
        <v>8787</v>
      </c>
      <c r="E342" s="38" t="s">
        <v>8789</v>
      </c>
      <c r="F342" s="39"/>
    </row>
    <row r="343" spans="1:6">
      <c r="A343" s="24"/>
      <c r="B343" s="24"/>
      <c r="C343" s="36"/>
      <c r="D343" s="37" t="s">
        <v>8787</v>
      </c>
      <c r="E343" s="38" t="s">
        <v>8790</v>
      </c>
      <c r="F343" s="39"/>
    </row>
    <row r="344" spans="1:6">
      <c r="A344" s="24"/>
      <c r="B344" s="24"/>
      <c r="C344" s="36"/>
      <c r="D344" s="37" t="s">
        <v>8787</v>
      </c>
      <c r="E344" s="38" t="s">
        <v>8791</v>
      </c>
      <c r="F344" s="39"/>
    </row>
    <row r="345" spans="1:6">
      <c r="A345" s="24"/>
      <c r="B345" s="24"/>
      <c r="C345" s="36"/>
      <c r="D345" s="37" t="s">
        <v>8787</v>
      </c>
      <c r="E345" s="38" t="s">
        <v>8567</v>
      </c>
      <c r="F345" s="39"/>
    </row>
    <row r="346" spans="1:6">
      <c r="A346" s="24"/>
      <c r="B346" s="24"/>
      <c r="C346" s="36"/>
      <c r="D346" s="37" t="s">
        <v>8787</v>
      </c>
      <c r="E346" s="38"/>
      <c r="F346" s="39"/>
    </row>
    <row r="347" spans="1:6">
      <c r="A347" s="24" t="s">
        <v>8786</v>
      </c>
      <c r="B347" s="24" t="s">
        <v>3238</v>
      </c>
      <c r="C347" s="36" t="s">
        <v>3239</v>
      </c>
      <c r="D347" s="37" t="s">
        <v>8787</v>
      </c>
      <c r="E347" s="38" t="s">
        <v>8788</v>
      </c>
      <c r="F347" s="39" t="s">
        <v>8792</v>
      </c>
    </row>
    <row r="348" spans="1:6">
      <c r="A348" s="24"/>
      <c r="B348" s="24"/>
      <c r="C348" s="36"/>
      <c r="D348" s="37" t="s">
        <v>8787</v>
      </c>
      <c r="E348" s="38" t="s">
        <v>8793</v>
      </c>
      <c r="F348" s="39"/>
    </row>
    <row r="349" spans="1:6">
      <c r="A349" s="24"/>
      <c r="B349" s="24"/>
      <c r="C349" s="36"/>
      <c r="D349" s="37" t="s">
        <v>8787</v>
      </c>
      <c r="E349" s="38" t="s">
        <v>8794</v>
      </c>
      <c r="F349" s="39"/>
    </row>
    <row r="350" spans="1:6">
      <c r="A350" s="24"/>
      <c r="B350" s="24"/>
      <c r="C350" s="36"/>
      <c r="D350" s="37" t="s">
        <v>8787</v>
      </c>
      <c r="E350" s="38" t="s">
        <v>8795</v>
      </c>
      <c r="F350" s="39"/>
    </row>
    <row r="351" spans="1:6">
      <c r="A351" s="24"/>
      <c r="B351" s="24"/>
      <c r="C351" s="36"/>
      <c r="D351" s="37" t="s">
        <v>8787</v>
      </c>
      <c r="E351" s="38" t="s">
        <v>8796</v>
      </c>
      <c r="F351" s="39"/>
    </row>
    <row r="352" spans="1:6">
      <c r="A352" s="24"/>
      <c r="B352" s="24"/>
      <c r="C352" s="36"/>
      <c r="D352" s="37" t="s">
        <v>8787</v>
      </c>
      <c r="E352" s="38" t="s">
        <v>8797</v>
      </c>
      <c r="F352" s="39"/>
    </row>
    <row r="353" spans="1:6">
      <c r="A353" s="24"/>
      <c r="B353" s="24"/>
      <c r="C353" s="36"/>
      <c r="D353" s="37" t="s">
        <v>8787</v>
      </c>
      <c r="E353" s="38"/>
      <c r="F353" s="39"/>
    </row>
    <row r="354" spans="1:6">
      <c r="A354" s="24" t="s">
        <v>8786</v>
      </c>
      <c r="B354" s="24" t="s">
        <v>3240</v>
      </c>
      <c r="C354" s="36" t="s">
        <v>3241</v>
      </c>
      <c r="D354" s="37" t="s">
        <v>8787</v>
      </c>
      <c r="E354" s="38" t="s">
        <v>8788</v>
      </c>
      <c r="F354" s="39"/>
    </row>
    <row r="355" spans="1:6">
      <c r="A355" s="24"/>
      <c r="B355" s="24"/>
      <c r="C355" s="36"/>
      <c r="D355" s="37" t="s">
        <v>8787</v>
      </c>
      <c r="E355" s="38" t="s">
        <v>8798</v>
      </c>
      <c r="F355" s="39"/>
    </row>
    <row r="356" spans="1:6">
      <c r="A356" s="24"/>
      <c r="B356" s="24"/>
      <c r="C356" s="36"/>
      <c r="D356" s="37" t="s">
        <v>8787</v>
      </c>
      <c r="E356" s="38" t="s">
        <v>8789</v>
      </c>
      <c r="F356" s="39"/>
    </row>
    <row r="357" spans="1:6">
      <c r="A357" s="24"/>
      <c r="B357" s="24"/>
      <c r="C357" s="36"/>
      <c r="D357" s="37" t="s">
        <v>8787</v>
      </c>
      <c r="E357" s="38" t="s">
        <v>8799</v>
      </c>
      <c r="F357" s="39"/>
    </row>
    <row r="358" spans="1:6">
      <c r="A358" s="24"/>
      <c r="B358" s="24"/>
      <c r="C358" s="36"/>
      <c r="D358" s="37" t="s">
        <v>8787</v>
      </c>
      <c r="E358" s="38" t="s">
        <v>8800</v>
      </c>
      <c r="F358" s="39"/>
    </row>
    <row r="359" spans="1:6">
      <c r="A359" s="24"/>
      <c r="B359" s="24"/>
      <c r="C359" s="36"/>
      <c r="D359" s="37" t="s">
        <v>8787</v>
      </c>
      <c r="E359" s="38" t="s">
        <v>8801</v>
      </c>
      <c r="F359" s="39"/>
    </row>
    <row r="360" spans="1:6">
      <c r="A360" s="24"/>
      <c r="B360" s="24"/>
      <c r="C360" s="36"/>
      <c r="D360" s="37" t="s">
        <v>8787</v>
      </c>
      <c r="E360" s="38"/>
      <c r="F360" s="39"/>
    </row>
    <row r="361" spans="1:6">
      <c r="A361" s="24" t="s">
        <v>8786</v>
      </c>
      <c r="B361" s="24" t="s">
        <v>3242</v>
      </c>
      <c r="C361" s="36" t="s">
        <v>3243</v>
      </c>
      <c r="D361" s="37" t="s">
        <v>8787</v>
      </c>
      <c r="E361" s="38" t="s">
        <v>8788</v>
      </c>
      <c r="F361" s="39"/>
    </row>
    <row r="362" spans="1:6">
      <c r="A362" s="24"/>
      <c r="B362" s="24"/>
      <c r="C362" s="36"/>
      <c r="D362" s="37" t="s">
        <v>8787</v>
      </c>
      <c r="E362" s="38" t="s">
        <v>8802</v>
      </c>
      <c r="F362" s="39"/>
    </row>
    <row r="363" spans="1:6">
      <c r="A363" s="24"/>
      <c r="B363" s="24"/>
      <c r="C363" s="36"/>
      <c r="D363" s="37" t="s">
        <v>8787</v>
      </c>
      <c r="E363" s="38" t="s">
        <v>8789</v>
      </c>
      <c r="F363" s="39"/>
    </row>
    <row r="364" spans="1:6">
      <c r="A364" s="24"/>
      <c r="B364" s="24"/>
      <c r="C364" s="36"/>
      <c r="D364" s="37" t="s">
        <v>8787</v>
      </c>
      <c r="E364" s="38" t="s">
        <v>8803</v>
      </c>
      <c r="F364" s="39"/>
    </row>
    <row r="365" spans="1:6">
      <c r="A365" s="24"/>
      <c r="B365" s="24"/>
      <c r="C365" s="36"/>
      <c r="D365" s="37" t="s">
        <v>8787</v>
      </c>
      <c r="E365" s="38" t="s">
        <v>8804</v>
      </c>
      <c r="F365" s="39"/>
    </row>
    <row r="366" spans="1:6">
      <c r="A366" s="24"/>
      <c r="B366" s="24"/>
      <c r="C366" s="36"/>
      <c r="D366" s="37" t="s">
        <v>8787</v>
      </c>
      <c r="E366" s="38" t="s">
        <v>8805</v>
      </c>
      <c r="F366" s="39"/>
    </row>
    <row r="367" spans="1:6">
      <c r="A367" s="24"/>
      <c r="B367" s="24"/>
      <c r="C367" s="36"/>
      <c r="D367" s="37" t="s">
        <v>8787</v>
      </c>
      <c r="E367" s="38"/>
      <c r="F367" s="39"/>
    </row>
    <row r="368" spans="1:6">
      <c r="A368" s="24" t="s">
        <v>8786</v>
      </c>
      <c r="B368" s="24" t="s">
        <v>3244</v>
      </c>
      <c r="C368" s="36" t="s">
        <v>3245</v>
      </c>
      <c r="D368" s="37" t="s">
        <v>8787</v>
      </c>
      <c r="E368" s="38" t="s">
        <v>8788</v>
      </c>
      <c r="F368" s="39"/>
    </row>
    <row r="369" spans="1:6">
      <c r="A369" s="24"/>
      <c r="B369" s="24"/>
      <c r="C369" s="36"/>
      <c r="D369" s="37" t="s">
        <v>8787</v>
      </c>
      <c r="E369" s="38" t="s">
        <v>8806</v>
      </c>
      <c r="F369" s="39"/>
    </row>
    <row r="370" spans="1:6">
      <c r="A370" s="24"/>
      <c r="B370" s="24"/>
      <c r="C370" s="36"/>
      <c r="D370" s="37" t="s">
        <v>8787</v>
      </c>
      <c r="E370" s="38" t="s">
        <v>8807</v>
      </c>
      <c r="F370" s="39"/>
    </row>
    <row r="371" spans="1:6">
      <c r="A371" s="24"/>
      <c r="B371" s="24"/>
      <c r="C371" s="36"/>
      <c r="D371" s="37" t="s">
        <v>8787</v>
      </c>
      <c r="E371" s="38" t="s">
        <v>8808</v>
      </c>
      <c r="F371" s="39"/>
    </row>
    <row r="372" spans="1:6">
      <c r="A372" s="24"/>
      <c r="B372" s="24"/>
      <c r="C372" s="36"/>
      <c r="D372" s="37" t="s">
        <v>8787</v>
      </c>
      <c r="E372" s="38" t="s">
        <v>8809</v>
      </c>
      <c r="F372" s="39"/>
    </row>
    <row r="373" spans="1:6">
      <c r="A373" s="24"/>
      <c r="B373" s="24"/>
      <c r="C373" s="36"/>
      <c r="D373" s="37" t="s">
        <v>8787</v>
      </c>
      <c r="E373" s="38" t="s">
        <v>8810</v>
      </c>
      <c r="F373" s="39"/>
    </row>
    <row r="374" spans="1:6">
      <c r="A374" s="24"/>
      <c r="B374" s="24"/>
      <c r="C374" s="36"/>
      <c r="D374" s="37" t="s">
        <v>8787</v>
      </c>
      <c r="E374" s="38"/>
      <c r="F374" s="39"/>
    </row>
    <row r="375" spans="1:6">
      <c r="A375" s="24" t="s">
        <v>8786</v>
      </c>
      <c r="B375" s="24" t="s">
        <v>3246</v>
      </c>
      <c r="C375" s="36" t="s">
        <v>3247</v>
      </c>
      <c r="D375" s="37" t="s">
        <v>8787</v>
      </c>
      <c r="E375" s="38" t="s">
        <v>8788</v>
      </c>
      <c r="F375" s="39"/>
    </row>
    <row r="376" spans="1:6">
      <c r="A376" s="24"/>
      <c r="B376" s="24"/>
      <c r="C376" s="36"/>
      <c r="D376" s="37" t="s">
        <v>8787</v>
      </c>
      <c r="E376" s="38" t="s">
        <v>8811</v>
      </c>
      <c r="F376" s="39"/>
    </row>
    <row r="377" spans="1:6">
      <c r="A377" s="24"/>
      <c r="B377" s="24"/>
      <c r="C377" s="36"/>
      <c r="D377" s="37" t="s">
        <v>8787</v>
      </c>
      <c r="E377" s="38" t="s">
        <v>8789</v>
      </c>
      <c r="F377" s="39"/>
    </row>
    <row r="378" spans="1:6">
      <c r="A378" s="24"/>
      <c r="B378" s="24"/>
      <c r="C378" s="36"/>
      <c r="D378" s="37" t="s">
        <v>8787</v>
      </c>
      <c r="E378" s="38" t="s">
        <v>8812</v>
      </c>
      <c r="F378" s="39"/>
    </row>
    <row r="379" spans="1:6">
      <c r="A379" s="24"/>
      <c r="B379" s="24"/>
      <c r="C379" s="36"/>
      <c r="D379" s="37" t="s">
        <v>8787</v>
      </c>
      <c r="E379" s="38" t="s">
        <v>8813</v>
      </c>
      <c r="F379" s="39"/>
    </row>
    <row r="380" spans="1:6">
      <c r="A380" s="24"/>
      <c r="B380" s="24"/>
      <c r="C380" s="36"/>
      <c r="D380" s="37" t="s">
        <v>8787</v>
      </c>
      <c r="E380" s="38" t="s">
        <v>8814</v>
      </c>
      <c r="F380" s="39"/>
    </row>
    <row r="381" spans="1:6">
      <c r="A381" s="24"/>
      <c r="B381" s="24"/>
      <c r="C381" s="36"/>
      <c r="D381" s="37" t="s">
        <v>8787</v>
      </c>
      <c r="E381" s="38"/>
      <c r="F381" s="39"/>
    </row>
    <row r="382" spans="1:6">
      <c r="A382" s="24" t="s">
        <v>8786</v>
      </c>
      <c r="B382" s="24" t="s">
        <v>3248</v>
      </c>
      <c r="C382" s="36" t="s">
        <v>3249</v>
      </c>
      <c r="D382" s="37" t="s">
        <v>8787</v>
      </c>
      <c r="E382" s="38" t="s">
        <v>8815</v>
      </c>
      <c r="F382" s="39" t="s">
        <v>8816</v>
      </c>
    </row>
    <row r="383" spans="1:6">
      <c r="A383" s="24"/>
      <c r="B383" s="24"/>
      <c r="C383" s="36"/>
      <c r="D383" s="37" t="s">
        <v>8787</v>
      </c>
      <c r="E383" s="38" t="s">
        <v>8817</v>
      </c>
      <c r="F383" s="39"/>
    </row>
    <row r="384" spans="1:6">
      <c r="A384" s="24"/>
      <c r="B384" s="24"/>
      <c r="C384" s="36"/>
      <c r="D384" s="37" t="s">
        <v>8787</v>
      </c>
      <c r="E384" s="38" t="s">
        <v>8818</v>
      </c>
      <c r="F384" s="39"/>
    </row>
    <row r="385" spans="1:6">
      <c r="A385" s="24"/>
      <c r="B385" s="24"/>
      <c r="C385" s="36"/>
      <c r="D385" s="37" t="s">
        <v>8787</v>
      </c>
      <c r="E385" s="38" t="s">
        <v>8819</v>
      </c>
      <c r="F385" s="39"/>
    </row>
    <row r="386" spans="1:6">
      <c r="A386" s="24"/>
      <c r="B386" s="24"/>
      <c r="C386" s="36"/>
      <c r="D386" s="37" t="s">
        <v>8787</v>
      </c>
      <c r="E386" s="38" t="s">
        <v>8820</v>
      </c>
      <c r="F386" s="39"/>
    </row>
    <row r="387" spans="1:6">
      <c r="A387" s="24"/>
      <c r="B387" s="24"/>
      <c r="C387" s="36"/>
      <c r="D387" s="37" t="s">
        <v>8787</v>
      </c>
      <c r="E387" s="38" t="s">
        <v>8821</v>
      </c>
      <c r="F387" s="39"/>
    </row>
    <row r="388" spans="1:6">
      <c r="A388" s="24"/>
      <c r="B388" s="24"/>
      <c r="C388" s="36"/>
      <c r="D388" s="37" t="s">
        <v>8787</v>
      </c>
      <c r="E388" s="38"/>
      <c r="F388" s="39"/>
    </row>
    <row r="389" spans="1:6">
      <c r="A389" s="24" t="s">
        <v>8786</v>
      </c>
      <c r="B389" s="24" t="s">
        <v>3250</v>
      </c>
      <c r="C389" s="36" t="s">
        <v>3251</v>
      </c>
      <c r="D389" s="37" t="s">
        <v>8787</v>
      </c>
      <c r="E389" s="38" t="s">
        <v>8788</v>
      </c>
      <c r="F389" s="39"/>
    </row>
    <row r="390" spans="1:6">
      <c r="A390" s="24"/>
      <c r="B390" s="24"/>
      <c r="C390" s="36"/>
      <c r="D390" s="37" t="s">
        <v>8787</v>
      </c>
      <c r="E390" s="38" t="s">
        <v>8822</v>
      </c>
      <c r="F390" s="39"/>
    </row>
    <row r="391" spans="1:6">
      <c r="A391" s="24"/>
      <c r="B391" s="24"/>
      <c r="C391" s="36"/>
      <c r="D391" s="37" t="s">
        <v>8787</v>
      </c>
      <c r="E391" s="38" t="s">
        <v>8789</v>
      </c>
      <c r="F391" s="39"/>
    </row>
    <row r="392" spans="1:6">
      <c r="A392" s="24"/>
      <c r="B392" s="24"/>
      <c r="C392" s="36"/>
      <c r="D392" s="37" t="s">
        <v>8787</v>
      </c>
      <c r="E392" s="38" t="s">
        <v>8823</v>
      </c>
      <c r="F392" s="39"/>
    </row>
    <row r="393" spans="1:6">
      <c r="A393" s="24"/>
      <c r="B393" s="24"/>
      <c r="C393" s="36"/>
      <c r="D393" s="37" t="s">
        <v>8787</v>
      </c>
      <c r="E393" s="38" t="s">
        <v>8824</v>
      </c>
      <c r="F393" s="39"/>
    </row>
    <row r="394" spans="1:6">
      <c r="A394" s="24"/>
      <c r="B394" s="24"/>
      <c r="C394" s="36"/>
      <c r="D394" s="37" t="s">
        <v>8787</v>
      </c>
      <c r="E394" s="38" t="s">
        <v>8825</v>
      </c>
      <c r="F394" s="39"/>
    </row>
    <row r="395" spans="1:6">
      <c r="A395" s="24"/>
      <c r="B395" s="24"/>
      <c r="C395" s="36"/>
      <c r="D395" s="37" t="s">
        <v>8787</v>
      </c>
      <c r="E395" s="38"/>
      <c r="F395" s="39"/>
    </row>
    <row r="396" spans="1:6">
      <c r="A396" s="24" t="s">
        <v>8786</v>
      </c>
      <c r="B396" s="24" t="s">
        <v>3252</v>
      </c>
      <c r="C396" s="36" t="s">
        <v>3253</v>
      </c>
      <c r="D396" s="37" t="s">
        <v>8787</v>
      </c>
      <c r="E396" s="38" t="s">
        <v>8788</v>
      </c>
      <c r="F396" s="39"/>
    </row>
    <row r="397" spans="1:6">
      <c r="A397" s="24"/>
      <c r="B397" s="24"/>
      <c r="C397" s="36"/>
      <c r="D397" s="37" t="s">
        <v>8787</v>
      </c>
      <c r="E397" s="38" t="s">
        <v>8826</v>
      </c>
      <c r="F397" s="39"/>
    </row>
    <row r="398" spans="1:6">
      <c r="A398" s="24"/>
      <c r="B398" s="24"/>
      <c r="C398" s="36"/>
      <c r="D398" s="37" t="s">
        <v>8787</v>
      </c>
      <c r="E398" s="38" t="s">
        <v>8789</v>
      </c>
      <c r="F398" s="39"/>
    </row>
    <row r="399" spans="1:6">
      <c r="A399" s="24"/>
      <c r="B399" s="24"/>
      <c r="C399" s="36"/>
      <c r="D399" s="37" t="s">
        <v>8787</v>
      </c>
      <c r="E399" s="38" t="s">
        <v>8827</v>
      </c>
      <c r="F399" s="39"/>
    </row>
    <row r="400" spans="1:6">
      <c r="A400" s="24"/>
      <c r="B400" s="24"/>
      <c r="C400" s="36"/>
      <c r="D400" s="37" t="s">
        <v>8787</v>
      </c>
      <c r="E400" s="38" t="s">
        <v>8828</v>
      </c>
      <c r="F400" s="39"/>
    </row>
    <row r="401" spans="1:6">
      <c r="A401" s="24"/>
      <c r="B401" s="24"/>
      <c r="C401" s="36"/>
      <c r="D401" s="37" t="s">
        <v>8787</v>
      </c>
      <c r="E401" s="38" t="s">
        <v>8829</v>
      </c>
      <c r="F401" s="39"/>
    </row>
    <row r="402" spans="1:6">
      <c r="A402" s="24"/>
      <c r="B402" s="24"/>
      <c r="C402" s="36"/>
      <c r="D402" s="37" t="s">
        <v>8787</v>
      </c>
      <c r="E402" s="38"/>
      <c r="F402" s="39"/>
    </row>
    <row r="403" spans="1:6">
      <c r="A403" s="24" t="s">
        <v>8786</v>
      </c>
      <c r="B403" s="24" t="s">
        <v>3254</v>
      </c>
      <c r="C403" s="36" t="s">
        <v>3255</v>
      </c>
      <c r="D403" s="37" t="s">
        <v>8787</v>
      </c>
      <c r="E403" s="38" t="s">
        <v>8788</v>
      </c>
      <c r="F403" s="39"/>
    </row>
    <row r="404" spans="1:6">
      <c r="A404" s="24"/>
      <c r="B404" s="24"/>
      <c r="C404" s="36"/>
      <c r="D404" s="37" t="s">
        <v>8787</v>
      </c>
      <c r="E404" s="38" t="s">
        <v>8830</v>
      </c>
      <c r="F404" s="39"/>
    </row>
    <row r="405" spans="1:6">
      <c r="A405" s="24"/>
      <c r="B405" s="24"/>
      <c r="C405" s="36"/>
      <c r="D405" s="37" t="s">
        <v>8787</v>
      </c>
      <c r="E405" s="38" t="s">
        <v>8831</v>
      </c>
      <c r="F405" s="39"/>
    </row>
    <row r="406" spans="1:6">
      <c r="A406" s="24"/>
      <c r="B406" s="24"/>
      <c r="C406" s="36"/>
      <c r="D406" s="37" t="s">
        <v>8787</v>
      </c>
      <c r="E406" s="38" t="s">
        <v>8832</v>
      </c>
      <c r="F406" s="39"/>
    </row>
    <row r="407" spans="1:6">
      <c r="A407" s="24"/>
      <c r="B407" s="24"/>
      <c r="C407" s="36"/>
      <c r="D407" s="37" t="s">
        <v>8787</v>
      </c>
      <c r="E407" s="38" t="s">
        <v>8833</v>
      </c>
      <c r="F407" s="39"/>
    </row>
    <row r="408" spans="1:6">
      <c r="A408" s="24"/>
      <c r="B408" s="24"/>
      <c r="C408" s="36"/>
      <c r="D408" s="37" t="s">
        <v>8787</v>
      </c>
      <c r="E408" s="38" t="s">
        <v>8834</v>
      </c>
      <c r="F408" s="39"/>
    </row>
    <row r="409" spans="1:6">
      <c r="A409" s="24"/>
      <c r="B409" s="24"/>
      <c r="C409" s="36"/>
      <c r="D409" s="37" t="s">
        <v>8787</v>
      </c>
      <c r="E409" s="38"/>
      <c r="F409" s="39"/>
    </row>
    <row r="410" spans="1:6">
      <c r="A410" s="24" t="s">
        <v>3258</v>
      </c>
      <c r="B410" s="24" t="s">
        <v>3256</v>
      </c>
      <c r="C410" s="36" t="s">
        <v>3257</v>
      </c>
      <c r="D410" s="37" t="s">
        <v>8787</v>
      </c>
      <c r="E410" s="38" t="s">
        <v>8835</v>
      </c>
      <c r="F410" s="39"/>
    </row>
    <row r="411" spans="1:6">
      <c r="A411" s="24"/>
      <c r="B411" s="24"/>
      <c r="C411" s="36"/>
      <c r="D411" s="37" t="s">
        <v>8787</v>
      </c>
      <c r="E411" s="38" t="s">
        <v>8836</v>
      </c>
      <c r="F411" s="39"/>
    </row>
    <row r="412" spans="1:6">
      <c r="A412" s="24"/>
      <c r="B412" s="24"/>
      <c r="C412" s="36"/>
      <c r="D412" s="37" t="s">
        <v>8787</v>
      </c>
      <c r="E412" s="38" t="s">
        <v>8837</v>
      </c>
      <c r="F412" s="39"/>
    </row>
    <row r="413" spans="1:6">
      <c r="A413" s="24"/>
      <c r="B413" s="24"/>
      <c r="C413" s="36"/>
      <c r="D413" s="37" t="s">
        <v>8787</v>
      </c>
      <c r="E413" s="38" t="s">
        <v>8838</v>
      </c>
      <c r="F413" s="39"/>
    </row>
    <row r="414" spans="1:6">
      <c r="A414" s="24"/>
      <c r="B414" s="24"/>
      <c r="C414" s="36"/>
      <c r="D414" s="37" t="s">
        <v>8787</v>
      </c>
      <c r="E414" s="38" t="s">
        <v>8839</v>
      </c>
      <c r="F414" s="39"/>
    </row>
    <row r="415" spans="1:6">
      <c r="A415" s="24"/>
      <c r="B415" s="24"/>
      <c r="C415" s="36"/>
      <c r="D415" s="37" t="s">
        <v>8787</v>
      </c>
      <c r="E415" s="38" t="s">
        <v>8840</v>
      </c>
      <c r="F415" s="39"/>
    </row>
    <row r="416" spans="1:6">
      <c r="A416" s="24"/>
      <c r="B416" s="24"/>
      <c r="C416" s="36"/>
      <c r="D416" s="37" t="s">
        <v>8787</v>
      </c>
      <c r="E416" s="38"/>
      <c r="F416" s="39"/>
    </row>
    <row r="417" spans="1:6">
      <c r="A417" s="24" t="s">
        <v>3258</v>
      </c>
      <c r="B417" s="24" t="s">
        <v>3259</v>
      </c>
      <c r="C417" s="36" t="s">
        <v>3260</v>
      </c>
      <c r="D417" s="37" t="s">
        <v>8787</v>
      </c>
      <c r="E417" s="38" t="s">
        <v>8835</v>
      </c>
      <c r="F417" s="39" t="s">
        <v>8841</v>
      </c>
    </row>
    <row r="418" spans="1:6">
      <c r="A418" s="24"/>
      <c r="B418" s="24"/>
      <c r="C418" s="36"/>
      <c r="D418" s="37" t="s">
        <v>8787</v>
      </c>
      <c r="E418" s="38" t="s">
        <v>8842</v>
      </c>
      <c r="F418" s="39"/>
    </row>
    <row r="419" spans="1:6">
      <c r="A419" s="24"/>
      <c r="B419" s="24"/>
      <c r="C419" s="36"/>
      <c r="D419" s="37" t="s">
        <v>8787</v>
      </c>
      <c r="E419" s="38" t="s">
        <v>8843</v>
      </c>
      <c r="F419" s="39"/>
    </row>
    <row r="420" spans="1:6">
      <c r="A420" s="24"/>
      <c r="B420" s="24"/>
      <c r="C420" s="36"/>
      <c r="D420" s="37" t="s">
        <v>8787</v>
      </c>
      <c r="E420" s="38" t="s">
        <v>8565</v>
      </c>
      <c r="F420" s="39"/>
    </row>
    <row r="421" spans="1:6">
      <c r="A421" s="24"/>
      <c r="B421" s="24"/>
      <c r="C421" s="36"/>
      <c r="D421" s="37" t="s">
        <v>8787</v>
      </c>
      <c r="E421" s="38" t="s">
        <v>8844</v>
      </c>
      <c r="F421" s="39"/>
    </row>
    <row r="422" spans="1:6">
      <c r="A422" s="24"/>
      <c r="B422" s="24"/>
      <c r="C422" s="36"/>
      <c r="D422" s="37" t="s">
        <v>8787</v>
      </c>
      <c r="E422" s="38" t="s">
        <v>8845</v>
      </c>
      <c r="F422" s="39"/>
    </row>
    <row r="423" spans="1:6">
      <c r="A423" s="24"/>
      <c r="B423" s="24"/>
      <c r="C423" s="36"/>
      <c r="D423" s="37" t="s">
        <v>8787</v>
      </c>
      <c r="E423" s="38"/>
      <c r="F423" s="39"/>
    </row>
    <row r="424" spans="1:6">
      <c r="A424" s="24" t="s">
        <v>3258</v>
      </c>
      <c r="B424" s="24" t="s">
        <v>3261</v>
      </c>
      <c r="C424" s="36" t="s">
        <v>3262</v>
      </c>
      <c r="D424" s="37" t="s">
        <v>8787</v>
      </c>
      <c r="E424" s="38" t="s">
        <v>8846</v>
      </c>
      <c r="F424" s="39"/>
    </row>
    <row r="425" spans="1:6">
      <c r="A425" s="24"/>
      <c r="B425" s="24"/>
      <c r="C425" s="36"/>
      <c r="D425" s="37" t="s">
        <v>8787</v>
      </c>
      <c r="E425" s="38" t="s">
        <v>8847</v>
      </c>
      <c r="F425" s="39"/>
    </row>
    <row r="426" spans="1:6">
      <c r="A426" s="24"/>
      <c r="B426" s="24"/>
      <c r="C426" s="36"/>
      <c r="D426" s="37" t="s">
        <v>8787</v>
      </c>
      <c r="E426" s="38" t="s">
        <v>8848</v>
      </c>
      <c r="F426" s="39"/>
    </row>
    <row r="427" spans="1:6">
      <c r="A427" s="24"/>
      <c r="B427" s="24"/>
      <c r="C427" s="36"/>
      <c r="D427" s="37" t="s">
        <v>8787</v>
      </c>
      <c r="E427" s="38" t="s">
        <v>8849</v>
      </c>
      <c r="F427" s="39"/>
    </row>
    <row r="428" spans="1:6">
      <c r="A428" s="24"/>
      <c r="B428" s="24"/>
      <c r="C428" s="36"/>
      <c r="D428" s="37" t="s">
        <v>8787</v>
      </c>
      <c r="E428" s="38" t="s">
        <v>8850</v>
      </c>
      <c r="F428" s="39"/>
    </row>
    <row r="429" spans="1:6">
      <c r="A429" s="24"/>
      <c r="B429" s="24"/>
      <c r="C429" s="36"/>
      <c r="D429" s="37" t="s">
        <v>8787</v>
      </c>
      <c r="E429" s="38" t="s">
        <v>8851</v>
      </c>
      <c r="F429" s="39"/>
    </row>
    <row r="430" spans="1:6">
      <c r="A430" s="24"/>
      <c r="B430" s="24"/>
      <c r="C430" s="36"/>
      <c r="D430" s="37" t="s">
        <v>8787</v>
      </c>
      <c r="E430" s="38"/>
      <c r="F430" s="39"/>
    </row>
    <row r="431" spans="1:6">
      <c r="A431" s="24" t="s">
        <v>3258</v>
      </c>
      <c r="B431" s="24" t="s">
        <v>3263</v>
      </c>
      <c r="C431" s="36" t="s">
        <v>3264</v>
      </c>
      <c r="D431" s="37" t="s">
        <v>8787</v>
      </c>
      <c r="E431" s="38" t="s">
        <v>8846</v>
      </c>
      <c r="F431" s="39"/>
    </row>
    <row r="432" spans="1:6">
      <c r="A432" s="24"/>
      <c r="B432" s="24"/>
      <c r="C432" s="36"/>
      <c r="D432" s="37" t="s">
        <v>8787</v>
      </c>
      <c r="E432" s="38" t="s">
        <v>8852</v>
      </c>
      <c r="F432" s="39"/>
    </row>
    <row r="433" spans="1:6">
      <c r="A433" s="24"/>
      <c r="B433" s="24"/>
      <c r="C433" s="36"/>
      <c r="D433" s="37" t="s">
        <v>8787</v>
      </c>
      <c r="E433" s="38" t="s">
        <v>8853</v>
      </c>
      <c r="F433" s="39"/>
    </row>
    <row r="434" spans="1:6">
      <c r="A434" s="24"/>
      <c r="B434" s="24"/>
      <c r="C434" s="36"/>
      <c r="D434" s="37" t="s">
        <v>8787</v>
      </c>
      <c r="E434" s="38" t="s">
        <v>8854</v>
      </c>
      <c r="F434" s="39"/>
    </row>
    <row r="435" spans="1:6">
      <c r="A435" s="24"/>
      <c r="B435" s="24"/>
      <c r="C435" s="36"/>
      <c r="D435" s="37" t="s">
        <v>8787</v>
      </c>
      <c r="E435" s="38" t="s">
        <v>8855</v>
      </c>
      <c r="F435" s="39"/>
    </row>
    <row r="436" spans="1:6">
      <c r="A436" s="24"/>
      <c r="B436" s="24"/>
      <c r="C436" s="36"/>
      <c r="D436" s="37" t="s">
        <v>8787</v>
      </c>
      <c r="E436" s="38" t="s">
        <v>8856</v>
      </c>
      <c r="F436" s="39"/>
    </row>
    <row r="437" spans="1:6">
      <c r="A437" s="24"/>
      <c r="B437" s="24"/>
      <c r="C437" s="36"/>
      <c r="D437" s="37" t="s">
        <v>8787</v>
      </c>
      <c r="E437" s="38"/>
      <c r="F437" s="39"/>
    </row>
    <row r="438" spans="1:6">
      <c r="A438" s="24" t="s">
        <v>3258</v>
      </c>
      <c r="B438" s="24" t="s">
        <v>3265</v>
      </c>
      <c r="C438" s="36" t="s">
        <v>3266</v>
      </c>
      <c r="D438" s="37" t="s">
        <v>8787</v>
      </c>
      <c r="E438" s="38" t="s">
        <v>8846</v>
      </c>
      <c r="F438" s="39"/>
    </row>
    <row r="439" spans="1:6">
      <c r="A439" s="24"/>
      <c r="B439" s="24"/>
      <c r="C439" s="36"/>
      <c r="D439" s="37" t="s">
        <v>8787</v>
      </c>
      <c r="E439" s="38" t="s">
        <v>8857</v>
      </c>
      <c r="F439" s="39"/>
    </row>
    <row r="440" spans="1:6">
      <c r="A440" s="24"/>
      <c r="B440" s="24"/>
      <c r="C440" s="36"/>
      <c r="D440" s="37" t="s">
        <v>8787</v>
      </c>
      <c r="E440" s="38" t="s">
        <v>8858</v>
      </c>
      <c r="F440" s="39"/>
    </row>
    <row r="441" spans="1:6">
      <c r="A441" s="24"/>
      <c r="B441" s="24"/>
      <c r="C441" s="36"/>
      <c r="D441" s="37" t="s">
        <v>8787</v>
      </c>
      <c r="E441" s="38" t="s">
        <v>8859</v>
      </c>
      <c r="F441" s="39"/>
    </row>
    <row r="442" spans="1:6">
      <c r="A442" s="24"/>
      <c r="B442" s="24"/>
      <c r="C442" s="36"/>
      <c r="D442" s="37" t="s">
        <v>8787</v>
      </c>
      <c r="E442" s="38" t="s">
        <v>8635</v>
      </c>
      <c r="F442" s="39"/>
    </row>
    <row r="443" spans="1:6">
      <c r="A443" s="24"/>
      <c r="B443" s="24"/>
      <c r="C443" s="36"/>
      <c r="D443" s="37" t="s">
        <v>8787</v>
      </c>
      <c r="E443" s="38" t="s">
        <v>8860</v>
      </c>
      <c r="F443" s="39"/>
    </row>
    <row r="444" spans="1:6">
      <c r="A444" s="24"/>
      <c r="B444" s="24"/>
      <c r="C444" s="36"/>
      <c r="D444" s="37" t="s">
        <v>8787</v>
      </c>
      <c r="E444" s="38"/>
      <c r="F444" s="39"/>
    </row>
    <row r="445" spans="1:6">
      <c r="A445" s="24" t="s">
        <v>3258</v>
      </c>
      <c r="B445" s="24" t="s">
        <v>3267</v>
      </c>
      <c r="C445" s="36" t="s">
        <v>3268</v>
      </c>
      <c r="D445" s="37" t="s">
        <v>8787</v>
      </c>
      <c r="E445" s="38" t="s">
        <v>8846</v>
      </c>
      <c r="F445" s="39"/>
    </row>
    <row r="446" spans="1:6">
      <c r="A446" s="24"/>
      <c r="B446" s="24"/>
      <c r="C446" s="36"/>
      <c r="D446" s="37" t="s">
        <v>8787</v>
      </c>
      <c r="E446" s="38" t="s">
        <v>8861</v>
      </c>
      <c r="F446" s="39"/>
    </row>
    <row r="447" spans="1:6">
      <c r="A447" s="24"/>
      <c r="B447" s="24"/>
      <c r="C447" s="36"/>
      <c r="D447" s="37" t="s">
        <v>8787</v>
      </c>
      <c r="E447" s="38" t="s">
        <v>8862</v>
      </c>
      <c r="F447" s="39"/>
    </row>
    <row r="448" spans="1:6">
      <c r="A448" s="24"/>
      <c r="B448" s="24"/>
      <c r="C448" s="36"/>
      <c r="D448" s="37" t="s">
        <v>8787</v>
      </c>
      <c r="E448" s="38" t="s">
        <v>8863</v>
      </c>
      <c r="F448" s="39"/>
    </row>
    <row r="449" spans="1:6">
      <c r="A449" s="24"/>
      <c r="B449" s="24"/>
      <c r="C449" s="36"/>
      <c r="D449" s="37" t="s">
        <v>8787</v>
      </c>
      <c r="E449" s="38" t="s">
        <v>8864</v>
      </c>
      <c r="F449" s="39"/>
    </row>
    <row r="450" spans="1:6">
      <c r="A450" s="24"/>
      <c r="B450" s="24"/>
      <c r="C450" s="36"/>
      <c r="D450" s="37" t="s">
        <v>8787</v>
      </c>
      <c r="E450" s="38" t="s">
        <v>8865</v>
      </c>
      <c r="F450" s="39"/>
    </row>
    <row r="451" spans="1:6">
      <c r="A451" s="24"/>
      <c r="B451" s="24"/>
      <c r="C451" s="36"/>
      <c r="D451" s="37" t="s">
        <v>8787</v>
      </c>
      <c r="E451" s="38"/>
      <c r="F451" s="39"/>
    </row>
    <row r="452" spans="1:6">
      <c r="A452" s="24" t="s">
        <v>3258</v>
      </c>
      <c r="B452" s="24" t="s">
        <v>3269</v>
      </c>
      <c r="C452" s="36" t="s">
        <v>3270</v>
      </c>
      <c r="D452" s="37" t="s">
        <v>8787</v>
      </c>
      <c r="E452" s="38" t="s">
        <v>8846</v>
      </c>
      <c r="F452" s="39"/>
    </row>
    <row r="453" spans="1:6">
      <c r="A453" s="24"/>
      <c r="B453" s="24"/>
      <c r="C453" s="36"/>
      <c r="D453" s="37" t="s">
        <v>8787</v>
      </c>
      <c r="E453" s="38" t="s">
        <v>8866</v>
      </c>
      <c r="F453" s="39"/>
    </row>
    <row r="454" spans="1:6">
      <c r="A454" s="24"/>
      <c r="B454" s="24"/>
      <c r="C454" s="36"/>
      <c r="D454" s="37" t="s">
        <v>8787</v>
      </c>
      <c r="E454" s="38" t="s">
        <v>8867</v>
      </c>
      <c r="F454" s="39"/>
    </row>
    <row r="455" spans="1:6">
      <c r="A455" s="24"/>
      <c r="B455" s="24"/>
      <c r="C455" s="36"/>
      <c r="D455" s="37" t="s">
        <v>8787</v>
      </c>
      <c r="E455" s="38" t="s">
        <v>8868</v>
      </c>
      <c r="F455" s="39"/>
    </row>
    <row r="456" spans="1:6">
      <c r="A456" s="24"/>
      <c r="B456" s="24"/>
      <c r="C456" s="36"/>
      <c r="D456" s="37" t="s">
        <v>8787</v>
      </c>
      <c r="E456" s="38" t="s">
        <v>8728</v>
      </c>
      <c r="F456" s="39"/>
    </row>
    <row r="457" spans="1:6">
      <c r="A457" s="24"/>
      <c r="B457" s="24"/>
      <c r="C457" s="36"/>
      <c r="D457" s="37" t="s">
        <v>8787</v>
      </c>
      <c r="E457" s="38" t="s">
        <v>8869</v>
      </c>
      <c r="F457" s="39"/>
    </row>
    <row r="458" spans="1:6">
      <c r="A458" s="24"/>
      <c r="B458" s="24"/>
      <c r="C458" s="36"/>
      <c r="D458" s="37" t="s">
        <v>8787</v>
      </c>
      <c r="E458" s="38"/>
      <c r="F458" s="39"/>
    </row>
    <row r="459" spans="1:6">
      <c r="A459" s="24" t="s">
        <v>3258</v>
      </c>
      <c r="B459" s="24" t="s">
        <v>3271</v>
      </c>
      <c r="C459" s="36" t="s">
        <v>3272</v>
      </c>
      <c r="D459" s="37" t="s">
        <v>8787</v>
      </c>
      <c r="E459" s="38" t="s">
        <v>8846</v>
      </c>
      <c r="F459" s="39" t="s">
        <v>8870</v>
      </c>
    </row>
    <row r="460" spans="1:6">
      <c r="A460" s="24"/>
      <c r="B460" s="24"/>
      <c r="C460" s="36"/>
      <c r="D460" s="37" t="s">
        <v>8787</v>
      </c>
      <c r="E460" s="38" t="s">
        <v>8871</v>
      </c>
      <c r="F460" s="39"/>
    </row>
    <row r="461" spans="1:6">
      <c r="A461" s="24"/>
      <c r="B461" s="24"/>
      <c r="C461" s="36"/>
      <c r="D461" s="37" t="s">
        <v>8787</v>
      </c>
      <c r="E461" s="38" t="s">
        <v>8872</v>
      </c>
      <c r="F461" s="39"/>
    </row>
    <row r="462" spans="1:6">
      <c r="A462" s="24"/>
      <c r="B462" s="24"/>
      <c r="C462" s="36"/>
      <c r="D462" s="37" t="s">
        <v>8787</v>
      </c>
      <c r="E462" s="38" t="s">
        <v>8873</v>
      </c>
      <c r="F462" s="39"/>
    </row>
    <row r="463" spans="1:6">
      <c r="A463" s="24"/>
      <c r="B463" s="24"/>
      <c r="C463" s="36"/>
      <c r="D463" s="37" t="s">
        <v>8787</v>
      </c>
      <c r="E463" s="38" t="s">
        <v>8874</v>
      </c>
      <c r="F463" s="39"/>
    </row>
    <row r="464" spans="1:6">
      <c r="A464" s="24"/>
      <c r="B464" s="24"/>
      <c r="C464" s="36"/>
      <c r="D464" s="37" t="s">
        <v>8787</v>
      </c>
      <c r="E464" s="38" t="s">
        <v>8875</v>
      </c>
      <c r="F464" s="39"/>
    </row>
    <row r="465" spans="1:6">
      <c r="A465" s="24"/>
      <c r="B465" s="24"/>
      <c r="C465" s="36"/>
      <c r="D465" s="37" t="s">
        <v>8787</v>
      </c>
      <c r="E465" s="38"/>
      <c r="F465" s="39"/>
    </row>
    <row r="466" spans="1:6">
      <c r="A466" s="24" t="s">
        <v>3258</v>
      </c>
      <c r="B466" s="24" t="s">
        <v>3273</v>
      </c>
      <c r="C466" s="36" t="s">
        <v>3274</v>
      </c>
      <c r="D466" s="37" t="s">
        <v>8787</v>
      </c>
      <c r="E466" s="38" t="s">
        <v>8846</v>
      </c>
      <c r="F466" s="39"/>
    </row>
    <row r="467" spans="1:6">
      <c r="A467" s="24"/>
      <c r="B467" s="24"/>
      <c r="C467" s="36"/>
      <c r="D467" s="37" t="s">
        <v>8787</v>
      </c>
      <c r="E467" s="38" t="s">
        <v>8876</v>
      </c>
      <c r="F467" s="39"/>
    </row>
    <row r="468" spans="1:6">
      <c r="A468" s="24"/>
      <c r="B468" s="24"/>
      <c r="C468" s="36"/>
      <c r="D468" s="37" t="s">
        <v>8787</v>
      </c>
      <c r="E468" s="38" t="s">
        <v>8877</v>
      </c>
      <c r="F468" s="39"/>
    </row>
    <row r="469" spans="1:6">
      <c r="A469" s="24"/>
      <c r="B469" s="24"/>
      <c r="C469" s="36"/>
      <c r="D469" s="37" t="s">
        <v>8787</v>
      </c>
      <c r="E469" s="38" t="s">
        <v>8878</v>
      </c>
      <c r="F469" s="39"/>
    </row>
    <row r="470" spans="1:6">
      <c r="A470" s="24"/>
      <c r="B470" s="24"/>
      <c r="C470" s="36"/>
      <c r="D470" s="37" t="s">
        <v>8787</v>
      </c>
      <c r="E470" s="38" t="s">
        <v>8879</v>
      </c>
      <c r="F470" s="39"/>
    </row>
    <row r="471" spans="1:6">
      <c r="A471" s="24"/>
      <c r="B471" s="24"/>
      <c r="C471" s="36"/>
      <c r="D471" s="37" t="s">
        <v>8787</v>
      </c>
      <c r="E471" s="38" t="s">
        <v>8880</v>
      </c>
      <c r="F471" s="39"/>
    </row>
    <row r="472" spans="1:6">
      <c r="A472" s="24"/>
      <c r="B472" s="24"/>
      <c r="C472" s="36"/>
      <c r="D472" s="37" t="s">
        <v>8787</v>
      </c>
      <c r="E472" s="38"/>
      <c r="F472" s="39"/>
    </row>
    <row r="473" spans="1:6">
      <c r="A473" s="24" t="s">
        <v>3258</v>
      </c>
      <c r="B473" s="24" t="s">
        <v>3275</v>
      </c>
      <c r="C473" s="36" t="s">
        <v>3276</v>
      </c>
      <c r="D473" s="37" t="s">
        <v>8787</v>
      </c>
      <c r="E473" s="38" t="s">
        <v>8846</v>
      </c>
      <c r="F473" s="39" t="s">
        <v>8881</v>
      </c>
    </row>
    <row r="474" spans="1:6">
      <c r="A474" s="24"/>
      <c r="B474" s="24"/>
      <c r="C474" s="36"/>
      <c r="D474" s="37" t="s">
        <v>8787</v>
      </c>
      <c r="E474" s="38" t="s">
        <v>8882</v>
      </c>
      <c r="F474" s="39"/>
    </row>
    <row r="475" spans="1:6">
      <c r="A475" s="24"/>
      <c r="B475" s="24"/>
      <c r="C475" s="36"/>
      <c r="D475" s="37" t="s">
        <v>8787</v>
      </c>
      <c r="E475" s="38" t="s">
        <v>8883</v>
      </c>
      <c r="F475" s="39"/>
    </row>
    <row r="476" spans="1:6">
      <c r="A476" s="24"/>
      <c r="B476" s="24"/>
      <c r="C476" s="36"/>
      <c r="D476" s="37" t="s">
        <v>8787</v>
      </c>
      <c r="E476" s="38" t="s">
        <v>8884</v>
      </c>
      <c r="F476" s="39"/>
    </row>
    <row r="477" spans="1:6">
      <c r="A477" s="24"/>
      <c r="B477" s="24"/>
      <c r="C477" s="36"/>
      <c r="D477" s="37" t="s">
        <v>8787</v>
      </c>
      <c r="E477" s="38" t="s">
        <v>8885</v>
      </c>
      <c r="F477" s="39"/>
    </row>
    <row r="478" spans="1:6">
      <c r="A478" s="24"/>
      <c r="B478" s="24"/>
      <c r="C478" s="36"/>
      <c r="D478" s="37" t="s">
        <v>8787</v>
      </c>
      <c r="E478" s="38" t="s">
        <v>8886</v>
      </c>
      <c r="F478" s="39"/>
    </row>
    <row r="479" spans="1:6">
      <c r="A479" s="24"/>
      <c r="B479" s="24"/>
      <c r="C479" s="36"/>
      <c r="D479" s="37" t="s">
        <v>8787</v>
      </c>
      <c r="E479" s="38"/>
      <c r="F479" s="39"/>
    </row>
    <row r="480" spans="1:6">
      <c r="A480" s="24" t="s">
        <v>3258</v>
      </c>
      <c r="B480" s="24" t="s">
        <v>3277</v>
      </c>
      <c r="C480" s="36" t="s">
        <v>3278</v>
      </c>
      <c r="D480" s="37" t="s">
        <v>8787</v>
      </c>
      <c r="E480" s="38" t="s">
        <v>8846</v>
      </c>
      <c r="F480" s="39" t="s">
        <v>8887</v>
      </c>
    </row>
    <row r="481" spans="1:6">
      <c r="A481" s="24"/>
      <c r="B481" s="24"/>
      <c r="C481" s="36"/>
      <c r="D481" s="37" t="s">
        <v>8787</v>
      </c>
      <c r="E481" s="38" t="s">
        <v>8888</v>
      </c>
      <c r="F481" s="39"/>
    </row>
    <row r="482" spans="1:6">
      <c r="A482" s="24"/>
      <c r="B482" s="24"/>
      <c r="C482" s="36"/>
      <c r="D482" s="37" t="s">
        <v>8787</v>
      </c>
      <c r="E482" s="38" t="s">
        <v>8889</v>
      </c>
      <c r="F482" s="39"/>
    </row>
    <row r="483" spans="1:6">
      <c r="A483" s="24"/>
      <c r="B483" s="24"/>
      <c r="C483" s="36"/>
      <c r="D483" s="37" t="s">
        <v>8787</v>
      </c>
      <c r="E483" s="38" t="s">
        <v>8890</v>
      </c>
      <c r="F483" s="39"/>
    </row>
    <row r="484" spans="1:6">
      <c r="A484" s="24"/>
      <c r="B484" s="24"/>
      <c r="C484" s="36"/>
      <c r="D484" s="37" t="s">
        <v>8787</v>
      </c>
      <c r="E484" s="38" t="s">
        <v>8891</v>
      </c>
      <c r="F484" s="39"/>
    </row>
    <row r="485" spans="1:6">
      <c r="A485" s="24"/>
      <c r="B485" s="24"/>
      <c r="C485" s="36"/>
      <c r="D485" s="37" t="s">
        <v>8787</v>
      </c>
      <c r="E485" s="38" t="s">
        <v>8892</v>
      </c>
      <c r="F485" s="39"/>
    </row>
    <row r="486" spans="1:6">
      <c r="A486" s="24"/>
      <c r="B486" s="24"/>
      <c r="C486" s="36"/>
      <c r="D486" s="37" t="s">
        <v>8787</v>
      </c>
      <c r="E486" s="38"/>
      <c r="F486" s="39"/>
    </row>
  </sheetData>
  <autoFilter xmlns:etc="http://www.wps.cn/officeDocument/2017/etCustomData" ref="A1:A486" etc:filterBottomFollowUsedRange="0">
    <extLst/>
  </autoFilter>
  <mergeCells count="316">
    <mergeCell ref="A2:A6"/>
    <mergeCell ref="A7:A11"/>
    <mergeCell ref="A12:A16"/>
    <mergeCell ref="A17:A22"/>
    <mergeCell ref="A23:A28"/>
    <mergeCell ref="A29:A35"/>
    <mergeCell ref="A36:A41"/>
    <mergeCell ref="A42:A46"/>
    <mergeCell ref="A47:A53"/>
    <mergeCell ref="A54:A59"/>
    <mergeCell ref="A60:A65"/>
    <mergeCell ref="A66:A71"/>
    <mergeCell ref="A72:A77"/>
    <mergeCell ref="A78:A83"/>
    <mergeCell ref="A84:A89"/>
    <mergeCell ref="A90:A96"/>
    <mergeCell ref="A97:A103"/>
    <mergeCell ref="A104:A110"/>
    <mergeCell ref="A111:A117"/>
    <mergeCell ref="A118:A123"/>
    <mergeCell ref="A124:A128"/>
    <mergeCell ref="A129:A132"/>
    <mergeCell ref="A133:A137"/>
    <mergeCell ref="A138:A143"/>
    <mergeCell ref="A144:A149"/>
    <mergeCell ref="A150:A155"/>
    <mergeCell ref="A156:A161"/>
    <mergeCell ref="A162:A167"/>
    <mergeCell ref="A168:A173"/>
    <mergeCell ref="A174:A179"/>
    <mergeCell ref="A180:A184"/>
    <mergeCell ref="A185:A191"/>
    <mergeCell ref="A192:A197"/>
    <mergeCell ref="A198:A204"/>
    <mergeCell ref="A205:A210"/>
    <mergeCell ref="A211:A217"/>
    <mergeCell ref="A218:A223"/>
    <mergeCell ref="A224:A229"/>
    <mergeCell ref="A230:A234"/>
    <mergeCell ref="A235:A240"/>
    <mergeCell ref="A241:A246"/>
    <mergeCell ref="A247:A252"/>
    <mergeCell ref="A253:A257"/>
    <mergeCell ref="A258:A263"/>
    <mergeCell ref="A264:A270"/>
    <mergeCell ref="A271:A276"/>
    <mergeCell ref="A277:A281"/>
    <mergeCell ref="A282:A288"/>
    <mergeCell ref="A289:A294"/>
    <mergeCell ref="A295:A301"/>
    <mergeCell ref="A302:A307"/>
    <mergeCell ref="A308:A314"/>
    <mergeCell ref="A315:A321"/>
    <mergeCell ref="A322:A327"/>
    <mergeCell ref="A328:A332"/>
    <mergeCell ref="A333:A339"/>
    <mergeCell ref="A340:A346"/>
    <mergeCell ref="A347:A353"/>
    <mergeCell ref="A354:A360"/>
    <mergeCell ref="A361:A367"/>
    <mergeCell ref="A368:A374"/>
    <mergeCell ref="A375:A381"/>
    <mergeCell ref="A382:A388"/>
    <mergeCell ref="A389:A395"/>
    <mergeCell ref="A396:A402"/>
    <mergeCell ref="A403:A409"/>
    <mergeCell ref="A410:A416"/>
    <mergeCell ref="A417:A423"/>
    <mergeCell ref="A424:A430"/>
    <mergeCell ref="A431:A437"/>
    <mergeCell ref="A438:A444"/>
    <mergeCell ref="A445:A451"/>
    <mergeCell ref="A452:A458"/>
    <mergeCell ref="A459:A465"/>
    <mergeCell ref="A466:A472"/>
    <mergeCell ref="A473:A479"/>
    <mergeCell ref="A480:A486"/>
    <mergeCell ref="B2:B6"/>
    <mergeCell ref="B7:B11"/>
    <mergeCell ref="B12:B16"/>
    <mergeCell ref="B17:B22"/>
    <mergeCell ref="B23:B28"/>
    <mergeCell ref="B29:B35"/>
    <mergeCell ref="B36:B41"/>
    <mergeCell ref="B42:B46"/>
    <mergeCell ref="B47:B53"/>
    <mergeCell ref="B54:B59"/>
    <mergeCell ref="B60:B65"/>
    <mergeCell ref="B66:B71"/>
    <mergeCell ref="B72:B77"/>
    <mergeCell ref="B78:B83"/>
    <mergeCell ref="B84:B89"/>
    <mergeCell ref="B90:B96"/>
    <mergeCell ref="B97:B103"/>
    <mergeCell ref="B104:B110"/>
    <mergeCell ref="B111:B117"/>
    <mergeCell ref="B118:B123"/>
    <mergeCell ref="B124:B128"/>
    <mergeCell ref="B129:B132"/>
    <mergeCell ref="B133:B137"/>
    <mergeCell ref="B138:B143"/>
    <mergeCell ref="B144:B149"/>
    <mergeCell ref="B150:B155"/>
    <mergeCell ref="B156:B161"/>
    <mergeCell ref="B162:B167"/>
    <mergeCell ref="B168:B173"/>
    <mergeCell ref="B174:B179"/>
    <mergeCell ref="B180:B184"/>
    <mergeCell ref="B185:B191"/>
    <mergeCell ref="B192:B197"/>
    <mergeCell ref="B198:B204"/>
    <mergeCell ref="B205:B210"/>
    <mergeCell ref="B211:B217"/>
    <mergeCell ref="B218:B223"/>
    <mergeCell ref="B224:B229"/>
    <mergeCell ref="B230:B234"/>
    <mergeCell ref="B235:B240"/>
    <mergeCell ref="B241:B246"/>
    <mergeCell ref="B247:B252"/>
    <mergeCell ref="B253:B257"/>
    <mergeCell ref="B258:B263"/>
    <mergeCell ref="B264:B270"/>
    <mergeCell ref="B271:B276"/>
    <mergeCell ref="B277:B281"/>
    <mergeCell ref="B282:B288"/>
    <mergeCell ref="B289:B294"/>
    <mergeCell ref="B295:B301"/>
    <mergeCell ref="B302:B307"/>
    <mergeCell ref="B308:B314"/>
    <mergeCell ref="B315:B321"/>
    <mergeCell ref="B322:B327"/>
    <mergeCell ref="B328:B332"/>
    <mergeCell ref="B333:B339"/>
    <mergeCell ref="B340:B346"/>
    <mergeCell ref="B347:B353"/>
    <mergeCell ref="B354:B360"/>
    <mergeCell ref="B361:B367"/>
    <mergeCell ref="B368:B374"/>
    <mergeCell ref="B375:B381"/>
    <mergeCell ref="B382:B388"/>
    <mergeCell ref="B389:B395"/>
    <mergeCell ref="B396:B402"/>
    <mergeCell ref="B403:B409"/>
    <mergeCell ref="B410:B416"/>
    <mergeCell ref="B417:B423"/>
    <mergeCell ref="B424:B430"/>
    <mergeCell ref="B431:B437"/>
    <mergeCell ref="B438:B444"/>
    <mergeCell ref="B445:B451"/>
    <mergeCell ref="B452:B458"/>
    <mergeCell ref="B459:B465"/>
    <mergeCell ref="B466:B472"/>
    <mergeCell ref="B473:B479"/>
    <mergeCell ref="B480:B486"/>
    <mergeCell ref="C2:C6"/>
    <mergeCell ref="C7:C11"/>
    <mergeCell ref="C12:C16"/>
    <mergeCell ref="C17:C22"/>
    <mergeCell ref="C23:C28"/>
    <mergeCell ref="C29:C35"/>
    <mergeCell ref="C36:C41"/>
    <mergeCell ref="C42:C46"/>
    <mergeCell ref="C47:C53"/>
    <mergeCell ref="C54:C59"/>
    <mergeCell ref="C60:C65"/>
    <mergeCell ref="C66:C71"/>
    <mergeCell ref="C72:C77"/>
    <mergeCell ref="C78:C83"/>
    <mergeCell ref="C84:C89"/>
    <mergeCell ref="C90:C96"/>
    <mergeCell ref="C97:C103"/>
    <mergeCell ref="C104:C110"/>
    <mergeCell ref="C111:C117"/>
    <mergeCell ref="C118:C123"/>
    <mergeCell ref="C124:C128"/>
    <mergeCell ref="C129:C132"/>
    <mergeCell ref="C133:C137"/>
    <mergeCell ref="C138:C143"/>
    <mergeCell ref="C144:C149"/>
    <mergeCell ref="C150:C155"/>
    <mergeCell ref="C156:C161"/>
    <mergeCell ref="C162:C167"/>
    <mergeCell ref="C168:C173"/>
    <mergeCell ref="C174:C179"/>
    <mergeCell ref="C180:C184"/>
    <mergeCell ref="C185:C191"/>
    <mergeCell ref="C192:C197"/>
    <mergeCell ref="C198:C204"/>
    <mergeCell ref="C205:C210"/>
    <mergeCell ref="C211:C217"/>
    <mergeCell ref="C218:C223"/>
    <mergeCell ref="C224:C229"/>
    <mergeCell ref="C230:C234"/>
    <mergeCell ref="C235:C240"/>
    <mergeCell ref="C241:C246"/>
    <mergeCell ref="C247:C252"/>
    <mergeCell ref="C253:C257"/>
    <mergeCell ref="C258:C263"/>
    <mergeCell ref="C264:C270"/>
    <mergeCell ref="C271:C276"/>
    <mergeCell ref="C277:C281"/>
    <mergeCell ref="C282:C288"/>
    <mergeCell ref="C289:C294"/>
    <mergeCell ref="C295:C301"/>
    <mergeCell ref="C302:C307"/>
    <mergeCell ref="C308:C314"/>
    <mergeCell ref="C315:C321"/>
    <mergeCell ref="C322:C327"/>
    <mergeCell ref="C328:C332"/>
    <mergeCell ref="C333:C339"/>
    <mergeCell ref="C340:C346"/>
    <mergeCell ref="C347:C353"/>
    <mergeCell ref="C354:C360"/>
    <mergeCell ref="C361:C367"/>
    <mergeCell ref="C368:C374"/>
    <mergeCell ref="C375:C381"/>
    <mergeCell ref="C382:C388"/>
    <mergeCell ref="C389:C395"/>
    <mergeCell ref="C396:C402"/>
    <mergeCell ref="C403:C409"/>
    <mergeCell ref="C410:C416"/>
    <mergeCell ref="C417:C423"/>
    <mergeCell ref="C424:C430"/>
    <mergeCell ref="C431:C437"/>
    <mergeCell ref="C438:C444"/>
    <mergeCell ref="C445:C451"/>
    <mergeCell ref="C452:C458"/>
    <mergeCell ref="C459:C465"/>
    <mergeCell ref="C466:C472"/>
    <mergeCell ref="C473:C479"/>
    <mergeCell ref="C480:C486"/>
    <mergeCell ref="E10:E11"/>
    <mergeCell ref="E45:E46"/>
    <mergeCell ref="E55:E56"/>
    <mergeCell ref="E82:E83"/>
    <mergeCell ref="E130:E131"/>
    <mergeCell ref="E134:E135"/>
    <mergeCell ref="E255:E256"/>
    <mergeCell ref="E328:E329"/>
    <mergeCell ref="F2:F6"/>
    <mergeCell ref="F7:F11"/>
    <mergeCell ref="F12:F16"/>
    <mergeCell ref="F17:F22"/>
    <mergeCell ref="F23:F28"/>
    <mergeCell ref="F29:F35"/>
    <mergeCell ref="F36:F41"/>
    <mergeCell ref="F42:F46"/>
    <mergeCell ref="F47:F53"/>
    <mergeCell ref="F54:F59"/>
    <mergeCell ref="F60:F65"/>
    <mergeCell ref="F66:F71"/>
    <mergeCell ref="F72:F77"/>
    <mergeCell ref="F78:F83"/>
    <mergeCell ref="F84:F89"/>
    <mergeCell ref="F90:F96"/>
    <mergeCell ref="F97:F103"/>
    <mergeCell ref="F104:F110"/>
    <mergeCell ref="F111:F117"/>
    <mergeCell ref="F118:F123"/>
    <mergeCell ref="F124:F128"/>
    <mergeCell ref="F129:F132"/>
    <mergeCell ref="F133:F137"/>
    <mergeCell ref="F138:F143"/>
    <mergeCell ref="F144:F149"/>
    <mergeCell ref="F150:F155"/>
    <mergeCell ref="F156:F161"/>
    <mergeCell ref="F162:F167"/>
    <mergeCell ref="F168:F173"/>
    <mergeCell ref="F174:F179"/>
    <mergeCell ref="F180:F184"/>
    <mergeCell ref="F185:F191"/>
    <mergeCell ref="F192:F197"/>
    <mergeCell ref="F198:F204"/>
    <mergeCell ref="F205:F210"/>
    <mergeCell ref="F211:F217"/>
    <mergeCell ref="F218:F223"/>
    <mergeCell ref="F224:F229"/>
    <mergeCell ref="F230:F234"/>
    <mergeCell ref="F235:F240"/>
    <mergeCell ref="F241:F246"/>
    <mergeCell ref="F247:F252"/>
    <mergeCell ref="F253:F257"/>
    <mergeCell ref="F258:F263"/>
    <mergeCell ref="F264:F270"/>
    <mergeCell ref="F271:F276"/>
    <mergeCell ref="F277:F281"/>
    <mergeCell ref="F282:F288"/>
    <mergeCell ref="F289:F294"/>
    <mergeCell ref="F295:F301"/>
    <mergeCell ref="F302:F307"/>
    <mergeCell ref="F308:F314"/>
    <mergeCell ref="F315:F321"/>
    <mergeCell ref="F322:F327"/>
    <mergeCell ref="F328:F332"/>
    <mergeCell ref="F333:F339"/>
    <mergeCell ref="F340:F346"/>
    <mergeCell ref="F347:F353"/>
    <mergeCell ref="F354:F360"/>
    <mergeCell ref="F361:F367"/>
    <mergeCell ref="F368:F374"/>
    <mergeCell ref="F375:F381"/>
    <mergeCell ref="F382:F388"/>
    <mergeCell ref="F389:F395"/>
    <mergeCell ref="F396:F402"/>
    <mergeCell ref="F403:F409"/>
    <mergeCell ref="F410:F416"/>
    <mergeCell ref="F417:F423"/>
    <mergeCell ref="F424:F430"/>
    <mergeCell ref="F431:F437"/>
    <mergeCell ref="F438:F444"/>
    <mergeCell ref="F445:F451"/>
    <mergeCell ref="F452:F458"/>
    <mergeCell ref="F459:F465"/>
    <mergeCell ref="F466:F472"/>
    <mergeCell ref="F473:F479"/>
    <mergeCell ref="F480:F486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selection activeCell="E37" sqref="E37"/>
    </sheetView>
  </sheetViews>
  <sheetFormatPr defaultColWidth="9" defaultRowHeight="13.5"/>
  <cols>
    <col min="1" max="1" width="11.875" customWidth="1"/>
    <col min="2" max="2" width="24.5" customWidth="1"/>
    <col min="3" max="3" width="16.125" customWidth="1"/>
    <col min="4" max="4" width="12.25" customWidth="1"/>
    <col min="5" max="5" width="19.5" customWidth="1"/>
    <col min="6" max="6" width="9.375" customWidth="1"/>
    <col min="7" max="7" width="7.75" customWidth="1"/>
    <col min="8" max="8" width="13.875" style="14" customWidth="1"/>
    <col min="9" max="10" width="13" style="14" customWidth="1"/>
    <col min="12" max="12" width="44" customWidth="1"/>
  </cols>
  <sheetData>
    <row r="1" ht="18.75" spans="1:12">
      <c r="A1" s="15" t="s">
        <v>8893</v>
      </c>
      <c r="B1" s="15" t="s">
        <v>8894</v>
      </c>
      <c r="C1" s="16" t="s">
        <v>8895</v>
      </c>
      <c r="D1" s="16" t="s">
        <v>8896</v>
      </c>
      <c r="E1" s="16" t="s">
        <v>8897</v>
      </c>
      <c r="F1" s="17" t="s">
        <v>8898</v>
      </c>
      <c r="G1" s="17" t="s">
        <v>8899</v>
      </c>
      <c r="H1" s="18" t="s">
        <v>8900</v>
      </c>
      <c r="I1" s="18" t="s">
        <v>8901</v>
      </c>
      <c r="J1" s="19" t="s">
        <v>8902</v>
      </c>
      <c r="L1" s="20" t="s">
        <v>8903</v>
      </c>
    </row>
    <row r="2" spans="1:12">
      <c r="A2" s="21" t="s">
        <v>3288</v>
      </c>
      <c r="B2" s="21" t="s">
        <v>8904</v>
      </c>
      <c r="C2" s="22" t="s">
        <v>8905</v>
      </c>
      <c r="D2" s="22" t="s">
        <v>8906</v>
      </c>
      <c r="E2" s="22" t="str">
        <f t="shared" ref="E2:E26" si="0">MID(F2,8,1)&amp;""&amp;MID(F2,7,1)&amp;""&amp;MID(F2,6,1)&amp;""&amp;MID(F2,5,1)&amp;" "&amp;MID(F2,4,1)&amp;""&amp;MID(F2,3,1)&amp;""&amp;MID(F2,2,1)&amp;""&amp;MID(F2,1,1)</f>
        <v>0111 1000</v>
      </c>
      <c r="F2" s="22" t="str">
        <f t="shared" ref="F2:F27" si="1">TEXT(HEX2BIN(D2),"00000000")</f>
        <v>00011110</v>
      </c>
      <c r="G2" s="23" t="str">
        <f t="shared" ref="G2:G27" si="2">TEXT(HEX2DEC(D2),"0")</f>
        <v>30</v>
      </c>
      <c r="H2" s="24" t="s">
        <v>8907</v>
      </c>
      <c r="I2" s="236" t="s">
        <v>7838</v>
      </c>
      <c r="J2" s="236" t="s">
        <v>16</v>
      </c>
      <c r="L2" s="25" t="s">
        <v>8908</v>
      </c>
    </row>
    <row r="3" spans="1:12">
      <c r="A3" s="21" t="s">
        <v>3288</v>
      </c>
      <c r="B3" s="21" t="s">
        <v>8909</v>
      </c>
      <c r="C3" s="26" t="s">
        <v>8910</v>
      </c>
      <c r="D3" s="26">
        <v>32</v>
      </c>
      <c r="E3" s="26" t="str">
        <f t="shared" si="0"/>
        <v>0100 1100</v>
      </c>
      <c r="F3" s="26" t="str">
        <f t="shared" si="1"/>
        <v>00110010</v>
      </c>
      <c r="G3" s="23" t="str">
        <f t="shared" si="2"/>
        <v>50</v>
      </c>
      <c r="H3" s="24" t="s">
        <v>8911</v>
      </c>
      <c r="I3" s="27">
        <f t="shared" ref="I3:I19" si="3">I2+1</f>
        <v>1</v>
      </c>
      <c r="J3" s="24" t="str">
        <f t="shared" ref="J3:J19" si="4">DEC2HEX(I3,2)</f>
        <v>01</v>
      </c>
      <c r="L3" s="25" t="s">
        <v>8912</v>
      </c>
    </row>
    <row r="4" spans="1:12">
      <c r="A4" s="21" t="s">
        <v>3288</v>
      </c>
      <c r="B4" s="21" t="s">
        <v>8913</v>
      </c>
      <c r="C4" s="28" t="s">
        <v>8914</v>
      </c>
      <c r="D4" s="28">
        <v>50</v>
      </c>
      <c r="E4" s="28" t="str">
        <f t="shared" si="0"/>
        <v>0000 1010</v>
      </c>
      <c r="F4" s="28" t="str">
        <f t="shared" si="1"/>
        <v>01010000</v>
      </c>
      <c r="G4" s="23" t="str">
        <f t="shared" si="2"/>
        <v>80</v>
      </c>
      <c r="H4" s="24" t="s">
        <v>8915</v>
      </c>
      <c r="I4" s="27">
        <f t="shared" si="3"/>
        <v>2</v>
      </c>
      <c r="J4" s="24" t="str">
        <f t="shared" si="4"/>
        <v>02</v>
      </c>
      <c r="L4" s="25" t="s">
        <v>8916</v>
      </c>
    </row>
    <row r="5" spans="1:12">
      <c r="A5" s="21" t="s">
        <v>3339</v>
      </c>
      <c r="B5" s="21" t="s">
        <v>8917</v>
      </c>
      <c r="C5" s="29" t="s">
        <v>8918</v>
      </c>
      <c r="D5" s="29">
        <v>64</v>
      </c>
      <c r="E5" s="29" t="str">
        <f t="shared" si="0"/>
        <v>0010 0110</v>
      </c>
      <c r="F5" s="29" t="str">
        <f t="shared" si="1"/>
        <v>01100100</v>
      </c>
      <c r="G5" s="23" t="str">
        <f t="shared" si="2"/>
        <v>100</v>
      </c>
      <c r="H5" s="24" t="s">
        <v>8919</v>
      </c>
      <c r="I5" s="27">
        <f t="shared" si="3"/>
        <v>3</v>
      </c>
      <c r="J5" s="24" t="str">
        <f t="shared" si="4"/>
        <v>03</v>
      </c>
      <c r="L5" s="25"/>
    </row>
    <row r="6" spans="1:12">
      <c r="A6" s="21" t="s">
        <v>3339</v>
      </c>
      <c r="B6" s="21" t="s">
        <v>8920</v>
      </c>
      <c r="C6" s="22" t="s">
        <v>8921</v>
      </c>
      <c r="D6" s="22" t="s">
        <v>8922</v>
      </c>
      <c r="E6" s="22" t="str">
        <f t="shared" si="0"/>
        <v>1111 0000</v>
      </c>
      <c r="F6" s="22" t="str">
        <f t="shared" si="1"/>
        <v>00001111</v>
      </c>
      <c r="G6" s="23" t="str">
        <f t="shared" si="2"/>
        <v>15</v>
      </c>
      <c r="H6" s="24" t="s">
        <v>8923</v>
      </c>
      <c r="I6" s="27">
        <f t="shared" si="3"/>
        <v>4</v>
      </c>
      <c r="J6" s="24" t="str">
        <f t="shared" si="4"/>
        <v>04</v>
      </c>
      <c r="L6" s="25"/>
    </row>
    <row r="7" spans="1:12">
      <c r="A7" s="21" t="s">
        <v>3339</v>
      </c>
      <c r="B7" s="21" t="s">
        <v>8924</v>
      </c>
      <c r="C7" s="22"/>
      <c r="D7" s="30"/>
      <c r="E7" s="22" t="str">
        <f t="shared" si="0"/>
        <v>0000 0000</v>
      </c>
      <c r="F7" s="22" t="str">
        <f t="shared" si="1"/>
        <v>00000000</v>
      </c>
      <c r="G7" s="23" t="str">
        <f t="shared" si="2"/>
        <v>0</v>
      </c>
      <c r="H7" s="24" t="s">
        <v>8925</v>
      </c>
      <c r="I7" s="27">
        <f t="shared" si="3"/>
        <v>5</v>
      </c>
      <c r="J7" s="24" t="str">
        <f t="shared" si="4"/>
        <v>05</v>
      </c>
      <c r="L7" s="25"/>
    </row>
    <row r="8" spans="1:12">
      <c r="A8" s="21" t="s">
        <v>3378</v>
      </c>
      <c r="B8" s="21" t="s">
        <v>8926</v>
      </c>
      <c r="C8" s="22"/>
      <c r="D8" s="30"/>
      <c r="E8" s="22" t="str">
        <f t="shared" si="0"/>
        <v>0000 0000</v>
      </c>
      <c r="F8" s="22" t="str">
        <f t="shared" si="1"/>
        <v>00000000</v>
      </c>
      <c r="G8" s="23" t="str">
        <f t="shared" si="2"/>
        <v>0</v>
      </c>
      <c r="H8" s="24" t="s">
        <v>8927</v>
      </c>
      <c r="I8" s="27">
        <f t="shared" si="3"/>
        <v>6</v>
      </c>
      <c r="J8" s="24" t="str">
        <f t="shared" si="4"/>
        <v>06</v>
      </c>
      <c r="L8" s="25"/>
    </row>
    <row r="9" spans="1:12">
      <c r="A9" s="21" t="s">
        <v>3378</v>
      </c>
      <c r="B9" s="21" t="s">
        <v>8928</v>
      </c>
      <c r="C9" s="22"/>
      <c r="D9" s="30"/>
      <c r="E9" s="22" t="str">
        <f t="shared" si="0"/>
        <v>0000 0000</v>
      </c>
      <c r="F9" s="22" t="str">
        <f t="shared" si="1"/>
        <v>00000000</v>
      </c>
      <c r="G9" s="23" t="str">
        <f t="shared" si="2"/>
        <v>0</v>
      </c>
      <c r="H9" s="24" t="s">
        <v>8929</v>
      </c>
      <c r="I9" s="27">
        <f t="shared" si="3"/>
        <v>7</v>
      </c>
      <c r="J9" s="24" t="str">
        <f t="shared" si="4"/>
        <v>07</v>
      </c>
      <c r="L9" s="25"/>
    </row>
    <row r="10" spans="1:12">
      <c r="A10" s="21" t="s">
        <v>3441</v>
      </c>
      <c r="B10" s="21" t="s">
        <v>8930</v>
      </c>
      <c r="C10" s="22"/>
      <c r="D10" s="30"/>
      <c r="E10" s="22" t="str">
        <f t="shared" si="0"/>
        <v>0000 0000</v>
      </c>
      <c r="F10" s="22" t="str">
        <f t="shared" si="1"/>
        <v>00000000</v>
      </c>
      <c r="G10" s="23" t="str">
        <f t="shared" si="2"/>
        <v>0</v>
      </c>
      <c r="H10" s="24" t="s">
        <v>8931</v>
      </c>
      <c r="I10" s="27">
        <f t="shared" si="3"/>
        <v>8</v>
      </c>
      <c r="J10" s="24" t="str">
        <f t="shared" si="4"/>
        <v>08</v>
      </c>
      <c r="L10" s="25"/>
    </row>
    <row r="11" spans="1:12">
      <c r="A11" s="21" t="s">
        <v>3441</v>
      </c>
      <c r="B11" s="21" t="s">
        <v>8932</v>
      </c>
      <c r="C11" s="22"/>
      <c r="D11" s="30"/>
      <c r="E11" s="22" t="str">
        <f t="shared" si="0"/>
        <v>0000 0000</v>
      </c>
      <c r="F11" s="22" t="str">
        <f t="shared" si="1"/>
        <v>00000000</v>
      </c>
      <c r="G11" s="23" t="str">
        <f t="shared" si="2"/>
        <v>0</v>
      </c>
      <c r="H11" s="24" t="s">
        <v>8933</v>
      </c>
      <c r="I11" s="27">
        <f t="shared" si="3"/>
        <v>9</v>
      </c>
      <c r="J11" s="24" t="str">
        <f t="shared" si="4"/>
        <v>09</v>
      </c>
      <c r="L11" s="25"/>
    </row>
    <row r="12" spans="1:12">
      <c r="A12" s="21" t="s">
        <v>3441</v>
      </c>
      <c r="B12" s="21" t="s">
        <v>8934</v>
      </c>
      <c r="C12" s="22"/>
      <c r="D12" s="30"/>
      <c r="E12" s="22" t="str">
        <f t="shared" si="0"/>
        <v>0000 0000</v>
      </c>
      <c r="F12" s="22" t="str">
        <f t="shared" si="1"/>
        <v>00000000</v>
      </c>
      <c r="G12" s="23" t="str">
        <f t="shared" si="2"/>
        <v>0</v>
      </c>
      <c r="H12" s="24" t="s">
        <v>8935</v>
      </c>
      <c r="I12" s="27">
        <f t="shared" si="3"/>
        <v>10</v>
      </c>
      <c r="J12" s="24" t="str">
        <f t="shared" si="4"/>
        <v>0A</v>
      </c>
      <c r="L12" s="25"/>
    </row>
    <row r="13" spans="1:12">
      <c r="A13" s="21" t="s">
        <v>3510</v>
      </c>
      <c r="B13" s="21" t="s">
        <v>8936</v>
      </c>
      <c r="C13" s="22"/>
      <c r="D13" s="30"/>
      <c r="E13" s="22" t="str">
        <f t="shared" si="0"/>
        <v>0000 0000</v>
      </c>
      <c r="F13" s="22" t="str">
        <f t="shared" si="1"/>
        <v>00000000</v>
      </c>
      <c r="G13" s="23" t="str">
        <f t="shared" si="2"/>
        <v>0</v>
      </c>
      <c r="H13" s="24" t="s">
        <v>8937</v>
      </c>
      <c r="I13" s="27">
        <f t="shared" si="3"/>
        <v>11</v>
      </c>
      <c r="J13" s="24" t="str">
        <f t="shared" si="4"/>
        <v>0B</v>
      </c>
      <c r="L13" s="25"/>
    </row>
    <row r="14" spans="1:12">
      <c r="A14" s="21" t="s">
        <v>3510</v>
      </c>
      <c r="B14" s="21" t="s">
        <v>8938</v>
      </c>
      <c r="C14" s="22"/>
      <c r="D14" s="30"/>
      <c r="E14" s="22" t="str">
        <f t="shared" si="0"/>
        <v>0000 0000</v>
      </c>
      <c r="F14" s="22" t="str">
        <f t="shared" si="1"/>
        <v>00000000</v>
      </c>
      <c r="G14" s="23" t="str">
        <f t="shared" si="2"/>
        <v>0</v>
      </c>
      <c r="H14" s="24" t="s">
        <v>8939</v>
      </c>
      <c r="I14" s="27">
        <f t="shared" si="3"/>
        <v>12</v>
      </c>
      <c r="J14" s="24" t="str">
        <f t="shared" si="4"/>
        <v>0C</v>
      </c>
      <c r="L14" s="25"/>
    </row>
    <row r="15" spans="1:12">
      <c r="A15" s="21" t="s">
        <v>3510</v>
      </c>
      <c r="B15" s="21" t="s">
        <v>8940</v>
      </c>
      <c r="C15" s="22"/>
      <c r="D15" s="30"/>
      <c r="E15" s="22" t="str">
        <f t="shared" si="0"/>
        <v>0000 0000</v>
      </c>
      <c r="F15" s="22" t="str">
        <f t="shared" si="1"/>
        <v>00000000</v>
      </c>
      <c r="G15" s="23" t="str">
        <f t="shared" si="2"/>
        <v>0</v>
      </c>
      <c r="H15" s="24" t="s">
        <v>8941</v>
      </c>
      <c r="I15" s="27">
        <f t="shared" si="3"/>
        <v>13</v>
      </c>
      <c r="J15" s="24" t="str">
        <f t="shared" si="4"/>
        <v>0D</v>
      </c>
      <c r="L15" s="25"/>
    </row>
    <row r="16" spans="1:12">
      <c r="A16" s="21" t="s">
        <v>3582</v>
      </c>
      <c r="B16" s="21" t="s">
        <v>8942</v>
      </c>
      <c r="C16" s="22"/>
      <c r="D16" s="30"/>
      <c r="E16" s="22" t="str">
        <f t="shared" si="0"/>
        <v>0000 0000</v>
      </c>
      <c r="F16" s="22" t="str">
        <f t="shared" si="1"/>
        <v>00000000</v>
      </c>
      <c r="G16" s="23" t="str">
        <f t="shared" si="2"/>
        <v>0</v>
      </c>
      <c r="H16" s="24" t="s">
        <v>8943</v>
      </c>
      <c r="I16" s="27">
        <f t="shared" si="3"/>
        <v>14</v>
      </c>
      <c r="J16" s="24" t="str">
        <f t="shared" si="4"/>
        <v>0E</v>
      </c>
      <c r="L16" s="25"/>
    </row>
    <row r="17" spans="1:12">
      <c r="A17" s="21" t="s">
        <v>3582</v>
      </c>
      <c r="B17" s="21" t="s">
        <v>8944</v>
      </c>
      <c r="C17" s="22"/>
      <c r="D17" s="30"/>
      <c r="E17" s="22" t="str">
        <f t="shared" si="0"/>
        <v>0000 0000</v>
      </c>
      <c r="F17" s="22" t="str">
        <f t="shared" si="1"/>
        <v>00000000</v>
      </c>
      <c r="G17" s="23" t="str">
        <f t="shared" si="2"/>
        <v>0</v>
      </c>
      <c r="H17" s="24" t="s">
        <v>8945</v>
      </c>
      <c r="I17" s="27">
        <f t="shared" si="3"/>
        <v>15</v>
      </c>
      <c r="J17" s="24" t="str">
        <f t="shared" si="4"/>
        <v>0F</v>
      </c>
      <c r="L17" s="25"/>
    </row>
    <row r="18" spans="1:12">
      <c r="A18" s="21" t="s">
        <v>3582</v>
      </c>
      <c r="B18" s="21" t="s">
        <v>8946</v>
      </c>
      <c r="C18" s="22"/>
      <c r="D18" s="30"/>
      <c r="E18" s="22" t="str">
        <f t="shared" si="0"/>
        <v>0000 0000</v>
      </c>
      <c r="F18" s="22" t="str">
        <f t="shared" si="1"/>
        <v>00000000</v>
      </c>
      <c r="G18" s="23" t="str">
        <f t="shared" si="2"/>
        <v>0</v>
      </c>
      <c r="H18" s="24" t="s">
        <v>8947</v>
      </c>
      <c r="I18" s="27">
        <f t="shared" si="3"/>
        <v>16</v>
      </c>
      <c r="J18" s="24" t="str">
        <f t="shared" si="4"/>
        <v>10</v>
      </c>
      <c r="L18" s="25"/>
    </row>
    <row r="19" spans="1:12">
      <c r="A19" s="21" t="s">
        <v>3633</v>
      </c>
      <c r="B19" s="21" t="s">
        <v>8948</v>
      </c>
      <c r="C19" s="22"/>
      <c r="D19" s="30"/>
      <c r="E19" s="22" t="str">
        <f t="shared" si="0"/>
        <v>0000 0000</v>
      </c>
      <c r="F19" s="22" t="str">
        <f t="shared" si="1"/>
        <v>00000000</v>
      </c>
      <c r="G19" s="23" t="str">
        <f t="shared" si="2"/>
        <v>0</v>
      </c>
      <c r="H19" s="24" t="s">
        <v>8949</v>
      </c>
      <c r="I19" s="27">
        <f t="shared" si="3"/>
        <v>17</v>
      </c>
      <c r="J19" s="24" t="str">
        <f t="shared" si="4"/>
        <v>11</v>
      </c>
      <c r="L19" s="25"/>
    </row>
    <row r="20" spans="1:12">
      <c r="A20" s="21" t="s">
        <v>3633</v>
      </c>
      <c r="B20" s="21" t="s">
        <v>8950</v>
      </c>
      <c r="C20" s="22"/>
      <c r="D20" s="30"/>
      <c r="E20" s="22" t="str">
        <f t="shared" si="0"/>
        <v>0000 0000</v>
      </c>
      <c r="F20" s="22" t="str">
        <f t="shared" si="1"/>
        <v>00000000</v>
      </c>
      <c r="G20" s="23" t="str">
        <f t="shared" si="2"/>
        <v>0</v>
      </c>
      <c r="H20" s="24"/>
      <c r="I20" s="24"/>
      <c r="J20" s="24"/>
      <c r="L20" s="25"/>
    </row>
    <row r="21" spans="1:12">
      <c r="A21" s="21" t="s">
        <v>3712</v>
      </c>
      <c r="B21" s="21" t="s">
        <v>8951</v>
      </c>
      <c r="C21" s="22"/>
      <c r="D21" s="30"/>
      <c r="E21" s="22" t="str">
        <f t="shared" si="0"/>
        <v>0000 0000</v>
      </c>
      <c r="F21" s="22" t="str">
        <f t="shared" si="1"/>
        <v>00000000</v>
      </c>
      <c r="G21" s="23" t="str">
        <f t="shared" si="2"/>
        <v>0</v>
      </c>
      <c r="H21" s="24"/>
      <c r="I21" s="24"/>
      <c r="J21" s="24"/>
      <c r="L21" s="25"/>
    </row>
    <row r="22" spans="1:12">
      <c r="A22" s="21" t="s">
        <v>3712</v>
      </c>
      <c r="B22" s="21" t="s">
        <v>8952</v>
      </c>
      <c r="C22" s="22"/>
      <c r="D22" s="30"/>
      <c r="E22" s="22" t="str">
        <f t="shared" si="0"/>
        <v>0000 0000</v>
      </c>
      <c r="F22" s="22" t="str">
        <f t="shared" si="1"/>
        <v>00000000</v>
      </c>
      <c r="G22" s="23" t="str">
        <f t="shared" si="2"/>
        <v>0</v>
      </c>
      <c r="H22" s="24"/>
      <c r="I22" s="24"/>
      <c r="J22" s="24"/>
      <c r="L22" s="25"/>
    </row>
    <row r="23" spans="1:12">
      <c r="A23" s="21" t="s">
        <v>3755</v>
      </c>
      <c r="B23" s="21" t="s">
        <v>8953</v>
      </c>
      <c r="C23" s="22"/>
      <c r="D23" s="30"/>
      <c r="E23" s="22" t="str">
        <f t="shared" si="0"/>
        <v>0000 0000</v>
      </c>
      <c r="F23" s="22" t="str">
        <f t="shared" si="1"/>
        <v>00000000</v>
      </c>
      <c r="G23" s="23" t="str">
        <f t="shared" si="2"/>
        <v>0</v>
      </c>
      <c r="H23" s="24"/>
      <c r="I23" s="24"/>
      <c r="J23" s="24"/>
      <c r="L23" s="25"/>
    </row>
    <row r="24" spans="1:12">
      <c r="A24" s="21" t="s">
        <v>3755</v>
      </c>
      <c r="B24" s="21" t="s">
        <v>8954</v>
      </c>
      <c r="C24" s="22"/>
      <c r="D24" s="30"/>
      <c r="E24" s="22" t="str">
        <f t="shared" si="0"/>
        <v>0000 0000</v>
      </c>
      <c r="F24" s="22" t="str">
        <f t="shared" si="1"/>
        <v>00000000</v>
      </c>
      <c r="G24" s="23" t="str">
        <f t="shared" si="2"/>
        <v>0</v>
      </c>
      <c r="H24" s="24"/>
      <c r="I24" s="24"/>
      <c r="J24" s="24"/>
      <c r="L24" s="25"/>
    </row>
    <row r="25" spans="1:12">
      <c r="A25" s="21" t="s">
        <v>3790</v>
      </c>
      <c r="B25" s="21" t="s">
        <v>8955</v>
      </c>
      <c r="C25" s="22"/>
      <c r="D25" s="30"/>
      <c r="E25" s="22" t="str">
        <f t="shared" si="0"/>
        <v>0000 0000</v>
      </c>
      <c r="F25" s="22" t="str">
        <f t="shared" si="1"/>
        <v>00000000</v>
      </c>
      <c r="G25" s="23" t="str">
        <f t="shared" si="2"/>
        <v>0</v>
      </c>
      <c r="H25" s="24"/>
      <c r="I25" s="24"/>
      <c r="J25" s="24"/>
      <c r="L25" s="25"/>
    </row>
    <row r="26" spans="1:12">
      <c r="A26" s="21" t="s">
        <v>3790</v>
      </c>
      <c r="B26" s="21" t="s">
        <v>8956</v>
      </c>
      <c r="C26" s="22"/>
      <c r="D26" s="30"/>
      <c r="E26" s="22" t="str">
        <f t="shared" si="0"/>
        <v>0000 0000</v>
      </c>
      <c r="F26" s="22" t="str">
        <f t="shared" si="1"/>
        <v>00000000</v>
      </c>
      <c r="G26" s="23" t="str">
        <f t="shared" si="2"/>
        <v>0</v>
      </c>
      <c r="H26" s="24"/>
      <c r="I26" s="24"/>
      <c r="J26" s="24"/>
    </row>
    <row r="27" spans="1:12">
      <c r="A27" s="21" t="s">
        <v>3790</v>
      </c>
      <c r="B27" s="21" t="s">
        <v>8957</v>
      </c>
      <c r="C27" s="22"/>
      <c r="D27" s="30"/>
      <c r="E27" s="22" t="str">
        <f>MID(F24,8,1)&amp;""&amp;MID(F24,7,1)&amp;""&amp;MID(F24,6,1)&amp;""&amp;MID(F24,5,1)&amp;" "&amp;MID(F24,4,1)&amp;""&amp;MID(F24,3,1)&amp;""&amp;MID(F24,2,1)&amp;""&amp;MID(F24,1,1)</f>
        <v>0000 0000</v>
      </c>
      <c r="F27" s="22" t="str">
        <f t="shared" si="1"/>
        <v>00000000</v>
      </c>
      <c r="G27" s="23" t="str">
        <f t="shared" si="2"/>
        <v>0</v>
      </c>
      <c r="H27" s="24"/>
      <c r="I27" s="24"/>
      <c r="J27" s="24"/>
    </row>
    <row r="28" spans="1:12">
      <c r="A28" s="21" t="s">
        <v>3843</v>
      </c>
      <c r="B28" s="21" t="s">
        <v>8958</v>
      </c>
    </row>
    <row r="29" spans="1:12">
      <c r="A29" s="21" t="s">
        <v>3843</v>
      </c>
      <c r="B29" s="21" t="s">
        <v>8959</v>
      </c>
    </row>
    <row r="30" spans="1:12">
      <c r="A30" s="21" t="s">
        <v>3843</v>
      </c>
      <c r="B30" s="21" t="s">
        <v>8960</v>
      </c>
    </row>
    <row r="31" spans="1:12">
      <c r="A31" s="21" t="s">
        <v>3886</v>
      </c>
      <c r="B31" s="21" t="s">
        <v>8961</v>
      </c>
    </row>
    <row r="32" spans="1:12">
      <c r="A32" s="21" t="s">
        <v>3886</v>
      </c>
      <c r="B32" s="21" t="s">
        <v>8962</v>
      </c>
    </row>
    <row r="33" spans="1:2">
      <c r="A33" s="21" t="s">
        <v>3886</v>
      </c>
      <c r="B33" s="21" t="s">
        <v>8963</v>
      </c>
    </row>
    <row r="34" spans="1:2">
      <c r="A34" s="21" t="s">
        <v>3931</v>
      </c>
      <c r="B34" s="21" t="s">
        <v>8964</v>
      </c>
    </row>
    <row r="35" spans="1:2">
      <c r="A35" s="21" t="s">
        <v>3931</v>
      </c>
      <c r="B35" s="21" t="s">
        <v>8965</v>
      </c>
    </row>
    <row r="36" spans="1:2">
      <c r="A36" s="21" t="s">
        <v>3931</v>
      </c>
      <c r="B36" s="21" t="s">
        <v>8966</v>
      </c>
    </row>
    <row r="37" spans="1:2">
      <c r="A37" s="21" t="s">
        <v>3980</v>
      </c>
      <c r="B37" s="21" t="s">
        <v>8967</v>
      </c>
    </row>
    <row r="38" spans="1:2">
      <c r="A38" s="21" t="s">
        <v>3980</v>
      </c>
      <c r="B38" s="21" t="s">
        <v>8968</v>
      </c>
    </row>
    <row r="39" spans="1:2">
      <c r="A39" s="21" t="s">
        <v>3678</v>
      </c>
      <c r="B39" s="21" t="s">
        <v>8969</v>
      </c>
    </row>
    <row r="40" spans="1:2">
      <c r="A40" s="21" t="s">
        <v>3678</v>
      </c>
      <c r="B40" s="21" t="s">
        <v>8970</v>
      </c>
    </row>
    <row r="41" spans="1:2">
      <c r="A41" s="21" t="s">
        <v>3678</v>
      </c>
      <c r="B41" s="21" t="s">
        <v>8971</v>
      </c>
    </row>
    <row r="42" spans="1:2">
      <c r="A42" s="21" t="s">
        <v>4027</v>
      </c>
      <c r="B42" s="21" t="s">
        <v>8972</v>
      </c>
    </row>
    <row r="43" spans="1:2">
      <c r="A43" s="21" t="s">
        <v>4027</v>
      </c>
      <c r="B43" s="21" t="s">
        <v>8973</v>
      </c>
    </row>
    <row r="44" spans="1:2">
      <c r="A44" s="21" t="s">
        <v>4027</v>
      </c>
      <c r="B44" s="21" t="s">
        <v>8974</v>
      </c>
    </row>
    <row r="45" spans="1:2">
      <c r="A45" s="21"/>
      <c r="B45" s="21"/>
    </row>
    <row r="46" spans="1:2">
      <c r="A46" s="21"/>
      <c r="B46" s="21"/>
    </row>
    <row r="47" spans="1:2">
      <c r="A47" s="21"/>
      <c r="B47" s="21"/>
    </row>
    <row r="48" spans="1:2">
      <c r="A48" s="21"/>
      <c r="B48" s="21"/>
    </row>
    <row r="49" spans="1:2">
      <c r="A49" s="21"/>
      <c r="B49" s="21"/>
    </row>
    <row r="50" spans="1:2">
      <c r="A50" s="21"/>
      <c r="B50" s="21"/>
    </row>
    <row r="51" spans="1:2">
      <c r="A51" s="21"/>
      <c r="B51" s="21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10"/>
  <sheetViews>
    <sheetView workbookViewId="0">
      <pane ySplit="1" topLeftCell="A2" activePane="bottomLeft" state="frozen"/>
      <selection/>
      <selection pane="bottomLeft" activeCell="E37" sqref="E37"/>
    </sheetView>
  </sheetViews>
  <sheetFormatPr defaultColWidth="9" defaultRowHeight="13.5"/>
  <cols>
    <col min="1" max="1" width="19.25" customWidth="1"/>
    <col min="2" max="2" width="13.875" customWidth="1"/>
    <col min="3" max="3" width="13.75" customWidth="1"/>
    <col min="4" max="4" width="15.25" style="1" customWidth="1"/>
    <col min="5" max="5" width="6.625" customWidth="1"/>
    <col min="6" max="6" width="40.75" style="2" customWidth="1"/>
    <col min="7" max="7" width="9.125" customWidth="1"/>
    <col min="8" max="8" width="14.125" customWidth="1"/>
    <col min="9" max="9" width="10.875" customWidth="1"/>
    <col min="10" max="10" width="31.625" customWidth="1"/>
    <col min="11" max="11" width="31.25" customWidth="1"/>
  </cols>
  <sheetData>
    <row r="1" ht="37.5" spans="1:11">
      <c r="A1" s="3" t="s">
        <v>8975</v>
      </c>
      <c r="B1" s="3" t="s">
        <v>8976</v>
      </c>
      <c r="C1" s="4" t="s">
        <v>8977</v>
      </c>
      <c r="D1" s="3" t="s">
        <v>7540</v>
      </c>
      <c r="E1" s="5" t="s">
        <v>3282</v>
      </c>
      <c r="F1" s="3" t="s">
        <v>3283</v>
      </c>
      <c r="G1" s="4" t="s">
        <v>8978</v>
      </c>
      <c r="H1" s="6" t="s">
        <v>8979</v>
      </c>
      <c r="I1" s="4" t="s">
        <v>8980</v>
      </c>
      <c r="J1" s="4" t="s">
        <v>8981</v>
      </c>
      <c r="K1" s="6" t="s">
        <v>8982</v>
      </c>
    </row>
    <row r="2" spans="1:11">
      <c r="A2" s="7">
        <v>0</v>
      </c>
      <c r="B2" s="7" t="s">
        <v>8983</v>
      </c>
      <c r="C2" s="7" t="s">
        <v>8984</v>
      </c>
      <c r="D2" s="7">
        <v>0</v>
      </c>
      <c r="E2" s="7" t="s">
        <v>8985</v>
      </c>
      <c r="F2" s="8" t="s">
        <v>8986</v>
      </c>
      <c r="G2" s="7">
        <v>0</v>
      </c>
      <c r="H2" s="7" t="s">
        <v>8984</v>
      </c>
      <c r="I2" s="7">
        <v>1</v>
      </c>
      <c r="J2" s="7" t="s">
        <v>7838</v>
      </c>
      <c r="K2" s="9" t="s">
        <v>8987</v>
      </c>
    </row>
    <row r="3" spans="1:11">
      <c r="A3" s="7">
        <v>1</v>
      </c>
      <c r="B3" s="7" t="s">
        <v>8983</v>
      </c>
      <c r="C3" s="7" t="s">
        <v>8984</v>
      </c>
      <c r="D3" s="7">
        <v>0</v>
      </c>
      <c r="E3" s="7" t="s">
        <v>8988</v>
      </c>
      <c r="F3" s="8" t="s">
        <v>8986</v>
      </c>
      <c r="G3" s="7">
        <v>0</v>
      </c>
      <c r="H3" s="7" t="s">
        <v>8984</v>
      </c>
      <c r="I3" s="7">
        <v>1</v>
      </c>
      <c r="J3" s="7" t="s">
        <v>7838</v>
      </c>
      <c r="K3" s="9" t="s">
        <v>8987</v>
      </c>
    </row>
    <row r="4" spans="1:11">
      <c r="A4" s="7">
        <v>2</v>
      </c>
      <c r="B4" s="7" t="s">
        <v>8983</v>
      </c>
      <c r="C4" s="7" t="s">
        <v>8984</v>
      </c>
      <c r="D4" s="7">
        <v>0</v>
      </c>
      <c r="E4" s="7" t="s">
        <v>8989</v>
      </c>
      <c r="F4" s="8" t="s">
        <v>8986</v>
      </c>
      <c r="G4" s="7">
        <v>0</v>
      </c>
      <c r="H4" s="7" t="s">
        <v>8984</v>
      </c>
      <c r="I4" s="7">
        <v>1</v>
      </c>
      <c r="J4" s="7" t="s">
        <v>7838</v>
      </c>
      <c r="K4" s="9" t="s">
        <v>8987</v>
      </c>
    </row>
    <row r="5" spans="1:11">
      <c r="A5" s="7">
        <v>3</v>
      </c>
      <c r="B5" s="7" t="s">
        <v>8983</v>
      </c>
      <c r="C5" s="7" t="s">
        <v>8984</v>
      </c>
      <c r="D5" s="7">
        <v>0</v>
      </c>
      <c r="E5" s="7" t="s">
        <v>3978</v>
      </c>
      <c r="F5" s="8" t="s">
        <v>8986</v>
      </c>
      <c r="G5" s="7">
        <v>0</v>
      </c>
      <c r="H5" s="7" t="s">
        <v>8984</v>
      </c>
      <c r="I5" s="7">
        <v>1</v>
      </c>
      <c r="J5" s="7" t="s">
        <v>7838</v>
      </c>
      <c r="K5" s="9" t="s">
        <v>8987</v>
      </c>
    </row>
    <row r="6" spans="1:11">
      <c r="A6" s="7">
        <v>4</v>
      </c>
      <c r="B6" s="7" t="s">
        <v>8990</v>
      </c>
      <c r="C6" s="7" t="s">
        <v>8991</v>
      </c>
      <c r="D6" s="7" t="s">
        <v>7542</v>
      </c>
      <c r="E6" s="7" t="s">
        <v>8992</v>
      </c>
      <c r="F6" s="8" t="s">
        <v>8993</v>
      </c>
      <c r="G6" s="7">
        <v>22</v>
      </c>
      <c r="H6" s="7" t="s">
        <v>8994</v>
      </c>
      <c r="I6" s="7">
        <v>8</v>
      </c>
      <c r="J6" s="7" t="s">
        <v>8995</v>
      </c>
      <c r="K6" s="9" t="s">
        <v>8987</v>
      </c>
    </row>
    <row r="7" spans="1:11">
      <c r="A7" s="7">
        <v>5</v>
      </c>
      <c r="B7" s="7" t="s">
        <v>8990</v>
      </c>
      <c r="C7" s="7" t="s">
        <v>8991</v>
      </c>
      <c r="D7" s="7" t="s">
        <v>7542</v>
      </c>
      <c r="E7" s="7" t="s">
        <v>8996</v>
      </c>
      <c r="F7" s="8" t="s">
        <v>8997</v>
      </c>
      <c r="G7" s="7">
        <v>22</v>
      </c>
      <c r="H7" s="7" t="s">
        <v>8994</v>
      </c>
      <c r="I7" s="7">
        <v>8</v>
      </c>
      <c r="J7" s="7" t="s">
        <v>8995</v>
      </c>
      <c r="K7" s="9" t="s">
        <v>8987</v>
      </c>
    </row>
    <row r="8" spans="1:11">
      <c r="A8" s="7">
        <v>6</v>
      </c>
      <c r="B8" s="7" t="s">
        <v>8990</v>
      </c>
      <c r="C8" s="7" t="s">
        <v>8998</v>
      </c>
      <c r="D8" s="7" t="s">
        <v>7542</v>
      </c>
      <c r="E8" s="7" t="s">
        <v>8999</v>
      </c>
      <c r="F8" s="8" t="s">
        <v>8993</v>
      </c>
      <c r="G8" s="7" t="s">
        <v>8987</v>
      </c>
      <c r="H8" s="7" t="s">
        <v>8987</v>
      </c>
      <c r="I8" s="7" t="s">
        <v>8987</v>
      </c>
      <c r="J8" s="7" t="s">
        <v>8987</v>
      </c>
      <c r="K8" s="9" t="s">
        <v>8987</v>
      </c>
    </row>
    <row r="9" spans="1:11">
      <c r="A9" s="7">
        <v>7</v>
      </c>
      <c r="B9" s="7" t="s">
        <v>9000</v>
      </c>
      <c r="C9" s="7" t="s">
        <v>8984</v>
      </c>
      <c r="D9" s="7" t="s">
        <v>7542</v>
      </c>
      <c r="E9" s="7" t="s">
        <v>9001</v>
      </c>
      <c r="F9" s="8" t="s">
        <v>9002</v>
      </c>
      <c r="G9" s="7">
        <v>40</v>
      </c>
      <c r="H9" s="7" t="s">
        <v>9003</v>
      </c>
      <c r="I9" s="7">
        <v>5</v>
      </c>
      <c r="J9" s="7" t="s">
        <v>9004</v>
      </c>
      <c r="K9" s="9" t="s">
        <v>8987</v>
      </c>
    </row>
    <row r="10" spans="1:11">
      <c r="A10" s="7">
        <v>8</v>
      </c>
      <c r="B10" s="7" t="s">
        <v>9000</v>
      </c>
      <c r="C10" s="7" t="s">
        <v>8984</v>
      </c>
      <c r="D10" s="7" t="s">
        <v>7542</v>
      </c>
      <c r="E10" s="7" t="s">
        <v>9005</v>
      </c>
      <c r="F10" s="8" t="s">
        <v>9006</v>
      </c>
      <c r="G10" s="7">
        <v>40</v>
      </c>
      <c r="H10" s="7" t="s">
        <v>9003</v>
      </c>
      <c r="I10" s="7">
        <v>5</v>
      </c>
      <c r="J10" s="7" t="s">
        <v>9004</v>
      </c>
      <c r="K10" s="9" t="s">
        <v>8987</v>
      </c>
    </row>
    <row r="11" spans="1:11">
      <c r="A11" s="7">
        <v>9</v>
      </c>
      <c r="B11" s="7" t="s">
        <v>9000</v>
      </c>
      <c r="C11" s="7" t="s">
        <v>8984</v>
      </c>
      <c r="D11" s="7" t="s">
        <v>7542</v>
      </c>
      <c r="E11" s="7" t="s">
        <v>9007</v>
      </c>
      <c r="F11" s="8" t="s">
        <v>9008</v>
      </c>
      <c r="G11" s="7">
        <v>40</v>
      </c>
      <c r="H11" s="7" t="s">
        <v>9003</v>
      </c>
      <c r="I11" s="7">
        <v>5</v>
      </c>
      <c r="J11" s="7" t="s">
        <v>9004</v>
      </c>
      <c r="K11" s="9" t="s">
        <v>8987</v>
      </c>
    </row>
    <row r="12" spans="1:11">
      <c r="A12" s="7">
        <v>10</v>
      </c>
      <c r="B12" s="7" t="s">
        <v>8990</v>
      </c>
      <c r="C12" s="7" t="s">
        <v>8984</v>
      </c>
      <c r="D12" s="7" t="s">
        <v>7542</v>
      </c>
      <c r="E12" s="7" t="s">
        <v>9009</v>
      </c>
      <c r="F12" s="8" t="s">
        <v>9010</v>
      </c>
      <c r="G12" s="7">
        <v>25</v>
      </c>
      <c r="H12" s="7" t="s">
        <v>9011</v>
      </c>
      <c r="I12" s="7">
        <v>5</v>
      </c>
      <c r="J12" s="7" t="s">
        <v>9012</v>
      </c>
      <c r="K12" s="9" t="s">
        <v>8987</v>
      </c>
    </row>
    <row r="13" spans="1:11">
      <c r="A13" s="7">
        <v>11</v>
      </c>
      <c r="B13" s="7" t="s">
        <v>8990</v>
      </c>
      <c r="C13" s="7" t="s">
        <v>8984</v>
      </c>
      <c r="D13" s="7" t="s">
        <v>7542</v>
      </c>
      <c r="E13" s="7" t="s">
        <v>9013</v>
      </c>
      <c r="F13" s="8" t="s">
        <v>9014</v>
      </c>
      <c r="G13" s="7">
        <v>30</v>
      </c>
      <c r="H13" s="7" t="s">
        <v>9015</v>
      </c>
      <c r="I13" s="7">
        <v>5</v>
      </c>
      <c r="J13" s="7" t="s">
        <v>7732</v>
      </c>
      <c r="K13" s="9" t="s">
        <v>8987</v>
      </c>
    </row>
    <row r="14" spans="1:11">
      <c r="A14" s="7">
        <v>12</v>
      </c>
      <c r="B14" s="7" t="s">
        <v>8983</v>
      </c>
      <c r="C14" s="7" t="s">
        <v>8998</v>
      </c>
      <c r="D14" s="7" t="s">
        <v>7542</v>
      </c>
      <c r="E14" s="7" t="s">
        <v>9016</v>
      </c>
      <c r="F14" s="8" t="s">
        <v>9010</v>
      </c>
      <c r="G14" s="7" t="s">
        <v>8987</v>
      </c>
      <c r="H14" s="7" t="s">
        <v>8987</v>
      </c>
      <c r="I14" s="7" t="s">
        <v>8987</v>
      </c>
      <c r="J14" s="7" t="s">
        <v>8987</v>
      </c>
      <c r="K14" s="9" t="s">
        <v>8987</v>
      </c>
    </row>
    <row r="15" spans="1:11">
      <c r="A15" s="7">
        <v>13</v>
      </c>
      <c r="B15" s="7" t="s">
        <v>8983</v>
      </c>
      <c r="C15" s="7" t="s">
        <v>8998</v>
      </c>
      <c r="D15" s="7" t="s">
        <v>7542</v>
      </c>
      <c r="E15" s="7" t="s">
        <v>9017</v>
      </c>
      <c r="F15" s="8" t="s">
        <v>9014</v>
      </c>
      <c r="G15" s="7" t="s">
        <v>8987</v>
      </c>
      <c r="H15" s="7" t="s">
        <v>8987</v>
      </c>
      <c r="I15" s="7" t="s">
        <v>8987</v>
      </c>
      <c r="J15" s="7" t="s">
        <v>8987</v>
      </c>
      <c r="K15" s="9" t="s">
        <v>8987</v>
      </c>
    </row>
    <row r="16" spans="1:11">
      <c r="A16" s="7">
        <v>14</v>
      </c>
      <c r="B16" s="7" t="s">
        <v>8983</v>
      </c>
      <c r="C16" s="7" t="s">
        <v>8984</v>
      </c>
      <c r="D16" s="7" t="s">
        <v>7542</v>
      </c>
      <c r="E16" s="7" t="s">
        <v>9018</v>
      </c>
      <c r="F16" s="8" t="s">
        <v>9010</v>
      </c>
      <c r="G16" s="7" t="s">
        <v>8987</v>
      </c>
      <c r="H16" s="7" t="s">
        <v>8987</v>
      </c>
      <c r="I16" s="7" t="s">
        <v>8987</v>
      </c>
      <c r="J16" s="7" t="s">
        <v>8987</v>
      </c>
      <c r="K16" s="9" t="s">
        <v>8987</v>
      </c>
    </row>
    <row r="17" spans="1:11">
      <c r="A17" s="7">
        <v>15</v>
      </c>
      <c r="B17" s="7" t="s">
        <v>8983</v>
      </c>
      <c r="C17" s="7" t="s">
        <v>8984</v>
      </c>
      <c r="D17" s="7" t="s">
        <v>7542</v>
      </c>
      <c r="E17" s="7" t="s">
        <v>9019</v>
      </c>
      <c r="F17" s="8" t="s">
        <v>9014</v>
      </c>
      <c r="G17" s="7" t="s">
        <v>8987</v>
      </c>
      <c r="H17" s="7" t="s">
        <v>8987</v>
      </c>
      <c r="I17" s="7" t="s">
        <v>8987</v>
      </c>
      <c r="J17" s="7" t="s">
        <v>8987</v>
      </c>
      <c r="K17" s="9" t="s">
        <v>8987</v>
      </c>
    </row>
    <row r="18" spans="1:11">
      <c r="A18" s="7">
        <v>16</v>
      </c>
      <c r="B18" s="7" t="s">
        <v>9000</v>
      </c>
      <c r="C18" s="7" t="s">
        <v>8991</v>
      </c>
      <c r="D18" s="7" t="s">
        <v>7542</v>
      </c>
      <c r="E18" s="7" t="s">
        <v>9020</v>
      </c>
      <c r="F18" s="8" t="s">
        <v>9002</v>
      </c>
      <c r="G18" s="7">
        <v>50</v>
      </c>
      <c r="H18" s="7" t="s">
        <v>9021</v>
      </c>
      <c r="I18" s="7">
        <v>5</v>
      </c>
      <c r="J18" s="7" t="s">
        <v>9022</v>
      </c>
      <c r="K18" s="9" t="s">
        <v>8987</v>
      </c>
    </row>
    <row r="19" spans="1:11">
      <c r="A19" s="7">
        <v>17</v>
      </c>
      <c r="B19" s="7" t="s">
        <v>9000</v>
      </c>
      <c r="C19" s="7" t="s">
        <v>8991</v>
      </c>
      <c r="D19" s="7" t="s">
        <v>7542</v>
      </c>
      <c r="E19" s="7" t="s">
        <v>9023</v>
      </c>
      <c r="F19" s="8" t="s">
        <v>9006</v>
      </c>
      <c r="G19" s="7">
        <v>50</v>
      </c>
      <c r="H19" s="7" t="s">
        <v>9021</v>
      </c>
      <c r="I19" s="7">
        <v>5</v>
      </c>
      <c r="J19" s="7" t="s">
        <v>9022</v>
      </c>
      <c r="K19" s="9" t="s">
        <v>8987</v>
      </c>
    </row>
    <row r="20" spans="1:11">
      <c r="A20" s="7">
        <v>18</v>
      </c>
      <c r="B20" s="7" t="s">
        <v>9000</v>
      </c>
      <c r="C20" s="7" t="s">
        <v>8991</v>
      </c>
      <c r="D20" s="7" t="s">
        <v>7542</v>
      </c>
      <c r="E20" s="7" t="s">
        <v>9024</v>
      </c>
      <c r="F20" s="8" t="s">
        <v>9008</v>
      </c>
      <c r="G20" s="7">
        <v>50</v>
      </c>
      <c r="H20" s="7" t="s">
        <v>9021</v>
      </c>
      <c r="I20" s="7">
        <v>5</v>
      </c>
      <c r="J20" s="7" t="s">
        <v>9022</v>
      </c>
      <c r="K20" s="9" t="s">
        <v>8987</v>
      </c>
    </row>
    <row r="21" spans="1:11">
      <c r="A21" s="7">
        <v>19</v>
      </c>
      <c r="B21" s="7" t="s">
        <v>8990</v>
      </c>
      <c r="C21" s="7" t="s">
        <v>8991</v>
      </c>
      <c r="D21" s="7" t="s">
        <v>7542</v>
      </c>
      <c r="E21" s="7" t="s">
        <v>9025</v>
      </c>
      <c r="F21" s="8" t="s">
        <v>9010</v>
      </c>
      <c r="G21" s="7">
        <v>35</v>
      </c>
      <c r="H21" s="7" t="s">
        <v>9026</v>
      </c>
      <c r="I21" s="7">
        <v>5</v>
      </c>
      <c r="J21" s="7" t="s">
        <v>9027</v>
      </c>
      <c r="K21" s="9" t="s">
        <v>8987</v>
      </c>
    </row>
    <row r="22" spans="1:11">
      <c r="A22" s="7">
        <v>20</v>
      </c>
      <c r="B22" s="7" t="s">
        <v>8990</v>
      </c>
      <c r="C22" s="7" t="s">
        <v>8991</v>
      </c>
      <c r="D22" s="7" t="s">
        <v>7542</v>
      </c>
      <c r="E22" s="7" t="s">
        <v>9028</v>
      </c>
      <c r="F22" s="8" t="s">
        <v>9014</v>
      </c>
      <c r="G22" s="7">
        <v>40</v>
      </c>
      <c r="H22" s="7" t="s">
        <v>9003</v>
      </c>
      <c r="I22" s="7">
        <v>5</v>
      </c>
      <c r="J22" s="7" t="s">
        <v>9004</v>
      </c>
      <c r="K22" s="9" t="s">
        <v>8987</v>
      </c>
    </row>
    <row r="23" spans="1:11">
      <c r="A23" s="7">
        <v>21</v>
      </c>
      <c r="B23" s="7" t="s">
        <v>8990</v>
      </c>
      <c r="C23" s="7" t="s">
        <v>8984</v>
      </c>
      <c r="D23" s="10" t="s">
        <v>7550</v>
      </c>
      <c r="E23" s="7" t="s">
        <v>9029</v>
      </c>
      <c r="F23" s="8" t="s">
        <v>7893</v>
      </c>
      <c r="G23" s="7">
        <v>9</v>
      </c>
      <c r="H23" s="7" t="s">
        <v>9030</v>
      </c>
      <c r="I23" s="7">
        <v>3</v>
      </c>
      <c r="J23" s="7" t="s">
        <v>9031</v>
      </c>
      <c r="K23" s="9" t="s">
        <v>8987</v>
      </c>
    </row>
    <row r="24" spans="1:11">
      <c r="A24" s="7">
        <v>22</v>
      </c>
      <c r="B24" s="7" t="s">
        <v>8983</v>
      </c>
      <c r="C24" s="7" t="s">
        <v>8998</v>
      </c>
      <c r="D24" s="7" t="s">
        <v>7550</v>
      </c>
      <c r="E24" s="7" t="s">
        <v>9032</v>
      </c>
      <c r="F24" s="8" t="s">
        <v>7893</v>
      </c>
      <c r="G24" s="7" t="s">
        <v>8987</v>
      </c>
      <c r="H24" s="7" t="s">
        <v>8987</v>
      </c>
      <c r="I24" s="7" t="s">
        <v>8987</v>
      </c>
      <c r="J24" s="7" t="s">
        <v>8987</v>
      </c>
      <c r="K24" s="9" t="s">
        <v>8987</v>
      </c>
    </row>
    <row r="25" spans="1:11">
      <c r="A25" s="7">
        <v>23</v>
      </c>
      <c r="B25" s="7" t="s">
        <v>8983</v>
      </c>
      <c r="C25" s="7" t="s">
        <v>9030</v>
      </c>
      <c r="D25" s="7" t="s">
        <v>7550</v>
      </c>
      <c r="E25" s="7" t="s">
        <v>9033</v>
      </c>
      <c r="F25" s="8" t="s">
        <v>7893</v>
      </c>
      <c r="G25" s="7" t="s">
        <v>8987</v>
      </c>
      <c r="H25" s="7" t="s">
        <v>8987</v>
      </c>
      <c r="I25" s="7" t="s">
        <v>8987</v>
      </c>
      <c r="J25" s="7" t="s">
        <v>8987</v>
      </c>
      <c r="K25" s="9" t="s">
        <v>8987</v>
      </c>
    </row>
    <row r="26" spans="1:11">
      <c r="A26" s="7">
        <v>24</v>
      </c>
      <c r="B26" s="7" t="s">
        <v>9000</v>
      </c>
      <c r="C26" s="7" t="s">
        <v>8984</v>
      </c>
      <c r="D26" s="7" t="s">
        <v>7550</v>
      </c>
      <c r="E26" s="7" t="s">
        <v>9034</v>
      </c>
      <c r="F26" s="8" t="s">
        <v>9035</v>
      </c>
      <c r="G26" s="7">
        <v>120</v>
      </c>
      <c r="H26" s="7" t="s">
        <v>9036</v>
      </c>
      <c r="I26" s="7">
        <v>25</v>
      </c>
      <c r="J26" s="7" t="s">
        <v>9037</v>
      </c>
      <c r="K26" s="9" t="s">
        <v>8987</v>
      </c>
    </row>
    <row r="27" spans="1:11">
      <c r="A27" s="7">
        <v>25</v>
      </c>
      <c r="B27" s="7" t="s">
        <v>9000</v>
      </c>
      <c r="C27" s="7" t="s">
        <v>8984</v>
      </c>
      <c r="D27" s="7" t="s">
        <v>7550</v>
      </c>
      <c r="E27" s="7" t="s">
        <v>9038</v>
      </c>
      <c r="F27" s="8" t="s">
        <v>9039</v>
      </c>
      <c r="G27" s="7">
        <v>120</v>
      </c>
      <c r="H27" s="7" t="s">
        <v>9036</v>
      </c>
      <c r="I27" s="7">
        <v>25</v>
      </c>
      <c r="J27" s="7" t="s">
        <v>9037</v>
      </c>
      <c r="K27" s="9" t="s">
        <v>8987</v>
      </c>
    </row>
    <row r="28" spans="1:11">
      <c r="A28" s="7">
        <v>26</v>
      </c>
      <c r="B28" s="7" t="s">
        <v>9000</v>
      </c>
      <c r="C28" s="7" t="s">
        <v>8984</v>
      </c>
      <c r="D28" s="7" t="s">
        <v>7550</v>
      </c>
      <c r="E28" s="7" t="s">
        <v>9040</v>
      </c>
      <c r="F28" s="8" t="s">
        <v>9041</v>
      </c>
      <c r="G28" s="7">
        <v>120</v>
      </c>
      <c r="H28" s="7" t="s">
        <v>9036</v>
      </c>
      <c r="I28" s="7">
        <v>25</v>
      </c>
      <c r="J28" s="7" t="s">
        <v>9037</v>
      </c>
      <c r="K28" s="9" t="s">
        <v>8987</v>
      </c>
    </row>
    <row r="29" spans="1:11">
      <c r="A29" s="7">
        <v>27</v>
      </c>
      <c r="B29" s="7" t="s">
        <v>8990</v>
      </c>
      <c r="C29" s="7" t="s">
        <v>8984</v>
      </c>
      <c r="D29" s="7" t="s">
        <v>7550</v>
      </c>
      <c r="E29" s="7" t="s">
        <v>9042</v>
      </c>
      <c r="F29" s="8" t="s">
        <v>9043</v>
      </c>
      <c r="G29" s="7">
        <v>120</v>
      </c>
      <c r="H29" s="7" t="s">
        <v>9036</v>
      </c>
      <c r="I29" s="7">
        <v>25</v>
      </c>
      <c r="J29" s="7" t="s">
        <v>9037</v>
      </c>
      <c r="K29" s="9" t="s">
        <v>8987</v>
      </c>
    </row>
    <row r="30" spans="1:11">
      <c r="A30" s="7">
        <v>28</v>
      </c>
      <c r="B30" s="7" t="s">
        <v>8990</v>
      </c>
      <c r="C30" s="7" t="s">
        <v>8984</v>
      </c>
      <c r="D30" s="7" t="s">
        <v>7550</v>
      </c>
      <c r="E30" s="7" t="s">
        <v>9044</v>
      </c>
      <c r="F30" s="8" t="s">
        <v>9045</v>
      </c>
      <c r="G30" s="7">
        <v>100</v>
      </c>
      <c r="H30" s="7" t="s">
        <v>9046</v>
      </c>
      <c r="I30" s="7">
        <v>25</v>
      </c>
      <c r="J30" s="7" t="s">
        <v>9047</v>
      </c>
      <c r="K30" s="9" t="s">
        <v>8987</v>
      </c>
    </row>
    <row r="31" spans="1:11">
      <c r="A31" s="7">
        <v>29</v>
      </c>
      <c r="B31" s="7" t="s">
        <v>8990</v>
      </c>
      <c r="C31" s="7" t="s">
        <v>8984</v>
      </c>
      <c r="D31" s="7" t="s">
        <v>7550</v>
      </c>
      <c r="E31" s="7" t="s">
        <v>9048</v>
      </c>
      <c r="F31" s="8" t="s">
        <v>9049</v>
      </c>
      <c r="G31" s="7">
        <v>120</v>
      </c>
      <c r="H31" s="7" t="s">
        <v>9036</v>
      </c>
      <c r="I31" s="7">
        <v>25</v>
      </c>
      <c r="J31" s="7" t="s">
        <v>9037</v>
      </c>
      <c r="K31" s="9" t="s">
        <v>8987</v>
      </c>
    </row>
    <row r="32" spans="1:11">
      <c r="A32" s="7">
        <v>30</v>
      </c>
      <c r="B32" s="7" t="s">
        <v>8990</v>
      </c>
      <c r="C32" s="7" t="s">
        <v>8984</v>
      </c>
      <c r="D32" s="7" t="s">
        <v>7546</v>
      </c>
      <c r="E32" s="7" t="s">
        <v>9050</v>
      </c>
      <c r="F32" s="8" t="s">
        <v>7894</v>
      </c>
      <c r="G32" s="7">
        <v>9</v>
      </c>
      <c r="H32" s="7" t="s">
        <v>9030</v>
      </c>
      <c r="I32" s="7">
        <v>3</v>
      </c>
      <c r="J32" s="7" t="s">
        <v>9031</v>
      </c>
      <c r="K32" s="9" t="s">
        <v>8987</v>
      </c>
    </row>
    <row r="33" spans="1:11">
      <c r="A33" s="7">
        <v>31</v>
      </c>
      <c r="B33" s="7" t="s">
        <v>8983</v>
      </c>
      <c r="C33" s="7" t="s">
        <v>8998</v>
      </c>
      <c r="D33" s="7" t="s">
        <v>7546</v>
      </c>
      <c r="E33" s="7" t="s">
        <v>9051</v>
      </c>
      <c r="F33" s="8" t="s">
        <v>7894</v>
      </c>
      <c r="G33" s="7" t="s">
        <v>8987</v>
      </c>
      <c r="H33" s="7" t="s">
        <v>8987</v>
      </c>
      <c r="I33" s="7" t="s">
        <v>8987</v>
      </c>
      <c r="J33" s="7" t="s">
        <v>8987</v>
      </c>
      <c r="K33" s="9" t="s">
        <v>8987</v>
      </c>
    </row>
    <row r="34" spans="1:11">
      <c r="A34" s="7">
        <v>32</v>
      </c>
      <c r="B34" s="7" t="s">
        <v>8990</v>
      </c>
      <c r="C34" s="7" t="s">
        <v>8991</v>
      </c>
      <c r="D34" s="7" t="s">
        <v>7550</v>
      </c>
      <c r="E34" s="7" t="s">
        <v>9052</v>
      </c>
      <c r="F34" s="8" t="s">
        <v>7893</v>
      </c>
      <c r="G34" s="7">
        <v>15</v>
      </c>
      <c r="H34" s="7" t="s">
        <v>9053</v>
      </c>
      <c r="I34" s="7">
        <v>3</v>
      </c>
      <c r="J34" s="7" t="s">
        <v>9054</v>
      </c>
      <c r="K34" s="9" t="s">
        <v>8987</v>
      </c>
    </row>
    <row r="35" spans="1:11">
      <c r="A35" s="7">
        <v>33</v>
      </c>
      <c r="B35" s="7" t="s">
        <v>9000</v>
      </c>
      <c r="C35" s="7" t="s">
        <v>8991</v>
      </c>
      <c r="D35" s="7" t="s">
        <v>7550</v>
      </c>
      <c r="E35" s="7" t="s">
        <v>9055</v>
      </c>
      <c r="F35" s="8" t="s">
        <v>9035</v>
      </c>
      <c r="G35" s="7">
        <v>180</v>
      </c>
      <c r="H35" s="7" t="s">
        <v>9056</v>
      </c>
      <c r="I35" s="7">
        <v>33</v>
      </c>
      <c r="J35" s="7" t="s">
        <v>9057</v>
      </c>
      <c r="K35" s="9" t="s">
        <v>8987</v>
      </c>
    </row>
    <row r="36" spans="1:11">
      <c r="A36" s="7">
        <v>34</v>
      </c>
      <c r="B36" s="7" t="s">
        <v>9000</v>
      </c>
      <c r="C36" s="7" t="s">
        <v>8991</v>
      </c>
      <c r="D36" s="7" t="s">
        <v>7550</v>
      </c>
      <c r="E36" s="7" t="s">
        <v>9058</v>
      </c>
      <c r="F36" s="8" t="s">
        <v>9039</v>
      </c>
      <c r="G36" s="7">
        <v>180</v>
      </c>
      <c r="H36" s="7" t="s">
        <v>9056</v>
      </c>
      <c r="I36" s="7">
        <v>33</v>
      </c>
      <c r="J36" s="7" t="s">
        <v>9057</v>
      </c>
      <c r="K36" s="9" t="s">
        <v>8987</v>
      </c>
    </row>
    <row r="37" spans="1:11">
      <c r="A37" s="7">
        <v>35</v>
      </c>
      <c r="B37" s="7" t="s">
        <v>9000</v>
      </c>
      <c r="C37" s="7" t="s">
        <v>8991</v>
      </c>
      <c r="D37" s="7" t="s">
        <v>7550</v>
      </c>
      <c r="E37" s="7" t="s">
        <v>9059</v>
      </c>
      <c r="F37" s="8" t="s">
        <v>9041</v>
      </c>
      <c r="G37" s="7">
        <v>180</v>
      </c>
      <c r="H37" s="7" t="s">
        <v>9056</v>
      </c>
      <c r="I37" s="7">
        <v>33</v>
      </c>
      <c r="J37" s="7" t="s">
        <v>9057</v>
      </c>
      <c r="K37" s="9" t="s">
        <v>8987</v>
      </c>
    </row>
    <row r="38" spans="1:11">
      <c r="A38" s="7">
        <v>36</v>
      </c>
      <c r="B38" s="7" t="s">
        <v>8990</v>
      </c>
      <c r="C38" s="7" t="s">
        <v>8991</v>
      </c>
      <c r="D38" s="7" t="s">
        <v>7550</v>
      </c>
      <c r="E38" s="7" t="s">
        <v>9060</v>
      </c>
      <c r="F38" s="8" t="s">
        <v>9043</v>
      </c>
      <c r="G38" s="7">
        <v>180</v>
      </c>
      <c r="H38" s="7" t="s">
        <v>9056</v>
      </c>
      <c r="I38" s="7">
        <v>33</v>
      </c>
      <c r="J38" s="7" t="s">
        <v>9057</v>
      </c>
      <c r="K38" s="9" t="s">
        <v>8987</v>
      </c>
    </row>
    <row r="39" spans="1:11">
      <c r="A39" s="7">
        <v>37</v>
      </c>
      <c r="B39" s="7" t="s">
        <v>8990</v>
      </c>
      <c r="C39" s="7" t="s">
        <v>8991</v>
      </c>
      <c r="D39" s="7" t="s">
        <v>7550</v>
      </c>
      <c r="E39" s="7" t="s">
        <v>9061</v>
      </c>
      <c r="F39" s="8" t="s">
        <v>9045</v>
      </c>
      <c r="G39" s="7">
        <v>130</v>
      </c>
      <c r="H39" s="7" t="s">
        <v>9062</v>
      </c>
      <c r="I39" s="7">
        <v>21</v>
      </c>
      <c r="J39" s="7" t="s">
        <v>9063</v>
      </c>
      <c r="K39" s="9" t="s">
        <v>8987</v>
      </c>
    </row>
    <row r="40" spans="1:11">
      <c r="A40" s="7">
        <v>38</v>
      </c>
      <c r="B40" s="7" t="s">
        <v>8990</v>
      </c>
      <c r="C40" s="7" t="s">
        <v>8991</v>
      </c>
      <c r="D40" s="7" t="s">
        <v>7550</v>
      </c>
      <c r="E40" s="7" t="s">
        <v>9064</v>
      </c>
      <c r="F40" s="8" t="s">
        <v>9049</v>
      </c>
      <c r="G40" s="7">
        <v>180</v>
      </c>
      <c r="H40" s="7" t="s">
        <v>9056</v>
      </c>
      <c r="I40" s="7">
        <v>33</v>
      </c>
      <c r="J40" s="7" t="s">
        <v>9057</v>
      </c>
      <c r="K40" s="9" t="s">
        <v>8987</v>
      </c>
    </row>
    <row r="41" spans="1:11">
      <c r="A41" s="7">
        <v>39</v>
      </c>
      <c r="B41" s="7" t="s">
        <v>8990</v>
      </c>
      <c r="C41" s="7" t="s">
        <v>8991</v>
      </c>
      <c r="D41" s="7" t="s">
        <v>7546</v>
      </c>
      <c r="E41" s="7" t="s">
        <v>9065</v>
      </c>
      <c r="F41" s="8" t="s">
        <v>7894</v>
      </c>
      <c r="G41" s="7">
        <v>15</v>
      </c>
      <c r="H41" s="7" t="s">
        <v>9053</v>
      </c>
      <c r="I41" s="7">
        <v>3</v>
      </c>
      <c r="J41" s="7" t="s">
        <v>9054</v>
      </c>
      <c r="K41" s="9" t="s">
        <v>8987</v>
      </c>
    </row>
    <row r="42" spans="1:11">
      <c r="A42" s="7">
        <v>40</v>
      </c>
      <c r="B42" s="7" t="s">
        <v>8990</v>
      </c>
      <c r="C42" s="7" t="s">
        <v>8984</v>
      </c>
      <c r="D42" s="7" t="s">
        <v>7556</v>
      </c>
      <c r="E42" s="7" t="s">
        <v>9066</v>
      </c>
      <c r="F42" s="8" t="s">
        <v>9067</v>
      </c>
      <c r="G42" s="7">
        <v>9</v>
      </c>
      <c r="H42" s="7" t="s">
        <v>9030</v>
      </c>
      <c r="I42" s="7">
        <v>3</v>
      </c>
      <c r="J42" s="7" t="s">
        <v>9031</v>
      </c>
      <c r="K42" s="9" t="s">
        <v>8987</v>
      </c>
    </row>
    <row r="43" spans="1:11">
      <c r="A43" s="7">
        <v>41</v>
      </c>
      <c r="B43" s="7" t="s">
        <v>8990</v>
      </c>
      <c r="C43" s="7" t="s">
        <v>8984</v>
      </c>
      <c r="D43" s="7" t="s">
        <v>7556</v>
      </c>
      <c r="E43" s="7" t="s">
        <v>9068</v>
      </c>
      <c r="F43" s="8" t="s">
        <v>9069</v>
      </c>
      <c r="G43" s="7">
        <v>9</v>
      </c>
      <c r="H43" s="7" t="s">
        <v>9030</v>
      </c>
      <c r="I43" s="7">
        <v>3</v>
      </c>
      <c r="J43" s="7" t="s">
        <v>9031</v>
      </c>
      <c r="K43" s="9" t="s">
        <v>8987</v>
      </c>
    </row>
    <row r="44" spans="1:11">
      <c r="A44" s="7">
        <v>42</v>
      </c>
      <c r="B44" s="7" t="s">
        <v>8990</v>
      </c>
      <c r="C44" s="7" t="s">
        <v>8984</v>
      </c>
      <c r="D44" s="7" t="s">
        <v>7556</v>
      </c>
      <c r="E44" s="7" t="s">
        <v>9070</v>
      </c>
      <c r="F44" s="8" t="s">
        <v>9071</v>
      </c>
      <c r="G44" s="7">
        <v>9</v>
      </c>
      <c r="H44" s="7" t="s">
        <v>9030</v>
      </c>
      <c r="I44" s="7">
        <v>3</v>
      </c>
      <c r="J44" s="7" t="s">
        <v>9031</v>
      </c>
      <c r="K44" s="9" t="s">
        <v>8987</v>
      </c>
    </row>
    <row r="45" spans="1:11">
      <c r="A45" s="7">
        <v>43</v>
      </c>
      <c r="B45" s="7" t="s">
        <v>8990</v>
      </c>
      <c r="C45" s="7" t="s">
        <v>8984</v>
      </c>
      <c r="D45" s="7" t="s">
        <v>7556</v>
      </c>
      <c r="E45" s="7" t="s">
        <v>9072</v>
      </c>
      <c r="F45" s="8" t="s">
        <v>9073</v>
      </c>
      <c r="G45" s="7">
        <v>9</v>
      </c>
      <c r="H45" s="7" t="s">
        <v>9030</v>
      </c>
      <c r="I45" s="7">
        <v>3</v>
      </c>
      <c r="J45" s="7" t="s">
        <v>9031</v>
      </c>
      <c r="K45" s="9" t="s">
        <v>8987</v>
      </c>
    </row>
    <row r="46" spans="1:11">
      <c r="A46" s="7">
        <v>44</v>
      </c>
      <c r="B46" s="7" t="s">
        <v>8990</v>
      </c>
      <c r="C46" s="7" t="s">
        <v>8984</v>
      </c>
      <c r="D46" s="7" t="s">
        <v>7556</v>
      </c>
      <c r="E46" s="7" t="s">
        <v>9074</v>
      </c>
      <c r="F46" s="8" t="s">
        <v>9075</v>
      </c>
      <c r="G46" s="7">
        <v>9</v>
      </c>
      <c r="H46" s="7" t="s">
        <v>9030</v>
      </c>
      <c r="I46" s="7">
        <v>3</v>
      </c>
      <c r="J46" s="7" t="s">
        <v>9031</v>
      </c>
      <c r="K46" s="9" t="s">
        <v>8987</v>
      </c>
    </row>
    <row r="47" spans="1:11">
      <c r="A47" s="7">
        <v>45</v>
      </c>
      <c r="B47" s="7" t="s">
        <v>8990</v>
      </c>
      <c r="C47" s="7" t="s">
        <v>8991</v>
      </c>
      <c r="D47" s="7" t="s">
        <v>7556</v>
      </c>
      <c r="E47" s="7" t="s">
        <v>9076</v>
      </c>
      <c r="F47" s="8" t="s">
        <v>9067</v>
      </c>
      <c r="G47" s="7">
        <v>13</v>
      </c>
      <c r="H47" s="7" t="s">
        <v>9077</v>
      </c>
      <c r="I47" s="7">
        <v>3</v>
      </c>
      <c r="J47" s="7" t="s">
        <v>7773</v>
      </c>
      <c r="K47" s="9" t="s">
        <v>8987</v>
      </c>
    </row>
    <row r="48" spans="1:11">
      <c r="A48" s="7">
        <v>46</v>
      </c>
      <c r="B48" s="7" t="s">
        <v>8990</v>
      </c>
      <c r="C48" s="7" t="s">
        <v>8991</v>
      </c>
      <c r="D48" s="7" t="s">
        <v>7556</v>
      </c>
      <c r="E48" s="7" t="s">
        <v>9078</v>
      </c>
      <c r="F48" s="8" t="s">
        <v>9069</v>
      </c>
      <c r="G48" s="7">
        <v>13</v>
      </c>
      <c r="H48" s="7" t="s">
        <v>9077</v>
      </c>
      <c r="I48" s="7">
        <v>3</v>
      </c>
      <c r="J48" s="7" t="s">
        <v>7773</v>
      </c>
      <c r="K48" s="9" t="s">
        <v>8987</v>
      </c>
    </row>
    <row r="49" spans="1:11">
      <c r="A49" s="7">
        <v>47</v>
      </c>
      <c r="B49" s="7" t="s">
        <v>8990</v>
      </c>
      <c r="C49" s="7" t="s">
        <v>8991</v>
      </c>
      <c r="D49" s="7" t="s">
        <v>7556</v>
      </c>
      <c r="E49" s="7" t="s">
        <v>9079</v>
      </c>
      <c r="F49" s="8" t="s">
        <v>9071</v>
      </c>
      <c r="G49" s="7">
        <v>13</v>
      </c>
      <c r="H49" s="7" t="s">
        <v>9077</v>
      </c>
      <c r="I49" s="7">
        <v>3</v>
      </c>
      <c r="J49" s="7" t="s">
        <v>7773</v>
      </c>
      <c r="K49" s="9" t="s">
        <v>8987</v>
      </c>
    </row>
    <row r="50" spans="1:11">
      <c r="A50" s="7">
        <v>48</v>
      </c>
      <c r="B50" s="7" t="s">
        <v>8990</v>
      </c>
      <c r="C50" s="7" t="s">
        <v>8991</v>
      </c>
      <c r="D50" s="7" t="s">
        <v>7556</v>
      </c>
      <c r="E50" s="7" t="s">
        <v>9080</v>
      </c>
      <c r="F50" s="8" t="s">
        <v>9073</v>
      </c>
      <c r="G50" s="7">
        <v>13</v>
      </c>
      <c r="H50" s="7" t="s">
        <v>9077</v>
      </c>
      <c r="I50" s="7">
        <v>3</v>
      </c>
      <c r="J50" s="7" t="s">
        <v>7773</v>
      </c>
      <c r="K50" s="9" t="s">
        <v>8987</v>
      </c>
    </row>
    <row r="51" spans="1:11">
      <c r="A51" s="7">
        <v>49</v>
      </c>
      <c r="B51" s="7" t="s">
        <v>8990</v>
      </c>
      <c r="C51" s="7" t="s">
        <v>8991</v>
      </c>
      <c r="D51" s="7" t="s">
        <v>7556</v>
      </c>
      <c r="E51" s="7" t="s">
        <v>9081</v>
      </c>
      <c r="F51" s="8" t="s">
        <v>9075</v>
      </c>
      <c r="G51" s="7">
        <v>13</v>
      </c>
      <c r="H51" s="7" t="s">
        <v>9077</v>
      </c>
      <c r="I51" s="7">
        <v>3</v>
      </c>
      <c r="J51" s="7" t="s">
        <v>7773</v>
      </c>
      <c r="K51" s="9" t="s">
        <v>8987</v>
      </c>
    </row>
    <row r="52" spans="1:11">
      <c r="A52" s="7">
        <v>50</v>
      </c>
      <c r="B52" s="7" t="s">
        <v>8990</v>
      </c>
      <c r="C52" s="7" t="s">
        <v>8984</v>
      </c>
      <c r="D52" s="7" t="s">
        <v>7546</v>
      </c>
      <c r="E52" s="7" t="s">
        <v>9082</v>
      </c>
      <c r="F52" s="8" t="s">
        <v>9083</v>
      </c>
      <c r="G52" s="7">
        <v>48</v>
      </c>
      <c r="H52" s="7" t="s">
        <v>9084</v>
      </c>
      <c r="I52" s="7">
        <v>5</v>
      </c>
      <c r="J52" s="7" t="s">
        <v>9085</v>
      </c>
      <c r="K52" s="9" t="s">
        <v>8987</v>
      </c>
    </row>
    <row r="53" spans="1:11">
      <c r="A53" s="7">
        <v>51</v>
      </c>
      <c r="B53" s="7" t="s">
        <v>9000</v>
      </c>
      <c r="C53" s="7" t="s">
        <v>8984</v>
      </c>
      <c r="D53" s="7" t="s">
        <v>7546</v>
      </c>
      <c r="E53" s="7" t="s">
        <v>9086</v>
      </c>
      <c r="F53" s="8" t="s">
        <v>9087</v>
      </c>
      <c r="G53" s="7">
        <v>68</v>
      </c>
      <c r="H53" s="7" t="s">
        <v>9088</v>
      </c>
      <c r="I53" s="7">
        <v>5</v>
      </c>
      <c r="J53" s="7" t="s">
        <v>9089</v>
      </c>
      <c r="K53" s="9" t="s">
        <v>8987</v>
      </c>
    </row>
    <row r="54" spans="1:11">
      <c r="A54" s="7">
        <v>52</v>
      </c>
      <c r="B54" s="7" t="s">
        <v>9000</v>
      </c>
      <c r="C54" s="7" t="s">
        <v>8984</v>
      </c>
      <c r="D54" s="7" t="s">
        <v>7546</v>
      </c>
      <c r="E54" s="7" t="s">
        <v>9090</v>
      </c>
      <c r="F54" s="8" t="s">
        <v>9091</v>
      </c>
      <c r="G54" s="7">
        <v>68</v>
      </c>
      <c r="H54" s="7" t="s">
        <v>9088</v>
      </c>
      <c r="I54" s="7">
        <v>5</v>
      </c>
      <c r="J54" s="7" t="s">
        <v>9089</v>
      </c>
      <c r="K54" s="9" t="s">
        <v>8987</v>
      </c>
    </row>
    <row r="55" spans="1:11">
      <c r="A55" s="7">
        <v>53</v>
      </c>
      <c r="B55" s="7" t="s">
        <v>9000</v>
      </c>
      <c r="C55" s="7" t="s">
        <v>8984</v>
      </c>
      <c r="D55" s="7" t="s">
        <v>7546</v>
      </c>
      <c r="E55" s="7" t="s">
        <v>9092</v>
      </c>
      <c r="F55" s="8" t="s">
        <v>9093</v>
      </c>
      <c r="G55" s="7">
        <v>68</v>
      </c>
      <c r="H55" s="7" t="s">
        <v>9088</v>
      </c>
      <c r="I55" s="7">
        <v>5</v>
      </c>
      <c r="J55" s="7" t="s">
        <v>9089</v>
      </c>
      <c r="K55" s="9" t="s">
        <v>8987</v>
      </c>
    </row>
    <row r="56" spans="1:11">
      <c r="A56" s="7">
        <v>54</v>
      </c>
      <c r="B56" s="7" t="s">
        <v>8990</v>
      </c>
      <c r="C56" s="7" t="s">
        <v>8984</v>
      </c>
      <c r="D56" s="7" t="s">
        <v>7546</v>
      </c>
      <c r="E56" s="7" t="s">
        <v>4558</v>
      </c>
      <c r="F56" s="8" t="s">
        <v>9094</v>
      </c>
      <c r="G56" s="7">
        <v>68</v>
      </c>
      <c r="H56" s="7" t="s">
        <v>9088</v>
      </c>
      <c r="I56" s="7">
        <v>5</v>
      </c>
      <c r="J56" s="7" t="s">
        <v>9089</v>
      </c>
      <c r="K56" s="9" t="s">
        <v>8987</v>
      </c>
    </row>
    <row r="57" spans="1:11">
      <c r="A57" s="7">
        <v>55</v>
      </c>
      <c r="B57" s="7" t="s">
        <v>8990</v>
      </c>
      <c r="C57" s="7" t="s">
        <v>8984</v>
      </c>
      <c r="D57" s="7" t="s">
        <v>7546</v>
      </c>
      <c r="E57" s="7" t="s">
        <v>9095</v>
      </c>
      <c r="F57" s="8" t="s">
        <v>9096</v>
      </c>
      <c r="G57" s="7">
        <v>68</v>
      </c>
      <c r="H57" s="7" t="s">
        <v>9088</v>
      </c>
      <c r="I57" s="7">
        <v>5</v>
      </c>
      <c r="J57" s="7" t="s">
        <v>9089</v>
      </c>
      <c r="K57" s="9" t="s">
        <v>8987</v>
      </c>
    </row>
    <row r="58" spans="1:11">
      <c r="A58" s="7">
        <v>56</v>
      </c>
      <c r="B58" s="7" t="s">
        <v>8990</v>
      </c>
      <c r="C58" s="7" t="s">
        <v>8984</v>
      </c>
      <c r="D58" s="7" t="s">
        <v>7546</v>
      </c>
      <c r="E58" s="7" t="s">
        <v>9097</v>
      </c>
      <c r="F58" s="8" t="s">
        <v>9098</v>
      </c>
      <c r="G58" s="7">
        <v>68</v>
      </c>
      <c r="H58" s="7" t="s">
        <v>9088</v>
      </c>
      <c r="I58" s="7">
        <v>5</v>
      </c>
      <c r="J58" s="7" t="s">
        <v>9089</v>
      </c>
      <c r="K58" s="9" t="s">
        <v>8987</v>
      </c>
    </row>
    <row r="59" spans="1:11">
      <c r="A59" s="7">
        <v>57</v>
      </c>
      <c r="B59" s="7" t="s">
        <v>8990</v>
      </c>
      <c r="C59" s="7" t="s">
        <v>8991</v>
      </c>
      <c r="D59" s="7" t="s">
        <v>7546</v>
      </c>
      <c r="E59" s="7" t="s">
        <v>9099</v>
      </c>
      <c r="F59" s="8" t="s">
        <v>9083</v>
      </c>
      <c r="G59" s="7">
        <v>53</v>
      </c>
      <c r="H59" s="7" t="s">
        <v>9100</v>
      </c>
      <c r="I59" s="7">
        <v>5</v>
      </c>
      <c r="J59" s="7" t="s">
        <v>9101</v>
      </c>
      <c r="K59" s="9" t="s">
        <v>8987</v>
      </c>
    </row>
    <row r="60" spans="1:11">
      <c r="A60" s="7">
        <v>58</v>
      </c>
      <c r="B60" s="7" t="s">
        <v>9000</v>
      </c>
      <c r="C60" s="7" t="s">
        <v>8991</v>
      </c>
      <c r="D60" s="7" t="s">
        <v>7546</v>
      </c>
      <c r="E60" s="7" t="s">
        <v>9102</v>
      </c>
      <c r="F60" s="8" t="s">
        <v>9087</v>
      </c>
      <c r="G60" s="7">
        <v>73</v>
      </c>
      <c r="H60" s="7" t="s">
        <v>9103</v>
      </c>
      <c r="I60" s="7">
        <v>5</v>
      </c>
      <c r="J60" s="7" t="s">
        <v>9104</v>
      </c>
      <c r="K60" s="9" t="s">
        <v>8987</v>
      </c>
    </row>
    <row r="61" spans="1:11">
      <c r="A61" s="7">
        <v>59</v>
      </c>
      <c r="B61" s="7" t="s">
        <v>9000</v>
      </c>
      <c r="C61" s="7" t="s">
        <v>8991</v>
      </c>
      <c r="D61" s="7" t="s">
        <v>7546</v>
      </c>
      <c r="E61" s="7" t="s">
        <v>9105</v>
      </c>
      <c r="F61" s="8" t="s">
        <v>9091</v>
      </c>
      <c r="G61" s="7">
        <v>73</v>
      </c>
      <c r="H61" s="7" t="s">
        <v>9103</v>
      </c>
      <c r="I61" s="7">
        <v>5</v>
      </c>
      <c r="J61" s="7" t="s">
        <v>9104</v>
      </c>
      <c r="K61" s="9" t="s">
        <v>8987</v>
      </c>
    </row>
    <row r="62" spans="1:11">
      <c r="A62" s="7">
        <v>60</v>
      </c>
      <c r="B62" s="7" t="s">
        <v>9000</v>
      </c>
      <c r="C62" s="7" t="s">
        <v>8991</v>
      </c>
      <c r="D62" s="7" t="s">
        <v>7546</v>
      </c>
      <c r="E62" s="7" t="s">
        <v>9106</v>
      </c>
      <c r="F62" s="8" t="s">
        <v>9093</v>
      </c>
      <c r="G62" s="7">
        <v>73</v>
      </c>
      <c r="H62" s="7" t="s">
        <v>9103</v>
      </c>
      <c r="I62" s="7">
        <v>5</v>
      </c>
      <c r="J62" s="7" t="s">
        <v>9104</v>
      </c>
      <c r="K62" s="9" t="s">
        <v>8987</v>
      </c>
    </row>
    <row r="63" spans="1:11">
      <c r="A63" s="7">
        <v>61</v>
      </c>
      <c r="B63" s="7" t="s">
        <v>8990</v>
      </c>
      <c r="C63" s="7" t="s">
        <v>8991</v>
      </c>
      <c r="D63" s="7" t="s">
        <v>7546</v>
      </c>
      <c r="E63" s="7" t="s">
        <v>9107</v>
      </c>
      <c r="F63" s="8" t="s">
        <v>9094</v>
      </c>
      <c r="G63" s="7">
        <v>73</v>
      </c>
      <c r="H63" s="7" t="s">
        <v>9103</v>
      </c>
      <c r="I63" s="7">
        <v>5</v>
      </c>
      <c r="J63" s="7" t="s">
        <v>9104</v>
      </c>
      <c r="K63" s="9" t="s">
        <v>8987</v>
      </c>
    </row>
    <row r="64" spans="1:11">
      <c r="A64" s="7">
        <v>62</v>
      </c>
      <c r="B64" s="7" t="s">
        <v>8990</v>
      </c>
      <c r="C64" s="7" t="s">
        <v>8991</v>
      </c>
      <c r="D64" s="7" t="s">
        <v>7546</v>
      </c>
      <c r="E64" s="7" t="s">
        <v>9108</v>
      </c>
      <c r="F64" s="8" t="s">
        <v>9096</v>
      </c>
      <c r="G64" s="7">
        <v>73</v>
      </c>
      <c r="H64" s="7" t="s">
        <v>9103</v>
      </c>
      <c r="I64" s="7">
        <v>5</v>
      </c>
      <c r="J64" s="7" t="s">
        <v>9104</v>
      </c>
      <c r="K64" s="9" t="s">
        <v>8987</v>
      </c>
    </row>
    <row r="65" spans="1:11">
      <c r="A65" s="7">
        <v>63</v>
      </c>
      <c r="B65" s="7" t="s">
        <v>8990</v>
      </c>
      <c r="C65" s="7" t="s">
        <v>8991</v>
      </c>
      <c r="D65" s="7" t="s">
        <v>7546</v>
      </c>
      <c r="E65" s="7" t="s">
        <v>9109</v>
      </c>
      <c r="F65" s="8" t="s">
        <v>9098</v>
      </c>
      <c r="G65" s="7">
        <v>73</v>
      </c>
      <c r="H65" s="7" t="s">
        <v>9103</v>
      </c>
      <c r="I65" s="7">
        <v>5</v>
      </c>
      <c r="J65" s="7" t="s">
        <v>9104</v>
      </c>
      <c r="K65" s="9" t="s">
        <v>8987</v>
      </c>
    </row>
    <row r="66" spans="1:11">
      <c r="A66" s="7">
        <v>64</v>
      </c>
      <c r="B66" s="7" t="s">
        <v>8990</v>
      </c>
      <c r="C66" s="7" t="s">
        <v>8984</v>
      </c>
      <c r="D66" s="7" t="s">
        <v>7551</v>
      </c>
      <c r="E66" s="7" t="s">
        <v>9110</v>
      </c>
      <c r="F66" s="8" t="s">
        <v>9111</v>
      </c>
      <c r="G66" s="7">
        <v>1</v>
      </c>
      <c r="H66" s="7" t="s">
        <v>9112</v>
      </c>
      <c r="I66" s="7">
        <v>1</v>
      </c>
      <c r="J66" s="7" t="s">
        <v>9113</v>
      </c>
      <c r="K66" s="9" t="s">
        <v>8987</v>
      </c>
    </row>
    <row r="67" spans="1:11">
      <c r="A67" s="7">
        <v>65</v>
      </c>
      <c r="B67" s="7" t="s">
        <v>9000</v>
      </c>
      <c r="C67" s="7" t="s">
        <v>8984</v>
      </c>
      <c r="D67" s="7" t="s">
        <v>7551</v>
      </c>
      <c r="E67" s="7" t="s">
        <v>9114</v>
      </c>
      <c r="F67" s="8" t="s">
        <v>9115</v>
      </c>
      <c r="G67" s="7">
        <v>21</v>
      </c>
      <c r="H67" s="7" t="s">
        <v>9116</v>
      </c>
      <c r="I67" s="7">
        <v>8</v>
      </c>
      <c r="J67" s="7" t="s">
        <v>9117</v>
      </c>
      <c r="K67" s="9" t="s">
        <v>8987</v>
      </c>
    </row>
    <row r="68" spans="1:11">
      <c r="A68" s="7">
        <v>66</v>
      </c>
      <c r="B68" s="7" t="s">
        <v>9000</v>
      </c>
      <c r="C68" s="7" t="s">
        <v>8984</v>
      </c>
      <c r="D68" s="7" t="s">
        <v>7551</v>
      </c>
      <c r="E68" s="7" t="s">
        <v>9118</v>
      </c>
      <c r="F68" s="8" t="s">
        <v>9119</v>
      </c>
      <c r="G68" s="7">
        <v>23</v>
      </c>
      <c r="H68" s="7" t="s">
        <v>9120</v>
      </c>
      <c r="I68" s="7">
        <v>8</v>
      </c>
      <c r="J68" s="7" t="s">
        <v>9121</v>
      </c>
      <c r="K68" s="9" t="s">
        <v>8987</v>
      </c>
    </row>
    <row r="69" spans="1:11">
      <c r="A69" s="7">
        <v>67</v>
      </c>
      <c r="B69" s="7" t="s">
        <v>9000</v>
      </c>
      <c r="C69" s="7" t="s">
        <v>8984</v>
      </c>
      <c r="D69" s="7" t="s">
        <v>7551</v>
      </c>
      <c r="E69" s="7" t="s">
        <v>9122</v>
      </c>
      <c r="F69" s="8" t="s">
        <v>9123</v>
      </c>
      <c r="G69" s="7">
        <v>22</v>
      </c>
      <c r="H69" s="7" t="s">
        <v>8994</v>
      </c>
      <c r="I69" s="7">
        <v>8</v>
      </c>
      <c r="J69" s="7" t="s">
        <v>8995</v>
      </c>
      <c r="K69" s="9" t="s">
        <v>8987</v>
      </c>
    </row>
    <row r="70" spans="1:11">
      <c r="A70" s="7">
        <v>68</v>
      </c>
      <c r="B70" s="7" t="s">
        <v>9124</v>
      </c>
      <c r="C70" s="7" t="s">
        <v>8984</v>
      </c>
      <c r="D70" s="7" t="s">
        <v>7551</v>
      </c>
      <c r="E70" s="7" t="s">
        <v>9125</v>
      </c>
      <c r="F70" s="8" t="s">
        <v>9115</v>
      </c>
      <c r="G70" s="7">
        <v>8</v>
      </c>
      <c r="H70" s="7" t="s">
        <v>8991</v>
      </c>
      <c r="I70" s="7">
        <v>1</v>
      </c>
      <c r="J70" s="7" t="s">
        <v>7764</v>
      </c>
      <c r="K70" s="9" t="s">
        <v>8987</v>
      </c>
    </row>
    <row r="71" spans="1:11">
      <c r="A71" s="7">
        <v>69</v>
      </c>
      <c r="B71" s="7" t="s">
        <v>9000</v>
      </c>
      <c r="C71" s="7" t="s">
        <v>8984</v>
      </c>
      <c r="D71" s="7" t="s">
        <v>7551</v>
      </c>
      <c r="E71" s="7" t="s">
        <v>9126</v>
      </c>
      <c r="F71" s="8" t="s">
        <v>9119</v>
      </c>
      <c r="G71" s="7">
        <v>8</v>
      </c>
      <c r="H71" s="7" t="s">
        <v>8991</v>
      </c>
      <c r="I71" s="7">
        <v>1</v>
      </c>
      <c r="J71" s="7" t="s">
        <v>7764</v>
      </c>
      <c r="K71" s="9" t="s">
        <v>8987</v>
      </c>
    </row>
    <row r="72" spans="1:11">
      <c r="A72" s="7">
        <v>70</v>
      </c>
      <c r="B72" s="7" t="s">
        <v>9000</v>
      </c>
      <c r="C72" s="7" t="s">
        <v>8984</v>
      </c>
      <c r="D72" s="7" t="s">
        <v>7551</v>
      </c>
      <c r="E72" s="7" t="s">
        <v>9127</v>
      </c>
      <c r="F72" s="8" t="s">
        <v>9123</v>
      </c>
      <c r="G72" s="7">
        <v>8</v>
      </c>
      <c r="H72" s="7" t="s">
        <v>8991</v>
      </c>
      <c r="I72" s="7">
        <v>1</v>
      </c>
      <c r="J72" s="7" t="s">
        <v>7764</v>
      </c>
      <c r="K72" s="9" t="s">
        <v>8987</v>
      </c>
    </row>
    <row r="73" spans="1:11">
      <c r="A73" s="7">
        <v>71</v>
      </c>
      <c r="B73" s="7" t="s">
        <v>8990</v>
      </c>
      <c r="C73" s="7" t="s">
        <v>8984</v>
      </c>
      <c r="D73" s="7" t="s">
        <v>7551</v>
      </c>
      <c r="E73" s="7" t="s">
        <v>9128</v>
      </c>
      <c r="F73" s="8" t="s">
        <v>9129</v>
      </c>
      <c r="G73" s="7">
        <v>27</v>
      </c>
      <c r="H73" s="7" t="s">
        <v>9130</v>
      </c>
      <c r="I73" s="7">
        <v>9</v>
      </c>
      <c r="J73" s="7" t="s">
        <v>9131</v>
      </c>
      <c r="K73" s="9" t="s">
        <v>8987</v>
      </c>
    </row>
    <row r="74" spans="1:11">
      <c r="A74" s="7">
        <v>72</v>
      </c>
      <c r="B74" s="7" t="s">
        <v>8990</v>
      </c>
      <c r="C74" s="7" t="s">
        <v>8984</v>
      </c>
      <c r="D74" s="7" t="s">
        <v>7551</v>
      </c>
      <c r="E74" s="7" t="s">
        <v>9132</v>
      </c>
      <c r="F74" s="8" t="s">
        <v>9133</v>
      </c>
      <c r="G74" s="7">
        <v>23</v>
      </c>
      <c r="H74" s="7" t="s">
        <v>9120</v>
      </c>
      <c r="I74" s="7">
        <v>8</v>
      </c>
      <c r="J74" s="7" t="s">
        <v>9121</v>
      </c>
      <c r="K74" s="9" t="s">
        <v>8987</v>
      </c>
    </row>
    <row r="75" spans="1:11">
      <c r="A75" s="7">
        <v>73</v>
      </c>
      <c r="B75" s="7" t="s">
        <v>8990</v>
      </c>
      <c r="C75" s="7" t="s">
        <v>8984</v>
      </c>
      <c r="D75" s="7" t="s">
        <v>7551</v>
      </c>
      <c r="E75" s="7" t="s">
        <v>9134</v>
      </c>
      <c r="F75" s="8" t="s">
        <v>9135</v>
      </c>
      <c r="G75" s="7">
        <v>26</v>
      </c>
      <c r="H75" s="7" t="s">
        <v>9136</v>
      </c>
      <c r="I75" s="7">
        <v>9</v>
      </c>
      <c r="J75" s="7" t="s">
        <v>9137</v>
      </c>
      <c r="K75" s="9" t="s">
        <v>8987</v>
      </c>
    </row>
    <row r="76" spans="1:11">
      <c r="A76" s="7">
        <v>74</v>
      </c>
      <c r="B76" s="7" t="s">
        <v>8983</v>
      </c>
      <c r="C76" s="7" t="s">
        <v>8984</v>
      </c>
      <c r="D76" s="7" t="s">
        <v>7551</v>
      </c>
      <c r="E76" s="7" t="s">
        <v>9138</v>
      </c>
      <c r="F76" s="8" t="s">
        <v>9135</v>
      </c>
      <c r="G76" s="7">
        <v>13</v>
      </c>
      <c r="H76" s="7" t="s">
        <v>9077</v>
      </c>
      <c r="I76" s="7">
        <v>5</v>
      </c>
      <c r="J76" s="7" t="s">
        <v>9139</v>
      </c>
      <c r="K76" s="9" t="s">
        <v>8987</v>
      </c>
    </row>
    <row r="77" spans="1:11">
      <c r="A77" s="7">
        <v>75</v>
      </c>
      <c r="B77" s="7" t="s">
        <v>8990</v>
      </c>
      <c r="C77" s="7" t="s">
        <v>8984</v>
      </c>
      <c r="D77" s="7" t="s">
        <v>7551</v>
      </c>
      <c r="E77" s="7" t="s">
        <v>9140</v>
      </c>
      <c r="F77" s="8" t="s">
        <v>9141</v>
      </c>
      <c r="G77" s="7">
        <v>212</v>
      </c>
      <c r="H77" s="7" t="s">
        <v>9142</v>
      </c>
      <c r="I77" s="7">
        <v>41</v>
      </c>
      <c r="J77" s="7" t="s">
        <v>9143</v>
      </c>
      <c r="K77" s="9" t="s">
        <v>8987</v>
      </c>
    </row>
    <row r="78" spans="1:11">
      <c r="A78" s="7">
        <v>76</v>
      </c>
      <c r="B78" s="7" t="s">
        <v>8990</v>
      </c>
      <c r="C78" s="7" t="s">
        <v>8984</v>
      </c>
      <c r="D78" s="7" t="s">
        <v>7542</v>
      </c>
      <c r="E78" s="7" t="s">
        <v>9144</v>
      </c>
      <c r="F78" s="8" t="s">
        <v>9145</v>
      </c>
      <c r="G78" s="7">
        <v>17</v>
      </c>
      <c r="H78" s="7" t="s">
        <v>9146</v>
      </c>
      <c r="I78" s="7">
        <v>4</v>
      </c>
      <c r="J78" s="7" t="s">
        <v>9147</v>
      </c>
      <c r="K78" s="9" t="s">
        <v>8987</v>
      </c>
    </row>
    <row r="79" spans="1:11">
      <c r="A79" s="7">
        <v>77</v>
      </c>
      <c r="B79" s="7" t="s">
        <v>8990</v>
      </c>
      <c r="C79" s="7" t="s">
        <v>8998</v>
      </c>
      <c r="D79" s="7" t="s">
        <v>7542</v>
      </c>
      <c r="E79" s="7" t="s">
        <v>9148</v>
      </c>
      <c r="F79" s="8" t="s">
        <v>9145</v>
      </c>
      <c r="G79" s="7" t="s">
        <v>8987</v>
      </c>
      <c r="H79" s="7" t="s">
        <v>8987</v>
      </c>
      <c r="I79" s="7" t="s">
        <v>8987</v>
      </c>
      <c r="J79" s="7" t="s">
        <v>8987</v>
      </c>
      <c r="K79" s="9" t="s">
        <v>8987</v>
      </c>
    </row>
    <row r="80" spans="1:11">
      <c r="A80" s="7">
        <v>78</v>
      </c>
      <c r="B80" s="7" t="s">
        <v>8990</v>
      </c>
      <c r="C80" s="7" t="s">
        <v>8991</v>
      </c>
      <c r="D80" s="7" t="s">
        <v>7542</v>
      </c>
      <c r="E80" s="7" t="s">
        <v>9149</v>
      </c>
      <c r="F80" s="8" t="s">
        <v>9145</v>
      </c>
      <c r="G80" s="7">
        <v>23</v>
      </c>
      <c r="H80" s="7" t="s">
        <v>9120</v>
      </c>
      <c r="I80" s="7">
        <v>5</v>
      </c>
      <c r="J80" s="7" t="s">
        <v>9150</v>
      </c>
      <c r="K80" s="9" t="s">
        <v>8987</v>
      </c>
    </row>
    <row r="81" spans="1:11">
      <c r="A81" s="7">
        <v>79</v>
      </c>
      <c r="B81" s="7" t="s">
        <v>8990</v>
      </c>
      <c r="C81" s="7" t="s">
        <v>8984</v>
      </c>
      <c r="D81" s="7" t="s">
        <v>7542</v>
      </c>
      <c r="E81" s="7" t="s">
        <v>9151</v>
      </c>
      <c r="F81" s="8" t="s">
        <v>9152</v>
      </c>
      <c r="G81" s="7">
        <v>80</v>
      </c>
      <c r="H81" s="7" t="s">
        <v>9153</v>
      </c>
      <c r="I81" s="7">
        <v>5</v>
      </c>
      <c r="J81" s="7" t="s">
        <v>9154</v>
      </c>
      <c r="K81" s="9" t="s">
        <v>8987</v>
      </c>
    </row>
    <row r="82" spans="1:11">
      <c r="A82" s="7">
        <v>80</v>
      </c>
      <c r="B82" s="7" t="s">
        <v>8990</v>
      </c>
      <c r="C82" s="7" t="s">
        <v>8998</v>
      </c>
      <c r="D82" s="7" t="s">
        <v>7542</v>
      </c>
      <c r="E82" s="7" t="s">
        <v>9155</v>
      </c>
      <c r="F82" s="8" t="s">
        <v>9152</v>
      </c>
      <c r="G82" s="7" t="s">
        <v>8987</v>
      </c>
      <c r="H82" s="7" t="s">
        <v>8987</v>
      </c>
      <c r="I82" s="7" t="s">
        <v>8987</v>
      </c>
      <c r="J82" s="7" t="s">
        <v>8987</v>
      </c>
      <c r="K82" s="9" t="s">
        <v>8987</v>
      </c>
    </row>
    <row r="83" spans="1:11">
      <c r="A83" s="7">
        <v>81</v>
      </c>
      <c r="B83" s="7" t="s">
        <v>8990</v>
      </c>
      <c r="C83" s="7" t="s">
        <v>8991</v>
      </c>
      <c r="D83" s="7" t="s">
        <v>7542</v>
      </c>
      <c r="E83" s="7" t="s">
        <v>9156</v>
      </c>
      <c r="F83" s="8" t="s">
        <v>9152</v>
      </c>
      <c r="G83" s="7">
        <v>100</v>
      </c>
      <c r="H83" s="7" t="s">
        <v>9046</v>
      </c>
      <c r="I83" s="7">
        <v>5</v>
      </c>
      <c r="J83" s="7" t="s">
        <v>9157</v>
      </c>
      <c r="K83" s="9" t="s">
        <v>8987</v>
      </c>
    </row>
    <row r="84" spans="1:11">
      <c r="A84" s="7">
        <v>82</v>
      </c>
      <c r="B84" s="7" t="s">
        <v>8990</v>
      </c>
      <c r="C84" s="7" t="s">
        <v>8984</v>
      </c>
      <c r="D84" s="7" t="s">
        <v>7542</v>
      </c>
      <c r="E84" s="7" t="s">
        <v>9158</v>
      </c>
      <c r="F84" s="8" t="s">
        <v>9159</v>
      </c>
      <c r="G84" s="7">
        <v>22</v>
      </c>
      <c r="H84" s="7" t="s">
        <v>8994</v>
      </c>
      <c r="I84" s="7">
        <v>4</v>
      </c>
      <c r="J84" s="7" t="s">
        <v>9160</v>
      </c>
      <c r="K84" s="9" t="s">
        <v>8987</v>
      </c>
    </row>
    <row r="85" spans="1:11">
      <c r="A85" s="7">
        <v>83</v>
      </c>
      <c r="B85" s="7" t="s">
        <v>8990</v>
      </c>
      <c r="C85" s="7" t="s">
        <v>8991</v>
      </c>
      <c r="D85" s="7" t="s">
        <v>7542</v>
      </c>
      <c r="E85" s="7" t="s">
        <v>9161</v>
      </c>
      <c r="F85" s="8" t="s">
        <v>9159</v>
      </c>
      <c r="G85" s="7">
        <v>30</v>
      </c>
      <c r="H85" s="7" t="s">
        <v>9015</v>
      </c>
      <c r="I85" s="7">
        <v>5</v>
      </c>
      <c r="J85" s="7" t="s">
        <v>7732</v>
      </c>
      <c r="K85" s="9" t="s">
        <v>8987</v>
      </c>
    </row>
    <row r="86" spans="1:11">
      <c r="A86" s="7">
        <v>84</v>
      </c>
      <c r="B86" s="7" t="s">
        <v>8990</v>
      </c>
      <c r="C86" s="7" t="s">
        <v>8984</v>
      </c>
      <c r="D86" s="7" t="s">
        <v>7546</v>
      </c>
      <c r="E86" s="7" t="s">
        <v>9162</v>
      </c>
      <c r="F86" s="8" t="s">
        <v>9163</v>
      </c>
      <c r="G86" s="7">
        <v>68</v>
      </c>
      <c r="H86" s="7" t="s">
        <v>9088</v>
      </c>
      <c r="I86" s="7">
        <v>5</v>
      </c>
      <c r="J86" s="7" t="s">
        <v>9089</v>
      </c>
      <c r="K86" s="9" t="s">
        <v>8987</v>
      </c>
    </row>
    <row r="87" spans="1:11">
      <c r="A87" s="7">
        <v>85</v>
      </c>
      <c r="B87" s="7" t="s">
        <v>8990</v>
      </c>
      <c r="C87" s="7" t="s">
        <v>8984</v>
      </c>
      <c r="D87" s="7" t="s">
        <v>7546</v>
      </c>
      <c r="E87" s="7" t="s">
        <v>9164</v>
      </c>
      <c r="F87" s="8" t="s">
        <v>9165</v>
      </c>
      <c r="G87" s="7">
        <v>128</v>
      </c>
      <c r="H87" s="7" t="s">
        <v>9166</v>
      </c>
      <c r="I87" s="7">
        <v>7</v>
      </c>
      <c r="J87" s="7" t="s">
        <v>9167</v>
      </c>
      <c r="K87" s="9" t="s">
        <v>8987</v>
      </c>
    </row>
    <row r="88" spans="1:11">
      <c r="A88" s="7">
        <v>86</v>
      </c>
      <c r="B88" s="7" t="s">
        <v>8990</v>
      </c>
      <c r="C88" s="7" t="s">
        <v>8991</v>
      </c>
      <c r="D88" s="7" t="s">
        <v>7546</v>
      </c>
      <c r="E88" s="7" t="s">
        <v>9168</v>
      </c>
      <c r="F88" s="8" t="s">
        <v>9163</v>
      </c>
      <c r="G88" s="7">
        <v>73</v>
      </c>
      <c r="H88" s="7" t="s">
        <v>9103</v>
      </c>
      <c r="I88" s="7">
        <v>5</v>
      </c>
      <c r="J88" s="7" t="s">
        <v>9104</v>
      </c>
      <c r="K88" s="9" t="s">
        <v>8987</v>
      </c>
    </row>
    <row r="89" spans="1:11">
      <c r="A89" s="7">
        <v>87</v>
      </c>
      <c r="B89" s="7" t="s">
        <v>8990</v>
      </c>
      <c r="C89" s="7" t="s">
        <v>8991</v>
      </c>
      <c r="D89" s="7" t="s">
        <v>7546</v>
      </c>
      <c r="E89" s="7" t="s">
        <v>9169</v>
      </c>
      <c r="F89" s="8" t="s">
        <v>9165</v>
      </c>
      <c r="G89" s="7">
        <v>133</v>
      </c>
      <c r="H89" s="7" t="s">
        <v>9170</v>
      </c>
      <c r="I89" s="7">
        <v>7</v>
      </c>
      <c r="J89" s="7" t="s">
        <v>9171</v>
      </c>
      <c r="K89" s="9" t="s">
        <v>8987</v>
      </c>
    </row>
    <row r="90" spans="1:11">
      <c r="A90" s="7">
        <v>88</v>
      </c>
      <c r="B90" s="7" t="s">
        <v>8983</v>
      </c>
      <c r="C90" s="7" t="s">
        <v>8984</v>
      </c>
      <c r="D90" s="7" t="s">
        <v>7573</v>
      </c>
      <c r="E90" s="7" t="s">
        <v>9172</v>
      </c>
      <c r="F90" s="8" t="s">
        <v>9173</v>
      </c>
      <c r="G90" s="7">
        <v>64</v>
      </c>
      <c r="H90" s="7" t="s">
        <v>9174</v>
      </c>
      <c r="I90" s="7">
        <v>21</v>
      </c>
      <c r="J90" s="7" t="s">
        <v>9175</v>
      </c>
      <c r="K90" s="9" t="s">
        <v>8987</v>
      </c>
    </row>
    <row r="91" spans="1:11">
      <c r="A91" s="7">
        <v>89</v>
      </c>
      <c r="B91" s="7" t="s">
        <v>8983</v>
      </c>
      <c r="C91" s="7" t="s">
        <v>8984</v>
      </c>
      <c r="D91" s="7" t="s">
        <v>7573</v>
      </c>
      <c r="E91" s="7" t="s">
        <v>9176</v>
      </c>
      <c r="F91" s="8" t="s">
        <v>9177</v>
      </c>
      <c r="G91" s="7">
        <v>13</v>
      </c>
      <c r="H91" s="7" t="s">
        <v>9077</v>
      </c>
      <c r="I91" s="7">
        <v>2</v>
      </c>
      <c r="J91" s="7" t="s">
        <v>9178</v>
      </c>
      <c r="K91" s="9" t="s">
        <v>8987</v>
      </c>
    </row>
    <row r="92" spans="1:11">
      <c r="A92" s="7">
        <v>90</v>
      </c>
      <c r="B92" s="7" t="s">
        <v>8983</v>
      </c>
      <c r="C92" s="7" t="s">
        <v>8984</v>
      </c>
      <c r="D92" s="7" t="s">
        <v>7573</v>
      </c>
      <c r="E92" s="7" t="s">
        <v>9179</v>
      </c>
      <c r="F92" s="8" t="s">
        <v>9177</v>
      </c>
      <c r="G92" s="7">
        <v>9</v>
      </c>
      <c r="H92" s="7" t="s">
        <v>9030</v>
      </c>
      <c r="I92" s="7">
        <v>2</v>
      </c>
      <c r="J92" s="7" t="s">
        <v>9180</v>
      </c>
      <c r="K92" s="9" t="s">
        <v>8987</v>
      </c>
    </row>
    <row r="93" spans="1:11">
      <c r="A93" s="7">
        <v>91</v>
      </c>
      <c r="B93" s="7" t="s">
        <v>8983</v>
      </c>
      <c r="C93" s="7" t="s">
        <v>8984</v>
      </c>
      <c r="D93" s="7" t="s">
        <v>7573</v>
      </c>
      <c r="E93" s="7" t="s">
        <v>9181</v>
      </c>
      <c r="F93" s="8" t="s">
        <v>9177</v>
      </c>
      <c r="G93" s="7">
        <v>7</v>
      </c>
      <c r="H93" s="7" t="s">
        <v>9182</v>
      </c>
      <c r="I93" s="7">
        <v>2</v>
      </c>
      <c r="J93" s="7" t="s">
        <v>9183</v>
      </c>
      <c r="K93" s="9" t="s">
        <v>8987</v>
      </c>
    </row>
    <row r="94" spans="1:11">
      <c r="A94" s="7">
        <v>92</v>
      </c>
      <c r="B94" s="7" t="s">
        <v>8990</v>
      </c>
      <c r="C94" s="7" t="s">
        <v>8998</v>
      </c>
      <c r="D94" s="7" t="s">
        <v>7573</v>
      </c>
      <c r="E94" s="7" t="s">
        <v>9184</v>
      </c>
      <c r="F94" s="8" t="s">
        <v>9173</v>
      </c>
      <c r="G94" s="7" t="s">
        <v>8987</v>
      </c>
      <c r="H94" s="7" t="s">
        <v>8987</v>
      </c>
      <c r="I94" s="7" t="s">
        <v>8987</v>
      </c>
      <c r="J94" s="7" t="s">
        <v>8987</v>
      </c>
      <c r="K94" s="9" t="s">
        <v>8987</v>
      </c>
    </row>
    <row r="95" spans="1:11">
      <c r="A95" s="7">
        <v>93</v>
      </c>
      <c r="B95" s="7" t="s">
        <v>8990</v>
      </c>
      <c r="C95" s="7" t="s">
        <v>8984</v>
      </c>
      <c r="D95" s="7" t="s">
        <v>7573</v>
      </c>
      <c r="E95" s="7" t="s">
        <v>9185</v>
      </c>
      <c r="F95" s="8" t="s">
        <v>9186</v>
      </c>
      <c r="G95" s="7">
        <v>3</v>
      </c>
      <c r="H95" s="7" t="s">
        <v>9187</v>
      </c>
      <c r="I95" s="7">
        <v>2</v>
      </c>
      <c r="J95" s="7" t="s">
        <v>9188</v>
      </c>
      <c r="K95" s="9" t="s">
        <v>8987</v>
      </c>
    </row>
    <row r="96" spans="1:11">
      <c r="A96" s="7">
        <v>94</v>
      </c>
      <c r="B96" s="7" t="s">
        <v>8983</v>
      </c>
      <c r="C96" s="7" t="s">
        <v>8998</v>
      </c>
      <c r="D96" s="7" t="s">
        <v>7573</v>
      </c>
      <c r="E96" s="7" t="s">
        <v>9189</v>
      </c>
      <c r="F96" s="8" t="s">
        <v>9186</v>
      </c>
      <c r="G96" s="7" t="s">
        <v>8987</v>
      </c>
      <c r="H96" s="7" t="s">
        <v>8987</v>
      </c>
      <c r="I96" s="7" t="s">
        <v>8987</v>
      </c>
      <c r="J96" s="7" t="s">
        <v>8987</v>
      </c>
      <c r="K96" s="9" t="s">
        <v>8987</v>
      </c>
    </row>
    <row r="97" spans="1:11">
      <c r="A97" s="7">
        <v>95</v>
      </c>
      <c r="B97" s="7" t="s">
        <v>8983</v>
      </c>
      <c r="C97" s="7" t="s">
        <v>9030</v>
      </c>
      <c r="D97" s="7" t="s">
        <v>7573</v>
      </c>
      <c r="E97" s="7" t="s">
        <v>9190</v>
      </c>
      <c r="F97" s="8" t="s">
        <v>9186</v>
      </c>
      <c r="G97" s="7" t="s">
        <v>8987</v>
      </c>
      <c r="H97" s="7" t="s">
        <v>8987</v>
      </c>
      <c r="I97" s="7" t="s">
        <v>8987</v>
      </c>
      <c r="J97" s="7" t="s">
        <v>8987</v>
      </c>
      <c r="K97" s="9" t="s">
        <v>8987</v>
      </c>
    </row>
    <row r="98" spans="1:11">
      <c r="A98" s="7">
        <v>96</v>
      </c>
      <c r="B98" s="7" t="s">
        <v>8990</v>
      </c>
      <c r="C98" s="7" t="s">
        <v>8984</v>
      </c>
      <c r="D98" s="7" t="s">
        <v>7551</v>
      </c>
      <c r="E98" s="7" t="s">
        <v>9191</v>
      </c>
      <c r="F98" s="8" t="s">
        <v>9192</v>
      </c>
      <c r="G98" s="7">
        <v>35</v>
      </c>
      <c r="H98" s="7" t="s">
        <v>9026</v>
      </c>
      <c r="I98" s="7">
        <v>5</v>
      </c>
      <c r="J98" s="7" t="s">
        <v>9027</v>
      </c>
      <c r="K98" s="9" t="s">
        <v>8987</v>
      </c>
    </row>
    <row r="99" spans="1:11">
      <c r="A99" s="7">
        <v>97</v>
      </c>
      <c r="B99" s="7" t="s">
        <v>8990</v>
      </c>
      <c r="C99" s="7" t="s">
        <v>8984</v>
      </c>
      <c r="D99" s="7" t="s">
        <v>7551</v>
      </c>
      <c r="E99" s="7" t="s">
        <v>9193</v>
      </c>
      <c r="F99" s="8" t="s">
        <v>9192</v>
      </c>
      <c r="G99" s="7">
        <v>70</v>
      </c>
      <c r="H99" s="7" t="s">
        <v>9194</v>
      </c>
      <c r="I99" s="7">
        <v>9</v>
      </c>
      <c r="J99" s="7" t="s">
        <v>9195</v>
      </c>
      <c r="K99" s="9" t="s">
        <v>8987</v>
      </c>
    </row>
    <row r="100" spans="1:11">
      <c r="A100" s="7">
        <v>98</v>
      </c>
      <c r="B100" s="7" t="s">
        <v>8990</v>
      </c>
      <c r="C100" s="7" t="s">
        <v>8984</v>
      </c>
      <c r="D100" s="7" t="s">
        <v>7551</v>
      </c>
      <c r="E100" s="7" t="s">
        <v>9196</v>
      </c>
      <c r="F100" s="8" t="s">
        <v>9192</v>
      </c>
      <c r="G100" s="7">
        <v>52</v>
      </c>
      <c r="H100" s="7" t="s">
        <v>9197</v>
      </c>
      <c r="I100" s="7">
        <v>7</v>
      </c>
      <c r="J100" s="7" t="s">
        <v>9198</v>
      </c>
      <c r="K100" s="9" t="s">
        <v>8987</v>
      </c>
    </row>
    <row r="101" spans="1:11">
      <c r="A101" s="7">
        <v>99</v>
      </c>
      <c r="B101" s="7" t="s">
        <v>8983</v>
      </c>
      <c r="C101" s="7" t="s">
        <v>8984</v>
      </c>
      <c r="D101" s="7" t="s">
        <v>7551</v>
      </c>
      <c r="E101" s="7" t="s">
        <v>9199</v>
      </c>
      <c r="F101" s="8" t="s">
        <v>9192</v>
      </c>
      <c r="G101" s="7">
        <v>41</v>
      </c>
      <c r="H101" s="7" t="s">
        <v>9200</v>
      </c>
      <c r="I101" s="7">
        <v>5</v>
      </c>
      <c r="J101" s="7" t="s">
        <v>9201</v>
      </c>
      <c r="K101" s="9" t="s">
        <v>8987</v>
      </c>
    </row>
    <row r="102" spans="1:11">
      <c r="A102" s="7">
        <v>100</v>
      </c>
      <c r="B102" s="7" t="s">
        <v>8983</v>
      </c>
      <c r="C102" s="7" t="s">
        <v>8984</v>
      </c>
      <c r="D102" s="7" t="s">
        <v>7551</v>
      </c>
      <c r="E102" s="7" t="s">
        <v>9202</v>
      </c>
      <c r="F102" s="8" t="s">
        <v>9192</v>
      </c>
      <c r="G102" s="7">
        <v>61</v>
      </c>
      <c r="H102" s="7" t="s">
        <v>9203</v>
      </c>
      <c r="I102" s="7">
        <v>7</v>
      </c>
      <c r="J102" s="7" t="s">
        <v>9204</v>
      </c>
      <c r="K102" s="9" t="s">
        <v>8987</v>
      </c>
    </row>
    <row r="103" spans="1:11">
      <c r="A103" s="7">
        <v>101</v>
      </c>
      <c r="B103" s="7" t="s">
        <v>8983</v>
      </c>
      <c r="C103" s="7" t="s">
        <v>8984</v>
      </c>
      <c r="D103" s="7" t="s">
        <v>7551</v>
      </c>
      <c r="E103" s="7" t="s">
        <v>9205</v>
      </c>
      <c r="F103" s="8" t="s">
        <v>9192</v>
      </c>
      <c r="G103" s="7">
        <v>82</v>
      </c>
      <c r="H103" s="7" t="s">
        <v>9206</v>
      </c>
      <c r="I103" s="7">
        <v>9</v>
      </c>
      <c r="J103" s="7" t="s">
        <v>9207</v>
      </c>
      <c r="K103" s="9" t="s">
        <v>8987</v>
      </c>
    </row>
    <row r="104" spans="1:11">
      <c r="A104" s="7">
        <v>102</v>
      </c>
      <c r="B104" s="7" t="s">
        <v>9208</v>
      </c>
      <c r="C104" s="7" t="s">
        <v>8984</v>
      </c>
      <c r="D104" s="7" t="s">
        <v>7549</v>
      </c>
      <c r="E104" s="7" t="s">
        <v>9209</v>
      </c>
      <c r="F104" s="8" t="s">
        <v>9210</v>
      </c>
      <c r="G104" s="7">
        <v>8</v>
      </c>
      <c r="H104" s="7" t="s">
        <v>8991</v>
      </c>
      <c r="I104" s="7">
        <v>2</v>
      </c>
      <c r="J104" s="7" t="s">
        <v>9211</v>
      </c>
      <c r="K104" s="9" t="s">
        <v>8987</v>
      </c>
    </row>
    <row r="105" spans="1:11">
      <c r="A105" s="7">
        <v>103</v>
      </c>
      <c r="B105" s="7" t="s">
        <v>9208</v>
      </c>
      <c r="C105" s="7" t="s">
        <v>8984</v>
      </c>
      <c r="D105" s="7" t="s">
        <v>7549</v>
      </c>
      <c r="E105" s="7" t="s">
        <v>9212</v>
      </c>
      <c r="F105" s="8" t="s">
        <v>9210</v>
      </c>
      <c r="G105" s="7">
        <v>12</v>
      </c>
      <c r="H105" s="7" t="s">
        <v>9213</v>
      </c>
      <c r="I105" s="7">
        <v>3</v>
      </c>
      <c r="J105" s="7" t="s">
        <v>7720</v>
      </c>
      <c r="K105" s="9" t="s">
        <v>8987</v>
      </c>
    </row>
    <row r="106" spans="1:11">
      <c r="A106" s="7">
        <v>104</v>
      </c>
      <c r="B106" s="7" t="s">
        <v>9208</v>
      </c>
      <c r="C106" s="7" t="s">
        <v>8984</v>
      </c>
      <c r="D106" s="7" t="s">
        <v>7549</v>
      </c>
      <c r="E106" s="7" t="s">
        <v>9214</v>
      </c>
      <c r="F106" s="8" t="s">
        <v>9210</v>
      </c>
      <c r="G106" s="7">
        <v>16</v>
      </c>
      <c r="H106" s="7" t="s">
        <v>9215</v>
      </c>
      <c r="I106" s="7">
        <v>3</v>
      </c>
      <c r="J106" s="7" t="s">
        <v>7769</v>
      </c>
      <c r="K106" s="9" t="s">
        <v>8987</v>
      </c>
    </row>
    <row r="107" spans="1:11">
      <c r="A107" s="7">
        <v>105</v>
      </c>
      <c r="B107" s="7" t="s">
        <v>9216</v>
      </c>
      <c r="C107" s="7" t="s">
        <v>8984</v>
      </c>
      <c r="D107" s="7" t="s">
        <v>7549</v>
      </c>
      <c r="E107" s="7" t="s">
        <v>9217</v>
      </c>
      <c r="F107" s="8" t="s">
        <v>9210</v>
      </c>
      <c r="G107" s="7">
        <v>6</v>
      </c>
      <c r="H107" s="7" t="s">
        <v>9218</v>
      </c>
      <c r="I107" s="7">
        <v>2</v>
      </c>
      <c r="J107" s="7" t="s">
        <v>7874</v>
      </c>
      <c r="K107" s="9" t="s">
        <v>8987</v>
      </c>
    </row>
    <row r="108" spans="1:11">
      <c r="A108" s="7">
        <v>106</v>
      </c>
      <c r="B108" s="7" t="s">
        <v>9208</v>
      </c>
      <c r="C108" s="7" t="s">
        <v>8984</v>
      </c>
      <c r="D108" s="7" t="s">
        <v>7549</v>
      </c>
      <c r="E108" s="7" t="s">
        <v>9219</v>
      </c>
      <c r="F108" s="8" t="s">
        <v>9210</v>
      </c>
      <c r="G108" s="7">
        <v>9</v>
      </c>
      <c r="H108" s="7" t="s">
        <v>9030</v>
      </c>
      <c r="I108" s="7">
        <v>3</v>
      </c>
      <c r="J108" s="7" t="s">
        <v>9031</v>
      </c>
      <c r="K108" s="9" t="s">
        <v>8987</v>
      </c>
    </row>
    <row r="109" spans="1:11">
      <c r="A109" s="7">
        <v>107</v>
      </c>
      <c r="B109" s="7" t="s">
        <v>9208</v>
      </c>
      <c r="C109" s="7" t="s">
        <v>8984</v>
      </c>
      <c r="D109" s="7" t="s">
        <v>7549</v>
      </c>
      <c r="E109" s="7" t="s">
        <v>9220</v>
      </c>
      <c r="F109" s="8" t="s">
        <v>9210</v>
      </c>
      <c r="G109" s="7">
        <v>12</v>
      </c>
      <c r="H109" s="7" t="s">
        <v>9213</v>
      </c>
      <c r="I109" s="7">
        <v>3</v>
      </c>
      <c r="J109" s="7" t="s">
        <v>7720</v>
      </c>
      <c r="K109" s="9" t="s">
        <v>8987</v>
      </c>
    </row>
    <row r="110" spans="1:11">
      <c r="A110" s="7">
        <v>108</v>
      </c>
      <c r="B110" s="7" t="s">
        <v>9208</v>
      </c>
      <c r="C110" s="7" t="s">
        <v>8984</v>
      </c>
      <c r="D110" s="7" t="s">
        <v>7549</v>
      </c>
      <c r="E110" s="7" t="s">
        <v>9221</v>
      </c>
      <c r="F110" s="8" t="s">
        <v>9210</v>
      </c>
      <c r="G110" s="7">
        <v>22</v>
      </c>
      <c r="H110" s="7" t="s">
        <v>8994</v>
      </c>
      <c r="I110" s="7">
        <v>3</v>
      </c>
      <c r="J110" s="7" t="s">
        <v>9222</v>
      </c>
      <c r="K110" s="9" t="s">
        <v>8987</v>
      </c>
    </row>
    <row r="111" spans="1:11">
      <c r="A111" s="7">
        <v>109</v>
      </c>
      <c r="B111" s="7" t="s">
        <v>9208</v>
      </c>
      <c r="C111" s="7" t="s">
        <v>8984</v>
      </c>
      <c r="D111" s="7" t="s">
        <v>7549</v>
      </c>
      <c r="E111" s="7" t="s">
        <v>9223</v>
      </c>
      <c r="F111" s="8" t="s">
        <v>9210</v>
      </c>
      <c r="G111" s="7">
        <v>25</v>
      </c>
      <c r="H111" s="7" t="s">
        <v>9011</v>
      </c>
      <c r="I111" s="7">
        <v>3</v>
      </c>
      <c r="J111" s="7" t="s">
        <v>9224</v>
      </c>
      <c r="K111" s="9" t="s">
        <v>8987</v>
      </c>
    </row>
    <row r="112" spans="1:11">
      <c r="A112" s="7">
        <v>110</v>
      </c>
      <c r="B112" s="7" t="s">
        <v>8990</v>
      </c>
      <c r="C112" s="7" t="s">
        <v>8984</v>
      </c>
      <c r="D112" s="7" t="s">
        <v>7546</v>
      </c>
      <c r="E112" s="7" t="s">
        <v>9225</v>
      </c>
      <c r="F112" s="8" t="s">
        <v>9226</v>
      </c>
      <c r="G112" s="7">
        <v>73</v>
      </c>
      <c r="H112" s="7" t="s">
        <v>9103</v>
      </c>
      <c r="I112" s="7">
        <v>5</v>
      </c>
      <c r="J112" s="7" t="s">
        <v>9104</v>
      </c>
      <c r="K112" s="9" t="s">
        <v>8987</v>
      </c>
    </row>
    <row r="113" spans="1:11">
      <c r="A113" s="7">
        <v>111</v>
      </c>
      <c r="B113" s="7" t="s">
        <v>9000</v>
      </c>
      <c r="C113" s="7" t="s">
        <v>8984</v>
      </c>
      <c r="D113" s="7" t="s">
        <v>7546</v>
      </c>
      <c r="E113" s="7" t="s">
        <v>9227</v>
      </c>
      <c r="F113" s="8" t="s">
        <v>9228</v>
      </c>
      <c r="G113" s="7">
        <v>83</v>
      </c>
      <c r="H113" s="7" t="s">
        <v>9229</v>
      </c>
      <c r="I113" s="7">
        <v>5</v>
      </c>
      <c r="J113" s="7" t="s">
        <v>9230</v>
      </c>
      <c r="K113" s="9" t="s">
        <v>8987</v>
      </c>
    </row>
    <row r="114" spans="1:11">
      <c r="A114" s="7">
        <v>112</v>
      </c>
      <c r="B114" s="7" t="s">
        <v>9000</v>
      </c>
      <c r="C114" s="7" t="s">
        <v>8984</v>
      </c>
      <c r="D114" s="7" t="s">
        <v>7546</v>
      </c>
      <c r="E114" s="7" t="s">
        <v>9231</v>
      </c>
      <c r="F114" s="8" t="s">
        <v>9232</v>
      </c>
      <c r="G114" s="7">
        <v>83</v>
      </c>
      <c r="H114" s="7" t="s">
        <v>9229</v>
      </c>
      <c r="I114" s="7">
        <v>5</v>
      </c>
      <c r="J114" s="7" t="s">
        <v>9230</v>
      </c>
      <c r="K114" s="9" t="s">
        <v>8987</v>
      </c>
    </row>
    <row r="115" spans="1:11">
      <c r="A115" s="7">
        <v>113</v>
      </c>
      <c r="B115" s="7" t="s">
        <v>9000</v>
      </c>
      <c r="C115" s="7" t="s">
        <v>8984</v>
      </c>
      <c r="D115" s="7" t="s">
        <v>7546</v>
      </c>
      <c r="E115" s="7" t="s">
        <v>9233</v>
      </c>
      <c r="F115" s="8" t="s">
        <v>9234</v>
      </c>
      <c r="G115" s="7">
        <v>83</v>
      </c>
      <c r="H115" s="7" t="s">
        <v>9229</v>
      </c>
      <c r="I115" s="7">
        <v>5</v>
      </c>
      <c r="J115" s="7" t="s">
        <v>9230</v>
      </c>
      <c r="K115" s="9" t="s">
        <v>8987</v>
      </c>
    </row>
    <row r="116" spans="1:11">
      <c r="A116" s="7">
        <v>114</v>
      </c>
      <c r="B116" s="7" t="s">
        <v>8990</v>
      </c>
      <c r="C116" s="7" t="s">
        <v>8991</v>
      </c>
      <c r="D116" s="7" t="s">
        <v>7546</v>
      </c>
      <c r="E116" s="7" t="s">
        <v>9235</v>
      </c>
      <c r="F116" s="8" t="s">
        <v>9226</v>
      </c>
      <c r="G116" s="7">
        <v>78</v>
      </c>
      <c r="H116" s="7" t="s">
        <v>9236</v>
      </c>
      <c r="I116" s="7">
        <v>5</v>
      </c>
      <c r="J116" s="7" t="s">
        <v>9237</v>
      </c>
      <c r="K116" s="9" t="s">
        <v>8987</v>
      </c>
    </row>
    <row r="117" spans="1:11">
      <c r="A117" s="7">
        <v>115</v>
      </c>
      <c r="B117" s="7" t="s">
        <v>9000</v>
      </c>
      <c r="C117" s="7" t="s">
        <v>8991</v>
      </c>
      <c r="D117" s="7" t="s">
        <v>7546</v>
      </c>
      <c r="E117" s="7" t="s">
        <v>9238</v>
      </c>
      <c r="F117" s="8" t="s">
        <v>9228</v>
      </c>
      <c r="G117" s="7">
        <v>88</v>
      </c>
      <c r="H117" s="7" t="s">
        <v>9239</v>
      </c>
      <c r="I117" s="7">
        <v>5</v>
      </c>
      <c r="J117" s="7" t="s">
        <v>9240</v>
      </c>
      <c r="K117" s="9" t="s">
        <v>8987</v>
      </c>
    </row>
    <row r="118" spans="1:11">
      <c r="A118" s="7">
        <v>116</v>
      </c>
      <c r="B118" s="7" t="s">
        <v>9000</v>
      </c>
      <c r="C118" s="7" t="s">
        <v>8991</v>
      </c>
      <c r="D118" s="7" t="s">
        <v>7546</v>
      </c>
      <c r="E118" s="7" t="s">
        <v>9241</v>
      </c>
      <c r="F118" s="8" t="s">
        <v>9232</v>
      </c>
      <c r="G118" s="7">
        <v>88</v>
      </c>
      <c r="H118" s="7" t="s">
        <v>9239</v>
      </c>
      <c r="I118" s="7">
        <v>5</v>
      </c>
      <c r="J118" s="7" t="s">
        <v>9240</v>
      </c>
      <c r="K118" s="9" t="s">
        <v>8987</v>
      </c>
    </row>
    <row r="119" spans="1:11">
      <c r="A119" s="7">
        <v>117</v>
      </c>
      <c r="B119" s="7" t="s">
        <v>9000</v>
      </c>
      <c r="C119" s="7" t="s">
        <v>8991</v>
      </c>
      <c r="D119" s="7" t="s">
        <v>7546</v>
      </c>
      <c r="E119" s="7" t="s">
        <v>9242</v>
      </c>
      <c r="F119" s="8" t="s">
        <v>9234</v>
      </c>
      <c r="G119" s="7">
        <v>88</v>
      </c>
      <c r="H119" s="7" t="s">
        <v>9239</v>
      </c>
      <c r="I119" s="7">
        <v>5</v>
      </c>
      <c r="J119" s="7" t="s">
        <v>9240</v>
      </c>
      <c r="K119" s="9" t="s">
        <v>8987</v>
      </c>
    </row>
    <row r="120" spans="1:11">
      <c r="A120" s="7">
        <v>118</v>
      </c>
      <c r="B120" s="7" t="s">
        <v>8990</v>
      </c>
      <c r="C120" s="7" t="s">
        <v>8984</v>
      </c>
      <c r="D120" s="7" t="s">
        <v>7555</v>
      </c>
      <c r="E120" s="7" t="s">
        <v>9243</v>
      </c>
      <c r="F120" s="8" t="s">
        <v>9244</v>
      </c>
      <c r="G120" s="7">
        <v>100</v>
      </c>
      <c r="H120" s="7" t="s">
        <v>9046</v>
      </c>
      <c r="I120" s="7">
        <v>21</v>
      </c>
      <c r="J120" s="7" t="s">
        <v>7721</v>
      </c>
      <c r="K120" s="9" t="s">
        <v>8987</v>
      </c>
    </row>
    <row r="121" spans="1:11">
      <c r="A121" s="7">
        <v>119</v>
      </c>
      <c r="B121" s="7" t="s">
        <v>9216</v>
      </c>
      <c r="C121" s="7" t="s">
        <v>8984</v>
      </c>
      <c r="D121" s="7" t="s">
        <v>7555</v>
      </c>
      <c r="E121" s="7" t="s">
        <v>9245</v>
      </c>
      <c r="F121" s="8" t="s">
        <v>9246</v>
      </c>
      <c r="G121" s="7">
        <v>50</v>
      </c>
      <c r="H121" s="7" t="s">
        <v>9021</v>
      </c>
      <c r="I121" s="7">
        <v>11</v>
      </c>
      <c r="J121" s="7" t="s">
        <v>9247</v>
      </c>
      <c r="K121" s="9" t="s">
        <v>8987</v>
      </c>
    </row>
    <row r="122" spans="1:11">
      <c r="A122" s="7">
        <v>120</v>
      </c>
      <c r="B122" s="7" t="s">
        <v>9216</v>
      </c>
      <c r="C122" s="7" t="s">
        <v>8991</v>
      </c>
      <c r="D122" s="7" t="s">
        <v>7555</v>
      </c>
      <c r="E122" s="7" t="s">
        <v>9248</v>
      </c>
      <c r="F122" s="8" t="s">
        <v>9249</v>
      </c>
      <c r="G122" s="7">
        <v>50</v>
      </c>
      <c r="H122" s="7" t="s">
        <v>9021</v>
      </c>
      <c r="I122" s="7">
        <v>11</v>
      </c>
      <c r="J122" s="7" t="s">
        <v>9247</v>
      </c>
      <c r="K122" s="9" t="s">
        <v>8987</v>
      </c>
    </row>
    <row r="123" spans="1:11">
      <c r="A123" s="7">
        <v>121</v>
      </c>
      <c r="B123" s="7" t="s">
        <v>8990</v>
      </c>
      <c r="C123" s="7" t="s">
        <v>8984</v>
      </c>
      <c r="D123" s="7" t="s">
        <v>7555</v>
      </c>
      <c r="E123" s="7" t="s">
        <v>9250</v>
      </c>
      <c r="F123" s="8" t="s">
        <v>9251</v>
      </c>
      <c r="G123" s="7">
        <v>50</v>
      </c>
      <c r="H123" s="7" t="s">
        <v>9021</v>
      </c>
      <c r="I123" s="7">
        <v>11</v>
      </c>
      <c r="J123" s="7" t="s">
        <v>9247</v>
      </c>
      <c r="K123" s="9" t="s">
        <v>8987</v>
      </c>
    </row>
    <row r="124" spans="1:11">
      <c r="A124" s="7">
        <v>122</v>
      </c>
      <c r="B124" s="7" t="s">
        <v>8990</v>
      </c>
      <c r="C124" s="7" t="s">
        <v>8991</v>
      </c>
      <c r="D124" s="7" t="s">
        <v>7555</v>
      </c>
      <c r="E124" s="7" t="s">
        <v>9252</v>
      </c>
      <c r="F124" s="8" t="s">
        <v>9244</v>
      </c>
      <c r="G124" s="7">
        <v>150</v>
      </c>
      <c r="H124" s="7" t="s">
        <v>9253</v>
      </c>
      <c r="I124" s="7">
        <v>31</v>
      </c>
      <c r="J124" s="7" t="s">
        <v>9254</v>
      </c>
      <c r="K124" s="9" t="s">
        <v>8987</v>
      </c>
    </row>
    <row r="125" spans="1:11">
      <c r="A125" s="7">
        <v>123</v>
      </c>
      <c r="B125" s="7" t="s">
        <v>9216</v>
      </c>
      <c r="C125" s="7" t="s">
        <v>8991</v>
      </c>
      <c r="D125" s="7" t="s">
        <v>7555</v>
      </c>
      <c r="E125" s="7" t="s">
        <v>9255</v>
      </c>
      <c r="F125" s="8" t="s">
        <v>9246</v>
      </c>
      <c r="G125" s="7">
        <v>70</v>
      </c>
      <c r="H125" s="7" t="s">
        <v>9194</v>
      </c>
      <c r="I125" s="7">
        <v>15</v>
      </c>
      <c r="J125" s="7" t="s">
        <v>9256</v>
      </c>
      <c r="K125" s="9" t="s">
        <v>8987</v>
      </c>
    </row>
    <row r="126" spans="1:11">
      <c r="A126" s="7">
        <v>124</v>
      </c>
      <c r="B126" s="7" t="s">
        <v>9216</v>
      </c>
      <c r="C126" s="7" t="s">
        <v>8991</v>
      </c>
      <c r="D126" s="7" t="s">
        <v>7555</v>
      </c>
      <c r="E126" s="7" t="s">
        <v>9257</v>
      </c>
      <c r="F126" s="8" t="s">
        <v>9249</v>
      </c>
      <c r="G126" s="7">
        <v>70</v>
      </c>
      <c r="H126" s="7" t="s">
        <v>9194</v>
      </c>
      <c r="I126" s="7">
        <v>15</v>
      </c>
      <c r="J126" s="7" t="s">
        <v>9256</v>
      </c>
      <c r="K126" s="9" t="s">
        <v>8987</v>
      </c>
    </row>
    <row r="127" spans="1:11">
      <c r="A127" s="7">
        <v>125</v>
      </c>
      <c r="B127" s="7" t="s">
        <v>8990</v>
      </c>
      <c r="C127" s="7" t="s">
        <v>8991</v>
      </c>
      <c r="D127" s="7" t="s">
        <v>7555</v>
      </c>
      <c r="E127" s="7" t="s">
        <v>9258</v>
      </c>
      <c r="F127" s="8" t="s">
        <v>9251</v>
      </c>
      <c r="G127" s="7">
        <v>70</v>
      </c>
      <c r="H127" s="7" t="s">
        <v>9194</v>
      </c>
      <c r="I127" s="7">
        <v>15</v>
      </c>
      <c r="J127" s="7" t="s">
        <v>9256</v>
      </c>
      <c r="K127" s="9" t="s">
        <v>8987</v>
      </c>
    </row>
    <row r="128" spans="1:11">
      <c r="A128" s="7">
        <v>126</v>
      </c>
      <c r="B128" s="7" t="s">
        <v>8990</v>
      </c>
      <c r="C128" s="7" t="s">
        <v>8984</v>
      </c>
      <c r="D128" s="7" t="s">
        <v>7573</v>
      </c>
      <c r="E128" s="7" t="s">
        <v>9259</v>
      </c>
      <c r="F128" s="8" t="s">
        <v>9260</v>
      </c>
      <c r="G128" s="7">
        <v>35</v>
      </c>
      <c r="H128" s="7" t="s">
        <v>9026</v>
      </c>
      <c r="I128" s="7">
        <v>6</v>
      </c>
      <c r="J128" s="7" t="s">
        <v>7816</v>
      </c>
      <c r="K128" s="9" t="s">
        <v>8987</v>
      </c>
    </row>
    <row r="129" spans="1:11">
      <c r="A129" s="7">
        <v>127</v>
      </c>
      <c r="B129" s="7" t="s">
        <v>8990</v>
      </c>
      <c r="C129" s="7" t="s">
        <v>8991</v>
      </c>
      <c r="D129" s="7" t="s">
        <v>7573</v>
      </c>
      <c r="E129" s="7" t="s">
        <v>9261</v>
      </c>
      <c r="F129" s="8" t="s">
        <v>9260</v>
      </c>
      <c r="G129" s="7">
        <v>40</v>
      </c>
      <c r="H129" s="7" t="s">
        <v>9003</v>
      </c>
      <c r="I129" s="7">
        <v>6</v>
      </c>
      <c r="J129" s="7" t="s">
        <v>7707</v>
      </c>
      <c r="K129" s="9" t="s">
        <v>8987</v>
      </c>
    </row>
    <row r="130" spans="1:11">
      <c r="A130" s="7">
        <v>128</v>
      </c>
      <c r="B130" s="7" t="s">
        <v>8990</v>
      </c>
      <c r="C130" s="7" t="s">
        <v>8984</v>
      </c>
      <c r="D130" s="7" t="s">
        <v>7573</v>
      </c>
      <c r="E130" s="7" t="s">
        <v>9262</v>
      </c>
      <c r="F130" s="8" t="s">
        <v>9260</v>
      </c>
      <c r="G130" s="7">
        <v>40</v>
      </c>
      <c r="H130" s="7" t="s">
        <v>9003</v>
      </c>
      <c r="I130" s="7">
        <v>6</v>
      </c>
      <c r="J130" s="7" t="s">
        <v>7707</v>
      </c>
      <c r="K130" s="9" t="s">
        <v>8987</v>
      </c>
    </row>
    <row r="131" spans="1:11">
      <c r="A131" s="7">
        <v>129</v>
      </c>
      <c r="B131" s="7" t="s">
        <v>8983</v>
      </c>
      <c r="C131" s="7" t="s">
        <v>8984</v>
      </c>
      <c r="D131" s="7" t="s">
        <v>7573</v>
      </c>
      <c r="E131" s="7" t="s">
        <v>9263</v>
      </c>
      <c r="F131" s="8" t="s">
        <v>9264</v>
      </c>
      <c r="G131" s="7">
        <v>75</v>
      </c>
      <c r="H131" s="7" t="s">
        <v>9265</v>
      </c>
      <c r="I131" s="7">
        <v>7</v>
      </c>
      <c r="J131" s="7" t="s">
        <v>9266</v>
      </c>
      <c r="K131" s="9" t="s">
        <v>8987</v>
      </c>
    </row>
    <row r="132" spans="1:11">
      <c r="A132" s="7">
        <v>130</v>
      </c>
      <c r="B132" s="7" t="s">
        <v>8990</v>
      </c>
      <c r="C132" s="7" t="s">
        <v>8984</v>
      </c>
      <c r="D132" s="7" t="s">
        <v>7573</v>
      </c>
      <c r="E132" s="7" t="s">
        <v>9267</v>
      </c>
      <c r="F132" s="8" t="s">
        <v>9268</v>
      </c>
      <c r="G132" s="7">
        <v>145</v>
      </c>
      <c r="H132" s="7" t="s">
        <v>9269</v>
      </c>
      <c r="I132" s="7">
        <v>5</v>
      </c>
      <c r="J132" s="7" t="s">
        <v>9270</v>
      </c>
      <c r="K132" s="9" t="s">
        <v>8987</v>
      </c>
    </row>
    <row r="133" spans="1:11">
      <c r="A133" s="7">
        <v>131</v>
      </c>
      <c r="B133" s="7" t="s">
        <v>8990</v>
      </c>
      <c r="C133" s="7" t="s">
        <v>8984</v>
      </c>
      <c r="D133" s="7" t="s">
        <v>7547</v>
      </c>
      <c r="E133" s="7" t="s">
        <v>9271</v>
      </c>
      <c r="F133" s="8" t="s">
        <v>9272</v>
      </c>
      <c r="G133" s="7">
        <v>40</v>
      </c>
      <c r="H133" s="7" t="s">
        <v>9003</v>
      </c>
      <c r="I133" s="7">
        <v>14</v>
      </c>
      <c r="J133" s="7" t="s">
        <v>7829</v>
      </c>
      <c r="K133" s="9" t="s">
        <v>8987</v>
      </c>
    </row>
    <row r="134" spans="1:11">
      <c r="A134" s="7">
        <v>132</v>
      </c>
      <c r="B134" s="7" t="s">
        <v>8990</v>
      </c>
      <c r="C134" s="7" t="s">
        <v>8998</v>
      </c>
      <c r="D134" s="7" t="s">
        <v>7547</v>
      </c>
      <c r="E134" s="7" t="s">
        <v>9273</v>
      </c>
      <c r="F134" s="8" t="s">
        <v>9272</v>
      </c>
      <c r="G134" s="7" t="s">
        <v>8987</v>
      </c>
      <c r="H134" s="7" t="s">
        <v>8987</v>
      </c>
      <c r="I134" s="7" t="s">
        <v>8987</v>
      </c>
      <c r="J134" s="7" t="s">
        <v>8987</v>
      </c>
      <c r="K134" s="9" t="s">
        <v>8987</v>
      </c>
    </row>
    <row r="135" spans="1:11">
      <c r="A135" s="7">
        <v>133</v>
      </c>
      <c r="B135" s="7" t="s">
        <v>8990</v>
      </c>
      <c r="C135" s="7" t="s">
        <v>8984</v>
      </c>
      <c r="D135" s="7" t="s">
        <v>7547</v>
      </c>
      <c r="E135" s="7" t="s">
        <v>9274</v>
      </c>
      <c r="F135" s="8" t="s">
        <v>9275</v>
      </c>
      <c r="G135" s="7">
        <v>50</v>
      </c>
      <c r="H135" s="7" t="s">
        <v>9021</v>
      </c>
      <c r="I135" s="7">
        <v>17</v>
      </c>
      <c r="J135" s="7" t="s">
        <v>9276</v>
      </c>
      <c r="K135" s="9" t="s">
        <v>8987</v>
      </c>
    </row>
    <row r="136" spans="1:11">
      <c r="A136" s="7">
        <v>134</v>
      </c>
      <c r="B136" s="7" t="s">
        <v>8990</v>
      </c>
      <c r="C136" s="7" t="s">
        <v>8998</v>
      </c>
      <c r="D136" s="7" t="s">
        <v>7547</v>
      </c>
      <c r="E136" s="7" t="s">
        <v>9277</v>
      </c>
      <c r="F136" s="8" t="s">
        <v>9275</v>
      </c>
      <c r="G136" s="7" t="s">
        <v>8987</v>
      </c>
      <c r="H136" s="7" t="s">
        <v>8987</v>
      </c>
      <c r="I136" s="7" t="s">
        <v>8987</v>
      </c>
      <c r="J136" s="7" t="s">
        <v>8987</v>
      </c>
      <c r="K136" s="9" t="s">
        <v>8987</v>
      </c>
    </row>
    <row r="137" spans="1:11">
      <c r="A137" s="7">
        <v>135</v>
      </c>
      <c r="B137" s="7" t="s">
        <v>8990</v>
      </c>
      <c r="C137" s="7" t="s">
        <v>8984</v>
      </c>
      <c r="D137" s="7" t="s">
        <v>7547</v>
      </c>
      <c r="E137" s="7" t="s">
        <v>9278</v>
      </c>
      <c r="F137" s="8" t="s">
        <v>9279</v>
      </c>
      <c r="G137" s="7">
        <v>12</v>
      </c>
      <c r="H137" s="7" t="s">
        <v>9213</v>
      </c>
      <c r="I137" s="7">
        <v>4</v>
      </c>
      <c r="J137" s="7" t="s">
        <v>9280</v>
      </c>
      <c r="K137" s="9" t="s">
        <v>8987</v>
      </c>
    </row>
    <row r="138" spans="1:11">
      <c r="A138" s="7">
        <v>136</v>
      </c>
      <c r="B138" s="7" t="s">
        <v>8983</v>
      </c>
      <c r="C138" s="7" t="s">
        <v>8998</v>
      </c>
      <c r="D138" s="7" t="s">
        <v>7547</v>
      </c>
      <c r="E138" s="7" t="s">
        <v>9281</v>
      </c>
      <c r="F138" s="8" t="s">
        <v>9279</v>
      </c>
      <c r="G138" s="7" t="s">
        <v>8987</v>
      </c>
      <c r="H138" s="7" t="s">
        <v>8987</v>
      </c>
      <c r="I138" s="7" t="s">
        <v>8987</v>
      </c>
      <c r="J138" s="7" t="s">
        <v>8987</v>
      </c>
      <c r="K138" s="9" t="s">
        <v>8987</v>
      </c>
    </row>
    <row r="139" spans="1:11">
      <c r="A139" s="7">
        <v>137</v>
      </c>
      <c r="B139" s="7" t="s">
        <v>8983</v>
      </c>
      <c r="C139" s="7" t="s">
        <v>8984</v>
      </c>
      <c r="D139" s="7" t="s">
        <v>7547</v>
      </c>
      <c r="E139" s="7" t="s">
        <v>9282</v>
      </c>
      <c r="F139" s="8" t="s">
        <v>9279</v>
      </c>
      <c r="G139" s="7">
        <v>12</v>
      </c>
      <c r="H139" s="7" t="s">
        <v>9213</v>
      </c>
      <c r="I139" s="7">
        <v>3</v>
      </c>
      <c r="J139" s="7" t="s">
        <v>7720</v>
      </c>
      <c r="K139" s="9" t="s">
        <v>8987</v>
      </c>
    </row>
    <row r="140" spans="1:11">
      <c r="A140" s="7">
        <v>138</v>
      </c>
      <c r="B140" s="7" t="s">
        <v>9216</v>
      </c>
      <c r="C140" s="7" t="s">
        <v>8984</v>
      </c>
      <c r="D140" s="7" t="s">
        <v>7547</v>
      </c>
      <c r="E140" s="7" t="s">
        <v>9283</v>
      </c>
      <c r="F140" s="8" t="s">
        <v>8172</v>
      </c>
      <c r="G140" s="7">
        <v>0</v>
      </c>
      <c r="H140" s="7" t="s">
        <v>8984</v>
      </c>
      <c r="I140" s="7">
        <v>1</v>
      </c>
      <c r="J140" s="7" t="s">
        <v>7838</v>
      </c>
      <c r="K140" s="9" t="s">
        <v>8987</v>
      </c>
    </row>
    <row r="141" spans="1:11">
      <c r="A141" s="7">
        <v>139</v>
      </c>
      <c r="B141" s="7" t="s">
        <v>9216</v>
      </c>
      <c r="C141" s="7" t="s">
        <v>8984</v>
      </c>
      <c r="D141" s="7" t="s">
        <v>7547</v>
      </c>
      <c r="E141" s="7" t="s">
        <v>9284</v>
      </c>
      <c r="F141" s="8" t="s">
        <v>8167</v>
      </c>
      <c r="G141" s="7">
        <v>0</v>
      </c>
      <c r="H141" s="7" t="s">
        <v>8984</v>
      </c>
      <c r="I141" s="7">
        <v>1</v>
      </c>
      <c r="J141" s="7" t="s">
        <v>7838</v>
      </c>
      <c r="K141" s="9" t="s">
        <v>8987</v>
      </c>
    </row>
    <row r="142" spans="1:11">
      <c r="A142" s="7">
        <v>140</v>
      </c>
      <c r="B142" s="7" t="s">
        <v>9216</v>
      </c>
      <c r="C142" s="7" t="s">
        <v>8984</v>
      </c>
      <c r="D142" s="7" t="s">
        <v>7547</v>
      </c>
      <c r="E142" s="7" t="s">
        <v>9285</v>
      </c>
      <c r="F142" s="8" t="s">
        <v>8185</v>
      </c>
      <c r="G142" s="7">
        <v>0</v>
      </c>
      <c r="H142" s="7" t="s">
        <v>8984</v>
      </c>
      <c r="I142" s="7">
        <v>1</v>
      </c>
      <c r="J142" s="7" t="s">
        <v>7838</v>
      </c>
      <c r="K142" s="9" t="s">
        <v>8987</v>
      </c>
    </row>
    <row r="143" spans="1:11">
      <c r="A143" s="7">
        <v>141</v>
      </c>
      <c r="B143" s="7" t="s">
        <v>9216</v>
      </c>
      <c r="C143" s="7" t="s">
        <v>8984</v>
      </c>
      <c r="D143" s="7" t="s">
        <v>7547</v>
      </c>
      <c r="E143" s="7" t="s">
        <v>9286</v>
      </c>
      <c r="F143" s="8" t="s">
        <v>8168</v>
      </c>
      <c r="G143" s="7">
        <v>0</v>
      </c>
      <c r="H143" s="7" t="s">
        <v>8984</v>
      </c>
      <c r="I143" s="7">
        <v>1</v>
      </c>
      <c r="J143" s="7" t="s">
        <v>7838</v>
      </c>
      <c r="K143" s="9" t="s">
        <v>8987</v>
      </c>
    </row>
    <row r="144" spans="1:11">
      <c r="A144" s="7">
        <v>142</v>
      </c>
      <c r="B144" s="7" t="s">
        <v>8990</v>
      </c>
      <c r="C144" s="7" t="s">
        <v>8984</v>
      </c>
      <c r="D144" s="7" t="s">
        <v>7551</v>
      </c>
      <c r="E144" s="7" t="s">
        <v>9287</v>
      </c>
      <c r="F144" s="8" t="s">
        <v>9288</v>
      </c>
      <c r="G144" s="7">
        <v>60</v>
      </c>
      <c r="H144" s="7" t="s">
        <v>9289</v>
      </c>
      <c r="I144" s="7">
        <v>13</v>
      </c>
      <c r="J144" s="7" t="s">
        <v>7827</v>
      </c>
      <c r="K144" s="9" t="s">
        <v>8987</v>
      </c>
    </row>
    <row r="145" spans="1:11">
      <c r="A145" s="7">
        <v>143</v>
      </c>
      <c r="B145" s="7" t="s">
        <v>8990</v>
      </c>
      <c r="C145" s="7" t="s">
        <v>8984</v>
      </c>
      <c r="D145" s="7" t="s">
        <v>7542</v>
      </c>
      <c r="E145" s="7" t="s">
        <v>9290</v>
      </c>
      <c r="F145" s="8" t="s">
        <v>9291</v>
      </c>
      <c r="G145" s="7">
        <v>10</v>
      </c>
      <c r="H145" s="7" t="s">
        <v>9292</v>
      </c>
      <c r="I145" s="7">
        <v>6</v>
      </c>
      <c r="J145" s="7" t="s">
        <v>9293</v>
      </c>
      <c r="K145" s="9" t="s">
        <v>8987</v>
      </c>
    </row>
    <row r="146" spans="1:11">
      <c r="A146" s="7">
        <v>144</v>
      </c>
      <c r="B146" s="7" t="s">
        <v>8983</v>
      </c>
      <c r="C146" s="7" t="s">
        <v>8984</v>
      </c>
      <c r="D146" s="7" t="s">
        <v>7573</v>
      </c>
      <c r="E146" s="7" t="s">
        <v>9294</v>
      </c>
      <c r="F146" s="8" t="s">
        <v>9295</v>
      </c>
      <c r="G146" s="7">
        <v>8</v>
      </c>
      <c r="H146" s="7" t="s">
        <v>8991</v>
      </c>
      <c r="I146" s="7">
        <v>3</v>
      </c>
      <c r="J146" s="7" t="s">
        <v>7823</v>
      </c>
      <c r="K146" s="9" t="s">
        <v>8987</v>
      </c>
    </row>
    <row r="147" spans="1:11">
      <c r="A147" s="7">
        <v>145</v>
      </c>
      <c r="B147" s="7" t="s">
        <v>8990</v>
      </c>
      <c r="C147" s="7" t="s">
        <v>8984</v>
      </c>
      <c r="D147" s="7" t="s">
        <v>7552</v>
      </c>
      <c r="E147" s="7" t="s">
        <v>9296</v>
      </c>
      <c r="F147" s="8" t="s">
        <v>9297</v>
      </c>
      <c r="G147" s="7">
        <v>350</v>
      </c>
      <c r="H147" s="7" t="s">
        <v>9298</v>
      </c>
      <c r="I147" s="7">
        <v>41</v>
      </c>
      <c r="J147" s="7" t="s">
        <v>9299</v>
      </c>
      <c r="K147" s="9" t="s">
        <v>8987</v>
      </c>
    </row>
    <row r="148" spans="1:11">
      <c r="A148" s="7">
        <v>146</v>
      </c>
      <c r="B148" s="7" t="s">
        <v>8990</v>
      </c>
      <c r="C148" s="7" t="s">
        <v>8984</v>
      </c>
      <c r="D148" s="7" t="s">
        <v>7552</v>
      </c>
      <c r="E148" s="7" t="s">
        <v>9300</v>
      </c>
      <c r="F148" s="8" t="s">
        <v>9297</v>
      </c>
      <c r="G148" s="7">
        <v>450</v>
      </c>
      <c r="H148" s="7" t="s">
        <v>9301</v>
      </c>
      <c r="I148" s="7">
        <v>41</v>
      </c>
      <c r="J148" s="7" t="s">
        <v>9302</v>
      </c>
      <c r="K148" s="9" t="s">
        <v>8987</v>
      </c>
    </row>
    <row r="149" spans="1:11">
      <c r="A149" s="7">
        <v>147</v>
      </c>
      <c r="B149" s="7" t="s">
        <v>8983</v>
      </c>
      <c r="C149" s="7" t="s">
        <v>8984</v>
      </c>
      <c r="D149" s="7" t="s">
        <v>7556</v>
      </c>
      <c r="E149" s="7" t="s">
        <v>9303</v>
      </c>
      <c r="F149" s="8" t="s">
        <v>9304</v>
      </c>
      <c r="G149" s="7">
        <v>100</v>
      </c>
      <c r="H149" s="7" t="s">
        <v>9046</v>
      </c>
      <c r="I149" s="7">
        <v>21</v>
      </c>
      <c r="J149" s="7" t="s">
        <v>7721</v>
      </c>
      <c r="K149" s="9" t="s">
        <v>8987</v>
      </c>
    </row>
    <row r="150" spans="1:11">
      <c r="A150" s="7">
        <v>148</v>
      </c>
      <c r="B150" s="7" t="s">
        <v>8983</v>
      </c>
      <c r="C150" s="7" t="s">
        <v>8984</v>
      </c>
      <c r="D150" s="7" t="s">
        <v>7556</v>
      </c>
      <c r="E150" s="7" t="s">
        <v>9305</v>
      </c>
      <c r="F150" s="8" t="s">
        <v>9306</v>
      </c>
      <c r="G150" s="7">
        <v>100</v>
      </c>
      <c r="H150" s="7" t="s">
        <v>9046</v>
      </c>
      <c r="I150" s="7">
        <v>21</v>
      </c>
      <c r="J150" s="7" t="s">
        <v>7721</v>
      </c>
      <c r="K150" s="9" t="s">
        <v>8987</v>
      </c>
    </row>
    <row r="151" spans="1:11">
      <c r="A151" s="7">
        <v>149</v>
      </c>
      <c r="B151" s="7" t="s">
        <v>8983</v>
      </c>
      <c r="C151" s="7" t="s">
        <v>8984</v>
      </c>
      <c r="D151" s="7" t="s">
        <v>7556</v>
      </c>
      <c r="E151" s="7" t="s">
        <v>9307</v>
      </c>
      <c r="F151" s="8" t="s">
        <v>9308</v>
      </c>
      <c r="G151" s="7">
        <v>100</v>
      </c>
      <c r="H151" s="7" t="s">
        <v>9046</v>
      </c>
      <c r="I151" s="7">
        <v>21</v>
      </c>
      <c r="J151" s="7" t="s">
        <v>7721</v>
      </c>
      <c r="K151" s="9" t="s">
        <v>8987</v>
      </c>
    </row>
    <row r="152" spans="1:11">
      <c r="A152" s="7">
        <v>150</v>
      </c>
      <c r="B152" s="7" t="s">
        <v>8983</v>
      </c>
      <c r="C152" s="7" t="s">
        <v>8984</v>
      </c>
      <c r="D152" s="7" t="s">
        <v>7542</v>
      </c>
      <c r="E152" s="7" t="s">
        <v>9309</v>
      </c>
      <c r="F152" s="8" t="s">
        <v>9310</v>
      </c>
      <c r="G152" s="7">
        <v>80</v>
      </c>
      <c r="H152" s="7" t="s">
        <v>9153</v>
      </c>
      <c r="I152" s="7">
        <v>17</v>
      </c>
      <c r="J152" s="7" t="s">
        <v>7837</v>
      </c>
      <c r="K152" s="9" t="s">
        <v>8987</v>
      </c>
    </row>
    <row r="153" spans="1:11">
      <c r="A153" s="7">
        <v>151</v>
      </c>
      <c r="B153" s="7" t="s">
        <v>8983</v>
      </c>
      <c r="C153" s="7" t="s">
        <v>8984</v>
      </c>
      <c r="D153" s="7" t="s">
        <v>7566</v>
      </c>
      <c r="E153" s="7" t="s">
        <v>9311</v>
      </c>
      <c r="F153" s="8" t="s">
        <v>9312</v>
      </c>
      <c r="G153" s="7">
        <v>8</v>
      </c>
      <c r="H153" s="7" t="s">
        <v>8991</v>
      </c>
      <c r="I153" s="7">
        <v>3</v>
      </c>
      <c r="J153" s="7" t="s">
        <v>7823</v>
      </c>
      <c r="K153" s="9" t="s">
        <v>8987</v>
      </c>
    </row>
    <row r="154" spans="1:11">
      <c r="A154" s="7">
        <v>152</v>
      </c>
      <c r="B154" s="7" t="s">
        <v>8983</v>
      </c>
      <c r="C154" s="7" t="s">
        <v>8984</v>
      </c>
      <c r="D154" s="7" t="s">
        <v>7542</v>
      </c>
      <c r="E154" s="7" t="s">
        <v>9313</v>
      </c>
      <c r="F154" s="8" t="s">
        <v>9314</v>
      </c>
      <c r="G154" s="7">
        <v>80</v>
      </c>
      <c r="H154" s="7" t="s">
        <v>9153</v>
      </c>
      <c r="I154" s="7">
        <v>13</v>
      </c>
      <c r="J154" s="7" t="s">
        <v>9315</v>
      </c>
      <c r="K154" s="9" t="s">
        <v>8987</v>
      </c>
    </row>
    <row r="155" spans="1:11">
      <c r="A155" s="7">
        <v>153</v>
      </c>
      <c r="B155" s="7" t="s">
        <v>8990</v>
      </c>
      <c r="C155" s="7" t="s">
        <v>8984</v>
      </c>
      <c r="D155" s="7" t="s">
        <v>7542</v>
      </c>
      <c r="E155" s="7" t="s">
        <v>9316</v>
      </c>
      <c r="F155" s="8" t="s">
        <v>9314</v>
      </c>
      <c r="G155" s="7">
        <v>80</v>
      </c>
      <c r="H155" s="7" t="s">
        <v>9153</v>
      </c>
      <c r="I155" s="7">
        <v>13</v>
      </c>
      <c r="J155" s="7" t="s">
        <v>9315</v>
      </c>
      <c r="K155" s="9" t="s">
        <v>8987</v>
      </c>
    </row>
    <row r="156" spans="1:11">
      <c r="A156" s="7">
        <v>154</v>
      </c>
      <c r="B156" s="7" t="s">
        <v>8990</v>
      </c>
      <c r="C156" s="7" t="s">
        <v>8991</v>
      </c>
      <c r="D156" s="7" t="s">
        <v>7542</v>
      </c>
      <c r="E156" s="7" t="s">
        <v>9317</v>
      </c>
      <c r="F156" s="8" t="s">
        <v>9314</v>
      </c>
      <c r="G156" s="7">
        <v>100</v>
      </c>
      <c r="H156" s="7" t="s">
        <v>9046</v>
      </c>
      <c r="I156" s="7">
        <v>17</v>
      </c>
      <c r="J156" s="7" t="s">
        <v>9318</v>
      </c>
      <c r="K156" s="9" t="s">
        <v>8987</v>
      </c>
    </row>
    <row r="157" spans="1:11">
      <c r="A157" s="7">
        <v>155</v>
      </c>
      <c r="B157" s="7" t="s">
        <v>8990</v>
      </c>
      <c r="C157" s="7" t="s">
        <v>8984</v>
      </c>
      <c r="D157" s="7" t="s">
        <v>7542</v>
      </c>
      <c r="E157" s="7" t="s">
        <v>9319</v>
      </c>
      <c r="F157" s="8" t="s">
        <v>9320</v>
      </c>
      <c r="G157" s="7">
        <v>110</v>
      </c>
      <c r="H157" s="7" t="s">
        <v>9321</v>
      </c>
      <c r="I157" s="7">
        <v>25</v>
      </c>
      <c r="J157" s="7" t="s">
        <v>9322</v>
      </c>
      <c r="K157" s="9" t="s">
        <v>8987</v>
      </c>
    </row>
    <row r="158" spans="1:11">
      <c r="A158" s="7">
        <v>156</v>
      </c>
      <c r="B158" s="7" t="s">
        <v>8990</v>
      </c>
      <c r="C158" s="7" t="s">
        <v>8991</v>
      </c>
      <c r="D158" s="7" t="s">
        <v>7542</v>
      </c>
      <c r="E158" s="7" t="s">
        <v>9323</v>
      </c>
      <c r="F158" s="8" t="s">
        <v>9320</v>
      </c>
      <c r="G158" s="7">
        <v>180</v>
      </c>
      <c r="H158" s="7" t="s">
        <v>9056</v>
      </c>
      <c r="I158" s="7">
        <v>33</v>
      </c>
      <c r="J158" s="7" t="s">
        <v>9057</v>
      </c>
      <c r="K158" s="9" t="s">
        <v>8987</v>
      </c>
    </row>
    <row r="159" spans="1:11">
      <c r="A159" s="7">
        <v>157</v>
      </c>
      <c r="B159" s="7" t="s">
        <v>8990</v>
      </c>
      <c r="C159" s="7" t="s">
        <v>8984</v>
      </c>
      <c r="D159" s="7" t="s">
        <v>7555</v>
      </c>
      <c r="E159" s="7" t="s">
        <v>9324</v>
      </c>
      <c r="F159" s="8" t="s">
        <v>9325</v>
      </c>
      <c r="G159" s="7">
        <v>50</v>
      </c>
      <c r="H159" s="7" t="s">
        <v>9021</v>
      </c>
      <c r="I159" s="7">
        <v>22</v>
      </c>
      <c r="J159" s="7" t="s">
        <v>9326</v>
      </c>
      <c r="K159" s="9" t="s">
        <v>8987</v>
      </c>
    </row>
    <row r="160" spans="1:11">
      <c r="A160" s="7">
        <v>158</v>
      </c>
      <c r="B160" s="7" t="s">
        <v>9216</v>
      </c>
      <c r="C160" s="7" t="s">
        <v>8984</v>
      </c>
      <c r="D160" s="7" t="s">
        <v>7549</v>
      </c>
      <c r="E160" s="7" t="s">
        <v>9327</v>
      </c>
      <c r="F160" s="8" t="s">
        <v>9328</v>
      </c>
      <c r="G160" s="7">
        <v>50</v>
      </c>
      <c r="H160" s="7" t="s">
        <v>9021</v>
      </c>
      <c r="I160" s="7">
        <v>22</v>
      </c>
      <c r="J160" s="7" t="s">
        <v>9326</v>
      </c>
      <c r="K160" s="9" t="s">
        <v>8987</v>
      </c>
    </row>
    <row r="161" spans="1:11">
      <c r="A161" s="7">
        <v>159</v>
      </c>
      <c r="B161" s="7" t="s">
        <v>8990</v>
      </c>
      <c r="C161" s="7" t="s">
        <v>8984</v>
      </c>
      <c r="D161" s="7" t="s">
        <v>7549</v>
      </c>
      <c r="E161" s="7" t="s">
        <v>9329</v>
      </c>
      <c r="F161" s="8" t="s">
        <v>9330</v>
      </c>
      <c r="G161" s="7">
        <v>50</v>
      </c>
      <c r="H161" s="7" t="s">
        <v>9021</v>
      </c>
      <c r="I161" s="7">
        <v>22</v>
      </c>
      <c r="J161" s="7" t="s">
        <v>9326</v>
      </c>
      <c r="K161" s="9" t="s">
        <v>8987</v>
      </c>
    </row>
    <row r="162" spans="1:11">
      <c r="A162" s="7">
        <v>160</v>
      </c>
      <c r="B162" s="7" t="s">
        <v>8990</v>
      </c>
      <c r="C162" s="7" t="s">
        <v>8984</v>
      </c>
      <c r="D162" s="7" t="s">
        <v>7549</v>
      </c>
      <c r="E162" s="7" t="s">
        <v>9331</v>
      </c>
      <c r="F162" s="8" t="s">
        <v>9332</v>
      </c>
      <c r="G162" s="7">
        <v>150</v>
      </c>
      <c r="H162" s="7" t="s">
        <v>9253</v>
      </c>
      <c r="I162" s="7">
        <v>39</v>
      </c>
      <c r="J162" s="7" t="s">
        <v>9333</v>
      </c>
      <c r="K162" s="9" t="s">
        <v>8987</v>
      </c>
    </row>
    <row r="163" spans="1:11">
      <c r="A163" s="7">
        <v>161</v>
      </c>
      <c r="B163" s="7" t="s">
        <v>8990</v>
      </c>
      <c r="C163" s="7" t="s">
        <v>8984</v>
      </c>
      <c r="D163" s="7" t="s">
        <v>7542</v>
      </c>
      <c r="E163" s="7" t="s">
        <v>9334</v>
      </c>
      <c r="F163" s="8" t="s">
        <v>9335</v>
      </c>
      <c r="G163" s="7">
        <v>5</v>
      </c>
      <c r="H163" s="7" t="s">
        <v>9336</v>
      </c>
      <c r="I163" s="7">
        <v>4</v>
      </c>
      <c r="J163" s="7" t="s">
        <v>9337</v>
      </c>
      <c r="K163" s="9" t="s">
        <v>8987</v>
      </c>
    </row>
    <row r="164" spans="1:11">
      <c r="A164" s="7">
        <v>162</v>
      </c>
      <c r="B164" s="7" t="s">
        <v>8990</v>
      </c>
      <c r="C164" s="7" t="s">
        <v>8991</v>
      </c>
      <c r="D164" s="7" t="s">
        <v>7542</v>
      </c>
      <c r="E164" s="7" t="s">
        <v>9338</v>
      </c>
      <c r="F164" s="8" t="s">
        <v>9335</v>
      </c>
      <c r="G164" s="7">
        <v>10</v>
      </c>
      <c r="H164" s="7" t="s">
        <v>9292</v>
      </c>
      <c r="I164" s="7">
        <v>3</v>
      </c>
      <c r="J164" s="7" t="s">
        <v>7718</v>
      </c>
      <c r="K164" s="9" t="s">
        <v>8987</v>
      </c>
    </row>
    <row r="165" spans="1:11">
      <c r="A165" s="7">
        <v>163</v>
      </c>
      <c r="B165" s="7" t="s">
        <v>8983</v>
      </c>
      <c r="C165" s="7" t="s">
        <v>8984</v>
      </c>
      <c r="D165" s="7" t="s">
        <v>7542</v>
      </c>
      <c r="E165" s="7" t="s">
        <v>9339</v>
      </c>
      <c r="F165" s="8" t="s">
        <v>9340</v>
      </c>
      <c r="G165" s="7">
        <v>10</v>
      </c>
      <c r="H165" s="7" t="s">
        <v>9292</v>
      </c>
      <c r="I165" s="7">
        <v>3</v>
      </c>
      <c r="J165" s="7" t="s">
        <v>7718</v>
      </c>
      <c r="K165" s="9" t="s">
        <v>8987</v>
      </c>
    </row>
    <row r="166" spans="1:11">
      <c r="A166" s="7">
        <v>164</v>
      </c>
      <c r="B166" s="7" t="s">
        <v>8983</v>
      </c>
      <c r="C166" s="7" t="s">
        <v>8984</v>
      </c>
      <c r="D166" s="7" t="s">
        <v>7542</v>
      </c>
      <c r="E166" s="7" t="s">
        <v>9341</v>
      </c>
      <c r="F166" s="8" t="s">
        <v>9340</v>
      </c>
      <c r="G166" s="7">
        <v>7</v>
      </c>
      <c r="H166" s="7" t="s">
        <v>9182</v>
      </c>
      <c r="I166" s="7">
        <v>3</v>
      </c>
      <c r="J166" s="7" t="s">
        <v>7875</v>
      </c>
      <c r="K166" s="9" t="s">
        <v>8987</v>
      </c>
    </row>
    <row r="167" spans="1:11">
      <c r="A167" s="7">
        <v>165</v>
      </c>
      <c r="B167" s="7" t="s">
        <v>8990</v>
      </c>
      <c r="C167" s="7" t="s">
        <v>8984</v>
      </c>
      <c r="D167" s="7" t="s">
        <v>7542</v>
      </c>
      <c r="E167" s="7" t="s">
        <v>9342</v>
      </c>
      <c r="F167" s="8" t="s">
        <v>9340</v>
      </c>
      <c r="G167" s="7">
        <v>5</v>
      </c>
      <c r="H167" s="7" t="s">
        <v>9336</v>
      </c>
      <c r="I167" s="7">
        <v>4</v>
      </c>
      <c r="J167" s="7" t="s">
        <v>9337</v>
      </c>
      <c r="K167" s="9" t="s">
        <v>8987</v>
      </c>
    </row>
    <row r="168" spans="1:11">
      <c r="A168" s="7">
        <v>166</v>
      </c>
      <c r="B168" s="7" t="s">
        <v>8990</v>
      </c>
      <c r="C168" s="7" t="s">
        <v>8991</v>
      </c>
      <c r="D168" s="7" t="s">
        <v>7542</v>
      </c>
      <c r="E168" s="7" t="s">
        <v>9343</v>
      </c>
      <c r="F168" s="8" t="s">
        <v>9340</v>
      </c>
      <c r="G168" s="7">
        <v>10</v>
      </c>
      <c r="H168" s="7" t="s">
        <v>9292</v>
      </c>
      <c r="I168" s="7">
        <v>3</v>
      </c>
      <c r="J168" s="7" t="s">
        <v>7718</v>
      </c>
      <c r="K168" s="9" t="s">
        <v>8987</v>
      </c>
    </row>
    <row r="169" spans="1:11">
      <c r="A169" s="7">
        <v>167</v>
      </c>
      <c r="B169" s="7" t="s">
        <v>8990</v>
      </c>
      <c r="C169" s="7" t="s">
        <v>8984</v>
      </c>
      <c r="D169" s="7" t="s">
        <v>7542</v>
      </c>
      <c r="E169" s="7" t="s">
        <v>3466</v>
      </c>
      <c r="F169" s="8" t="s">
        <v>9344</v>
      </c>
      <c r="G169" s="7">
        <v>5</v>
      </c>
      <c r="H169" s="7" t="s">
        <v>9336</v>
      </c>
      <c r="I169" s="7">
        <v>4</v>
      </c>
      <c r="J169" s="7" t="s">
        <v>9337</v>
      </c>
      <c r="K169" s="9" t="s">
        <v>8987</v>
      </c>
    </row>
    <row r="170" spans="1:11">
      <c r="A170" s="7">
        <v>168</v>
      </c>
      <c r="B170" s="7" t="s">
        <v>8990</v>
      </c>
      <c r="C170" s="7" t="s">
        <v>8991</v>
      </c>
      <c r="D170" s="7" t="s">
        <v>7542</v>
      </c>
      <c r="E170" s="7" t="s">
        <v>9345</v>
      </c>
      <c r="F170" s="8" t="s">
        <v>9344</v>
      </c>
      <c r="G170" s="7">
        <v>10</v>
      </c>
      <c r="H170" s="7" t="s">
        <v>9292</v>
      </c>
      <c r="I170" s="7">
        <v>3</v>
      </c>
      <c r="J170" s="7" t="s">
        <v>7718</v>
      </c>
      <c r="K170" s="9" t="s">
        <v>8987</v>
      </c>
    </row>
    <row r="171" spans="1:11">
      <c r="A171" s="7">
        <v>169</v>
      </c>
      <c r="B171" s="7" t="s">
        <v>8990</v>
      </c>
      <c r="C171" s="7" t="s">
        <v>8984</v>
      </c>
      <c r="D171" s="7" t="s">
        <v>7573</v>
      </c>
      <c r="E171" s="7" t="s">
        <v>9346</v>
      </c>
      <c r="F171" s="8" t="s">
        <v>9347</v>
      </c>
      <c r="G171" s="7">
        <v>100</v>
      </c>
      <c r="H171" s="7" t="s">
        <v>9046</v>
      </c>
      <c r="I171" s="7">
        <v>21</v>
      </c>
      <c r="J171" s="7" t="s">
        <v>7721</v>
      </c>
      <c r="K171" s="9" t="s">
        <v>8987</v>
      </c>
    </row>
    <row r="172" spans="1:11">
      <c r="A172" s="7">
        <v>170</v>
      </c>
      <c r="B172" s="7" t="s">
        <v>9216</v>
      </c>
      <c r="C172" s="7" t="s">
        <v>8984</v>
      </c>
      <c r="D172" s="7" t="s">
        <v>7542</v>
      </c>
      <c r="E172" s="7" t="s">
        <v>9348</v>
      </c>
      <c r="F172" s="8" t="s">
        <v>9349</v>
      </c>
      <c r="G172" s="7">
        <v>150</v>
      </c>
      <c r="H172" s="7" t="s">
        <v>9253</v>
      </c>
      <c r="I172" s="7">
        <v>39</v>
      </c>
      <c r="J172" s="7" t="s">
        <v>9333</v>
      </c>
      <c r="K172" s="9" t="s">
        <v>8987</v>
      </c>
    </row>
    <row r="173" spans="1:11">
      <c r="A173" s="7">
        <v>171</v>
      </c>
      <c r="B173" s="7" t="s">
        <v>9216</v>
      </c>
      <c r="C173" s="7" t="s">
        <v>8991</v>
      </c>
      <c r="D173" s="7" t="s">
        <v>7542</v>
      </c>
      <c r="E173" s="7" t="s">
        <v>9350</v>
      </c>
      <c r="F173" s="8" t="s">
        <v>9349</v>
      </c>
      <c r="G173" s="7">
        <v>250</v>
      </c>
      <c r="H173" s="7" t="s">
        <v>9351</v>
      </c>
      <c r="I173" s="7">
        <v>41</v>
      </c>
      <c r="J173" s="7" t="s">
        <v>9352</v>
      </c>
      <c r="K173" s="9" t="s">
        <v>8987</v>
      </c>
    </row>
    <row r="174" spans="1:11">
      <c r="A174" s="7">
        <v>172</v>
      </c>
      <c r="B174" s="7" t="s">
        <v>8990</v>
      </c>
      <c r="C174" s="7" t="s">
        <v>8984</v>
      </c>
      <c r="D174" s="7" t="s">
        <v>7551</v>
      </c>
      <c r="E174" s="7" t="s">
        <v>9353</v>
      </c>
      <c r="F174" s="8" t="s">
        <v>9354</v>
      </c>
      <c r="G174" s="7">
        <v>100</v>
      </c>
      <c r="H174" s="7" t="s">
        <v>9046</v>
      </c>
      <c r="I174" s="7">
        <v>9</v>
      </c>
      <c r="J174" s="7" t="s">
        <v>9355</v>
      </c>
      <c r="K174" s="9" t="s">
        <v>8987</v>
      </c>
    </row>
    <row r="175" spans="1:11">
      <c r="A175" s="7">
        <v>173</v>
      </c>
      <c r="B175" s="7" t="s">
        <v>8983</v>
      </c>
      <c r="C175" s="7" t="s">
        <v>8984</v>
      </c>
      <c r="D175" s="7" t="s">
        <v>7551</v>
      </c>
      <c r="E175" s="7" t="s">
        <v>9356</v>
      </c>
      <c r="F175" s="8" t="s">
        <v>9357</v>
      </c>
      <c r="G175" s="7">
        <v>17</v>
      </c>
      <c r="H175" s="7" t="s">
        <v>9146</v>
      </c>
      <c r="I175" s="7">
        <v>8</v>
      </c>
      <c r="J175" s="7" t="s">
        <v>9358</v>
      </c>
      <c r="K175" s="9" t="s">
        <v>8987</v>
      </c>
    </row>
    <row r="176" spans="1:11">
      <c r="A176" s="7">
        <v>174</v>
      </c>
      <c r="B176" s="7" t="s">
        <v>8983</v>
      </c>
      <c r="C176" s="7" t="s">
        <v>8984</v>
      </c>
      <c r="D176" s="7" t="s">
        <v>7553</v>
      </c>
      <c r="E176" s="7" t="s">
        <v>9359</v>
      </c>
      <c r="F176" s="8" t="s">
        <v>9360</v>
      </c>
      <c r="G176" s="7">
        <v>120</v>
      </c>
      <c r="H176" s="7" t="s">
        <v>9036</v>
      </c>
      <c r="I176" s="7">
        <v>17</v>
      </c>
      <c r="J176" s="7" t="s">
        <v>9361</v>
      </c>
      <c r="K176" s="9" t="s">
        <v>8987</v>
      </c>
    </row>
    <row r="177" spans="1:11">
      <c r="A177" s="7">
        <v>175</v>
      </c>
      <c r="B177" s="7" t="s">
        <v>8983</v>
      </c>
      <c r="C177" s="7" t="s">
        <v>8984</v>
      </c>
      <c r="D177" s="7" t="s">
        <v>7566</v>
      </c>
      <c r="E177" s="7" t="s">
        <v>9362</v>
      </c>
      <c r="F177" s="8" t="s">
        <v>9363</v>
      </c>
      <c r="G177" s="7">
        <v>110</v>
      </c>
      <c r="H177" s="7" t="s">
        <v>9321</v>
      </c>
      <c r="I177" s="7">
        <v>25</v>
      </c>
      <c r="J177" s="7" t="s">
        <v>9322</v>
      </c>
      <c r="K177" s="9" t="s">
        <v>8987</v>
      </c>
    </row>
    <row r="178" spans="1:11">
      <c r="A178" s="7">
        <v>176</v>
      </c>
      <c r="B178" s="7" t="s">
        <v>8983</v>
      </c>
      <c r="C178" s="7" t="s">
        <v>8984</v>
      </c>
      <c r="D178" s="7" t="s">
        <v>7566</v>
      </c>
      <c r="E178" s="7" t="s">
        <v>9364</v>
      </c>
      <c r="F178" s="8" t="s">
        <v>9365</v>
      </c>
      <c r="G178" s="7">
        <v>110</v>
      </c>
      <c r="H178" s="7" t="s">
        <v>9321</v>
      </c>
      <c r="I178" s="7">
        <v>25</v>
      </c>
      <c r="J178" s="7" t="s">
        <v>9322</v>
      </c>
      <c r="K178" s="9" t="s">
        <v>8987</v>
      </c>
    </row>
    <row r="179" spans="1:11">
      <c r="A179" s="7">
        <v>177</v>
      </c>
      <c r="B179" s="7" t="s">
        <v>8983</v>
      </c>
      <c r="C179" s="7" t="s">
        <v>8984</v>
      </c>
      <c r="D179" s="7" t="s">
        <v>7566</v>
      </c>
      <c r="E179" s="7" t="s">
        <v>9366</v>
      </c>
      <c r="F179" s="8" t="s">
        <v>9363</v>
      </c>
      <c r="G179" s="7">
        <v>110</v>
      </c>
      <c r="H179" s="7" t="s">
        <v>9321</v>
      </c>
      <c r="I179" s="7">
        <v>25</v>
      </c>
      <c r="J179" s="7" t="s">
        <v>9322</v>
      </c>
      <c r="K179" s="9" t="s">
        <v>8987</v>
      </c>
    </row>
    <row r="180" spans="1:11">
      <c r="A180" s="7">
        <v>178</v>
      </c>
      <c r="B180" s="7" t="s">
        <v>8983</v>
      </c>
      <c r="C180" s="7" t="s">
        <v>8984</v>
      </c>
      <c r="D180" s="7" t="s">
        <v>7566</v>
      </c>
      <c r="E180" s="7" t="s">
        <v>9367</v>
      </c>
      <c r="F180" s="8" t="s">
        <v>9365</v>
      </c>
      <c r="G180" s="7">
        <v>110</v>
      </c>
      <c r="H180" s="7" t="s">
        <v>9321</v>
      </c>
      <c r="I180" s="7">
        <v>25</v>
      </c>
      <c r="J180" s="7" t="s">
        <v>9322</v>
      </c>
      <c r="K180" s="9" t="s">
        <v>8987</v>
      </c>
    </row>
    <row r="181" spans="1:11">
      <c r="A181" s="7">
        <v>179</v>
      </c>
      <c r="B181" s="7" t="s">
        <v>8990</v>
      </c>
      <c r="C181" s="7" t="s">
        <v>8984</v>
      </c>
      <c r="D181" s="7" t="s">
        <v>7542</v>
      </c>
      <c r="E181" s="7" t="s">
        <v>9368</v>
      </c>
      <c r="F181" s="8" t="s">
        <v>9369</v>
      </c>
      <c r="G181" s="7">
        <v>130</v>
      </c>
      <c r="H181" s="7" t="s">
        <v>9062</v>
      </c>
      <c r="I181" s="7">
        <v>33</v>
      </c>
      <c r="J181" s="7" t="s">
        <v>9370</v>
      </c>
      <c r="K181" s="9" t="s">
        <v>8987</v>
      </c>
    </row>
    <row r="182" spans="1:11">
      <c r="A182" s="7">
        <v>180</v>
      </c>
      <c r="B182" s="7" t="s">
        <v>8990</v>
      </c>
      <c r="C182" s="7" t="s">
        <v>8991</v>
      </c>
      <c r="D182" s="7" t="s">
        <v>7542</v>
      </c>
      <c r="E182" s="7" t="s">
        <v>9371</v>
      </c>
      <c r="F182" s="8" t="s">
        <v>9369</v>
      </c>
      <c r="G182" s="7">
        <v>150</v>
      </c>
      <c r="H182" s="7" t="s">
        <v>9253</v>
      </c>
      <c r="I182" s="7">
        <v>21</v>
      </c>
      <c r="J182" s="7" t="s">
        <v>9372</v>
      </c>
      <c r="K182" s="9" t="s">
        <v>8987</v>
      </c>
    </row>
    <row r="183" spans="1:11">
      <c r="A183" s="7">
        <v>181</v>
      </c>
      <c r="B183" s="7" t="s">
        <v>8983</v>
      </c>
      <c r="C183" s="7" t="s">
        <v>8998</v>
      </c>
      <c r="D183" s="7" t="s">
        <v>7542</v>
      </c>
      <c r="E183" s="7" t="s">
        <v>9373</v>
      </c>
      <c r="F183" s="8" t="s">
        <v>9369</v>
      </c>
      <c r="G183" s="7" t="s">
        <v>8987</v>
      </c>
      <c r="H183" s="7" t="s">
        <v>8987</v>
      </c>
      <c r="I183" s="7" t="s">
        <v>8987</v>
      </c>
      <c r="J183" s="7" t="s">
        <v>8987</v>
      </c>
      <c r="K183" s="9" t="s">
        <v>8987</v>
      </c>
    </row>
    <row r="184" spans="1:11">
      <c r="A184" s="7">
        <v>182</v>
      </c>
      <c r="B184" s="7" t="s">
        <v>8983</v>
      </c>
      <c r="C184" s="7" t="s">
        <v>8984</v>
      </c>
      <c r="D184" s="7" t="s">
        <v>7542</v>
      </c>
      <c r="E184" s="7" t="s">
        <v>4374</v>
      </c>
      <c r="F184" s="8" t="s">
        <v>9152</v>
      </c>
      <c r="G184" s="7">
        <v>99</v>
      </c>
      <c r="H184" s="7" t="s">
        <v>9374</v>
      </c>
      <c r="I184" s="7">
        <v>13</v>
      </c>
      <c r="J184" s="7" t="s">
        <v>9375</v>
      </c>
      <c r="K184" s="9" t="s">
        <v>8987</v>
      </c>
    </row>
    <row r="185" spans="1:11">
      <c r="A185" s="7">
        <v>183</v>
      </c>
      <c r="B185" s="7" t="s">
        <v>8983</v>
      </c>
      <c r="C185" s="7" t="s">
        <v>8984</v>
      </c>
      <c r="D185" s="7" t="s">
        <v>7546</v>
      </c>
      <c r="E185" s="7" t="s">
        <v>9376</v>
      </c>
      <c r="F185" s="8" t="s">
        <v>9163</v>
      </c>
      <c r="G185" s="7">
        <v>99</v>
      </c>
      <c r="H185" s="7" t="s">
        <v>9374</v>
      </c>
      <c r="I185" s="7">
        <v>9</v>
      </c>
      <c r="J185" s="7" t="s">
        <v>9377</v>
      </c>
      <c r="K185" s="9" t="s">
        <v>8987</v>
      </c>
    </row>
    <row r="186" spans="1:11">
      <c r="A186" s="7">
        <v>184</v>
      </c>
      <c r="B186" s="7" t="s">
        <v>8983</v>
      </c>
      <c r="C186" s="7" t="s">
        <v>8984</v>
      </c>
      <c r="D186" s="7" t="s">
        <v>7546</v>
      </c>
      <c r="E186" s="7" t="s">
        <v>9378</v>
      </c>
      <c r="F186" s="8" t="s">
        <v>9165</v>
      </c>
      <c r="G186" s="7">
        <v>99</v>
      </c>
      <c r="H186" s="7" t="s">
        <v>9374</v>
      </c>
      <c r="I186" s="7">
        <v>5</v>
      </c>
      <c r="J186" s="7" t="s">
        <v>9379</v>
      </c>
      <c r="K186" s="9" t="s">
        <v>8987</v>
      </c>
    </row>
    <row r="187" spans="1:11">
      <c r="A187" s="7">
        <v>185</v>
      </c>
      <c r="B187" s="7" t="s">
        <v>8983</v>
      </c>
      <c r="C187" s="7" t="s">
        <v>8984</v>
      </c>
      <c r="D187" s="7" t="s">
        <v>7573</v>
      </c>
      <c r="E187" s="7" t="s">
        <v>9380</v>
      </c>
      <c r="F187" s="8" t="s">
        <v>9264</v>
      </c>
      <c r="G187" s="7">
        <v>99</v>
      </c>
      <c r="H187" s="7" t="s">
        <v>9374</v>
      </c>
      <c r="I187" s="7">
        <v>9</v>
      </c>
      <c r="J187" s="7" t="s">
        <v>9377</v>
      </c>
      <c r="K187" s="9" t="s">
        <v>8987</v>
      </c>
    </row>
    <row r="188" spans="1:11">
      <c r="A188" s="7">
        <v>186</v>
      </c>
      <c r="B188" s="7" t="s">
        <v>8983</v>
      </c>
      <c r="C188" s="7" t="s">
        <v>8984</v>
      </c>
      <c r="D188" s="7" t="s">
        <v>7573</v>
      </c>
      <c r="E188" s="7" t="s">
        <v>9381</v>
      </c>
      <c r="F188" s="8" t="s">
        <v>9268</v>
      </c>
      <c r="G188" s="7">
        <v>99</v>
      </c>
      <c r="H188" s="7" t="s">
        <v>9374</v>
      </c>
      <c r="I188" s="7">
        <v>5</v>
      </c>
      <c r="J188" s="7" t="s">
        <v>9379</v>
      </c>
      <c r="K188" s="9" t="s">
        <v>8987</v>
      </c>
    </row>
    <row r="189" spans="1:11">
      <c r="A189" s="7">
        <v>187</v>
      </c>
      <c r="B189" s="7" t="s">
        <v>8983</v>
      </c>
      <c r="C189" s="7" t="s">
        <v>8984</v>
      </c>
      <c r="D189" s="7" t="s">
        <v>7573</v>
      </c>
      <c r="E189" s="7" t="s">
        <v>9382</v>
      </c>
      <c r="F189" s="8" t="s">
        <v>9177</v>
      </c>
      <c r="G189" s="7">
        <v>13</v>
      </c>
      <c r="H189" s="7" t="s">
        <v>9077</v>
      </c>
      <c r="I189" s="7">
        <v>2</v>
      </c>
      <c r="J189" s="7" t="s">
        <v>9178</v>
      </c>
      <c r="K189" s="9" t="s">
        <v>8987</v>
      </c>
    </row>
    <row r="190" spans="1:11">
      <c r="A190" s="7">
        <v>188</v>
      </c>
      <c r="B190" s="7" t="s">
        <v>8983</v>
      </c>
      <c r="C190" s="7" t="s">
        <v>8984</v>
      </c>
      <c r="D190" s="7" t="s">
        <v>7573</v>
      </c>
      <c r="E190" s="7" t="s">
        <v>9383</v>
      </c>
      <c r="F190" s="8" t="s">
        <v>9177</v>
      </c>
      <c r="G190" s="7">
        <v>9</v>
      </c>
      <c r="H190" s="7" t="s">
        <v>9030</v>
      </c>
      <c r="I190" s="7">
        <v>2</v>
      </c>
      <c r="J190" s="7" t="s">
        <v>9180</v>
      </c>
      <c r="K190" s="9" t="s">
        <v>8987</v>
      </c>
    </row>
    <row r="191" spans="1:11">
      <c r="A191" s="7">
        <v>189</v>
      </c>
      <c r="B191" s="7" t="s">
        <v>8990</v>
      </c>
      <c r="C191" s="7" t="s">
        <v>8984</v>
      </c>
      <c r="D191" s="7" t="s">
        <v>7573</v>
      </c>
      <c r="E191" s="7" t="s">
        <v>9384</v>
      </c>
      <c r="F191" s="8" t="s">
        <v>9177</v>
      </c>
      <c r="G191" s="7">
        <v>7</v>
      </c>
      <c r="H191" s="7" t="s">
        <v>9182</v>
      </c>
      <c r="I191" s="7">
        <v>2</v>
      </c>
      <c r="J191" s="7" t="s">
        <v>9183</v>
      </c>
      <c r="K191" s="9" t="s">
        <v>8987</v>
      </c>
    </row>
    <row r="192" spans="1:11">
      <c r="A192" s="7">
        <v>190</v>
      </c>
      <c r="B192" s="7" t="s">
        <v>8983</v>
      </c>
      <c r="C192" s="7" t="s">
        <v>8984</v>
      </c>
      <c r="D192" s="7" t="s">
        <v>7556</v>
      </c>
      <c r="E192" s="7" t="s">
        <v>9385</v>
      </c>
      <c r="F192" s="8" t="s">
        <v>9071</v>
      </c>
      <c r="G192" s="7">
        <v>11</v>
      </c>
      <c r="H192" s="7" t="s">
        <v>9386</v>
      </c>
      <c r="I192" s="7">
        <v>2</v>
      </c>
      <c r="J192" s="7" t="s">
        <v>7719</v>
      </c>
      <c r="K192" s="9" t="s">
        <v>8987</v>
      </c>
    </row>
    <row r="193" spans="1:11">
      <c r="A193" s="7">
        <v>191</v>
      </c>
      <c r="B193" s="7" t="s">
        <v>8983</v>
      </c>
      <c r="C193" s="7" t="s">
        <v>8984</v>
      </c>
      <c r="D193" s="7" t="s">
        <v>7556</v>
      </c>
      <c r="E193" s="7" t="s">
        <v>9387</v>
      </c>
      <c r="F193" s="8" t="s">
        <v>9071</v>
      </c>
      <c r="G193" s="7">
        <v>11</v>
      </c>
      <c r="H193" s="7" t="s">
        <v>9386</v>
      </c>
      <c r="I193" s="7">
        <v>2</v>
      </c>
      <c r="J193" s="7" t="s">
        <v>7719</v>
      </c>
      <c r="K193" s="9" t="s">
        <v>8987</v>
      </c>
    </row>
    <row r="194" spans="1:11">
      <c r="A194" s="7">
        <v>192</v>
      </c>
      <c r="B194" s="7" t="s">
        <v>8983</v>
      </c>
      <c r="C194" s="7" t="s">
        <v>8984</v>
      </c>
      <c r="D194" s="7" t="s">
        <v>7566</v>
      </c>
      <c r="E194" s="7" t="s">
        <v>9388</v>
      </c>
      <c r="F194" s="8" t="s">
        <v>7968</v>
      </c>
      <c r="G194" s="7">
        <v>100</v>
      </c>
      <c r="H194" s="7" t="s">
        <v>9046</v>
      </c>
      <c r="I194" s="7">
        <v>35</v>
      </c>
      <c r="J194" s="7" t="s">
        <v>9389</v>
      </c>
      <c r="K194" s="9" t="s">
        <v>8987</v>
      </c>
    </row>
    <row r="195" spans="1:11">
      <c r="A195" s="7">
        <v>193</v>
      </c>
      <c r="B195" s="7" t="s">
        <v>8983</v>
      </c>
      <c r="C195" s="7" t="s">
        <v>8984</v>
      </c>
      <c r="D195" s="7" t="s">
        <v>7566</v>
      </c>
      <c r="E195" s="7" t="s">
        <v>9390</v>
      </c>
      <c r="F195" s="8" t="s">
        <v>7968</v>
      </c>
      <c r="G195" s="7">
        <v>40</v>
      </c>
      <c r="H195" s="7" t="s">
        <v>9003</v>
      </c>
      <c r="I195" s="7">
        <v>5</v>
      </c>
      <c r="J195" s="7" t="s">
        <v>9004</v>
      </c>
      <c r="K195" s="9" t="s">
        <v>8987</v>
      </c>
    </row>
    <row r="196" spans="1:11">
      <c r="A196" s="7">
        <v>194</v>
      </c>
      <c r="B196" s="7" t="s">
        <v>8983</v>
      </c>
      <c r="C196" s="7" t="s">
        <v>8984</v>
      </c>
      <c r="D196" s="7" t="s">
        <v>7566</v>
      </c>
      <c r="E196" s="7" t="s">
        <v>9391</v>
      </c>
      <c r="F196" s="8" t="s">
        <v>7968</v>
      </c>
      <c r="G196" s="7">
        <v>23</v>
      </c>
      <c r="H196" s="7" t="s">
        <v>9120</v>
      </c>
      <c r="I196" s="7">
        <v>5</v>
      </c>
      <c r="J196" s="7" t="s">
        <v>9150</v>
      </c>
      <c r="K196" s="9" t="s">
        <v>8987</v>
      </c>
    </row>
    <row r="197" spans="1:11">
      <c r="A197" s="7">
        <v>195</v>
      </c>
      <c r="B197" s="7" t="s">
        <v>8983</v>
      </c>
      <c r="C197" s="7" t="s">
        <v>8984</v>
      </c>
      <c r="D197" s="7" t="s">
        <v>7566</v>
      </c>
      <c r="E197" s="7" t="s">
        <v>9392</v>
      </c>
      <c r="F197" s="8" t="s">
        <v>7968</v>
      </c>
      <c r="G197" s="7">
        <v>10</v>
      </c>
      <c r="H197" s="7" t="s">
        <v>9292</v>
      </c>
      <c r="I197" s="7">
        <v>3</v>
      </c>
      <c r="J197" s="7" t="s">
        <v>7718</v>
      </c>
      <c r="K197" s="9" t="s">
        <v>8987</v>
      </c>
    </row>
    <row r="198" spans="1:11">
      <c r="A198" s="7">
        <v>196</v>
      </c>
      <c r="B198" s="7" t="s">
        <v>8983</v>
      </c>
      <c r="C198" s="7" t="s">
        <v>8984</v>
      </c>
      <c r="D198" s="7" t="s">
        <v>7566</v>
      </c>
      <c r="E198" s="7" t="s">
        <v>9393</v>
      </c>
      <c r="F198" s="8" t="s">
        <v>7968</v>
      </c>
      <c r="G198" s="7">
        <v>20</v>
      </c>
      <c r="H198" s="7" t="s">
        <v>9394</v>
      </c>
      <c r="I198" s="7">
        <v>5</v>
      </c>
      <c r="J198" s="7" t="s">
        <v>9395</v>
      </c>
      <c r="K198" s="9" t="s">
        <v>8987</v>
      </c>
    </row>
    <row r="199" spans="1:11">
      <c r="A199" s="7">
        <v>197</v>
      </c>
      <c r="B199" s="7" t="s">
        <v>8983</v>
      </c>
      <c r="C199" s="7" t="s">
        <v>8984</v>
      </c>
      <c r="D199" s="7" t="s">
        <v>7566</v>
      </c>
      <c r="E199" s="7" t="s">
        <v>9396</v>
      </c>
      <c r="F199" s="8" t="s">
        <v>7968</v>
      </c>
      <c r="G199" s="7">
        <v>14</v>
      </c>
      <c r="H199" s="7" t="s">
        <v>9397</v>
      </c>
      <c r="I199" s="7">
        <v>4</v>
      </c>
      <c r="J199" s="7" t="s">
        <v>9398</v>
      </c>
      <c r="K199" s="9" t="s">
        <v>8987</v>
      </c>
    </row>
    <row r="200" spans="1:11">
      <c r="A200" s="7">
        <v>198</v>
      </c>
      <c r="B200" s="7" t="s">
        <v>8983</v>
      </c>
      <c r="C200" s="7" t="s">
        <v>8984</v>
      </c>
      <c r="D200" s="7" t="s">
        <v>7566</v>
      </c>
      <c r="E200" s="7" t="s">
        <v>9399</v>
      </c>
      <c r="F200" s="8" t="s">
        <v>7971</v>
      </c>
      <c r="G200" s="7">
        <v>100</v>
      </c>
      <c r="H200" s="7" t="s">
        <v>9046</v>
      </c>
      <c r="I200" s="7">
        <v>35</v>
      </c>
      <c r="J200" s="7" t="s">
        <v>9389</v>
      </c>
      <c r="K200" s="9" t="s">
        <v>8987</v>
      </c>
    </row>
    <row r="201" spans="1:11">
      <c r="A201" s="7">
        <v>199</v>
      </c>
      <c r="B201" s="7" t="s">
        <v>8983</v>
      </c>
      <c r="C201" s="7" t="s">
        <v>8984</v>
      </c>
      <c r="D201" s="7" t="s">
        <v>7566</v>
      </c>
      <c r="E201" s="7" t="s">
        <v>9400</v>
      </c>
      <c r="F201" s="8" t="s">
        <v>7971</v>
      </c>
      <c r="G201" s="7">
        <v>40</v>
      </c>
      <c r="H201" s="7" t="s">
        <v>9003</v>
      </c>
      <c r="I201" s="7">
        <v>5</v>
      </c>
      <c r="J201" s="7" t="s">
        <v>9004</v>
      </c>
      <c r="K201" s="9" t="s">
        <v>8987</v>
      </c>
    </row>
    <row r="202" spans="1:11">
      <c r="A202" s="7">
        <v>200</v>
      </c>
      <c r="B202" s="7" t="s">
        <v>8983</v>
      </c>
      <c r="C202" s="7" t="s">
        <v>8984</v>
      </c>
      <c r="D202" s="7" t="s">
        <v>7566</v>
      </c>
      <c r="E202" s="7" t="s">
        <v>9401</v>
      </c>
      <c r="F202" s="8" t="s">
        <v>7971</v>
      </c>
      <c r="G202" s="7">
        <v>23</v>
      </c>
      <c r="H202" s="7" t="s">
        <v>9120</v>
      </c>
      <c r="I202" s="7">
        <v>5</v>
      </c>
      <c r="J202" s="7" t="s">
        <v>9150</v>
      </c>
      <c r="K202" s="9" t="s">
        <v>8987</v>
      </c>
    </row>
    <row r="203" spans="1:11">
      <c r="A203" s="7">
        <v>201</v>
      </c>
      <c r="B203" s="7" t="s">
        <v>8983</v>
      </c>
      <c r="C203" s="7" t="s">
        <v>8984</v>
      </c>
      <c r="D203" s="7" t="s">
        <v>7566</v>
      </c>
      <c r="E203" s="7" t="s">
        <v>9402</v>
      </c>
      <c r="F203" s="8" t="s">
        <v>7971</v>
      </c>
      <c r="G203" s="7">
        <v>10</v>
      </c>
      <c r="H203" s="7" t="s">
        <v>9292</v>
      </c>
      <c r="I203" s="7">
        <v>3</v>
      </c>
      <c r="J203" s="7" t="s">
        <v>7718</v>
      </c>
      <c r="K203" s="9" t="s">
        <v>8987</v>
      </c>
    </row>
    <row r="204" spans="1:11">
      <c r="A204" s="7">
        <v>202</v>
      </c>
      <c r="B204" s="7" t="s">
        <v>8983</v>
      </c>
      <c r="C204" s="7" t="s">
        <v>8984</v>
      </c>
      <c r="D204" s="7" t="s">
        <v>7566</v>
      </c>
      <c r="E204" s="7" t="s">
        <v>9403</v>
      </c>
      <c r="F204" s="8" t="s">
        <v>7971</v>
      </c>
      <c r="G204" s="7">
        <v>20</v>
      </c>
      <c r="H204" s="7" t="s">
        <v>9394</v>
      </c>
      <c r="I204" s="7">
        <v>5</v>
      </c>
      <c r="J204" s="7" t="s">
        <v>9395</v>
      </c>
      <c r="K204" s="9" t="s">
        <v>8987</v>
      </c>
    </row>
    <row r="205" spans="1:11">
      <c r="A205" s="7">
        <v>203</v>
      </c>
      <c r="B205" s="7" t="s">
        <v>8983</v>
      </c>
      <c r="C205" s="7" t="s">
        <v>8984</v>
      </c>
      <c r="D205" s="7" t="s">
        <v>7566</v>
      </c>
      <c r="E205" s="7" t="s">
        <v>9404</v>
      </c>
      <c r="F205" s="8" t="s">
        <v>7971</v>
      </c>
      <c r="G205" s="7">
        <v>14</v>
      </c>
      <c r="H205" s="7" t="s">
        <v>9397</v>
      </c>
      <c r="I205" s="7">
        <v>4</v>
      </c>
      <c r="J205" s="7" t="s">
        <v>9398</v>
      </c>
      <c r="K205" s="9" t="s">
        <v>8987</v>
      </c>
    </row>
    <row r="206" spans="1:11">
      <c r="A206" s="7">
        <v>204</v>
      </c>
      <c r="B206" s="7" t="s">
        <v>8983</v>
      </c>
      <c r="C206" s="7" t="s">
        <v>8984</v>
      </c>
      <c r="D206" s="7" t="s">
        <v>7566</v>
      </c>
      <c r="E206" s="7" t="s">
        <v>9405</v>
      </c>
      <c r="F206" s="8" t="s">
        <v>7970</v>
      </c>
      <c r="G206" s="7">
        <v>40</v>
      </c>
      <c r="H206" s="7" t="s">
        <v>9003</v>
      </c>
      <c r="I206" s="7">
        <v>5</v>
      </c>
      <c r="J206" s="7" t="s">
        <v>9004</v>
      </c>
      <c r="K206" s="9" t="s">
        <v>8987</v>
      </c>
    </row>
    <row r="207" spans="1:11">
      <c r="A207" s="7">
        <v>205</v>
      </c>
      <c r="B207" s="7" t="s">
        <v>8983</v>
      </c>
      <c r="C207" s="7" t="s">
        <v>8984</v>
      </c>
      <c r="D207" s="7" t="s">
        <v>7566</v>
      </c>
      <c r="E207" s="7" t="s">
        <v>9406</v>
      </c>
      <c r="F207" s="8" t="s">
        <v>7970</v>
      </c>
      <c r="G207" s="7">
        <v>23</v>
      </c>
      <c r="H207" s="7" t="s">
        <v>9120</v>
      </c>
      <c r="I207" s="7">
        <v>5</v>
      </c>
      <c r="J207" s="7" t="s">
        <v>9150</v>
      </c>
      <c r="K207" s="9" t="s">
        <v>8987</v>
      </c>
    </row>
    <row r="208" spans="1:11">
      <c r="A208" s="7">
        <v>206</v>
      </c>
      <c r="B208" s="7" t="s">
        <v>8983</v>
      </c>
      <c r="C208" s="7" t="s">
        <v>8984</v>
      </c>
      <c r="D208" s="7" t="s">
        <v>7566</v>
      </c>
      <c r="E208" s="7" t="s">
        <v>9407</v>
      </c>
      <c r="F208" s="8" t="s">
        <v>7970</v>
      </c>
      <c r="G208" s="7">
        <v>10</v>
      </c>
      <c r="H208" s="7" t="s">
        <v>9292</v>
      </c>
      <c r="I208" s="7">
        <v>3</v>
      </c>
      <c r="J208" s="7" t="s">
        <v>7718</v>
      </c>
      <c r="K208" s="9" t="s">
        <v>8987</v>
      </c>
    </row>
    <row r="209" spans="1:11">
      <c r="A209" s="7">
        <v>207</v>
      </c>
      <c r="B209" s="7" t="s">
        <v>8983</v>
      </c>
      <c r="C209" s="7" t="s">
        <v>8984</v>
      </c>
      <c r="D209" s="7" t="s">
        <v>7566</v>
      </c>
      <c r="E209" s="7" t="s">
        <v>9408</v>
      </c>
      <c r="F209" s="8" t="s">
        <v>7970</v>
      </c>
      <c r="G209" s="7">
        <v>20</v>
      </c>
      <c r="H209" s="7" t="s">
        <v>9394</v>
      </c>
      <c r="I209" s="7">
        <v>5</v>
      </c>
      <c r="J209" s="7" t="s">
        <v>9395</v>
      </c>
      <c r="K209" s="9" t="s">
        <v>8987</v>
      </c>
    </row>
    <row r="210" spans="1:11">
      <c r="A210" s="7">
        <v>208</v>
      </c>
      <c r="B210" s="7" t="s">
        <v>8983</v>
      </c>
      <c r="C210" s="7" t="s">
        <v>8984</v>
      </c>
      <c r="D210" s="7" t="s">
        <v>7566</v>
      </c>
      <c r="E210" s="7" t="s">
        <v>9409</v>
      </c>
      <c r="F210" s="8" t="s">
        <v>7970</v>
      </c>
      <c r="G210" s="7">
        <v>14</v>
      </c>
      <c r="H210" s="7" t="s">
        <v>9397</v>
      </c>
      <c r="I210" s="7">
        <v>4</v>
      </c>
      <c r="J210" s="7" t="s">
        <v>9398</v>
      </c>
      <c r="K210" s="9" t="s">
        <v>8987</v>
      </c>
    </row>
    <row r="211" spans="1:11">
      <c r="A211" s="7">
        <v>209</v>
      </c>
      <c r="B211" s="7" t="s">
        <v>8983</v>
      </c>
      <c r="C211" s="7" t="s">
        <v>8984</v>
      </c>
      <c r="D211" s="7" t="s">
        <v>7566</v>
      </c>
      <c r="E211" s="7" t="s">
        <v>9410</v>
      </c>
      <c r="F211" s="8" t="s">
        <v>7969</v>
      </c>
      <c r="G211" s="7">
        <v>40</v>
      </c>
      <c r="H211" s="7" t="s">
        <v>9003</v>
      </c>
      <c r="I211" s="7">
        <v>5</v>
      </c>
      <c r="J211" s="7" t="s">
        <v>9004</v>
      </c>
      <c r="K211" s="9" t="s">
        <v>8987</v>
      </c>
    </row>
    <row r="212" spans="1:11">
      <c r="A212" s="7">
        <v>210</v>
      </c>
      <c r="B212" s="7" t="s">
        <v>8983</v>
      </c>
      <c r="C212" s="7" t="s">
        <v>8984</v>
      </c>
      <c r="D212" s="7" t="s">
        <v>7566</v>
      </c>
      <c r="E212" s="7" t="s">
        <v>9411</v>
      </c>
      <c r="F212" s="8" t="s">
        <v>7969</v>
      </c>
      <c r="G212" s="7">
        <v>23</v>
      </c>
      <c r="H212" s="7" t="s">
        <v>9120</v>
      </c>
      <c r="I212" s="7">
        <v>5</v>
      </c>
      <c r="J212" s="7" t="s">
        <v>9150</v>
      </c>
      <c r="K212" s="9" t="s">
        <v>8987</v>
      </c>
    </row>
    <row r="213" spans="1:11">
      <c r="A213" s="7">
        <v>211</v>
      </c>
      <c r="B213" s="7" t="s">
        <v>8983</v>
      </c>
      <c r="C213" s="7" t="s">
        <v>8984</v>
      </c>
      <c r="D213" s="7" t="s">
        <v>7566</v>
      </c>
      <c r="E213" s="7" t="s">
        <v>9412</v>
      </c>
      <c r="F213" s="8" t="s">
        <v>7969</v>
      </c>
      <c r="G213" s="7">
        <v>10</v>
      </c>
      <c r="H213" s="7" t="s">
        <v>9292</v>
      </c>
      <c r="I213" s="7">
        <v>3</v>
      </c>
      <c r="J213" s="7" t="s">
        <v>7718</v>
      </c>
      <c r="K213" s="9" t="s">
        <v>8987</v>
      </c>
    </row>
    <row r="214" spans="1:11">
      <c r="A214" s="7">
        <v>212</v>
      </c>
      <c r="B214" s="7" t="s">
        <v>8983</v>
      </c>
      <c r="C214" s="7" t="s">
        <v>8984</v>
      </c>
      <c r="D214" s="7" t="s">
        <v>7566</v>
      </c>
      <c r="E214" s="7" t="s">
        <v>9413</v>
      </c>
      <c r="F214" s="8" t="s">
        <v>7969</v>
      </c>
      <c r="G214" s="7">
        <v>20</v>
      </c>
      <c r="H214" s="7" t="s">
        <v>9394</v>
      </c>
      <c r="I214" s="7">
        <v>5</v>
      </c>
      <c r="J214" s="7" t="s">
        <v>9395</v>
      </c>
      <c r="K214" s="9" t="s">
        <v>8987</v>
      </c>
    </row>
    <row r="215" spans="1:11">
      <c r="A215" s="7">
        <v>213</v>
      </c>
      <c r="B215" s="7" t="s">
        <v>8983</v>
      </c>
      <c r="C215" s="7" t="s">
        <v>8984</v>
      </c>
      <c r="D215" s="7" t="s">
        <v>7566</v>
      </c>
      <c r="E215" s="7" t="s">
        <v>9414</v>
      </c>
      <c r="F215" s="8" t="s">
        <v>7969</v>
      </c>
      <c r="G215" s="7">
        <v>14</v>
      </c>
      <c r="H215" s="7" t="s">
        <v>9397</v>
      </c>
      <c r="I215" s="7">
        <v>4</v>
      </c>
      <c r="J215" s="7" t="s">
        <v>9398</v>
      </c>
      <c r="K215" s="9" t="s">
        <v>8987</v>
      </c>
    </row>
    <row r="216" spans="1:11">
      <c r="A216" s="7">
        <v>214</v>
      </c>
      <c r="B216" s="7" t="s">
        <v>8983</v>
      </c>
      <c r="C216" s="7" t="s">
        <v>8984</v>
      </c>
      <c r="D216" s="7" t="s">
        <v>7566</v>
      </c>
      <c r="E216" s="7" t="s">
        <v>9415</v>
      </c>
      <c r="F216" s="8" t="s">
        <v>7972</v>
      </c>
      <c r="G216" s="7">
        <v>40</v>
      </c>
      <c r="H216" s="7" t="s">
        <v>9003</v>
      </c>
      <c r="I216" s="7">
        <v>5</v>
      </c>
      <c r="J216" s="7" t="s">
        <v>9004</v>
      </c>
      <c r="K216" s="9" t="s">
        <v>8987</v>
      </c>
    </row>
    <row r="217" spans="1:11">
      <c r="A217" s="7">
        <v>215</v>
      </c>
      <c r="B217" s="7" t="s">
        <v>8983</v>
      </c>
      <c r="C217" s="7" t="s">
        <v>8984</v>
      </c>
      <c r="D217" s="7" t="s">
        <v>7566</v>
      </c>
      <c r="E217" s="7" t="s">
        <v>9416</v>
      </c>
      <c r="F217" s="8" t="s">
        <v>7972</v>
      </c>
      <c r="G217" s="7">
        <v>23</v>
      </c>
      <c r="H217" s="7" t="s">
        <v>9120</v>
      </c>
      <c r="I217" s="7">
        <v>5</v>
      </c>
      <c r="J217" s="7" t="s">
        <v>9150</v>
      </c>
      <c r="K217" s="9" t="s">
        <v>8987</v>
      </c>
    </row>
    <row r="218" spans="1:11">
      <c r="A218" s="7">
        <v>216</v>
      </c>
      <c r="B218" s="7" t="s">
        <v>8983</v>
      </c>
      <c r="C218" s="7" t="s">
        <v>8984</v>
      </c>
      <c r="D218" s="7" t="s">
        <v>7566</v>
      </c>
      <c r="E218" s="7" t="s">
        <v>9417</v>
      </c>
      <c r="F218" s="8" t="s">
        <v>7972</v>
      </c>
      <c r="G218" s="7">
        <v>24</v>
      </c>
      <c r="H218" s="7" t="s">
        <v>9418</v>
      </c>
      <c r="I218" s="7">
        <v>3</v>
      </c>
      <c r="J218" s="7" t="s">
        <v>9419</v>
      </c>
      <c r="K218" s="9" t="s">
        <v>8987</v>
      </c>
    </row>
    <row r="219" spans="1:11">
      <c r="A219" s="7">
        <v>217</v>
      </c>
      <c r="B219" s="7" t="s">
        <v>8983</v>
      </c>
      <c r="C219" s="7" t="s">
        <v>8984</v>
      </c>
      <c r="D219" s="7" t="s">
        <v>7566</v>
      </c>
      <c r="E219" s="7" t="s">
        <v>3844</v>
      </c>
      <c r="F219" s="8" t="s">
        <v>7972</v>
      </c>
      <c r="G219" s="7">
        <v>14</v>
      </c>
      <c r="H219" s="7" t="s">
        <v>9397</v>
      </c>
      <c r="I219" s="7">
        <v>5</v>
      </c>
      <c r="J219" s="7" t="s">
        <v>9420</v>
      </c>
      <c r="K219" s="9" t="s">
        <v>8987</v>
      </c>
    </row>
    <row r="220" spans="1:11">
      <c r="A220" s="7">
        <v>218</v>
      </c>
      <c r="B220" s="7" t="s">
        <v>8983</v>
      </c>
      <c r="C220" s="7" t="s">
        <v>8984</v>
      </c>
      <c r="D220" s="7" t="s">
        <v>7566</v>
      </c>
      <c r="E220" s="7" t="s">
        <v>9421</v>
      </c>
      <c r="F220" s="8" t="s">
        <v>7972</v>
      </c>
      <c r="G220" s="7">
        <v>18</v>
      </c>
      <c r="H220" s="7" t="s">
        <v>9422</v>
      </c>
      <c r="I220" s="7">
        <v>4</v>
      </c>
      <c r="J220" s="7" t="s">
        <v>9423</v>
      </c>
      <c r="K220" s="9" t="s">
        <v>8987</v>
      </c>
    </row>
    <row r="221" spans="1:11">
      <c r="A221" s="7">
        <v>219</v>
      </c>
      <c r="B221" s="7" t="s">
        <v>8983</v>
      </c>
      <c r="C221" s="7" t="s">
        <v>8984</v>
      </c>
      <c r="D221" s="7" t="s">
        <v>7566</v>
      </c>
      <c r="E221" s="7" t="s">
        <v>9424</v>
      </c>
      <c r="F221" s="8" t="s">
        <v>7972</v>
      </c>
      <c r="G221" s="7">
        <v>8</v>
      </c>
      <c r="H221" s="7" t="s">
        <v>8991</v>
      </c>
      <c r="I221" s="7">
        <v>1</v>
      </c>
      <c r="J221" s="7" t="s">
        <v>7764</v>
      </c>
      <c r="K221" s="9" t="s">
        <v>8987</v>
      </c>
    </row>
    <row r="222" spans="1:11">
      <c r="A222" s="7">
        <v>220</v>
      </c>
      <c r="B222" s="7" t="s">
        <v>8983</v>
      </c>
      <c r="C222" s="7" t="s">
        <v>8984</v>
      </c>
      <c r="D222" s="7" t="s">
        <v>7566</v>
      </c>
      <c r="E222" s="7" t="s">
        <v>9425</v>
      </c>
      <c r="F222" s="8" t="s">
        <v>7973</v>
      </c>
      <c r="G222" s="7">
        <v>40</v>
      </c>
      <c r="H222" s="7" t="s">
        <v>9003</v>
      </c>
      <c r="I222" s="7">
        <v>5</v>
      </c>
      <c r="J222" s="7" t="s">
        <v>9004</v>
      </c>
      <c r="K222" s="9" t="s">
        <v>8987</v>
      </c>
    </row>
    <row r="223" spans="1:11">
      <c r="A223" s="7">
        <v>221</v>
      </c>
      <c r="B223" s="7" t="s">
        <v>8983</v>
      </c>
      <c r="C223" s="7" t="s">
        <v>8984</v>
      </c>
      <c r="D223" s="7" t="s">
        <v>7566</v>
      </c>
      <c r="E223" s="7" t="s">
        <v>9426</v>
      </c>
      <c r="F223" s="8" t="s">
        <v>7973</v>
      </c>
      <c r="G223" s="7">
        <v>23</v>
      </c>
      <c r="H223" s="7" t="s">
        <v>9120</v>
      </c>
      <c r="I223" s="7">
        <v>5</v>
      </c>
      <c r="J223" s="7" t="s">
        <v>9150</v>
      </c>
      <c r="K223" s="9" t="s">
        <v>8987</v>
      </c>
    </row>
    <row r="224" spans="1:11">
      <c r="A224" s="7">
        <v>222</v>
      </c>
      <c r="B224" s="7" t="s">
        <v>8983</v>
      </c>
      <c r="C224" s="7" t="s">
        <v>8984</v>
      </c>
      <c r="D224" s="7" t="s">
        <v>7566</v>
      </c>
      <c r="E224" s="7" t="s">
        <v>9427</v>
      </c>
      <c r="F224" s="8" t="s">
        <v>7973</v>
      </c>
      <c r="G224" s="7">
        <v>10</v>
      </c>
      <c r="H224" s="7" t="s">
        <v>9292</v>
      </c>
      <c r="I224" s="7">
        <v>3</v>
      </c>
      <c r="J224" s="7" t="s">
        <v>7718</v>
      </c>
      <c r="K224" s="9" t="s">
        <v>8987</v>
      </c>
    </row>
    <row r="225" spans="1:11">
      <c r="A225" s="7">
        <v>223</v>
      </c>
      <c r="B225" s="7" t="s">
        <v>8983</v>
      </c>
      <c r="C225" s="7" t="s">
        <v>8984</v>
      </c>
      <c r="D225" s="7" t="s">
        <v>7566</v>
      </c>
      <c r="E225" s="7" t="s">
        <v>9428</v>
      </c>
      <c r="F225" s="8" t="s">
        <v>7973</v>
      </c>
      <c r="G225" s="7">
        <v>20</v>
      </c>
      <c r="H225" s="7" t="s">
        <v>9394</v>
      </c>
      <c r="I225" s="7">
        <v>5</v>
      </c>
      <c r="J225" s="7" t="s">
        <v>9395</v>
      </c>
      <c r="K225" s="9" t="s">
        <v>8987</v>
      </c>
    </row>
    <row r="226" spans="1:11">
      <c r="A226" s="7">
        <v>224</v>
      </c>
      <c r="B226" s="7" t="s">
        <v>8983</v>
      </c>
      <c r="C226" s="7" t="s">
        <v>8984</v>
      </c>
      <c r="D226" s="7" t="s">
        <v>7566</v>
      </c>
      <c r="E226" s="7" t="s">
        <v>9429</v>
      </c>
      <c r="F226" s="8" t="s">
        <v>7973</v>
      </c>
      <c r="G226" s="7">
        <v>14</v>
      </c>
      <c r="H226" s="7" t="s">
        <v>9397</v>
      </c>
      <c r="I226" s="7">
        <v>4</v>
      </c>
      <c r="J226" s="7" t="s">
        <v>9398</v>
      </c>
      <c r="K226" s="9" t="s">
        <v>8987</v>
      </c>
    </row>
    <row r="227" spans="1:11">
      <c r="A227" s="7">
        <v>225</v>
      </c>
      <c r="B227" s="7" t="s">
        <v>8983</v>
      </c>
      <c r="C227" s="7" t="s">
        <v>8984</v>
      </c>
      <c r="D227" s="7" t="s">
        <v>7542</v>
      </c>
      <c r="E227" s="7" t="s">
        <v>9430</v>
      </c>
      <c r="F227" s="8" t="s">
        <v>9291</v>
      </c>
      <c r="G227" s="7">
        <v>8</v>
      </c>
      <c r="H227" s="7" t="s">
        <v>8991</v>
      </c>
      <c r="I227" s="7">
        <v>1</v>
      </c>
      <c r="J227" s="7" t="s">
        <v>7764</v>
      </c>
      <c r="K227" s="9" t="s">
        <v>8987</v>
      </c>
    </row>
    <row r="228" spans="1:11">
      <c r="A228" s="7">
        <v>226</v>
      </c>
      <c r="B228" s="7" t="s">
        <v>8983</v>
      </c>
      <c r="C228" s="7" t="s">
        <v>8984</v>
      </c>
      <c r="D228" s="7" t="s">
        <v>7556</v>
      </c>
      <c r="E228" s="7" t="s">
        <v>9431</v>
      </c>
      <c r="F228" s="8" t="s">
        <v>9069</v>
      </c>
      <c r="G228" s="7">
        <v>10</v>
      </c>
      <c r="H228" s="7" t="s">
        <v>9292</v>
      </c>
      <c r="I228" s="7">
        <v>2</v>
      </c>
      <c r="J228" s="7" t="s">
        <v>9432</v>
      </c>
      <c r="K228" s="9" t="s">
        <v>8987</v>
      </c>
    </row>
    <row r="229" spans="1:11">
      <c r="A229" s="7">
        <v>227</v>
      </c>
      <c r="B229" s="7" t="s">
        <v>8983</v>
      </c>
      <c r="C229" s="7" t="s">
        <v>8984</v>
      </c>
      <c r="D229" s="7" t="s">
        <v>7556</v>
      </c>
      <c r="E229" s="7" t="s">
        <v>9433</v>
      </c>
      <c r="F229" s="8" t="s">
        <v>9069</v>
      </c>
      <c r="G229" s="7">
        <v>10</v>
      </c>
      <c r="H229" s="7" t="s">
        <v>9292</v>
      </c>
      <c r="I229" s="7">
        <v>2</v>
      </c>
      <c r="J229" s="7" t="s">
        <v>9432</v>
      </c>
      <c r="K229" s="9" t="s">
        <v>8987</v>
      </c>
    </row>
    <row r="230" spans="1:11">
      <c r="A230" s="7">
        <v>228</v>
      </c>
      <c r="B230" s="7" t="s">
        <v>8983</v>
      </c>
      <c r="C230" s="7" t="s">
        <v>8984</v>
      </c>
      <c r="D230" s="7" t="s">
        <v>7573</v>
      </c>
      <c r="E230" s="7" t="s">
        <v>9434</v>
      </c>
      <c r="F230" s="8" t="s">
        <v>9295</v>
      </c>
      <c r="G230" s="7">
        <v>8</v>
      </c>
      <c r="H230" s="7" t="s">
        <v>8991</v>
      </c>
      <c r="I230" s="7">
        <v>3</v>
      </c>
      <c r="J230" s="7" t="s">
        <v>7823</v>
      </c>
      <c r="K230" s="9" t="s">
        <v>8987</v>
      </c>
    </row>
    <row r="231" spans="1:11">
      <c r="A231" s="7">
        <v>229</v>
      </c>
      <c r="B231" s="7" t="s">
        <v>8990</v>
      </c>
      <c r="C231" s="7" t="s">
        <v>8984</v>
      </c>
      <c r="D231" s="7" t="s">
        <v>7550</v>
      </c>
      <c r="E231" s="7" t="s">
        <v>9435</v>
      </c>
      <c r="F231" s="8" t="s">
        <v>9436</v>
      </c>
      <c r="G231" s="7">
        <v>150</v>
      </c>
      <c r="H231" s="7" t="s">
        <v>9253</v>
      </c>
      <c r="I231" s="7">
        <v>21</v>
      </c>
      <c r="J231" s="7" t="s">
        <v>9372</v>
      </c>
      <c r="K231" s="9" t="s">
        <v>8987</v>
      </c>
    </row>
    <row r="232" spans="1:11">
      <c r="A232" s="7">
        <v>230</v>
      </c>
      <c r="B232" s="7" t="s">
        <v>8983</v>
      </c>
      <c r="C232" s="7" t="s">
        <v>8991</v>
      </c>
      <c r="D232" s="7" t="s">
        <v>7573</v>
      </c>
      <c r="E232" s="7" t="s">
        <v>9437</v>
      </c>
      <c r="F232" s="8" t="s">
        <v>9295</v>
      </c>
      <c r="G232" s="7">
        <v>3</v>
      </c>
      <c r="H232" s="7" t="s">
        <v>9187</v>
      </c>
      <c r="I232" s="7">
        <v>1</v>
      </c>
      <c r="J232" s="7" t="s">
        <v>7872</v>
      </c>
      <c r="K232" s="9" t="s">
        <v>8987</v>
      </c>
    </row>
    <row r="233" spans="1:11">
      <c r="A233" s="7">
        <v>231</v>
      </c>
      <c r="B233" s="7" t="s">
        <v>9208</v>
      </c>
      <c r="C233" s="7" t="s">
        <v>8984</v>
      </c>
      <c r="D233" s="7" t="s">
        <v>7549</v>
      </c>
      <c r="E233" s="7" t="s">
        <v>9438</v>
      </c>
      <c r="F233" s="8" t="s">
        <v>9210</v>
      </c>
      <c r="G233" s="7">
        <v>10</v>
      </c>
      <c r="H233" s="7" t="s">
        <v>9292</v>
      </c>
      <c r="I233" s="7">
        <v>1</v>
      </c>
      <c r="J233" s="7" t="s">
        <v>7768</v>
      </c>
      <c r="K233" s="9" t="s">
        <v>8987</v>
      </c>
    </row>
    <row r="234" spans="1:11">
      <c r="A234" s="7">
        <v>232</v>
      </c>
      <c r="B234" s="7" t="s">
        <v>9208</v>
      </c>
      <c r="C234" s="7" t="s">
        <v>8984</v>
      </c>
      <c r="D234" s="7" t="s">
        <v>7549</v>
      </c>
      <c r="E234" s="7" t="s">
        <v>9439</v>
      </c>
      <c r="F234" s="8" t="s">
        <v>9210</v>
      </c>
      <c r="G234" s="7">
        <v>20</v>
      </c>
      <c r="H234" s="7" t="s">
        <v>9394</v>
      </c>
      <c r="I234" s="7">
        <v>1</v>
      </c>
      <c r="J234" s="7" t="s">
        <v>7851</v>
      </c>
      <c r="K234" s="9" t="s">
        <v>8987</v>
      </c>
    </row>
    <row r="235" spans="1:11">
      <c r="A235" s="7">
        <v>233</v>
      </c>
      <c r="B235" s="7" t="s">
        <v>9208</v>
      </c>
      <c r="C235" s="7" t="s">
        <v>8984</v>
      </c>
      <c r="D235" s="7" t="s">
        <v>7549</v>
      </c>
      <c r="E235" s="7" t="s">
        <v>9440</v>
      </c>
      <c r="F235" s="8" t="s">
        <v>9210</v>
      </c>
      <c r="G235" s="7">
        <v>30</v>
      </c>
      <c r="H235" s="7" t="s">
        <v>9015</v>
      </c>
      <c r="I235" s="7">
        <v>1</v>
      </c>
      <c r="J235" s="7" t="s">
        <v>7855</v>
      </c>
      <c r="K235" s="9" t="s">
        <v>8987</v>
      </c>
    </row>
    <row r="236" spans="1:11">
      <c r="A236" s="7">
        <v>234</v>
      </c>
      <c r="B236" s="7" t="s">
        <v>8983</v>
      </c>
      <c r="C236" s="7" t="s">
        <v>8984</v>
      </c>
      <c r="D236" s="7" t="s">
        <v>7542</v>
      </c>
      <c r="E236" s="7" t="s">
        <v>9441</v>
      </c>
      <c r="F236" s="8" t="s">
        <v>9145</v>
      </c>
      <c r="G236" s="7">
        <v>50</v>
      </c>
      <c r="H236" s="7" t="s">
        <v>9021</v>
      </c>
      <c r="I236" s="7">
        <v>1</v>
      </c>
      <c r="J236" s="7" t="s">
        <v>7881</v>
      </c>
      <c r="K236" s="9" t="s">
        <v>8987</v>
      </c>
    </row>
    <row r="237" spans="1:11">
      <c r="A237" s="7">
        <v>235</v>
      </c>
      <c r="B237" s="7" t="s">
        <v>8983</v>
      </c>
      <c r="C237" s="7" t="s">
        <v>8984</v>
      </c>
      <c r="D237" s="7" t="s">
        <v>7542</v>
      </c>
      <c r="E237" s="7" t="s">
        <v>9442</v>
      </c>
      <c r="F237" s="8" t="s">
        <v>9014</v>
      </c>
      <c r="G237" s="7">
        <v>80</v>
      </c>
      <c r="H237" s="7" t="s">
        <v>9153</v>
      </c>
      <c r="I237" s="7">
        <v>1</v>
      </c>
      <c r="J237" s="7" t="s">
        <v>7867</v>
      </c>
      <c r="K237" s="9" t="s">
        <v>8987</v>
      </c>
    </row>
    <row r="238" spans="1:11">
      <c r="A238" s="7">
        <v>236</v>
      </c>
      <c r="B238" s="7" t="s">
        <v>8983</v>
      </c>
      <c r="C238" s="7" t="s">
        <v>8984</v>
      </c>
      <c r="D238" s="7" t="s">
        <v>7542</v>
      </c>
      <c r="E238" s="7" t="s">
        <v>9443</v>
      </c>
      <c r="F238" s="8" t="s">
        <v>9291</v>
      </c>
      <c r="G238" s="7">
        <v>8</v>
      </c>
      <c r="H238" s="7" t="s">
        <v>8991</v>
      </c>
      <c r="I238" s="7">
        <v>1</v>
      </c>
      <c r="J238" s="7" t="s">
        <v>7764</v>
      </c>
      <c r="K238" s="9" t="s">
        <v>8987</v>
      </c>
    </row>
    <row r="239" spans="1:11">
      <c r="A239" s="7">
        <v>237</v>
      </c>
      <c r="B239" s="7" t="s">
        <v>8990</v>
      </c>
      <c r="C239" s="7" t="s">
        <v>8984</v>
      </c>
      <c r="D239" s="7" t="s">
        <v>7542</v>
      </c>
      <c r="E239" s="7" t="s">
        <v>9444</v>
      </c>
      <c r="F239" s="8" t="s">
        <v>9335</v>
      </c>
      <c r="G239" s="7">
        <v>8</v>
      </c>
      <c r="H239" s="7" t="s">
        <v>8991</v>
      </c>
      <c r="I239" s="7">
        <v>1</v>
      </c>
      <c r="J239" s="7" t="s">
        <v>7764</v>
      </c>
      <c r="K239" s="9" t="s">
        <v>8987</v>
      </c>
    </row>
    <row r="240" spans="1:11">
      <c r="A240" s="7">
        <v>238</v>
      </c>
      <c r="B240" s="7" t="s">
        <v>8983</v>
      </c>
      <c r="C240" s="7" t="s">
        <v>8984</v>
      </c>
      <c r="D240" s="7" t="s">
        <v>7555</v>
      </c>
      <c r="E240" s="7" t="s">
        <v>9445</v>
      </c>
      <c r="F240" s="8" t="s">
        <v>9244</v>
      </c>
      <c r="G240" s="7">
        <v>150</v>
      </c>
      <c r="H240" s="7" t="s">
        <v>9253</v>
      </c>
      <c r="I240" s="7">
        <v>1</v>
      </c>
      <c r="J240" s="7" t="s">
        <v>7846</v>
      </c>
      <c r="K240" s="9" t="s">
        <v>8987</v>
      </c>
    </row>
    <row r="241" spans="1:11">
      <c r="A241" s="7">
        <v>239</v>
      </c>
      <c r="B241" s="7" t="s">
        <v>8983</v>
      </c>
      <c r="C241" s="7" t="s">
        <v>8984</v>
      </c>
      <c r="D241" s="7" t="s">
        <v>7555</v>
      </c>
      <c r="E241" s="7" t="s">
        <v>9446</v>
      </c>
      <c r="F241" s="8" t="s">
        <v>9244</v>
      </c>
      <c r="G241" s="7">
        <v>200</v>
      </c>
      <c r="H241" s="7" t="s">
        <v>9447</v>
      </c>
      <c r="I241" s="7">
        <v>1</v>
      </c>
      <c r="J241" s="7" t="s">
        <v>9448</v>
      </c>
      <c r="K241" s="9" t="s">
        <v>8987</v>
      </c>
    </row>
    <row r="242" spans="1:11">
      <c r="A242" s="7">
        <v>240</v>
      </c>
      <c r="B242" s="7" t="s">
        <v>8983</v>
      </c>
      <c r="C242" s="7" t="s">
        <v>8984</v>
      </c>
      <c r="D242" s="7" t="s">
        <v>7552</v>
      </c>
      <c r="E242" s="7" t="s">
        <v>9449</v>
      </c>
      <c r="F242" s="8" t="s">
        <v>9450</v>
      </c>
      <c r="G242" s="7">
        <v>100</v>
      </c>
      <c r="H242" s="7" t="s">
        <v>9046</v>
      </c>
      <c r="I242" s="7">
        <v>1</v>
      </c>
      <c r="J242" s="7" t="s">
        <v>7878</v>
      </c>
      <c r="K242" s="9" t="s">
        <v>8987</v>
      </c>
    </row>
    <row r="243" spans="1:11">
      <c r="A243" s="7">
        <v>241</v>
      </c>
      <c r="B243" s="7" t="s">
        <v>8983</v>
      </c>
      <c r="C243" s="7" t="s">
        <v>8984</v>
      </c>
      <c r="D243" s="7" t="s">
        <v>7546</v>
      </c>
      <c r="E243" s="7" t="s">
        <v>9451</v>
      </c>
      <c r="F243" s="8" t="s">
        <v>9083</v>
      </c>
      <c r="G243" s="7">
        <v>80</v>
      </c>
      <c r="H243" s="7" t="s">
        <v>9153</v>
      </c>
      <c r="I243" s="7">
        <v>1</v>
      </c>
      <c r="J243" s="7" t="s">
        <v>7867</v>
      </c>
      <c r="K243" s="9" t="s">
        <v>8987</v>
      </c>
    </row>
    <row r="244" spans="1:11">
      <c r="A244" s="7">
        <v>242</v>
      </c>
      <c r="B244" s="7" t="s">
        <v>8983</v>
      </c>
      <c r="C244" s="7" t="s">
        <v>8984</v>
      </c>
      <c r="D244" s="7" t="s">
        <v>7581</v>
      </c>
      <c r="E244" s="7" t="s">
        <v>9452</v>
      </c>
      <c r="F244" s="8" t="s">
        <v>9453</v>
      </c>
      <c r="G244" s="7">
        <v>150</v>
      </c>
      <c r="H244" s="7" t="s">
        <v>9253</v>
      </c>
      <c r="I244" s="7">
        <v>1</v>
      </c>
      <c r="J244" s="7" t="s">
        <v>7846</v>
      </c>
      <c r="K244" s="9" t="s">
        <v>8987</v>
      </c>
    </row>
    <row r="245" spans="1:11">
      <c r="A245" s="7">
        <v>243</v>
      </c>
      <c r="B245" s="7" t="s">
        <v>8983</v>
      </c>
      <c r="C245" s="7" t="s">
        <v>8984</v>
      </c>
      <c r="D245" s="7" t="s">
        <v>7556</v>
      </c>
      <c r="E245" s="7" t="s">
        <v>9454</v>
      </c>
      <c r="F245" s="8" t="s">
        <v>9067</v>
      </c>
      <c r="G245" s="7">
        <v>10</v>
      </c>
      <c r="H245" s="7" t="s">
        <v>9292</v>
      </c>
      <c r="I245" s="7">
        <v>2</v>
      </c>
      <c r="J245" s="7" t="s">
        <v>9432</v>
      </c>
      <c r="K245" s="9" t="s">
        <v>8987</v>
      </c>
    </row>
    <row r="246" spans="1:11">
      <c r="A246" s="7">
        <v>244</v>
      </c>
      <c r="B246" s="7" t="s">
        <v>8983</v>
      </c>
      <c r="C246" s="7" t="s">
        <v>8991</v>
      </c>
      <c r="D246" s="7" t="s">
        <v>7542</v>
      </c>
      <c r="E246" s="7" t="s">
        <v>9455</v>
      </c>
      <c r="F246" s="8" t="s">
        <v>9340</v>
      </c>
      <c r="G246" s="7">
        <v>8</v>
      </c>
      <c r="H246" s="7" t="s">
        <v>8991</v>
      </c>
      <c r="I246" s="7">
        <v>1</v>
      </c>
      <c r="J246" s="7" t="s">
        <v>7764</v>
      </c>
      <c r="K246" s="9" t="s">
        <v>8987</v>
      </c>
    </row>
    <row r="247" spans="1:11">
      <c r="A247" s="7">
        <v>245</v>
      </c>
      <c r="B247" s="7" t="s">
        <v>8983</v>
      </c>
      <c r="C247" s="7" t="s">
        <v>8991</v>
      </c>
      <c r="D247" s="7" t="s">
        <v>7546</v>
      </c>
      <c r="E247" s="7" t="s">
        <v>9456</v>
      </c>
      <c r="F247" s="8" t="s">
        <v>9457</v>
      </c>
      <c r="G247" s="7">
        <v>10</v>
      </c>
      <c r="H247" s="7" t="s">
        <v>9292</v>
      </c>
      <c r="I247" s="7">
        <v>1</v>
      </c>
      <c r="J247" s="7" t="s">
        <v>7768</v>
      </c>
      <c r="K247" s="9" t="s">
        <v>8987</v>
      </c>
    </row>
    <row r="248" spans="1:11">
      <c r="A248" s="7">
        <v>246</v>
      </c>
      <c r="B248" s="7" t="s">
        <v>8983</v>
      </c>
      <c r="C248" s="7" t="s">
        <v>8984</v>
      </c>
      <c r="D248" s="7" t="s">
        <v>7556</v>
      </c>
      <c r="E248" s="7" t="s">
        <v>9458</v>
      </c>
      <c r="F248" s="8" t="s">
        <v>9308</v>
      </c>
      <c r="G248" s="7">
        <v>200</v>
      </c>
      <c r="H248" s="7" t="s">
        <v>9447</v>
      </c>
      <c r="I248" s="7">
        <v>1</v>
      </c>
      <c r="J248" s="7" t="s">
        <v>9448</v>
      </c>
      <c r="K248" s="9" t="s">
        <v>8987</v>
      </c>
    </row>
    <row r="249" spans="1:11">
      <c r="A249" s="7">
        <v>247</v>
      </c>
      <c r="B249" s="7" t="s">
        <v>9208</v>
      </c>
      <c r="C249" s="7" t="s">
        <v>8984</v>
      </c>
      <c r="D249" s="7" t="s">
        <v>7549</v>
      </c>
      <c r="E249" s="7" t="s">
        <v>9459</v>
      </c>
      <c r="F249" s="8" t="s">
        <v>9460</v>
      </c>
      <c r="G249" s="7">
        <v>0</v>
      </c>
      <c r="H249" s="7" t="s">
        <v>8984</v>
      </c>
      <c r="I249" s="7">
        <v>1</v>
      </c>
      <c r="J249" s="7" t="s">
        <v>7838</v>
      </c>
      <c r="K249" s="9" t="s">
        <v>8987</v>
      </c>
    </row>
    <row r="250" spans="1:11">
      <c r="A250" s="7">
        <v>248</v>
      </c>
      <c r="B250" s="7" t="s">
        <v>9208</v>
      </c>
      <c r="C250" s="7" t="s">
        <v>8984</v>
      </c>
      <c r="D250" s="7" t="s">
        <v>7549</v>
      </c>
      <c r="E250" s="7" t="s">
        <v>9461</v>
      </c>
      <c r="F250" s="8" t="s">
        <v>9462</v>
      </c>
      <c r="G250" s="7">
        <v>0</v>
      </c>
      <c r="H250" s="7" t="s">
        <v>8984</v>
      </c>
      <c r="I250" s="7">
        <v>1</v>
      </c>
      <c r="J250" s="7" t="s">
        <v>7838</v>
      </c>
      <c r="K250" s="9" t="s">
        <v>8987</v>
      </c>
    </row>
    <row r="251" spans="1:11">
      <c r="A251" s="7">
        <v>249</v>
      </c>
      <c r="B251" s="7" t="s">
        <v>9208</v>
      </c>
      <c r="C251" s="7" t="s">
        <v>8984</v>
      </c>
      <c r="D251" s="7" t="s">
        <v>7549</v>
      </c>
      <c r="E251" s="7" t="s">
        <v>9463</v>
      </c>
      <c r="F251" s="8" t="s">
        <v>3125</v>
      </c>
      <c r="G251" s="7">
        <v>0</v>
      </c>
      <c r="H251" s="7" t="s">
        <v>8984</v>
      </c>
      <c r="I251" s="7">
        <v>1</v>
      </c>
      <c r="J251" s="7" t="s">
        <v>7838</v>
      </c>
      <c r="K251" s="9" t="s">
        <v>8987</v>
      </c>
    </row>
    <row r="252" spans="1:11">
      <c r="A252" s="7">
        <v>250</v>
      </c>
      <c r="B252" s="7" t="s">
        <v>9208</v>
      </c>
      <c r="C252" s="7" t="s">
        <v>8984</v>
      </c>
      <c r="D252" s="7" t="s">
        <v>7549</v>
      </c>
      <c r="E252" s="7" t="s">
        <v>9464</v>
      </c>
      <c r="F252" s="8" t="s">
        <v>9465</v>
      </c>
      <c r="G252" s="7">
        <v>0</v>
      </c>
      <c r="H252" s="7" t="s">
        <v>8984</v>
      </c>
      <c r="I252" s="7">
        <v>1</v>
      </c>
      <c r="J252" s="7" t="s">
        <v>7838</v>
      </c>
      <c r="K252" s="9" t="s">
        <v>8987</v>
      </c>
    </row>
    <row r="253" spans="1:11">
      <c r="A253" s="7">
        <v>251</v>
      </c>
      <c r="B253" s="7" t="s">
        <v>9208</v>
      </c>
      <c r="C253" s="7" t="s">
        <v>8984</v>
      </c>
      <c r="D253" s="7" t="s">
        <v>7549</v>
      </c>
      <c r="E253" s="7" t="s">
        <v>9466</v>
      </c>
      <c r="F253" s="8" t="s">
        <v>9467</v>
      </c>
      <c r="G253" s="7">
        <v>0</v>
      </c>
      <c r="H253" s="7" t="s">
        <v>8984</v>
      </c>
      <c r="I253" s="7">
        <v>1</v>
      </c>
      <c r="J253" s="7" t="s">
        <v>7838</v>
      </c>
      <c r="K253" s="9" t="s">
        <v>8987</v>
      </c>
    </row>
    <row r="254" spans="1:11">
      <c r="A254" s="7">
        <v>252</v>
      </c>
      <c r="B254" s="7" t="s">
        <v>9208</v>
      </c>
      <c r="C254" s="7" t="s">
        <v>8984</v>
      </c>
      <c r="D254" s="7" t="s">
        <v>7549</v>
      </c>
      <c r="E254" s="7" t="s">
        <v>9468</v>
      </c>
      <c r="F254" s="8" t="s">
        <v>3198</v>
      </c>
      <c r="G254" s="7">
        <v>0</v>
      </c>
      <c r="H254" s="7" t="s">
        <v>8984</v>
      </c>
      <c r="I254" s="7">
        <v>1</v>
      </c>
      <c r="J254" s="7" t="s">
        <v>7838</v>
      </c>
      <c r="K254" s="9" t="s">
        <v>8987</v>
      </c>
    </row>
    <row r="255" spans="1:11">
      <c r="A255" s="7">
        <v>253</v>
      </c>
      <c r="B255" s="7" t="s">
        <v>9208</v>
      </c>
      <c r="C255" s="7" t="s">
        <v>8984</v>
      </c>
      <c r="D255" s="7" t="s">
        <v>7549</v>
      </c>
      <c r="E255" s="7" t="s">
        <v>9469</v>
      </c>
      <c r="F255" s="8" t="s">
        <v>9470</v>
      </c>
      <c r="G255" s="7">
        <v>0</v>
      </c>
      <c r="H255" s="7" t="s">
        <v>8984</v>
      </c>
      <c r="I255" s="7">
        <v>1</v>
      </c>
      <c r="J255" s="7" t="s">
        <v>7838</v>
      </c>
      <c r="K255" s="9" t="s">
        <v>8987</v>
      </c>
    </row>
    <row r="256" spans="1:11">
      <c r="A256" s="7">
        <v>254</v>
      </c>
      <c r="B256" s="7" t="s">
        <v>9208</v>
      </c>
      <c r="C256" s="7" t="s">
        <v>8984</v>
      </c>
      <c r="D256" s="7" t="s">
        <v>7549</v>
      </c>
      <c r="E256" s="7" t="s">
        <v>9471</v>
      </c>
      <c r="F256" s="8" t="s">
        <v>9472</v>
      </c>
      <c r="G256" s="7">
        <v>0</v>
      </c>
      <c r="H256" s="7" t="s">
        <v>8984</v>
      </c>
      <c r="I256" s="7">
        <v>1</v>
      </c>
      <c r="J256" s="7" t="s">
        <v>7838</v>
      </c>
      <c r="K256" s="9" t="s">
        <v>8987</v>
      </c>
    </row>
    <row r="257" spans="1:11">
      <c r="A257" s="7">
        <v>255</v>
      </c>
      <c r="B257" s="7" t="s">
        <v>9208</v>
      </c>
      <c r="C257" s="7" t="s">
        <v>8984</v>
      </c>
      <c r="D257" s="7" t="s">
        <v>7549</v>
      </c>
      <c r="E257" s="7" t="s">
        <v>9473</v>
      </c>
      <c r="F257" s="8" t="s">
        <v>9474</v>
      </c>
      <c r="G257" s="7">
        <v>0</v>
      </c>
      <c r="H257" s="7" t="s">
        <v>8984</v>
      </c>
      <c r="I257" s="7">
        <v>1</v>
      </c>
      <c r="J257" s="7" t="s">
        <v>7838</v>
      </c>
      <c r="K257" s="9" t="s">
        <v>8987</v>
      </c>
    </row>
    <row r="258" spans="1:11">
      <c r="A258" s="7">
        <v>256</v>
      </c>
      <c r="B258" s="7" t="s">
        <v>9208</v>
      </c>
      <c r="C258" s="7" t="s">
        <v>8984</v>
      </c>
      <c r="D258" s="7" t="s">
        <v>7549</v>
      </c>
      <c r="E258" s="7" t="s">
        <v>9475</v>
      </c>
      <c r="F258" s="8" t="s">
        <v>9476</v>
      </c>
      <c r="G258" s="7">
        <v>0</v>
      </c>
      <c r="H258" s="7" t="s">
        <v>8984</v>
      </c>
      <c r="I258" s="7">
        <v>1</v>
      </c>
      <c r="J258" s="7" t="s">
        <v>7838</v>
      </c>
      <c r="K258" s="9" t="s">
        <v>8987</v>
      </c>
    </row>
    <row r="259" spans="1:11">
      <c r="A259" s="7">
        <v>257</v>
      </c>
      <c r="B259" s="7" t="s">
        <v>9208</v>
      </c>
      <c r="C259" s="7" t="s">
        <v>8984</v>
      </c>
      <c r="D259" s="7" t="s">
        <v>7549</v>
      </c>
      <c r="E259" s="7" t="s">
        <v>9477</v>
      </c>
      <c r="F259" s="8" t="s">
        <v>9478</v>
      </c>
      <c r="G259" s="7">
        <v>0</v>
      </c>
      <c r="H259" s="7" t="s">
        <v>8984</v>
      </c>
      <c r="I259" s="7">
        <v>1</v>
      </c>
      <c r="J259" s="7" t="s">
        <v>7838</v>
      </c>
      <c r="K259" s="9" t="s">
        <v>8987</v>
      </c>
    </row>
    <row r="260" spans="1:11">
      <c r="A260" s="7">
        <v>258</v>
      </c>
      <c r="B260" s="7" t="s">
        <v>9208</v>
      </c>
      <c r="C260" s="7" t="s">
        <v>8984</v>
      </c>
      <c r="D260" s="7" t="s">
        <v>7549</v>
      </c>
      <c r="E260" s="7" t="s">
        <v>9479</v>
      </c>
      <c r="F260" s="8" t="s">
        <v>9480</v>
      </c>
      <c r="G260" s="7">
        <v>0</v>
      </c>
      <c r="H260" s="7" t="s">
        <v>8984</v>
      </c>
      <c r="I260" s="7">
        <v>1</v>
      </c>
      <c r="J260" s="7" t="s">
        <v>7838</v>
      </c>
      <c r="K260" s="9" t="s">
        <v>8987</v>
      </c>
    </row>
    <row r="261" spans="1:11">
      <c r="A261" s="7">
        <v>259</v>
      </c>
      <c r="B261" s="7" t="s">
        <v>9208</v>
      </c>
      <c r="C261" s="7" t="s">
        <v>8984</v>
      </c>
      <c r="D261" s="7" t="s">
        <v>7549</v>
      </c>
      <c r="E261" s="7" t="s">
        <v>5653</v>
      </c>
      <c r="F261" s="8" t="s">
        <v>9481</v>
      </c>
      <c r="G261" s="7">
        <v>0</v>
      </c>
      <c r="H261" s="7" t="s">
        <v>8984</v>
      </c>
      <c r="I261" s="7">
        <v>1</v>
      </c>
      <c r="J261" s="7" t="s">
        <v>7838</v>
      </c>
      <c r="K261" s="9" t="s">
        <v>8987</v>
      </c>
    </row>
    <row r="262" spans="1:11">
      <c r="A262" s="7">
        <v>260</v>
      </c>
      <c r="B262" s="7" t="s">
        <v>9208</v>
      </c>
      <c r="C262" s="7" t="s">
        <v>8984</v>
      </c>
      <c r="D262" s="7" t="s">
        <v>7549</v>
      </c>
      <c r="E262" s="7" t="s">
        <v>9482</v>
      </c>
      <c r="F262" s="8" t="s">
        <v>9483</v>
      </c>
      <c r="G262" s="7">
        <v>0</v>
      </c>
      <c r="H262" s="7" t="s">
        <v>8984</v>
      </c>
      <c r="I262" s="7">
        <v>1</v>
      </c>
      <c r="J262" s="7" t="s">
        <v>7838</v>
      </c>
      <c r="K262" s="9" t="s">
        <v>8987</v>
      </c>
    </row>
    <row r="263" spans="1:11">
      <c r="A263" s="7">
        <v>261</v>
      </c>
      <c r="B263" s="7" t="s">
        <v>9208</v>
      </c>
      <c r="C263" s="7" t="s">
        <v>8984</v>
      </c>
      <c r="D263" s="7" t="s">
        <v>7549</v>
      </c>
      <c r="E263" s="7" t="s">
        <v>9484</v>
      </c>
      <c r="F263" s="8" t="s">
        <v>9485</v>
      </c>
      <c r="G263" s="7">
        <v>0</v>
      </c>
      <c r="H263" s="7" t="s">
        <v>8984</v>
      </c>
      <c r="I263" s="7">
        <v>1</v>
      </c>
      <c r="J263" s="7" t="s">
        <v>7838</v>
      </c>
      <c r="K263" s="9" t="s">
        <v>8987</v>
      </c>
    </row>
    <row r="264" spans="1:11">
      <c r="A264" s="7">
        <v>262</v>
      </c>
      <c r="B264" s="7" t="s">
        <v>9208</v>
      </c>
      <c r="C264" s="7" t="s">
        <v>8984</v>
      </c>
      <c r="D264" s="7" t="s">
        <v>7549</v>
      </c>
      <c r="E264" s="7" t="s">
        <v>9486</v>
      </c>
      <c r="F264" s="8" t="s">
        <v>3127</v>
      </c>
      <c r="G264" s="7">
        <v>0</v>
      </c>
      <c r="H264" s="7" t="s">
        <v>8984</v>
      </c>
      <c r="I264" s="7">
        <v>1</v>
      </c>
      <c r="J264" s="7" t="s">
        <v>7838</v>
      </c>
      <c r="K264" s="9" t="s">
        <v>8987</v>
      </c>
    </row>
    <row r="265" spans="1:11">
      <c r="A265" s="7">
        <v>263</v>
      </c>
      <c r="B265" s="7" t="s">
        <v>9208</v>
      </c>
      <c r="C265" s="7" t="s">
        <v>8984</v>
      </c>
      <c r="D265" s="7" t="s">
        <v>7549</v>
      </c>
      <c r="E265" s="7" t="s">
        <v>9487</v>
      </c>
      <c r="F265" s="8" t="s">
        <v>9488</v>
      </c>
      <c r="G265" s="7">
        <v>0</v>
      </c>
      <c r="H265" s="7" t="s">
        <v>8984</v>
      </c>
      <c r="I265" s="7">
        <v>1</v>
      </c>
      <c r="J265" s="7" t="s">
        <v>7838</v>
      </c>
      <c r="K265" s="9" t="s">
        <v>8987</v>
      </c>
    </row>
    <row r="266" spans="1:11">
      <c r="A266" s="7">
        <v>264</v>
      </c>
      <c r="B266" s="7" t="s">
        <v>9208</v>
      </c>
      <c r="C266" s="7" t="s">
        <v>8984</v>
      </c>
      <c r="D266" s="7" t="s">
        <v>7549</v>
      </c>
      <c r="E266" s="7" t="s">
        <v>9489</v>
      </c>
      <c r="F266" s="8" t="s">
        <v>9490</v>
      </c>
      <c r="G266" s="7">
        <v>0</v>
      </c>
      <c r="H266" s="7" t="s">
        <v>8984</v>
      </c>
      <c r="I266" s="7">
        <v>1</v>
      </c>
      <c r="J266" s="7" t="s">
        <v>7838</v>
      </c>
      <c r="K266" s="9" t="s">
        <v>8987</v>
      </c>
    </row>
    <row r="267" spans="1:11">
      <c r="A267" s="7">
        <v>265</v>
      </c>
      <c r="B267" s="7" t="s">
        <v>9208</v>
      </c>
      <c r="C267" s="7" t="s">
        <v>8984</v>
      </c>
      <c r="D267" s="7" t="s">
        <v>7549</v>
      </c>
      <c r="E267" s="7" t="s">
        <v>9491</v>
      </c>
      <c r="F267" s="8" t="s">
        <v>9492</v>
      </c>
      <c r="G267" s="7">
        <v>0</v>
      </c>
      <c r="H267" s="7" t="s">
        <v>8984</v>
      </c>
      <c r="I267" s="7">
        <v>1</v>
      </c>
      <c r="J267" s="7" t="s">
        <v>7838</v>
      </c>
      <c r="K267" s="9" t="s">
        <v>8987</v>
      </c>
    </row>
    <row r="268" spans="1:11">
      <c r="A268" s="7">
        <v>266</v>
      </c>
      <c r="B268" s="7" t="s">
        <v>9208</v>
      </c>
      <c r="C268" s="7" t="s">
        <v>8984</v>
      </c>
      <c r="D268" s="7" t="s">
        <v>7549</v>
      </c>
      <c r="E268" s="7" t="s">
        <v>9493</v>
      </c>
      <c r="F268" s="8" t="s">
        <v>3129</v>
      </c>
      <c r="G268" s="7">
        <v>0</v>
      </c>
      <c r="H268" s="7" t="s">
        <v>8984</v>
      </c>
      <c r="I268" s="7">
        <v>1</v>
      </c>
      <c r="J268" s="7" t="s">
        <v>7838</v>
      </c>
      <c r="K268" s="9" t="s">
        <v>8987</v>
      </c>
    </row>
    <row r="269" spans="1:11">
      <c r="A269" s="7">
        <v>267</v>
      </c>
      <c r="B269" s="7" t="s">
        <v>9494</v>
      </c>
      <c r="C269" s="7" t="s">
        <v>8984</v>
      </c>
      <c r="D269" s="7" t="s">
        <v>7549</v>
      </c>
      <c r="E269" s="7" t="s">
        <v>9495</v>
      </c>
      <c r="F269" s="8" t="s">
        <v>3257</v>
      </c>
      <c r="G269" s="7">
        <v>0</v>
      </c>
      <c r="H269" s="7" t="s">
        <v>8984</v>
      </c>
      <c r="I269" s="7">
        <v>1</v>
      </c>
      <c r="J269" s="7" t="s">
        <v>7838</v>
      </c>
      <c r="K269" s="9" t="s">
        <v>8987</v>
      </c>
    </row>
    <row r="270" spans="1:11">
      <c r="A270" s="7">
        <v>268</v>
      </c>
      <c r="B270" s="7" t="s">
        <v>9494</v>
      </c>
      <c r="C270" s="7" t="s">
        <v>8984</v>
      </c>
      <c r="D270" s="7" t="s">
        <v>7549</v>
      </c>
      <c r="E270" s="7" t="s">
        <v>9496</v>
      </c>
      <c r="F270" s="8" t="s">
        <v>9497</v>
      </c>
      <c r="G270" s="7">
        <v>0</v>
      </c>
      <c r="H270" s="7" t="s">
        <v>8984</v>
      </c>
      <c r="I270" s="7">
        <v>1</v>
      </c>
      <c r="J270" s="7" t="s">
        <v>7838</v>
      </c>
      <c r="K270" s="9" t="s">
        <v>8987</v>
      </c>
    </row>
    <row r="271" spans="1:11">
      <c r="A271" s="7">
        <v>269</v>
      </c>
      <c r="B271" s="7" t="s">
        <v>9494</v>
      </c>
      <c r="C271" s="7" t="s">
        <v>8984</v>
      </c>
      <c r="D271" s="7" t="s">
        <v>7549</v>
      </c>
      <c r="E271" s="7" t="s">
        <v>9498</v>
      </c>
      <c r="F271" s="8" t="s">
        <v>3262</v>
      </c>
      <c r="G271" s="7">
        <v>0</v>
      </c>
      <c r="H271" s="7" t="s">
        <v>8984</v>
      </c>
      <c r="I271" s="7">
        <v>1</v>
      </c>
      <c r="J271" s="7" t="s">
        <v>7838</v>
      </c>
      <c r="K271" s="9" t="s">
        <v>8987</v>
      </c>
    </row>
    <row r="272" spans="1:11">
      <c r="A272" s="7">
        <v>270</v>
      </c>
      <c r="B272" s="7" t="s">
        <v>9494</v>
      </c>
      <c r="C272" s="7" t="s">
        <v>8984</v>
      </c>
      <c r="D272" s="7" t="s">
        <v>7549</v>
      </c>
      <c r="E272" s="7" t="s">
        <v>9499</v>
      </c>
      <c r="F272" s="8" t="s">
        <v>3268</v>
      </c>
      <c r="G272" s="7">
        <v>0</v>
      </c>
      <c r="H272" s="7" t="s">
        <v>8984</v>
      </c>
      <c r="I272" s="7">
        <v>1</v>
      </c>
      <c r="J272" s="7" t="s">
        <v>7838</v>
      </c>
      <c r="K272" s="9" t="s">
        <v>8987</v>
      </c>
    </row>
    <row r="273" spans="1:11">
      <c r="A273" s="7">
        <v>271</v>
      </c>
      <c r="B273" s="7" t="s">
        <v>9494</v>
      </c>
      <c r="C273" s="7" t="s">
        <v>8984</v>
      </c>
      <c r="D273" s="7" t="s">
        <v>7549</v>
      </c>
      <c r="E273" s="7" t="s">
        <v>9500</v>
      </c>
      <c r="F273" s="8" t="s">
        <v>3264</v>
      </c>
      <c r="G273" s="7">
        <v>0</v>
      </c>
      <c r="H273" s="7" t="s">
        <v>8984</v>
      </c>
      <c r="I273" s="7">
        <v>1</v>
      </c>
      <c r="J273" s="7" t="s">
        <v>7838</v>
      </c>
      <c r="K273" s="9" t="s">
        <v>8987</v>
      </c>
    </row>
    <row r="274" spans="1:11">
      <c r="A274" s="7">
        <v>272</v>
      </c>
      <c r="B274" s="7" t="s">
        <v>9494</v>
      </c>
      <c r="C274" s="7" t="s">
        <v>8984</v>
      </c>
      <c r="D274" s="7" t="s">
        <v>7549</v>
      </c>
      <c r="E274" s="7" t="s">
        <v>9501</v>
      </c>
      <c r="F274" s="8" t="s">
        <v>3270</v>
      </c>
      <c r="G274" s="7">
        <v>0</v>
      </c>
      <c r="H274" s="7" t="s">
        <v>8984</v>
      </c>
      <c r="I274" s="7">
        <v>1</v>
      </c>
      <c r="J274" s="7" t="s">
        <v>7838</v>
      </c>
      <c r="K274" s="9" t="s">
        <v>8987</v>
      </c>
    </row>
    <row r="275" spans="1:11">
      <c r="A275" s="7">
        <v>273</v>
      </c>
      <c r="B275" s="7" t="s">
        <v>9494</v>
      </c>
      <c r="C275" s="7" t="s">
        <v>8984</v>
      </c>
      <c r="D275" s="7" t="s">
        <v>7549</v>
      </c>
      <c r="E275" s="7" t="s">
        <v>9502</v>
      </c>
      <c r="F275" s="8" t="s">
        <v>9503</v>
      </c>
      <c r="G275" s="7">
        <v>0</v>
      </c>
      <c r="H275" s="7" t="s">
        <v>8984</v>
      </c>
      <c r="I275" s="7">
        <v>1</v>
      </c>
      <c r="J275" s="7" t="s">
        <v>7838</v>
      </c>
      <c r="K275" s="9" t="s">
        <v>8987</v>
      </c>
    </row>
    <row r="276" spans="1:11">
      <c r="A276" s="7">
        <v>274</v>
      </c>
      <c r="B276" s="7" t="s">
        <v>9494</v>
      </c>
      <c r="C276" s="7" t="s">
        <v>8984</v>
      </c>
      <c r="D276" s="7" t="s">
        <v>7549</v>
      </c>
      <c r="E276" s="7" t="s">
        <v>9504</v>
      </c>
      <c r="F276" s="8" t="s">
        <v>3266</v>
      </c>
      <c r="G276" s="7">
        <v>0</v>
      </c>
      <c r="H276" s="7" t="s">
        <v>8984</v>
      </c>
      <c r="I276" s="7">
        <v>1</v>
      </c>
      <c r="J276" s="7" t="s">
        <v>7838</v>
      </c>
      <c r="K276" s="9" t="s">
        <v>8987</v>
      </c>
    </row>
    <row r="277" spans="1:11">
      <c r="A277" s="7">
        <v>275</v>
      </c>
      <c r="B277" s="7" t="s">
        <v>9494</v>
      </c>
      <c r="C277" s="7" t="s">
        <v>8984</v>
      </c>
      <c r="D277" s="7" t="s">
        <v>7549</v>
      </c>
      <c r="E277" s="7" t="s">
        <v>9505</v>
      </c>
      <c r="F277" s="8" t="s">
        <v>9506</v>
      </c>
      <c r="G277" s="7">
        <v>0</v>
      </c>
      <c r="H277" s="7" t="s">
        <v>8984</v>
      </c>
      <c r="I277" s="7">
        <v>1</v>
      </c>
      <c r="J277" s="7" t="s">
        <v>7838</v>
      </c>
      <c r="K277" s="9" t="s">
        <v>8987</v>
      </c>
    </row>
    <row r="278" spans="1:11">
      <c r="A278" s="7">
        <v>276</v>
      </c>
      <c r="B278" s="7" t="s">
        <v>9494</v>
      </c>
      <c r="C278" s="7" t="s">
        <v>8984</v>
      </c>
      <c r="D278" s="7" t="s">
        <v>7549</v>
      </c>
      <c r="E278" s="7" t="s">
        <v>9507</v>
      </c>
      <c r="F278" s="8" t="s">
        <v>9508</v>
      </c>
      <c r="G278" s="7">
        <v>0</v>
      </c>
      <c r="H278" s="7" t="s">
        <v>8984</v>
      </c>
      <c r="I278" s="7">
        <v>1</v>
      </c>
      <c r="J278" s="7" t="s">
        <v>7838</v>
      </c>
      <c r="K278" s="9" t="s">
        <v>8987</v>
      </c>
    </row>
    <row r="279" spans="1:11">
      <c r="A279" s="7">
        <v>277</v>
      </c>
      <c r="B279" s="7" t="s">
        <v>9494</v>
      </c>
      <c r="C279" s="7" t="s">
        <v>8984</v>
      </c>
      <c r="D279" s="7" t="s">
        <v>7549</v>
      </c>
      <c r="E279" s="7" t="s">
        <v>9509</v>
      </c>
      <c r="F279" s="8" t="s">
        <v>9510</v>
      </c>
      <c r="G279" s="7">
        <v>0</v>
      </c>
      <c r="H279" s="7" t="s">
        <v>8984</v>
      </c>
      <c r="I279" s="7">
        <v>1</v>
      </c>
      <c r="J279" s="7" t="s">
        <v>7838</v>
      </c>
      <c r="K279" s="9" t="s">
        <v>8987</v>
      </c>
    </row>
    <row r="280" spans="1:11">
      <c r="A280" s="7">
        <v>278</v>
      </c>
      <c r="B280" s="7" t="s">
        <v>9494</v>
      </c>
      <c r="C280" s="7" t="s">
        <v>8984</v>
      </c>
      <c r="D280" s="7" t="s">
        <v>7549</v>
      </c>
      <c r="E280" s="7" t="s">
        <v>9511</v>
      </c>
      <c r="F280" s="8" t="s">
        <v>9512</v>
      </c>
      <c r="G280" s="7">
        <v>0</v>
      </c>
      <c r="H280" s="7" t="s">
        <v>8984</v>
      </c>
      <c r="I280" s="7">
        <v>1</v>
      </c>
      <c r="J280" s="7" t="s">
        <v>7838</v>
      </c>
      <c r="K280" s="9" t="s">
        <v>8987</v>
      </c>
    </row>
    <row r="281" spans="1:11">
      <c r="A281" s="7">
        <v>279</v>
      </c>
      <c r="B281" s="7" t="s">
        <v>9494</v>
      </c>
      <c r="C281" s="7" t="s">
        <v>8984</v>
      </c>
      <c r="D281" s="7" t="s">
        <v>7549</v>
      </c>
      <c r="E281" s="7" t="s">
        <v>9513</v>
      </c>
      <c r="F281" s="8" t="s">
        <v>9514</v>
      </c>
      <c r="G281" s="7">
        <v>0</v>
      </c>
      <c r="H281" s="7" t="s">
        <v>8984</v>
      </c>
      <c r="I281" s="7">
        <v>1</v>
      </c>
      <c r="J281" s="7" t="s">
        <v>7838</v>
      </c>
      <c r="K281" s="9" t="s">
        <v>8987</v>
      </c>
    </row>
    <row r="282" spans="1:11">
      <c r="A282" s="7">
        <v>280</v>
      </c>
      <c r="B282" s="7" t="s">
        <v>9494</v>
      </c>
      <c r="C282" s="7" t="s">
        <v>8984</v>
      </c>
      <c r="D282" s="7" t="s">
        <v>7549</v>
      </c>
      <c r="E282" s="7" t="s">
        <v>9515</v>
      </c>
      <c r="F282" s="8" t="s">
        <v>9516</v>
      </c>
      <c r="G282" s="7">
        <v>0</v>
      </c>
      <c r="H282" s="7" t="s">
        <v>8984</v>
      </c>
      <c r="I282" s="7">
        <v>1</v>
      </c>
      <c r="J282" s="7" t="s">
        <v>7838</v>
      </c>
      <c r="K282" s="9" t="s">
        <v>8987</v>
      </c>
    </row>
    <row r="283" spans="1:11">
      <c r="A283" s="7">
        <v>281</v>
      </c>
      <c r="B283" s="7" t="s">
        <v>9494</v>
      </c>
      <c r="C283" s="7" t="s">
        <v>8984</v>
      </c>
      <c r="D283" s="7" t="s">
        <v>7549</v>
      </c>
      <c r="E283" s="7" t="s">
        <v>9517</v>
      </c>
      <c r="F283" s="8" t="s">
        <v>9518</v>
      </c>
      <c r="G283" s="7">
        <v>0</v>
      </c>
      <c r="H283" s="7" t="s">
        <v>8984</v>
      </c>
      <c r="I283" s="7">
        <v>1</v>
      </c>
      <c r="J283" s="7" t="s">
        <v>7838</v>
      </c>
      <c r="K283" s="9" t="s">
        <v>8987</v>
      </c>
    </row>
    <row r="284" spans="1:11">
      <c r="A284" s="7">
        <v>282</v>
      </c>
      <c r="B284" s="7" t="s">
        <v>9494</v>
      </c>
      <c r="C284" s="7" t="s">
        <v>8984</v>
      </c>
      <c r="D284" s="7" t="s">
        <v>7549</v>
      </c>
      <c r="E284" s="7" t="s">
        <v>9519</v>
      </c>
      <c r="F284" s="8" t="s">
        <v>9520</v>
      </c>
      <c r="G284" s="7">
        <v>0</v>
      </c>
      <c r="H284" s="7" t="s">
        <v>8984</v>
      </c>
      <c r="I284" s="7">
        <v>1</v>
      </c>
      <c r="J284" s="7" t="s">
        <v>7838</v>
      </c>
      <c r="K284" s="9" t="s">
        <v>8987</v>
      </c>
    </row>
    <row r="285" spans="1:11">
      <c r="A285" s="7">
        <v>283</v>
      </c>
      <c r="B285" s="7" t="s">
        <v>9494</v>
      </c>
      <c r="C285" s="7" t="s">
        <v>8984</v>
      </c>
      <c r="D285" s="7" t="s">
        <v>7549</v>
      </c>
      <c r="E285" s="7" t="s">
        <v>9521</v>
      </c>
      <c r="F285" s="8" t="s">
        <v>9522</v>
      </c>
      <c r="G285" s="7">
        <v>0</v>
      </c>
      <c r="H285" s="7" t="s">
        <v>8984</v>
      </c>
      <c r="I285" s="7">
        <v>1</v>
      </c>
      <c r="J285" s="7" t="s">
        <v>7838</v>
      </c>
      <c r="K285" s="9" t="s">
        <v>8987</v>
      </c>
    </row>
    <row r="286" spans="1:11">
      <c r="A286" s="7">
        <v>284</v>
      </c>
      <c r="B286" s="7" t="s">
        <v>9494</v>
      </c>
      <c r="C286" s="7" t="s">
        <v>8984</v>
      </c>
      <c r="D286" s="7" t="s">
        <v>7549</v>
      </c>
      <c r="E286" s="7" t="s">
        <v>9523</v>
      </c>
      <c r="F286" s="8" t="s">
        <v>9524</v>
      </c>
      <c r="G286" s="7">
        <v>0</v>
      </c>
      <c r="H286" s="7" t="s">
        <v>8984</v>
      </c>
      <c r="I286" s="7">
        <v>1</v>
      </c>
      <c r="J286" s="7" t="s">
        <v>7838</v>
      </c>
      <c r="K286" s="9" t="s">
        <v>8987</v>
      </c>
    </row>
    <row r="287" spans="1:11">
      <c r="A287" s="7">
        <v>285</v>
      </c>
      <c r="B287" s="7" t="s">
        <v>9494</v>
      </c>
      <c r="C287" s="7" t="s">
        <v>8984</v>
      </c>
      <c r="D287" s="7" t="s">
        <v>7549</v>
      </c>
      <c r="E287" s="7" t="s">
        <v>9525</v>
      </c>
      <c r="F287" s="8" t="s">
        <v>9526</v>
      </c>
      <c r="G287" s="7">
        <v>0</v>
      </c>
      <c r="H287" s="7" t="s">
        <v>8984</v>
      </c>
      <c r="I287" s="7">
        <v>1</v>
      </c>
      <c r="J287" s="7" t="s">
        <v>7838</v>
      </c>
      <c r="K287" s="9" t="s">
        <v>8987</v>
      </c>
    </row>
    <row r="288" spans="1:11">
      <c r="A288" s="7">
        <v>286</v>
      </c>
      <c r="B288" s="7" t="s">
        <v>9494</v>
      </c>
      <c r="C288" s="7" t="s">
        <v>8984</v>
      </c>
      <c r="D288" s="7" t="s">
        <v>7549</v>
      </c>
      <c r="E288" s="7" t="s">
        <v>9527</v>
      </c>
      <c r="F288" s="8" t="s">
        <v>3272</v>
      </c>
      <c r="G288" s="7">
        <v>0</v>
      </c>
      <c r="H288" s="7" t="s">
        <v>8984</v>
      </c>
      <c r="I288" s="7">
        <v>1</v>
      </c>
      <c r="J288" s="7" t="s">
        <v>7838</v>
      </c>
      <c r="K288" s="9" t="s">
        <v>8987</v>
      </c>
    </row>
    <row r="289" spans="1:11">
      <c r="A289" s="7">
        <v>287</v>
      </c>
      <c r="B289" s="7" t="s">
        <v>9494</v>
      </c>
      <c r="C289" s="7" t="s">
        <v>8984</v>
      </c>
      <c r="D289" s="7" t="s">
        <v>7549</v>
      </c>
      <c r="E289" s="7" t="s">
        <v>9528</v>
      </c>
      <c r="F289" s="8" t="s">
        <v>9529</v>
      </c>
      <c r="G289" s="7">
        <v>0</v>
      </c>
      <c r="H289" s="7" t="s">
        <v>8984</v>
      </c>
      <c r="I289" s="7">
        <v>1</v>
      </c>
      <c r="J289" s="7" t="s">
        <v>7838</v>
      </c>
      <c r="K289" s="9" t="s">
        <v>8987</v>
      </c>
    </row>
    <row r="290" spans="1:11">
      <c r="A290" s="7">
        <v>288</v>
      </c>
      <c r="B290" s="7" t="s">
        <v>9494</v>
      </c>
      <c r="C290" s="7" t="s">
        <v>8984</v>
      </c>
      <c r="D290" s="7" t="s">
        <v>7549</v>
      </c>
      <c r="E290" s="7" t="s">
        <v>9530</v>
      </c>
      <c r="F290" s="8" t="s">
        <v>3274</v>
      </c>
      <c r="G290" s="7">
        <v>0</v>
      </c>
      <c r="H290" s="7" t="s">
        <v>8984</v>
      </c>
      <c r="I290" s="7">
        <v>1</v>
      </c>
      <c r="J290" s="7" t="s">
        <v>7838</v>
      </c>
      <c r="K290" s="9" t="s">
        <v>8987</v>
      </c>
    </row>
    <row r="291" spans="1:11">
      <c r="A291" s="7">
        <v>289</v>
      </c>
      <c r="B291" s="7" t="s">
        <v>8983</v>
      </c>
      <c r="C291" s="7" t="s">
        <v>8984</v>
      </c>
      <c r="D291" s="7" t="s">
        <v>7547</v>
      </c>
      <c r="E291" s="7" t="s">
        <v>9531</v>
      </c>
      <c r="F291" s="8" t="s">
        <v>9279</v>
      </c>
      <c r="G291" s="7">
        <v>20</v>
      </c>
      <c r="H291" s="7" t="s">
        <v>9394</v>
      </c>
      <c r="I291" s="7">
        <v>5</v>
      </c>
      <c r="J291" s="7" t="s">
        <v>9395</v>
      </c>
      <c r="K291" s="9" t="s">
        <v>8987</v>
      </c>
    </row>
    <row r="292" spans="1:11">
      <c r="A292" s="7">
        <v>290</v>
      </c>
      <c r="B292" s="7" t="s">
        <v>8983</v>
      </c>
      <c r="C292" s="7" t="s">
        <v>8984</v>
      </c>
      <c r="D292" s="7" t="s">
        <v>7551</v>
      </c>
      <c r="E292" s="7" t="s">
        <v>9532</v>
      </c>
      <c r="F292" s="8" t="s">
        <v>9288</v>
      </c>
      <c r="G292" s="7">
        <v>100</v>
      </c>
      <c r="H292" s="7" t="s">
        <v>9046</v>
      </c>
      <c r="I292" s="7">
        <v>21</v>
      </c>
      <c r="J292" s="7" t="s">
        <v>7721</v>
      </c>
      <c r="K292" s="9" t="s">
        <v>8987</v>
      </c>
    </row>
    <row r="293" spans="1:11">
      <c r="A293" s="7">
        <v>291</v>
      </c>
      <c r="B293" s="7" t="s">
        <v>8983</v>
      </c>
      <c r="C293" s="7" t="s">
        <v>8984</v>
      </c>
      <c r="D293" s="7" t="s">
        <v>7566</v>
      </c>
      <c r="E293" s="7" t="s">
        <v>9533</v>
      </c>
      <c r="F293" s="8" t="s">
        <v>9363</v>
      </c>
      <c r="G293" s="7">
        <v>250</v>
      </c>
      <c r="H293" s="7" t="s">
        <v>9351</v>
      </c>
      <c r="I293" s="7">
        <v>21</v>
      </c>
      <c r="J293" s="7" t="s">
        <v>9534</v>
      </c>
      <c r="K293" s="9" t="s">
        <v>8987</v>
      </c>
    </row>
    <row r="294" spans="1:11">
      <c r="A294" s="7">
        <v>292</v>
      </c>
      <c r="B294" s="7" t="s">
        <v>8983</v>
      </c>
      <c r="C294" s="7" t="s">
        <v>8984</v>
      </c>
      <c r="D294" s="7" t="s">
        <v>7549</v>
      </c>
      <c r="E294" s="7" t="s">
        <v>9535</v>
      </c>
      <c r="F294" s="8" t="s">
        <v>9330</v>
      </c>
      <c r="G294" s="7">
        <v>150</v>
      </c>
      <c r="H294" s="7" t="s">
        <v>9253</v>
      </c>
      <c r="I294" s="7">
        <v>21</v>
      </c>
      <c r="J294" s="7" t="s">
        <v>9372</v>
      </c>
      <c r="K294" s="9" t="s">
        <v>8987</v>
      </c>
    </row>
    <row r="295" spans="1:11">
      <c r="A295" s="7">
        <v>293</v>
      </c>
      <c r="B295" s="7" t="s">
        <v>8990</v>
      </c>
      <c r="C295" s="7" t="s">
        <v>8998</v>
      </c>
      <c r="D295" s="7" t="s">
        <v>7553</v>
      </c>
      <c r="E295" s="7" t="s">
        <v>9536</v>
      </c>
      <c r="F295" s="8" t="s">
        <v>9360</v>
      </c>
      <c r="G295" s="7" t="s">
        <v>8987</v>
      </c>
      <c r="H295" s="7" t="s">
        <v>8987</v>
      </c>
      <c r="I295" s="7" t="s">
        <v>8987</v>
      </c>
      <c r="J295" s="7" t="s">
        <v>8987</v>
      </c>
      <c r="K295" s="9" t="s">
        <v>8987</v>
      </c>
    </row>
    <row r="296" spans="1:11">
      <c r="A296" s="7">
        <v>294</v>
      </c>
      <c r="B296" s="7" t="s">
        <v>8983</v>
      </c>
      <c r="C296" s="7" t="s">
        <v>8984</v>
      </c>
      <c r="D296" s="7" t="s">
        <v>7553</v>
      </c>
      <c r="E296" s="7" t="s">
        <v>9537</v>
      </c>
      <c r="F296" s="8" t="s">
        <v>9360</v>
      </c>
      <c r="G296" s="7">
        <v>120</v>
      </c>
      <c r="H296" s="7" t="s">
        <v>9036</v>
      </c>
      <c r="I296" s="7">
        <v>25</v>
      </c>
      <c r="J296" s="7" t="s">
        <v>9037</v>
      </c>
      <c r="K296" s="9" t="s">
        <v>8987</v>
      </c>
    </row>
    <row r="297" spans="1:11">
      <c r="A297" s="7">
        <v>295</v>
      </c>
      <c r="B297" s="7" t="s">
        <v>8983</v>
      </c>
      <c r="C297" s="7" t="s">
        <v>8984</v>
      </c>
      <c r="D297" s="7" t="s">
        <v>7553</v>
      </c>
      <c r="E297" s="7" t="s">
        <v>9538</v>
      </c>
      <c r="F297" s="8" t="s">
        <v>9360</v>
      </c>
      <c r="G297" s="7">
        <v>120</v>
      </c>
      <c r="H297" s="7" t="s">
        <v>9036</v>
      </c>
      <c r="I297" s="7">
        <v>16</v>
      </c>
      <c r="J297" s="7" t="s">
        <v>9539</v>
      </c>
      <c r="K297" s="9" t="s">
        <v>8987</v>
      </c>
    </row>
    <row r="298" spans="1:11">
      <c r="A298" s="7">
        <v>296</v>
      </c>
      <c r="B298" s="7" t="s">
        <v>8983</v>
      </c>
      <c r="C298" s="7" t="s">
        <v>8984</v>
      </c>
      <c r="D298" s="7" t="s">
        <v>7542</v>
      </c>
      <c r="E298" s="7" t="s">
        <v>9540</v>
      </c>
      <c r="F298" s="8" t="s">
        <v>9541</v>
      </c>
      <c r="G298" s="7">
        <v>14</v>
      </c>
      <c r="H298" s="7" t="s">
        <v>9397</v>
      </c>
      <c r="I298" s="7">
        <v>3</v>
      </c>
      <c r="J298" s="7" t="s">
        <v>7774</v>
      </c>
      <c r="K298" s="9" t="s">
        <v>8987</v>
      </c>
    </row>
    <row r="299" spans="1:11">
      <c r="A299" s="7">
        <v>297</v>
      </c>
      <c r="B299" s="7" t="s">
        <v>8983</v>
      </c>
      <c r="C299" s="7" t="s">
        <v>8984</v>
      </c>
      <c r="D299" s="7" t="s">
        <v>7550</v>
      </c>
      <c r="E299" s="7" t="s">
        <v>9542</v>
      </c>
      <c r="F299" s="8" t="s">
        <v>9543</v>
      </c>
      <c r="G299" s="7">
        <v>15</v>
      </c>
      <c r="H299" s="7" t="s">
        <v>9053</v>
      </c>
      <c r="I299" s="7">
        <v>3</v>
      </c>
      <c r="J299" s="7" t="s">
        <v>9054</v>
      </c>
      <c r="K299" s="9" t="s">
        <v>8987</v>
      </c>
    </row>
    <row r="300" spans="1:11">
      <c r="A300" s="7">
        <v>298</v>
      </c>
      <c r="B300" s="7" t="s">
        <v>8983</v>
      </c>
      <c r="C300" s="7" t="s">
        <v>8984</v>
      </c>
      <c r="D300" s="7" t="s">
        <v>7577</v>
      </c>
      <c r="E300" s="7" t="s">
        <v>9544</v>
      </c>
      <c r="F300" s="8" t="s">
        <v>9545</v>
      </c>
      <c r="G300" s="7">
        <v>25</v>
      </c>
      <c r="H300" s="7" t="s">
        <v>9011</v>
      </c>
      <c r="I300" s="7">
        <v>3</v>
      </c>
      <c r="J300" s="7" t="s">
        <v>9224</v>
      </c>
      <c r="K300" s="9" t="s">
        <v>8987</v>
      </c>
    </row>
    <row r="301" spans="1:11">
      <c r="A301" s="7">
        <v>299</v>
      </c>
      <c r="B301" s="7" t="s">
        <v>8983</v>
      </c>
      <c r="C301" s="7" t="s">
        <v>8984</v>
      </c>
      <c r="D301" s="7" t="s">
        <v>7577</v>
      </c>
      <c r="E301" s="7" t="s">
        <v>9546</v>
      </c>
      <c r="F301" s="8" t="s">
        <v>9545</v>
      </c>
      <c r="G301" s="7">
        <v>40</v>
      </c>
      <c r="H301" s="7" t="s">
        <v>9003</v>
      </c>
      <c r="I301" s="7">
        <v>5</v>
      </c>
      <c r="J301" s="7" t="s">
        <v>9004</v>
      </c>
      <c r="K301" s="9" t="s">
        <v>8987</v>
      </c>
    </row>
    <row r="302" spans="1:11">
      <c r="A302" s="7">
        <v>300</v>
      </c>
      <c r="B302" s="7" t="s">
        <v>8983</v>
      </c>
      <c r="C302" s="7" t="s">
        <v>8984</v>
      </c>
      <c r="D302" s="7" t="s">
        <v>7577</v>
      </c>
      <c r="E302" s="7" t="s">
        <v>9547</v>
      </c>
      <c r="F302" s="8" t="s">
        <v>9545</v>
      </c>
      <c r="G302" s="7">
        <v>55</v>
      </c>
      <c r="H302" s="7" t="s">
        <v>9548</v>
      </c>
      <c r="I302" s="7">
        <v>7</v>
      </c>
      <c r="J302" s="7" t="s">
        <v>9549</v>
      </c>
      <c r="K302" s="9" t="s">
        <v>8987</v>
      </c>
    </row>
    <row r="303" spans="1:11">
      <c r="A303" s="7">
        <v>301</v>
      </c>
      <c r="B303" s="7" t="s">
        <v>8990</v>
      </c>
      <c r="C303" s="7" t="s">
        <v>8984</v>
      </c>
      <c r="D303" s="7" t="s">
        <v>7556</v>
      </c>
      <c r="E303" s="7" t="s">
        <v>9550</v>
      </c>
      <c r="F303" s="8" t="s">
        <v>9067</v>
      </c>
      <c r="G303" s="7">
        <v>8</v>
      </c>
      <c r="H303" s="7" t="s">
        <v>8991</v>
      </c>
      <c r="I303" s="7">
        <v>1</v>
      </c>
      <c r="J303" s="7" t="s">
        <v>7764</v>
      </c>
      <c r="K303" s="9" t="s">
        <v>8987</v>
      </c>
    </row>
    <row r="304" spans="1:11">
      <c r="A304" s="7">
        <v>302</v>
      </c>
      <c r="B304" s="7" t="s">
        <v>8990</v>
      </c>
      <c r="C304" s="7" t="s">
        <v>8984</v>
      </c>
      <c r="D304" s="7" t="s">
        <v>7556</v>
      </c>
      <c r="E304" s="7" t="s">
        <v>9551</v>
      </c>
      <c r="F304" s="8" t="s">
        <v>9067</v>
      </c>
      <c r="G304" s="7">
        <v>10</v>
      </c>
      <c r="H304" s="7" t="s">
        <v>9292</v>
      </c>
      <c r="I304" s="7">
        <v>2</v>
      </c>
      <c r="J304" s="7" t="s">
        <v>9432</v>
      </c>
      <c r="K304" s="9" t="s">
        <v>8987</v>
      </c>
    </row>
    <row r="305" spans="1:11">
      <c r="A305" s="7">
        <v>303</v>
      </c>
      <c r="B305" s="7" t="s">
        <v>8990</v>
      </c>
      <c r="C305" s="7" t="s">
        <v>8984</v>
      </c>
      <c r="D305" s="7" t="s">
        <v>7556</v>
      </c>
      <c r="E305" s="7" t="s">
        <v>9552</v>
      </c>
      <c r="F305" s="8" t="s">
        <v>9067</v>
      </c>
      <c r="G305" s="7">
        <v>8</v>
      </c>
      <c r="H305" s="7" t="s">
        <v>8991</v>
      </c>
      <c r="I305" s="7">
        <v>2</v>
      </c>
      <c r="J305" s="7" t="s">
        <v>9211</v>
      </c>
      <c r="K305" s="9" t="s">
        <v>8987</v>
      </c>
    </row>
    <row r="306" spans="1:11">
      <c r="A306" s="7">
        <v>304</v>
      </c>
      <c r="B306" s="7" t="s">
        <v>8990</v>
      </c>
      <c r="C306" s="7" t="s">
        <v>8984</v>
      </c>
      <c r="D306" s="7" t="s">
        <v>7556</v>
      </c>
      <c r="E306" s="7" t="s">
        <v>9553</v>
      </c>
      <c r="F306" s="8" t="s">
        <v>9067</v>
      </c>
      <c r="G306" s="7">
        <v>6</v>
      </c>
      <c r="H306" s="7" t="s">
        <v>9218</v>
      </c>
      <c r="I306" s="7">
        <v>2</v>
      </c>
      <c r="J306" s="7" t="s">
        <v>7874</v>
      </c>
      <c r="K306" s="9" t="s">
        <v>8987</v>
      </c>
    </row>
    <row r="307" spans="1:11">
      <c r="A307" s="7">
        <v>305</v>
      </c>
      <c r="B307" s="7" t="s">
        <v>8990</v>
      </c>
      <c r="C307" s="7" t="s">
        <v>8984</v>
      </c>
      <c r="D307" s="7" t="s">
        <v>7556</v>
      </c>
      <c r="E307" s="7" t="s">
        <v>9554</v>
      </c>
      <c r="F307" s="8" t="s">
        <v>9069</v>
      </c>
      <c r="G307" s="7">
        <v>8</v>
      </c>
      <c r="H307" s="7" t="s">
        <v>8991</v>
      </c>
      <c r="I307" s="7">
        <v>1</v>
      </c>
      <c r="J307" s="7" t="s">
        <v>7764</v>
      </c>
      <c r="K307" s="9" t="s">
        <v>8987</v>
      </c>
    </row>
    <row r="308" spans="1:11">
      <c r="A308" s="7">
        <v>306</v>
      </c>
      <c r="B308" s="7" t="s">
        <v>8990</v>
      </c>
      <c r="C308" s="7" t="s">
        <v>8984</v>
      </c>
      <c r="D308" s="7" t="s">
        <v>7556</v>
      </c>
      <c r="E308" s="7" t="s">
        <v>9555</v>
      </c>
      <c r="F308" s="8" t="s">
        <v>9069</v>
      </c>
      <c r="G308" s="7">
        <v>10</v>
      </c>
      <c r="H308" s="7" t="s">
        <v>9292</v>
      </c>
      <c r="I308" s="7">
        <v>2</v>
      </c>
      <c r="J308" s="7" t="s">
        <v>9432</v>
      </c>
      <c r="K308" s="9" t="s">
        <v>8987</v>
      </c>
    </row>
    <row r="309" spans="1:11">
      <c r="A309" s="7">
        <v>307</v>
      </c>
      <c r="B309" s="7" t="s">
        <v>8990</v>
      </c>
      <c r="C309" s="7" t="s">
        <v>8984</v>
      </c>
      <c r="D309" s="7" t="s">
        <v>7556</v>
      </c>
      <c r="E309" s="7" t="s">
        <v>9556</v>
      </c>
      <c r="F309" s="8" t="s">
        <v>9069</v>
      </c>
      <c r="G309" s="7">
        <v>8</v>
      </c>
      <c r="H309" s="7" t="s">
        <v>8991</v>
      </c>
      <c r="I309" s="7">
        <v>2</v>
      </c>
      <c r="J309" s="7" t="s">
        <v>9211</v>
      </c>
      <c r="K309" s="9" t="s">
        <v>8987</v>
      </c>
    </row>
    <row r="310" spans="1:11">
      <c r="A310" s="7">
        <v>308</v>
      </c>
      <c r="B310" s="7" t="s">
        <v>8990</v>
      </c>
      <c r="C310" s="7" t="s">
        <v>8984</v>
      </c>
      <c r="D310" s="7" t="s">
        <v>7556</v>
      </c>
      <c r="E310" s="7" t="s">
        <v>9557</v>
      </c>
      <c r="F310" s="8" t="s">
        <v>9069</v>
      </c>
      <c r="G310" s="7">
        <v>6</v>
      </c>
      <c r="H310" s="7" t="s">
        <v>9218</v>
      </c>
      <c r="I310" s="7">
        <v>2</v>
      </c>
      <c r="J310" s="7" t="s">
        <v>7874</v>
      </c>
      <c r="K310" s="9" t="s">
        <v>8987</v>
      </c>
    </row>
    <row r="311" spans="1:11">
      <c r="A311" s="7">
        <v>309</v>
      </c>
      <c r="B311" s="7" t="s">
        <v>8990</v>
      </c>
      <c r="C311" s="7" t="s">
        <v>8984</v>
      </c>
      <c r="D311" s="7" t="s">
        <v>7556</v>
      </c>
      <c r="E311" s="7" t="s">
        <v>9558</v>
      </c>
      <c r="F311" s="8" t="s">
        <v>9071</v>
      </c>
      <c r="G311" s="7">
        <v>8</v>
      </c>
      <c r="H311" s="7" t="s">
        <v>8991</v>
      </c>
      <c r="I311" s="7">
        <v>1</v>
      </c>
      <c r="J311" s="7" t="s">
        <v>7764</v>
      </c>
      <c r="K311" s="9" t="s">
        <v>8987</v>
      </c>
    </row>
    <row r="312" spans="1:11">
      <c r="A312" s="7">
        <v>310</v>
      </c>
      <c r="B312" s="7" t="s">
        <v>8990</v>
      </c>
      <c r="C312" s="7" t="s">
        <v>8984</v>
      </c>
      <c r="D312" s="7" t="s">
        <v>7556</v>
      </c>
      <c r="E312" s="7" t="s">
        <v>9559</v>
      </c>
      <c r="F312" s="8" t="s">
        <v>9071</v>
      </c>
      <c r="G312" s="7">
        <v>10</v>
      </c>
      <c r="H312" s="7" t="s">
        <v>9292</v>
      </c>
      <c r="I312" s="7">
        <v>2</v>
      </c>
      <c r="J312" s="7" t="s">
        <v>9432</v>
      </c>
      <c r="K312" s="9" t="s">
        <v>8987</v>
      </c>
    </row>
    <row r="313" spans="1:11">
      <c r="A313" s="7">
        <v>311</v>
      </c>
      <c r="B313" s="7" t="s">
        <v>8990</v>
      </c>
      <c r="C313" s="7" t="s">
        <v>8984</v>
      </c>
      <c r="D313" s="7" t="s">
        <v>7556</v>
      </c>
      <c r="E313" s="7" t="s">
        <v>9560</v>
      </c>
      <c r="F313" s="8" t="s">
        <v>9071</v>
      </c>
      <c r="G313" s="7">
        <v>8</v>
      </c>
      <c r="H313" s="7" t="s">
        <v>8991</v>
      </c>
      <c r="I313" s="7">
        <v>2</v>
      </c>
      <c r="J313" s="7" t="s">
        <v>9211</v>
      </c>
      <c r="K313" s="9" t="s">
        <v>8987</v>
      </c>
    </row>
    <row r="314" spans="1:11">
      <c r="A314" s="7">
        <v>312</v>
      </c>
      <c r="B314" s="7" t="s">
        <v>8990</v>
      </c>
      <c r="C314" s="7" t="s">
        <v>8984</v>
      </c>
      <c r="D314" s="7" t="s">
        <v>7556</v>
      </c>
      <c r="E314" s="7" t="s">
        <v>9561</v>
      </c>
      <c r="F314" s="8" t="s">
        <v>9071</v>
      </c>
      <c r="G314" s="7">
        <v>6</v>
      </c>
      <c r="H314" s="7" t="s">
        <v>9218</v>
      </c>
      <c r="I314" s="7">
        <v>2</v>
      </c>
      <c r="J314" s="7" t="s">
        <v>7874</v>
      </c>
      <c r="K314" s="9" t="s">
        <v>8987</v>
      </c>
    </row>
    <row r="315" spans="1:11">
      <c r="A315" s="7">
        <v>313</v>
      </c>
      <c r="B315" s="7" t="s">
        <v>8990</v>
      </c>
      <c r="C315" s="7" t="s">
        <v>8984</v>
      </c>
      <c r="D315" s="7" t="s">
        <v>7556</v>
      </c>
      <c r="E315" s="7" t="s">
        <v>9562</v>
      </c>
      <c r="F315" s="8" t="s">
        <v>9563</v>
      </c>
      <c r="G315" s="7">
        <v>8</v>
      </c>
      <c r="H315" s="7" t="s">
        <v>8991</v>
      </c>
      <c r="I315" s="7">
        <v>1</v>
      </c>
      <c r="J315" s="7" t="s">
        <v>7764</v>
      </c>
      <c r="K315" s="9" t="s">
        <v>8987</v>
      </c>
    </row>
    <row r="316" spans="1:11">
      <c r="A316" s="7">
        <v>314</v>
      </c>
      <c r="B316" s="7" t="s">
        <v>8990</v>
      </c>
      <c r="C316" s="7" t="s">
        <v>8991</v>
      </c>
      <c r="D316" s="7" t="s">
        <v>7546</v>
      </c>
      <c r="E316" s="7" t="s">
        <v>9564</v>
      </c>
      <c r="F316" s="8" t="s">
        <v>9083</v>
      </c>
      <c r="G316" s="7">
        <v>79</v>
      </c>
      <c r="H316" s="7" t="s">
        <v>9565</v>
      </c>
      <c r="I316" s="7">
        <v>5</v>
      </c>
      <c r="J316" s="7" t="s">
        <v>9566</v>
      </c>
      <c r="K316" s="9" t="s">
        <v>8987</v>
      </c>
    </row>
    <row r="317" spans="1:11">
      <c r="A317" s="7">
        <v>315</v>
      </c>
      <c r="B317" s="7" t="s">
        <v>8990</v>
      </c>
      <c r="C317" s="7" t="s">
        <v>8991</v>
      </c>
      <c r="D317" s="7" t="s">
        <v>7542</v>
      </c>
      <c r="E317" s="7" t="s">
        <v>9567</v>
      </c>
      <c r="F317" s="8" t="s">
        <v>9014</v>
      </c>
      <c r="G317" s="7">
        <v>35</v>
      </c>
      <c r="H317" s="7" t="s">
        <v>9026</v>
      </c>
      <c r="I317" s="7">
        <v>3</v>
      </c>
      <c r="J317" s="7" t="s">
        <v>9568</v>
      </c>
      <c r="K317" s="9" t="s">
        <v>8987</v>
      </c>
    </row>
    <row r="318" spans="1:11">
      <c r="A318" s="7">
        <v>316</v>
      </c>
      <c r="B318" s="7" t="s">
        <v>8990</v>
      </c>
      <c r="C318" s="7" t="s">
        <v>8991</v>
      </c>
      <c r="D318" s="7" t="s">
        <v>7546</v>
      </c>
      <c r="E318" s="7" t="s">
        <v>9569</v>
      </c>
      <c r="F318" s="8" t="s">
        <v>9094</v>
      </c>
      <c r="G318" s="7">
        <v>89</v>
      </c>
      <c r="H318" s="7" t="s">
        <v>9570</v>
      </c>
      <c r="I318" s="7">
        <v>5</v>
      </c>
      <c r="J318" s="7" t="s">
        <v>9571</v>
      </c>
      <c r="K318" s="9" t="s">
        <v>8987</v>
      </c>
    </row>
    <row r="319" spans="1:11">
      <c r="A319" s="7">
        <v>317</v>
      </c>
      <c r="B319" s="7" t="s">
        <v>8983</v>
      </c>
      <c r="C319" s="7" t="s">
        <v>8991</v>
      </c>
      <c r="D319" s="7" t="s">
        <v>7549</v>
      </c>
      <c r="E319" s="7" t="s">
        <v>6745</v>
      </c>
      <c r="F319" s="8" t="s">
        <v>9572</v>
      </c>
      <c r="G319" s="7">
        <v>490</v>
      </c>
      <c r="H319" s="7" t="s">
        <v>9573</v>
      </c>
      <c r="I319" s="7">
        <v>17</v>
      </c>
      <c r="J319" s="7" t="s">
        <v>9574</v>
      </c>
      <c r="K319" s="9" t="s">
        <v>8987</v>
      </c>
    </row>
    <row r="320" spans="1:11">
      <c r="A320" s="7">
        <v>318</v>
      </c>
      <c r="B320" s="7" t="s">
        <v>8990</v>
      </c>
      <c r="C320" s="7" t="s">
        <v>8984</v>
      </c>
      <c r="D320" s="7" t="s">
        <v>7542</v>
      </c>
      <c r="E320" s="7" t="s">
        <v>9575</v>
      </c>
      <c r="F320" s="8" t="s">
        <v>9576</v>
      </c>
      <c r="G320" s="7">
        <v>10</v>
      </c>
      <c r="H320" s="7" t="s">
        <v>9292</v>
      </c>
      <c r="I320" s="7">
        <v>1</v>
      </c>
      <c r="J320" s="7" t="s">
        <v>7768</v>
      </c>
      <c r="K320" s="9" t="s">
        <v>8987</v>
      </c>
    </row>
    <row r="321" spans="1:11">
      <c r="A321" s="7">
        <v>319</v>
      </c>
      <c r="B321" s="7" t="s">
        <v>8990</v>
      </c>
      <c r="C321" s="7" t="s">
        <v>8984</v>
      </c>
      <c r="D321" s="7" t="s">
        <v>7542</v>
      </c>
      <c r="E321" s="7" t="s">
        <v>9577</v>
      </c>
      <c r="F321" s="8" t="s">
        <v>9576</v>
      </c>
      <c r="G321" s="7">
        <v>8</v>
      </c>
      <c r="H321" s="7" t="s">
        <v>8991</v>
      </c>
      <c r="I321" s="7">
        <v>1</v>
      </c>
      <c r="J321" s="7" t="s">
        <v>7764</v>
      </c>
      <c r="K321" s="9" t="s">
        <v>8987</v>
      </c>
    </row>
    <row r="322" spans="1:11">
      <c r="A322" s="7">
        <v>320</v>
      </c>
      <c r="B322" s="7" t="s">
        <v>8990</v>
      </c>
      <c r="C322" s="7" t="s">
        <v>8984</v>
      </c>
      <c r="D322" s="7" t="s">
        <v>7542</v>
      </c>
      <c r="E322" s="7" t="s">
        <v>9578</v>
      </c>
      <c r="F322" s="8" t="s">
        <v>9576</v>
      </c>
      <c r="G322" s="7">
        <v>4</v>
      </c>
      <c r="H322" s="7" t="s">
        <v>9579</v>
      </c>
      <c r="I322" s="7">
        <v>1</v>
      </c>
      <c r="J322" s="7" t="s">
        <v>7617</v>
      </c>
      <c r="K322" s="9" t="s">
        <v>8987</v>
      </c>
    </row>
    <row r="323" spans="1:11">
      <c r="A323" s="7">
        <v>321</v>
      </c>
      <c r="B323" s="7" t="s">
        <v>9216</v>
      </c>
      <c r="C323" s="7" t="s">
        <v>8984</v>
      </c>
      <c r="D323" s="7" t="s">
        <v>7542</v>
      </c>
      <c r="E323" s="7" t="s">
        <v>9580</v>
      </c>
      <c r="F323" s="8" t="s">
        <v>9581</v>
      </c>
      <c r="G323" s="7">
        <v>10</v>
      </c>
      <c r="H323" s="7" t="s">
        <v>9292</v>
      </c>
      <c r="I323" s="7">
        <v>1</v>
      </c>
      <c r="J323" s="7" t="s">
        <v>7768</v>
      </c>
      <c r="K323" s="9" t="s">
        <v>8987</v>
      </c>
    </row>
    <row r="324" spans="1:11">
      <c r="A324" s="7">
        <v>322</v>
      </c>
      <c r="B324" s="7" t="s">
        <v>9216</v>
      </c>
      <c r="C324" s="7" t="s">
        <v>8984</v>
      </c>
      <c r="D324" s="7" t="s">
        <v>7542</v>
      </c>
      <c r="E324" s="7" t="s">
        <v>9582</v>
      </c>
      <c r="F324" s="8" t="s">
        <v>9581</v>
      </c>
      <c r="G324" s="7">
        <v>8</v>
      </c>
      <c r="H324" s="7" t="s">
        <v>8991</v>
      </c>
      <c r="I324" s="7">
        <v>1</v>
      </c>
      <c r="J324" s="7" t="s">
        <v>7764</v>
      </c>
      <c r="K324" s="9" t="s">
        <v>8987</v>
      </c>
    </row>
    <row r="325" spans="1:11">
      <c r="A325" s="7">
        <v>323</v>
      </c>
      <c r="B325" s="7" t="s">
        <v>9216</v>
      </c>
      <c r="C325" s="7" t="s">
        <v>8984</v>
      </c>
      <c r="D325" s="7" t="s">
        <v>7542</v>
      </c>
      <c r="E325" s="7" t="s">
        <v>9583</v>
      </c>
      <c r="F325" s="8" t="s">
        <v>9581</v>
      </c>
      <c r="G325" s="7">
        <v>4</v>
      </c>
      <c r="H325" s="7" t="s">
        <v>9579</v>
      </c>
      <c r="I325" s="7">
        <v>1</v>
      </c>
      <c r="J325" s="7" t="s">
        <v>7617</v>
      </c>
      <c r="K325" s="9" t="s">
        <v>8987</v>
      </c>
    </row>
    <row r="326" spans="1:11">
      <c r="A326" s="7">
        <v>324</v>
      </c>
      <c r="B326" s="7" t="s">
        <v>8990</v>
      </c>
      <c r="C326" s="7" t="s">
        <v>8984</v>
      </c>
      <c r="D326" s="7" t="s">
        <v>7542</v>
      </c>
      <c r="E326" s="7" t="s">
        <v>9584</v>
      </c>
      <c r="F326" s="8" t="s">
        <v>9320</v>
      </c>
      <c r="G326" s="7">
        <v>300</v>
      </c>
      <c r="H326" s="7" t="s">
        <v>9585</v>
      </c>
      <c r="I326" s="7">
        <v>17</v>
      </c>
      <c r="J326" s="7" t="s">
        <v>9586</v>
      </c>
      <c r="K326" s="9" t="s">
        <v>8987</v>
      </c>
    </row>
    <row r="327" spans="1:11">
      <c r="A327" s="7">
        <v>325</v>
      </c>
      <c r="B327" s="7" t="s">
        <v>8990</v>
      </c>
      <c r="C327" s="7" t="s">
        <v>8984</v>
      </c>
      <c r="D327" s="7" t="s">
        <v>7555</v>
      </c>
      <c r="E327" s="7" t="s">
        <v>9587</v>
      </c>
      <c r="F327" s="8" t="s">
        <v>9244</v>
      </c>
      <c r="G327" s="7">
        <v>50</v>
      </c>
      <c r="H327" s="7" t="s">
        <v>9021</v>
      </c>
      <c r="I327" s="7">
        <v>1</v>
      </c>
      <c r="J327" s="7" t="s">
        <v>7881</v>
      </c>
      <c r="K327" s="9" t="s">
        <v>8987</v>
      </c>
    </row>
    <row r="328" spans="1:11">
      <c r="A328" s="7">
        <v>326</v>
      </c>
      <c r="B328" s="7" t="s">
        <v>9216</v>
      </c>
      <c r="C328" s="7" t="s">
        <v>8984</v>
      </c>
      <c r="D328" s="7" t="s">
        <v>7555</v>
      </c>
      <c r="E328" s="7" t="s">
        <v>9588</v>
      </c>
      <c r="F328" s="8" t="s">
        <v>9246</v>
      </c>
      <c r="G328" s="7">
        <v>50</v>
      </c>
      <c r="H328" s="7" t="s">
        <v>9021</v>
      </c>
      <c r="I328" s="7">
        <v>1</v>
      </c>
      <c r="J328" s="7" t="s">
        <v>7881</v>
      </c>
      <c r="K328" s="9" t="s">
        <v>8987</v>
      </c>
    </row>
    <row r="329" spans="1:11">
      <c r="A329" s="7">
        <v>327</v>
      </c>
      <c r="B329" s="7" t="s">
        <v>8983</v>
      </c>
      <c r="C329" s="7" t="s">
        <v>8984</v>
      </c>
      <c r="D329" s="7" t="s">
        <v>7573</v>
      </c>
      <c r="E329" s="7" t="s">
        <v>9589</v>
      </c>
      <c r="F329" s="8" t="s">
        <v>9295</v>
      </c>
      <c r="G329" s="7">
        <v>4</v>
      </c>
      <c r="H329" s="7" t="s">
        <v>9579</v>
      </c>
      <c r="I329" s="7">
        <v>1</v>
      </c>
      <c r="J329" s="7" t="s">
        <v>7617</v>
      </c>
      <c r="K329" s="9" t="s">
        <v>8987</v>
      </c>
    </row>
    <row r="330" spans="1:11">
      <c r="A330" s="7">
        <v>328</v>
      </c>
      <c r="B330" s="7" t="s">
        <v>9216</v>
      </c>
      <c r="C330" s="7" t="s">
        <v>8984</v>
      </c>
      <c r="D330" s="7" t="s">
        <v>7549</v>
      </c>
      <c r="E330" s="7" t="s">
        <v>9590</v>
      </c>
      <c r="F330" s="8" t="s">
        <v>9210</v>
      </c>
      <c r="G330" s="7">
        <v>20</v>
      </c>
      <c r="H330" s="7" t="s">
        <v>9394</v>
      </c>
      <c r="I330" s="7">
        <v>5</v>
      </c>
      <c r="J330" s="7" t="s">
        <v>9395</v>
      </c>
      <c r="K330" s="9" t="s">
        <v>8987</v>
      </c>
    </row>
    <row r="331" spans="1:11">
      <c r="A331" s="7">
        <v>329</v>
      </c>
      <c r="B331" s="7" t="s">
        <v>8990</v>
      </c>
      <c r="C331" s="7" t="s">
        <v>8984</v>
      </c>
      <c r="D331" s="7" t="s">
        <v>7566</v>
      </c>
      <c r="E331" s="7" t="s">
        <v>9591</v>
      </c>
      <c r="F331" s="8" t="s">
        <v>8085</v>
      </c>
      <c r="G331" s="7">
        <v>0</v>
      </c>
      <c r="H331" s="7" t="s">
        <v>8984</v>
      </c>
      <c r="I331" s="7">
        <v>1</v>
      </c>
      <c r="J331" s="7" t="s">
        <v>7838</v>
      </c>
      <c r="K331" s="9" t="s">
        <v>8987</v>
      </c>
    </row>
    <row r="332" spans="1:11">
      <c r="A332" s="7">
        <v>330</v>
      </c>
      <c r="B332" s="7" t="s">
        <v>8990</v>
      </c>
      <c r="C332" s="7" t="s">
        <v>8984</v>
      </c>
      <c r="D332" s="7" t="s">
        <v>7547</v>
      </c>
      <c r="E332" s="7" t="s">
        <v>9592</v>
      </c>
      <c r="F332" s="8" t="s">
        <v>9593</v>
      </c>
      <c r="G332" s="7">
        <v>50</v>
      </c>
      <c r="H332" s="7" t="s">
        <v>9021</v>
      </c>
      <c r="I332" s="7">
        <v>15</v>
      </c>
      <c r="J332" s="7" t="s">
        <v>9594</v>
      </c>
      <c r="K332" s="9" t="s">
        <v>8987</v>
      </c>
    </row>
    <row r="333" spans="1:11">
      <c r="A333" s="7">
        <v>331</v>
      </c>
      <c r="B333" s="7" t="s">
        <v>8990</v>
      </c>
      <c r="C333" s="7" t="s">
        <v>8984</v>
      </c>
      <c r="D333" s="7" t="s">
        <v>7556</v>
      </c>
      <c r="E333" s="7" t="s">
        <v>6735</v>
      </c>
      <c r="F333" s="8" t="s">
        <v>9595</v>
      </c>
      <c r="G333" s="7">
        <v>150</v>
      </c>
      <c r="H333" s="7" t="s">
        <v>9253</v>
      </c>
      <c r="I333" s="7">
        <v>21</v>
      </c>
      <c r="J333" s="7" t="s">
        <v>9372</v>
      </c>
      <c r="K333" s="9" t="s">
        <v>8987</v>
      </c>
    </row>
    <row r="334" spans="1:11">
      <c r="A334" s="7">
        <v>332</v>
      </c>
      <c r="B334" s="7" t="s">
        <v>8990</v>
      </c>
      <c r="C334" s="7" t="s">
        <v>8984</v>
      </c>
      <c r="D334" s="7" t="s">
        <v>7556</v>
      </c>
      <c r="E334" s="7" t="s">
        <v>9596</v>
      </c>
      <c r="F334" s="8" t="s">
        <v>9595</v>
      </c>
      <c r="G334" s="7">
        <v>500</v>
      </c>
      <c r="H334" s="7" t="s">
        <v>9597</v>
      </c>
      <c r="I334" s="7">
        <v>41</v>
      </c>
      <c r="J334" s="7" t="s">
        <v>9598</v>
      </c>
      <c r="K334" s="9" t="s">
        <v>8987</v>
      </c>
    </row>
    <row r="335" spans="1:11">
      <c r="A335" s="7">
        <v>333</v>
      </c>
      <c r="B335" s="7" t="s">
        <v>8990</v>
      </c>
      <c r="C335" s="7" t="s">
        <v>8984</v>
      </c>
      <c r="D335" s="7" t="s">
        <v>7546</v>
      </c>
      <c r="E335" s="7" t="s">
        <v>9599</v>
      </c>
      <c r="F335" s="8" t="s">
        <v>9098</v>
      </c>
      <c r="G335" s="7">
        <v>83</v>
      </c>
      <c r="H335" s="7" t="s">
        <v>9229</v>
      </c>
      <c r="I335" s="7">
        <v>7</v>
      </c>
      <c r="J335" s="7" t="s">
        <v>9600</v>
      </c>
      <c r="K335" s="9" t="s">
        <v>8987</v>
      </c>
    </row>
    <row r="336" spans="1:11">
      <c r="A336" s="7">
        <v>334</v>
      </c>
      <c r="B336" s="7" t="s">
        <v>8990</v>
      </c>
      <c r="C336" s="7" t="s">
        <v>8984</v>
      </c>
      <c r="D336" s="7" t="s">
        <v>7542</v>
      </c>
      <c r="E336" s="7" t="s">
        <v>9601</v>
      </c>
      <c r="F336" s="8" t="s">
        <v>9014</v>
      </c>
      <c r="G336" s="7">
        <v>40</v>
      </c>
      <c r="H336" s="7" t="s">
        <v>9003</v>
      </c>
      <c r="I336" s="7">
        <v>9</v>
      </c>
      <c r="J336" s="7" t="s">
        <v>9602</v>
      </c>
      <c r="K336" s="9" t="s">
        <v>8987</v>
      </c>
    </row>
    <row r="337" spans="1:11">
      <c r="A337" s="7">
        <v>335</v>
      </c>
      <c r="B337" s="7" t="s">
        <v>8983</v>
      </c>
      <c r="C337" s="7" t="s">
        <v>8984</v>
      </c>
      <c r="D337" s="7" t="s">
        <v>7556</v>
      </c>
      <c r="E337" s="7" t="s">
        <v>9603</v>
      </c>
      <c r="F337" s="8" t="s">
        <v>9304</v>
      </c>
      <c r="G337" s="7">
        <v>150</v>
      </c>
      <c r="H337" s="7" t="s">
        <v>9253</v>
      </c>
      <c r="I337" s="7">
        <v>1</v>
      </c>
      <c r="J337" s="7" t="s">
        <v>7846</v>
      </c>
      <c r="K337" s="9" t="s">
        <v>8987</v>
      </c>
    </row>
    <row r="338" spans="1:11">
      <c r="A338" s="7">
        <v>336</v>
      </c>
      <c r="B338" s="7" t="s">
        <v>8990</v>
      </c>
      <c r="C338" s="7" t="s">
        <v>8984</v>
      </c>
      <c r="D338" s="7" t="s">
        <v>7547</v>
      </c>
      <c r="E338" s="7" t="s">
        <v>9604</v>
      </c>
      <c r="F338" s="8" t="s">
        <v>9279</v>
      </c>
      <c r="G338" s="7">
        <v>8</v>
      </c>
      <c r="H338" s="7" t="s">
        <v>8991</v>
      </c>
      <c r="I338" s="7">
        <v>1</v>
      </c>
      <c r="J338" s="7" t="s">
        <v>7764</v>
      </c>
      <c r="K338" s="9" t="s">
        <v>8987</v>
      </c>
    </row>
    <row r="339" spans="1:11">
      <c r="A339" s="7">
        <v>337</v>
      </c>
      <c r="B339" s="7" t="s">
        <v>8983</v>
      </c>
      <c r="C339" s="7" t="s">
        <v>8984</v>
      </c>
      <c r="D339" s="7" t="s">
        <v>7549</v>
      </c>
      <c r="E339" s="7" t="s">
        <v>9605</v>
      </c>
      <c r="F339" s="8" t="s">
        <v>9606</v>
      </c>
      <c r="G339" s="7">
        <v>1</v>
      </c>
      <c r="H339" s="7" t="s">
        <v>9112</v>
      </c>
      <c r="I339" s="7">
        <v>1</v>
      </c>
      <c r="J339" s="7" t="s">
        <v>9113</v>
      </c>
      <c r="K339" s="9" t="s">
        <v>8987</v>
      </c>
    </row>
    <row r="340" spans="1:11">
      <c r="A340" s="7">
        <v>338</v>
      </c>
      <c r="B340" s="7" t="s">
        <v>8990</v>
      </c>
      <c r="C340" s="7" t="s">
        <v>8984</v>
      </c>
      <c r="D340" s="7" t="s">
        <v>7542</v>
      </c>
      <c r="E340" s="7" t="s">
        <v>9607</v>
      </c>
      <c r="F340" s="8" t="s">
        <v>9576</v>
      </c>
      <c r="G340" s="7">
        <v>9</v>
      </c>
      <c r="H340" s="7" t="s">
        <v>9030</v>
      </c>
      <c r="I340" s="7">
        <v>1</v>
      </c>
      <c r="J340" s="7" t="s">
        <v>7766</v>
      </c>
      <c r="K340" s="9" t="s">
        <v>8987</v>
      </c>
    </row>
    <row r="341" spans="1:11">
      <c r="A341" s="7">
        <v>339</v>
      </c>
      <c r="B341" s="7" t="s">
        <v>8990</v>
      </c>
      <c r="C341" s="7" t="s">
        <v>8984</v>
      </c>
      <c r="D341" s="7" t="s">
        <v>7542</v>
      </c>
      <c r="E341" s="7" t="s">
        <v>9608</v>
      </c>
      <c r="F341" s="8" t="s">
        <v>9609</v>
      </c>
      <c r="G341" s="7">
        <v>9</v>
      </c>
      <c r="H341" s="7" t="s">
        <v>9030</v>
      </c>
      <c r="I341" s="7">
        <v>1</v>
      </c>
      <c r="J341" s="7" t="s">
        <v>7766</v>
      </c>
      <c r="K341" s="9" t="s">
        <v>8987</v>
      </c>
    </row>
    <row r="342" spans="1:11">
      <c r="A342" s="7">
        <v>340</v>
      </c>
      <c r="B342" s="7" t="s">
        <v>8990</v>
      </c>
      <c r="C342" s="7" t="s">
        <v>8984</v>
      </c>
      <c r="D342" s="7" t="s">
        <v>7542</v>
      </c>
      <c r="E342" s="7" t="s">
        <v>9610</v>
      </c>
      <c r="F342" s="8" t="s">
        <v>9611</v>
      </c>
      <c r="G342" s="7">
        <v>9</v>
      </c>
      <c r="H342" s="7" t="s">
        <v>9030</v>
      </c>
      <c r="I342" s="7">
        <v>1</v>
      </c>
      <c r="J342" s="7" t="s">
        <v>7766</v>
      </c>
      <c r="K342" s="9" t="s">
        <v>8987</v>
      </c>
    </row>
    <row r="343" spans="1:11">
      <c r="A343" s="7">
        <v>341</v>
      </c>
      <c r="B343" s="7" t="s">
        <v>8990</v>
      </c>
      <c r="C343" s="7" t="s">
        <v>8984</v>
      </c>
      <c r="D343" s="7" t="s">
        <v>7542</v>
      </c>
      <c r="E343" s="7" t="s">
        <v>9612</v>
      </c>
      <c r="F343" s="8" t="s">
        <v>9613</v>
      </c>
      <c r="G343" s="7">
        <v>9</v>
      </c>
      <c r="H343" s="7" t="s">
        <v>9030</v>
      </c>
      <c r="I343" s="7">
        <v>1</v>
      </c>
      <c r="J343" s="7" t="s">
        <v>7766</v>
      </c>
      <c r="K343" s="9" t="s">
        <v>8987</v>
      </c>
    </row>
    <row r="344" spans="1:11">
      <c r="A344" s="7">
        <v>342</v>
      </c>
      <c r="B344" s="7" t="s">
        <v>8990</v>
      </c>
      <c r="C344" s="7" t="s">
        <v>8984</v>
      </c>
      <c r="D344" s="7" t="s">
        <v>7542</v>
      </c>
      <c r="E344" s="7" t="s">
        <v>9614</v>
      </c>
      <c r="F344" s="8" t="s">
        <v>9615</v>
      </c>
      <c r="G344" s="7">
        <v>9</v>
      </c>
      <c r="H344" s="7" t="s">
        <v>9030</v>
      </c>
      <c r="I344" s="7">
        <v>1</v>
      </c>
      <c r="J344" s="7" t="s">
        <v>7766</v>
      </c>
      <c r="K344" s="9" t="s">
        <v>8987</v>
      </c>
    </row>
    <row r="345" spans="1:11">
      <c r="A345" s="7">
        <v>343</v>
      </c>
      <c r="B345" s="7" t="s">
        <v>8990</v>
      </c>
      <c r="C345" s="7" t="s">
        <v>8984</v>
      </c>
      <c r="D345" s="7" t="s">
        <v>7542</v>
      </c>
      <c r="E345" s="7" t="s">
        <v>9616</v>
      </c>
      <c r="F345" s="8" t="s">
        <v>9617</v>
      </c>
      <c r="G345" s="7">
        <v>9</v>
      </c>
      <c r="H345" s="7" t="s">
        <v>9030</v>
      </c>
      <c r="I345" s="7">
        <v>1</v>
      </c>
      <c r="J345" s="7" t="s">
        <v>7766</v>
      </c>
      <c r="K345" s="9" t="s">
        <v>8987</v>
      </c>
    </row>
    <row r="346" spans="1:11">
      <c r="A346" s="7">
        <v>344</v>
      </c>
      <c r="B346" s="7" t="s">
        <v>8990</v>
      </c>
      <c r="C346" s="7" t="s">
        <v>8984</v>
      </c>
      <c r="D346" s="7" t="s">
        <v>7550</v>
      </c>
      <c r="E346" s="7" t="s">
        <v>9618</v>
      </c>
      <c r="F346" s="8" t="s">
        <v>7893</v>
      </c>
      <c r="G346" s="7">
        <v>20</v>
      </c>
      <c r="H346" s="7" t="s">
        <v>9394</v>
      </c>
      <c r="I346" s="7">
        <v>1</v>
      </c>
      <c r="J346" s="7" t="s">
        <v>7851</v>
      </c>
      <c r="K346" s="9" t="s">
        <v>8987</v>
      </c>
    </row>
    <row r="347" spans="1:11">
      <c r="A347" s="7">
        <v>345</v>
      </c>
      <c r="B347" s="7" t="s">
        <v>8990</v>
      </c>
      <c r="C347" s="7" t="s">
        <v>8984</v>
      </c>
      <c r="D347" s="7" t="s">
        <v>7542</v>
      </c>
      <c r="E347" s="7" t="s">
        <v>9619</v>
      </c>
      <c r="F347" s="8" t="s">
        <v>9320</v>
      </c>
      <c r="G347" s="7">
        <v>300</v>
      </c>
      <c r="H347" s="7" t="s">
        <v>9585</v>
      </c>
      <c r="I347" s="7">
        <v>1</v>
      </c>
      <c r="J347" s="7" t="s">
        <v>7886</v>
      </c>
      <c r="K347" s="9" t="s">
        <v>8987</v>
      </c>
    </row>
    <row r="348" spans="1:11">
      <c r="A348" s="7">
        <v>346</v>
      </c>
      <c r="B348" s="7" t="s">
        <v>8990</v>
      </c>
      <c r="C348" s="7" t="s">
        <v>8984</v>
      </c>
      <c r="D348" s="7" t="s">
        <v>7555</v>
      </c>
      <c r="E348" s="7" t="s">
        <v>9620</v>
      </c>
      <c r="F348" s="8" t="s">
        <v>9621</v>
      </c>
      <c r="G348" s="7">
        <v>9</v>
      </c>
      <c r="H348" s="7" t="s">
        <v>9030</v>
      </c>
      <c r="I348" s="7">
        <v>1</v>
      </c>
      <c r="J348" s="7" t="s">
        <v>7766</v>
      </c>
      <c r="K348" s="9" t="s">
        <v>8987</v>
      </c>
    </row>
    <row r="349" spans="1:11">
      <c r="A349" s="7">
        <v>347</v>
      </c>
      <c r="B349" s="7" t="s">
        <v>8983</v>
      </c>
      <c r="C349" s="7" t="s">
        <v>8998</v>
      </c>
      <c r="D349" s="7" t="s">
        <v>7555</v>
      </c>
      <c r="E349" s="7" t="s">
        <v>9622</v>
      </c>
      <c r="F349" s="8" t="s">
        <v>9621</v>
      </c>
      <c r="G349" s="7" t="s">
        <v>8987</v>
      </c>
      <c r="H349" s="7" t="s">
        <v>8987</v>
      </c>
      <c r="I349" s="7" t="s">
        <v>8987</v>
      </c>
      <c r="J349" s="7" t="s">
        <v>8987</v>
      </c>
      <c r="K349" s="9" t="s">
        <v>8987</v>
      </c>
    </row>
    <row r="350" spans="1:11">
      <c r="A350" s="7">
        <v>348</v>
      </c>
      <c r="B350" s="7" t="s">
        <v>8990</v>
      </c>
      <c r="C350" s="7" t="s">
        <v>8984</v>
      </c>
      <c r="D350" s="7" t="s">
        <v>7555</v>
      </c>
      <c r="E350" s="7" t="s">
        <v>9623</v>
      </c>
      <c r="F350" s="8" t="s">
        <v>7955</v>
      </c>
      <c r="G350" s="7">
        <v>0</v>
      </c>
      <c r="H350" s="7" t="s">
        <v>8984</v>
      </c>
      <c r="I350" s="7">
        <v>1</v>
      </c>
      <c r="J350" s="7" t="s">
        <v>7838</v>
      </c>
      <c r="K350" s="9" t="s">
        <v>8987</v>
      </c>
    </row>
    <row r="351" spans="1:11">
      <c r="A351" s="7">
        <v>349</v>
      </c>
      <c r="B351" s="7" t="s">
        <v>8990</v>
      </c>
      <c r="C351" s="7" t="s">
        <v>8984</v>
      </c>
      <c r="D351" s="7" t="s">
        <v>7555</v>
      </c>
      <c r="E351" s="7" t="s">
        <v>9624</v>
      </c>
      <c r="F351" s="8" t="s">
        <v>9625</v>
      </c>
      <c r="G351" s="7">
        <v>500</v>
      </c>
      <c r="H351" s="7" t="s">
        <v>9597</v>
      </c>
      <c r="I351" s="7">
        <v>1</v>
      </c>
      <c r="J351" s="7" t="s">
        <v>7876</v>
      </c>
      <c r="K351" s="9" t="s">
        <v>8987</v>
      </c>
    </row>
    <row r="352" spans="1:11">
      <c r="A352" s="7">
        <v>350</v>
      </c>
      <c r="B352" s="7" t="s">
        <v>8983</v>
      </c>
      <c r="C352" s="7" t="s">
        <v>8984</v>
      </c>
      <c r="D352" s="7" t="s">
        <v>7552</v>
      </c>
      <c r="E352" s="7" t="s">
        <v>9626</v>
      </c>
      <c r="F352" s="8" t="s">
        <v>9450</v>
      </c>
      <c r="G352" s="7">
        <v>150</v>
      </c>
      <c r="H352" s="7" t="s">
        <v>9253</v>
      </c>
      <c r="I352" s="7">
        <v>1</v>
      </c>
      <c r="J352" s="7" t="s">
        <v>7846</v>
      </c>
      <c r="K352" s="9" t="s">
        <v>8987</v>
      </c>
    </row>
    <row r="353" spans="1:11">
      <c r="A353" s="7">
        <v>351</v>
      </c>
      <c r="B353" s="7" t="s">
        <v>8983</v>
      </c>
      <c r="C353" s="7" t="s">
        <v>8984</v>
      </c>
      <c r="D353" s="7" t="s">
        <v>7566</v>
      </c>
      <c r="E353" s="7" t="s">
        <v>9627</v>
      </c>
      <c r="F353" s="8" t="s">
        <v>9628</v>
      </c>
      <c r="G353" s="7">
        <v>500</v>
      </c>
      <c r="H353" s="7" t="s">
        <v>9597</v>
      </c>
      <c r="I353" s="7">
        <v>1</v>
      </c>
      <c r="J353" s="7" t="s">
        <v>7876</v>
      </c>
      <c r="K353" s="9" t="s">
        <v>8987</v>
      </c>
    </row>
    <row r="354" spans="1:11">
      <c r="A354" s="7">
        <v>352</v>
      </c>
      <c r="B354" s="7" t="s">
        <v>8983</v>
      </c>
      <c r="C354" s="7" t="s">
        <v>8984</v>
      </c>
      <c r="D354" s="7" t="s">
        <v>7552</v>
      </c>
      <c r="E354" s="7" t="s">
        <v>9629</v>
      </c>
      <c r="F354" s="8" t="s">
        <v>9630</v>
      </c>
      <c r="G354" s="7">
        <v>0</v>
      </c>
      <c r="H354" s="7" t="s">
        <v>8984</v>
      </c>
      <c r="I354" s="7">
        <v>1</v>
      </c>
      <c r="J354" s="7" t="s">
        <v>7838</v>
      </c>
      <c r="K354" s="9" t="s">
        <v>8987</v>
      </c>
    </row>
    <row r="355" spans="1:11">
      <c r="A355" s="7">
        <v>353</v>
      </c>
      <c r="B355" s="7" t="s">
        <v>9208</v>
      </c>
      <c r="C355" s="7" t="s">
        <v>8984</v>
      </c>
      <c r="D355" s="7" t="s">
        <v>7549</v>
      </c>
      <c r="E355" s="7" t="s">
        <v>9631</v>
      </c>
      <c r="F355" s="8" t="s">
        <v>9632</v>
      </c>
      <c r="G355" s="7">
        <v>0</v>
      </c>
      <c r="H355" s="7" t="s">
        <v>8984</v>
      </c>
      <c r="I355" s="7">
        <v>1</v>
      </c>
      <c r="J355" s="7" t="s">
        <v>7838</v>
      </c>
      <c r="K355" s="9" t="s">
        <v>8987</v>
      </c>
    </row>
    <row r="356" spans="1:11">
      <c r="A356" s="7">
        <v>354</v>
      </c>
      <c r="B356" s="7" t="s">
        <v>9208</v>
      </c>
      <c r="C356" s="7" t="s">
        <v>8984</v>
      </c>
      <c r="D356" s="7" t="s">
        <v>7549</v>
      </c>
      <c r="E356" s="7" t="s">
        <v>9633</v>
      </c>
      <c r="F356" s="8" t="s">
        <v>9634</v>
      </c>
      <c r="G356" s="7">
        <v>0</v>
      </c>
      <c r="H356" s="7" t="s">
        <v>8984</v>
      </c>
      <c r="I356" s="7">
        <v>1</v>
      </c>
      <c r="J356" s="7" t="s">
        <v>7838</v>
      </c>
      <c r="K356" s="9" t="s">
        <v>8987</v>
      </c>
    </row>
    <row r="357" spans="1:11">
      <c r="A357" s="7">
        <v>355</v>
      </c>
      <c r="B357" s="7" t="s">
        <v>8990</v>
      </c>
      <c r="C357" s="7" t="s">
        <v>8991</v>
      </c>
      <c r="D357" s="7" t="s">
        <v>7542</v>
      </c>
      <c r="E357" s="7" t="s">
        <v>9635</v>
      </c>
      <c r="F357" s="8" t="s">
        <v>9145</v>
      </c>
      <c r="G357" s="7">
        <v>40</v>
      </c>
      <c r="H357" s="7" t="s">
        <v>9003</v>
      </c>
      <c r="I357" s="7">
        <v>1</v>
      </c>
      <c r="J357" s="7" t="s">
        <v>7860</v>
      </c>
      <c r="K357" s="9" t="s">
        <v>8987</v>
      </c>
    </row>
    <row r="358" spans="1:11">
      <c r="A358" s="7">
        <v>356</v>
      </c>
      <c r="B358" s="7" t="s">
        <v>8990</v>
      </c>
      <c r="C358" s="7" t="s">
        <v>8991</v>
      </c>
      <c r="D358" s="7" t="s">
        <v>7546</v>
      </c>
      <c r="E358" s="7" t="s">
        <v>9636</v>
      </c>
      <c r="F358" s="8" t="s">
        <v>9083</v>
      </c>
      <c r="G358" s="7">
        <v>55</v>
      </c>
      <c r="H358" s="7" t="s">
        <v>9548</v>
      </c>
      <c r="I358" s="7">
        <v>3</v>
      </c>
      <c r="J358" s="7" t="s">
        <v>9637</v>
      </c>
      <c r="K358" s="9" t="s">
        <v>8987</v>
      </c>
    </row>
    <row r="359" spans="1:11">
      <c r="A359" s="7">
        <v>357</v>
      </c>
      <c r="B359" s="7" t="s">
        <v>8990</v>
      </c>
      <c r="C359" s="7" t="s">
        <v>8991</v>
      </c>
      <c r="D359" s="7" t="s">
        <v>7547</v>
      </c>
      <c r="E359" s="7" t="s">
        <v>9638</v>
      </c>
      <c r="F359" s="8" t="s">
        <v>9272</v>
      </c>
      <c r="G359" s="7">
        <v>50</v>
      </c>
      <c r="H359" s="7" t="s">
        <v>9021</v>
      </c>
      <c r="I359" s="7">
        <v>9</v>
      </c>
      <c r="J359" s="7" t="s">
        <v>9639</v>
      </c>
      <c r="K359" s="9" t="s">
        <v>8987</v>
      </c>
    </row>
    <row r="360" spans="1:11">
      <c r="A360" s="7">
        <v>358</v>
      </c>
      <c r="B360" s="7" t="s">
        <v>8990</v>
      </c>
      <c r="C360" s="7" t="s">
        <v>8991</v>
      </c>
      <c r="D360" s="7" t="s">
        <v>7547</v>
      </c>
      <c r="E360" s="7" t="s">
        <v>9640</v>
      </c>
      <c r="F360" s="8" t="s">
        <v>9275</v>
      </c>
      <c r="G360" s="7">
        <v>50</v>
      </c>
      <c r="H360" s="7" t="s">
        <v>9021</v>
      </c>
      <c r="I360" s="7">
        <v>9</v>
      </c>
      <c r="J360" s="7" t="s">
        <v>9639</v>
      </c>
      <c r="K360" s="9" t="s">
        <v>8987</v>
      </c>
    </row>
    <row r="361" spans="1:11">
      <c r="A361" s="7">
        <v>359</v>
      </c>
      <c r="B361" s="7" t="s">
        <v>8983</v>
      </c>
      <c r="C361" s="7" t="s">
        <v>8991</v>
      </c>
      <c r="D361" s="7" t="s">
        <v>7546</v>
      </c>
      <c r="E361" s="7" t="s">
        <v>9641</v>
      </c>
      <c r="F361" s="8" t="s">
        <v>9226</v>
      </c>
      <c r="G361" s="7">
        <v>90</v>
      </c>
      <c r="H361" s="7" t="s">
        <v>9642</v>
      </c>
      <c r="I361" s="7">
        <v>1</v>
      </c>
      <c r="J361" s="7" t="s">
        <v>7869</v>
      </c>
      <c r="K361" s="9" t="s">
        <v>8987</v>
      </c>
    </row>
    <row r="362" spans="1:11">
      <c r="A362" s="7">
        <v>360</v>
      </c>
      <c r="B362" s="7" t="s">
        <v>8990</v>
      </c>
      <c r="C362" s="7" t="s">
        <v>8991</v>
      </c>
      <c r="D362" s="7" t="s">
        <v>7555</v>
      </c>
      <c r="E362" s="7" t="s">
        <v>9643</v>
      </c>
      <c r="F362" s="8" t="s">
        <v>9251</v>
      </c>
      <c r="G362" s="7">
        <v>90</v>
      </c>
      <c r="H362" s="7" t="s">
        <v>9642</v>
      </c>
      <c r="I362" s="7">
        <v>1</v>
      </c>
      <c r="J362" s="7" t="s">
        <v>7869</v>
      </c>
      <c r="K362" s="9" t="s">
        <v>8987</v>
      </c>
    </row>
    <row r="363" spans="1:11">
      <c r="A363" s="7">
        <v>361</v>
      </c>
      <c r="B363" s="7" t="s">
        <v>8990</v>
      </c>
      <c r="C363" s="7" t="s">
        <v>8991</v>
      </c>
      <c r="D363" s="7" t="s">
        <v>7547</v>
      </c>
      <c r="E363" s="7" t="s">
        <v>9644</v>
      </c>
      <c r="F363" s="8" t="s">
        <v>9279</v>
      </c>
      <c r="G363" s="7">
        <v>25</v>
      </c>
      <c r="H363" s="7" t="s">
        <v>9011</v>
      </c>
      <c r="I363" s="7">
        <v>7</v>
      </c>
      <c r="J363" s="7" t="s">
        <v>9645</v>
      </c>
      <c r="K363" s="9" t="s">
        <v>8987</v>
      </c>
    </row>
    <row r="364" spans="1:11">
      <c r="A364" s="7">
        <v>362</v>
      </c>
      <c r="B364" s="7" t="s">
        <v>8990</v>
      </c>
      <c r="C364" s="7" t="s">
        <v>8984</v>
      </c>
      <c r="D364" s="7" t="s">
        <v>7547</v>
      </c>
      <c r="E364" s="7" t="s">
        <v>9646</v>
      </c>
      <c r="F364" s="8" t="s">
        <v>9593</v>
      </c>
      <c r="G364" s="7">
        <v>70</v>
      </c>
      <c r="H364" s="7" t="s">
        <v>9194</v>
      </c>
      <c r="I364" s="7">
        <v>1</v>
      </c>
      <c r="J364" s="7" t="s">
        <v>7863</v>
      </c>
      <c r="K364" s="9" t="s">
        <v>8987</v>
      </c>
    </row>
    <row r="365" spans="1:11">
      <c r="A365" s="7">
        <v>363</v>
      </c>
      <c r="B365" s="7" t="s">
        <v>8990</v>
      </c>
      <c r="C365" s="7" t="s">
        <v>8984</v>
      </c>
      <c r="D365" s="7" t="s">
        <v>7581</v>
      </c>
      <c r="E365" s="7" t="s">
        <v>9647</v>
      </c>
      <c r="F365" s="8" t="s">
        <v>9648</v>
      </c>
      <c r="G365" s="7">
        <v>17</v>
      </c>
      <c r="H365" s="7" t="s">
        <v>9146</v>
      </c>
      <c r="I365" s="7">
        <v>2</v>
      </c>
      <c r="J365" s="7" t="s">
        <v>9649</v>
      </c>
      <c r="K365" s="9" t="s">
        <v>8987</v>
      </c>
    </row>
    <row r="366" spans="1:11">
      <c r="A366" s="7">
        <v>364</v>
      </c>
      <c r="B366" s="7" t="s">
        <v>8983</v>
      </c>
      <c r="C366" s="7" t="s">
        <v>8998</v>
      </c>
      <c r="D366" s="7" t="s">
        <v>7581</v>
      </c>
      <c r="E366" s="7" t="s">
        <v>9650</v>
      </c>
      <c r="F366" s="8" t="s">
        <v>9648</v>
      </c>
      <c r="G366" s="7" t="s">
        <v>8987</v>
      </c>
      <c r="H366" s="7" t="s">
        <v>8987</v>
      </c>
      <c r="I366" s="7" t="s">
        <v>8987</v>
      </c>
      <c r="J366" s="7" t="s">
        <v>8987</v>
      </c>
      <c r="K366" s="9" t="s">
        <v>8987</v>
      </c>
    </row>
    <row r="367" spans="1:11">
      <c r="A367" s="7">
        <v>365</v>
      </c>
      <c r="B367" s="7" t="s">
        <v>8990</v>
      </c>
      <c r="C367" s="7" t="s">
        <v>8984</v>
      </c>
      <c r="D367" s="7" t="s">
        <v>7581</v>
      </c>
      <c r="E367" s="7" t="s">
        <v>9651</v>
      </c>
      <c r="F367" s="8" t="s">
        <v>9652</v>
      </c>
      <c r="G367" s="7">
        <v>26</v>
      </c>
      <c r="H367" s="7" t="s">
        <v>9136</v>
      </c>
      <c r="I367" s="7">
        <v>3</v>
      </c>
      <c r="J367" s="7" t="s">
        <v>9653</v>
      </c>
      <c r="K367" s="9" t="s">
        <v>8987</v>
      </c>
    </row>
    <row r="368" spans="1:11">
      <c r="A368" s="7">
        <v>366</v>
      </c>
      <c r="B368" s="7" t="s">
        <v>8990</v>
      </c>
      <c r="C368" s="7" t="s">
        <v>8984</v>
      </c>
      <c r="D368" s="7" t="s">
        <v>7581</v>
      </c>
      <c r="E368" s="7" t="s">
        <v>9654</v>
      </c>
      <c r="F368" s="8" t="s">
        <v>9453</v>
      </c>
      <c r="G368" s="7">
        <v>30</v>
      </c>
      <c r="H368" s="7" t="s">
        <v>9015</v>
      </c>
      <c r="I368" s="7">
        <v>3</v>
      </c>
      <c r="J368" s="7" t="s">
        <v>9655</v>
      </c>
      <c r="K368" s="9" t="s">
        <v>8987</v>
      </c>
    </row>
    <row r="369" spans="1:11">
      <c r="A369" s="7">
        <v>367</v>
      </c>
      <c r="B369" s="7" t="s">
        <v>8990</v>
      </c>
      <c r="C369" s="7" t="s">
        <v>8984</v>
      </c>
      <c r="D369" s="7" t="s">
        <v>7581</v>
      </c>
      <c r="E369" s="7" t="s">
        <v>9656</v>
      </c>
      <c r="F369" s="8" t="s">
        <v>9657</v>
      </c>
      <c r="G369" s="7">
        <v>44</v>
      </c>
      <c r="H369" s="7" t="s">
        <v>9658</v>
      </c>
      <c r="I369" s="7">
        <v>3</v>
      </c>
      <c r="J369" s="7" t="s">
        <v>9659</v>
      </c>
      <c r="K369" s="9" t="s">
        <v>8987</v>
      </c>
    </row>
    <row r="370" spans="1:11">
      <c r="A370" s="7">
        <v>368</v>
      </c>
      <c r="B370" s="7" t="s">
        <v>8983</v>
      </c>
      <c r="C370" s="7" t="s">
        <v>8998</v>
      </c>
      <c r="D370" s="7" t="s">
        <v>7581</v>
      </c>
      <c r="E370" s="7" t="s">
        <v>9660</v>
      </c>
      <c r="F370" s="8" t="s">
        <v>9453</v>
      </c>
      <c r="G370" s="7" t="s">
        <v>8987</v>
      </c>
      <c r="H370" s="7" t="s">
        <v>8987</v>
      </c>
      <c r="I370" s="7" t="s">
        <v>8987</v>
      </c>
      <c r="J370" s="7" t="s">
        <v>8987</v>
      </c>
      <c r="K370" s="9" t="s">
        <v>8987</v>
      </c>
    </row>
    <row r="371" spans="1:11">
      <c r="A371" s="7">
        <v>369</v>
      </c>
      <c r="B371" s="7" t="s">
        <v>8990</v>
      </c>
      <c r="C371" s="7" t="s">
        <v>8991</v>
      </c>
      <c r="D371" s="7" t="s">
        <v>7581</v>
      </c>
      <c r="E371" s="7" t="s">
        <v>9661</v>
      </c>
      <c r="F371" s="8" t="s">
        <v>9648</v>
      </c>
      <c r="G371" s="7">
        <v>18</v>
      </c>
      <c r="H371" s="7" t="s">
        <v>9422</v>
      </c>
      <c r="I371" s="7">
        <v>2</v>
      </c>
      <c r="J371" s="7" t="s">
        <v>7716</v>
      </c>
      <c r="K371" s="9" t="s">
        <v>8987</v>
      </c>
    </row>
    <row r="372" spans="1:11">
      <c r="A372" s="7">
        <v>370</v>
      </c>
      <c r="B372" s="7" t="s">
        <v>8990</v>
      </c>
      <c r="C372" s="7" t="s">
        <v>8991</v>
      </c>
      <c r="D372" s="7" t="s">
        <v>7581</v>
      </c>
      <c r="E372" s="7" t="s">
        <v>9662</v>
      </c>
      <c r="F372" s="8" t="s">
        <v>9652</v>
      </c>
      <c r="G372" s="7">
        <v>27</v>
      </c>
      <c r="H372" s="7" t="s">
        <v>9130</v>
      </c>
      <c r="I372" s="7">
        <v>3</v>
      </c>
      <c r="J372" s="7" t="s">
        <v>9663</v>
      </c>
      <c r="K372" s="9" t="s">
        <v>8987</v>
      </c>
    </row>
    <row r="373" spans="1:11">
      <c r="A373" s="7">
        <v>371</v>
      </c>
      <c r="B373" s="7" t="s">
        <v>8990</v>
      </c>
      <c r="C373" s="7" t="s">
        <v>8991</v>
      </c>
      <c r="D373" s="7" t="s">
        <v>7581</v>
      </c>
      <c r="E373" s="7" t="s">
        <v>9664</v>
      </c>
      <c r="F373" s="8" t="s">
        <v>9453</v>
      </c>
      <c r="G373" s="7">
        <v>27</v>
      </c>
      <c r="H373" s="7" t="s">
        <v>9130</v>
      </c>
      <c r="I373" s="7">
        <v>3</v>
      </c>
      <c r="J373" s="7" t="s">
        <v>9663</v>
      </c>
      <c r="K373" s="9" t="s">
        <v>8987</v>
      </c>
    </row>
    <row r="374" spans="1:11">
      <c r="A374" s="7">
        <v>372</v>
      </c>
      <c r="B374" s="7" t="s">
        <v>8990</v>
      </c>
      <c r="C374" s="7" t="s">
        <v>8991</v>
      </c>
      <c r="D374" s="7" t="s">
        <v>7581</v>
      </c>
      <c r="E374" s="7" t="s">
        <v>9665</v>
      </c>
      <c r="F374" s="8" t="s">
        <v>9657</v>
      </c>
      <c r="G374" s="7">
        <v>31</v>
      </c>
      <c r="H374" s="7" t="s">
        <v>9666</v>
      </c>
      <c r="I374" s="7">
        <v>3</v>
      </c>
      <c r="J374" s="7" t="s">
        <v>9667</v>
      </c>
      <c r="K374" s="9" t="s">
        <v>8987</v>
      </c>
    </row>
    <row r="375" spans="1:11">
      <c r="A375" s="7">
        <v>373</v>
      </c>
      <c r="B375" s="7" t="s">
        <v>8990</v>
      </c>
      <c r="C375" s="7" t="s">
        <v>8984</v>
      </c>
      <c r="D375" s="7" t="s">
        <v>7550</v>
      </c>
      <c r="E375" s="7" t="s">
        <v>9668</v>
      </c>
      <c r="F375" s="8" t="s">
        <v>9669</v>
      </c>
      <c r="G375" s="7">
        <v>60</v>
      </c>
      <c r="H375" s="7" t="s">
        <v>9289</v>
      </c>
      <c r="I375" s="7">
        <v>13</v>
      </c>
      <c r="J375" s="7" t="s">
        <v>7827</v>
      </c>
      <c r="K375" s="9" t="s">
        <v>8987</v>
      </c>
    </row>
    <row r="376" spans="1:11">
      <c r="A376" s="7">
        <v>374</v>
      </c>
      <c r="B376" s="7" t="s">
        <v>8990</v>
      </c>
      <c r="C376" s="7" t="s">
        <v>8984</v>
      </c>
      <c r="D376" s="7" t="s">
        <v>7550</v>
      </c>
      <c r="E376" s="7" t="s">
        <v>9670</v>
      </c>
      <c r="F376" s="8" t="s">
        <v>9436</v>
      </c>
      <c r="G376" s="7">
        <v>70</v>
      </c>
      <c r="H376" s="7" t="s">
        <v>9194</v>
      </c>
      <c r="I376" s="7">
        <v>17</v>
      </c>
      <c r="J376" s="7" t="s">
        <v>7822</v>
      </c>
      <c r="K376" s="9" t="s">
        <v>8987</v>
      </c>
    </row>
    <row r="377" spans="1:11">
      <c r="A377" s="7">
        <v>375</v>
      </c>
      <c r="B377" s="7" t="s">
        <v>8983</v>
      </c>
      <c r="C377" s="7" t="s">
        <v>8998</v>
      </c>
      <c r="D377" s="7" t="s">
        <v>7550</v>
      </c>
      <c r="E377" s="7" t="s">
        <v>9671</v>
      </c>
      <c r="F377" s="8" t="s">
        <v>9436</v>
      </c>
      <c r="G377" s="7" t="s">
        <v>8987</v>
      </c>
      <c r="H377" s="7" t="s">
        <v>8987</v>
      </c>
      <c r="I377" s="7" t="s">
        <v>8987</v>
      </c>
      <c r="J377" s="7" t="s">
        <v>8987</v>
      </c>
      <c r="K377" s="9" t="s">
        <v>8987</v>
      </c>
    </row>
    <row r="378" spans="1:11">
      <c r="A378" s="7">
        <v>376</v>
      </c>
      <c r="B378" s="7" t="s">
        <v>8990</v>
      </c>
      <c r="C378" s="7" t="s">
        <v>8991</v>
      </c>
      <c r="D378" s="7" t="s">
        <v>7550</v>
      </c>
      <c r="E378" s="7" t="s">
        <v>9672</v>
      </c>
      <c r="F378" s="8" t="s">
        <v>9669</v>
      </c>
      <c r="G378" s="7">
        <v>90</v>
      </c>
      <c r="H378" s="7" t="s">
        <v>9642</v>
      </c>
      <c r="I378" s="7">
        <v>13</v>
      </c>
      <c r="J378" s="7" t="s">
        <v>9673</v>
      </c>
      <c r="K378" s="9" t="s">
        <v>8987</v>
      </c>
    </row>
    <row r="379" spans="1:11">
      <c r="A379" s="7">
        <v>377</v>
      </c>
      <c r="B379" s="7" t="s">
        <v>8990</v>
      </c>
      <c r="C379" s="7" t="s">
        <v>8991</v>
      </c>
      <c r="D379" s="7" t="s">
        <v>7550</v>
      </c>
      <c r="E379" s="7" t="s">
        <v>9674</v>
      </c>
      <c r="F379" s="8" t="s">
        <v>9436</v>
      </c>
      <c r="G379" s="7">
        <v>100</v>
      </c>
      <c r="H379" s="7" t="s">
        <v>9046</v>
      </c>
      <c r="I379" s="7">
        <v>17</v>
      </c>
      <c r="J379" s="7" t="s">
        <v>9318</v>
      </c>
      <c r="K379" s="9" t="s">
        <v>8987</v>
      </c>
    </row>
    <row r="380" spans="1:11">
      <c r="A380" s="7">
        <v>378</v>
      </c>
      <c r="B380" s="7" t="s">
        <v>8990</v>
      </c>
      <c r="C380" s="7" t="s">
        <v>8984</v>
      </c>
      <c r="D380" s="7" t="s">
        <v>7556</v>
      </c>
      <c r="E380" s="7" t="s">
        <v>9675</v>
      </c>
      <c r="F380" s="8" t="s">
        <v>9676</v>
      </c>
      <c r="G380" s="7">
        <v>250</v>
      </c>
      <c r="H380" s="7" t="s">
        <v>9351</v>
      </c>
      <c r="I380" s="7">
        <v>41</v>
      </c>
      <c r="J380" s="7" t="s">
        <v>9352</v>
      </c>
      <c r="K380" s="9" t="s">
        <v>8987</v>
      </c>
    </row>
    <row r="381" spans="1:11">
      <c r="A381" s="7">
        <v>379</v>
      </c>
      <c r="B381" s="7" t="s">
        <v>8990</v>
      </c>
      <c r="C381" s="7" t="s">
        <v>8984</v>
      </c>
      <c r="D381" s="7" t="s">
        <v>7566</v>
      </c>
      <c r="E381" s="7" t="s">
        <v>9677</v>
      </c>
      <c r="F381" s="8" t="s">
        <v>9628</v>
      </c>
      <c r="G381" s="7">
        <v>12</v>
      </c>
      <c r="H381" s="7" t="s">
        <v>9213</v>
      </c>
      <c r="I381" s="7">
        <v>3</v>
      </c>
      <c r="J381" s="7" t="s">
        <v>7720</v>
      </c>
      <c r="K381" s="9" t="s">
        <v>8987</v>
      </c>
    </row>
    <row r="382" spans="1:11">
      <c r="A382" s="7">
        <v>380</v>
      </c>
      <c r="B382" s="7" t="s">
        <v>8983</v>
      </c>
      <c r="C382" s="7" t="s">
        <v>8984</v>
      </c>
      <c r="D382" s="7" t="s">
        <v>7556</v>
      </c>
      <c r="E382" s="7" t="s">
        <v>9678</v>
      </c>
      <c r="F382" s="8" t="s">
        <v>9595</v>
      </c>
      <c r="G382" s="7">
        <v>250</v>
      </c>
      <c r="H382" s="7" t="s">
        <v>9351</v>
      </c>
      <c r="I382" s="7">
        <v>41</v>
      </c>
      <c r="J382" s="7" t="s">
        <v>7832</v>
      </c>
      <c r="K382" s="9" t="s">
        <v>8987</v>
      </c>
    </row>
    <row r="383" spans="1:11">
      <c r="A383" s="7">
        <v>381</v>
      </c>
      <c r="B383" s="7" t="s">
        <v>8990</v>
      </c>
      <c r="C383" s="7" t="s">
        <v>8984</v>
      </c>
      <c r="D383" s="7" t="s">
        <v>7556</v>
      </c>
      <c r="E383" s="7" t="s">
        <v>9679</v>
      </c>
      <c r="F383" s="8" t="s">
        <v>9595</v>
      </c>
      <c r="G383" s="7">
        <v>250</v>
      </c>
      <c r="H383" s="7" t="s">
        <v>9351</v>
      </c>
      <c r="I383" s="7">
        <v>41</v>
      </c>
      <c r="J383" s="7" t="s">
        <v>7832</v>
      </c>
      <c r="K383" s="9" t="s">
        <v>8987</v>
      </c>
    </row>
    <row r="384" spans="1:11">
      <c r="A384" s="7">
        <v>382</v>
      </c>
      <c r="B384" s="7" t="s">
        <v>8990</v>
      </c>
      <c r="C384" s="7" t="s">
        <v>8984</v>
      </c>
      <c r="D384" s="7" t="s">
        <v>7556</v>
      </c>
      <c r="E384" s="7" t="s">
        <v>9680</v>
      </c>
      <c r="F384" s="8" t="s">
        <v>9595</v>
      </c>
      <c r="G384" s="7">
        <v>200</v>
      </c>
      <c r="H384" s="7" t="s">
        <v>9447</v>
      </c>
      <c r="I384" s="7">
        <v>41</v>
      </c>
      <c r="J384" s="7" t="s">
        <v>9681</v>
      </c>
      <c r="K384" s="9" t="s">
        <v>8987</v>
      </c>
    </row>
    <row r="385" spans="1:11">
      <c r="A385" s="7">
        <v>383</v>
      </c>
      <c r="B385" s="7" t="s">
        <v>8990</v>
      </c>
      <c r="C385" s="7" t="s">
        <v>8984</v>
      </c>
      <c r="D385" s="7" t="s">
        <v>7542</v>
      </c>
      <c r="E385" s="7" t="s">
        <v>9682</v>
      </c>
      <c r="F385" s="8" t="s">
        <v>9576</v>
      </c>
      <c r="G385" s="7">
        <v>5</v>
      </c>
      <c r="H385" s="7" t="s">
        <v>9336</v>
      </c>
      <c r="I385" s="7">
        <v>4</v>
      </c>
      <c r="J385" s="7" t="s">
        <v>9337</v>
      </c>
      <c r="K385" s="9" t="s">
        <v>8987</v>
      </c>
    </row>
    <row r="386" spans="1:11">
      <c r="A386" s="7">
        <v>384</v>
      </c>
      <c r="B386" s="7" t="s">
        <v>8990</v>
      </c>
      <c r="C386" s="7" t="s">
        <v>8984</v>
      </c>
      <c r="D386" s="7" t="s">
        <v>7542</v>
      </c>
      <c r="E386" s="7" t="s">
        <v>9683</v>
      </c>
      <c r="F386" s="8" t="s">
        <v>9609</v>
      </c>
      <c r="G386" s="7">
        <v>5</v>
      </c>
      <c r="H386" s="7" t="s">
        <v>9336</v>
      </c>
      <c r="I386" s="7">
        <v>4</v>
      </c>
      <c r="J386" s="7" t="s">
        <v>9337</v>
      </c>
      <c r="K386" s="9" t="s">
        <v>8987</v>
      </c>
    </row>
    <row r="387" spans="1:11">
      <c r="A387" s="7">
        <v>385</v>
      </c>
      <c r="B387" s="7" t="s">
        <v>8990</v>
      </c>
      <c r="C387" s="7" t="s">
        <v>8984</v>
      </c>
      <c r="D387" s="7" t="s">
        <v>7542</v>
      </c>
      <c r="E387" s="7" t="s">
        <v>9684</v>
      </c>
      <c r="F387" s="8" t="s">
        <v>9611</v>
      </c>
      <c r="G387" s="7">
        <v>5</v>
      </c>
      <c r="H387" s="7" t="s">
        <v>9336</v>
      </c>
      <c r="I387" s="7">
        <v>4</v>
      </c>
      <c r="J387" s="7" t="s">
        <v>9337</v>
      </c>
      <c r="K387" s="9" t="s">
        <v>8987</v>
      </c>
    </row>
    <row r="388" spans="1:11">
      <c r="A388" s="7">
        <v>386</v>
      </c>
      <c r="B388" s="7" t="s">
        <v>8990</v>
      </c>
      <c r="C388" s="7" t="s">
        <v>8984</v>
      </c>
      <c r="D388" s="7" t="s">
        <v>7542</v>
      </c>
      <c r="E388" s="7" t="s">
        <v>9685</v>
      </c>
      <c r="F388" s="8" t="s">
        <v>9613</v>
      </c>
      <c r="G388" s="7">
        <v>5</v>
      </c>
      <c r="H388" s="7" t="s">
        <v>9336</v>
      </c>
      <c r="I388" s="7">
        <v>4</v>
      </c>
      <c r="J388" s="7" t="s">
        <v>9337</v>
      </c>
      <c r="K388" s="9" t="s">
        <v>8987</v>
      </c>
    </row>
    <row r="389" spans="1:11">
      <c r="A389" s="7">
        <v>387</v>
      </c>
      <c r="B389" s="7" t="s">
        <v>8990</v>
      </c>
      <c r="C389" s="7" t="s">
        <v>8984</v>
      </c>
      <c r="D389" s="7" t="s">
        <v>7542</v>
      </c>
      <c r="E389" s="7" t="s">
        <v>9686</v>
      </c>
      <c r="F389" s="8" t="s">
        <v>9615</v>
      </c>
      <c r="G389" s="7">
        <v>5</v>
      </c>
      <c r="H389" s="7" t="s">
        <v>9336</v>
      </c>
      <c r="I389" s="7">
        <v>4</v>
      </c>
      <c r="J389" s="7" t="s">
        <v>9337</v>
      </c>
      <c r="K389" s="9" t="s">
        <v>8987</v>
      </c>
    </row>
    <row r="390" spans="1:11">
      <c r="A390" s="7">
        <v>388</v>
      </c>
      <c r="B390" s="7" t="s">
        <v>8990</v>
      </c>
      <c r="C390" s="7" t="s">
        <v>8984</v>
      </c>
      <c r="D390" s="7" t="s">
        <v>7542</v>
      </c>
      <c r="E390" s="7" t="s">
        <v>9687</v>
      </c>
      <c r="F390" s="8" t="s">
        <v>9617</v>
      </c>
      <c r="G390" s="7">
        <v>5</v>
      </c>
      <c r="H390" s="7" t="s">
        <v>9336</v>
      </c>
      <c r="I390" s="7">
        <v>4</v>
      </c>
      <c r="J390" s="7" t="s">
        <v>9337</v>
      </c>
      <c r="K390" s="9" t="s">
        <v>8987</v>
      </c>
    </row>
    <row r="391" spans="1:11">
      <c r="A391" s="7">
        <v>389</v>
      </c>
      <c r="B391" s="7" t="s">
        <v>8990</v>
      </c>
      <c r="C391" s="7" t="s">
        <v>8984</v>
      </c>
      <c r="D391" s="7" t="s">
        <v>7542</v>
      </c>
      <c r="E391" s="7" t="s">
        <v>9688</v>
      </c>
      <c r="F391" s="8" t="s">
        <v>9291</v>
      </c>
      <c r="G391" s="7">
        <v>5</v>
      </c>
      <c r="H391" s="7" t="s">
        <v>9336</v>
      </c>
      <c r="I391" s="7">
        <v>4</v>
      </c>
      <c r="J391" s="7" t="s">
        <v>9337</v>
      </c>
      <c r="K391" s="9" t="s">
        <v>8987</v>
      </c>
    </row>
    <row r="392" spans="1:11">
      <c r="A392" s="7">
        <v>390</v>
      </c>
      <c r="B392" s="7" t="s">
        <v>8990</v>
      </c>
      <c r="C392" s="7" t="s">
        <v>8991</v>
      </c>
      <c r="D392" s="7" t="s">
        <v>7542</v>
      </c>
      <c r="E392" s="7" t="s">
        <v>9689</v>
      </c>
      <c r="F392" s="8" t="s">
        <v>9576</v>
      </c>
      <c r="G392" s="7">
        <v>10</v>
      </c>
      <c r="H392" s="7" t="s">
        <v>9292</v>
      </c>
      <c r="I392" s="7">
        <v>3</v>
      </c>
      <c r="J392" s="7" t="s">
        <v>7718</v>
      </c>
      <c r="K392" s="9" t="s">
        <v>8987</v>
      </c>
    </row>
    <row r="393" spans="1:11">
      <c r="A393" s="7">
        <v>391</v>
      </c>
      <c r="B393" s="7" t="s">
        <v>8990</v>
      </c>
      <c r="C393" s="7" t="s">
        <v>8991</v>
      </c>
      <c r="D393" s="7" t="s">
        <v>7542</v>
      </c>
      <c r="E393" s="7" t="s">
        <v>9690</v>
      </c>
      <c r="F393" s="8" t="s">
        <v>9609</v>
      </c>
      <c r="G393" s="7">
        <v>10</v>
      </c>
      <c r="H393" s="7" t="s">
        <v>9292</v>
      </c>
      <c r="I393" s="7">
        <v>3</v>
      </c>
      <c r="J393" s="7" t="s">
        <v>7718</v>
      </c>
      <c r="K393" s="9" t="s">
        <v>8987</v>
      </c>
    </row>
    <row r="394" spans="1:11">
      <c r="A394" s="7">
        <v>392</v>
      </c>
      <c r="B394" s="7" t="s">
        <v>8990</v>
      </c>
      <c r="C394" s="7" t="s">
        <v>8991</v>
      </c>
      <c r="D394" s="7" t="s">
        <v>7542</v>
      </c>
      <c r="E394" s="7" t="s">
        <v>9691</v>
      </c>
      <c r="F394" s="8" t="s">
        <v>9611</v>
      </c>
      <c r="G394" s="7">
        <v>10</v>
      </c>
      <c r="H394" s="7" t="s">
        <v>9292</v>
      </c>
      <c r="I394" s="7">
        <v>3</v>
      </c>
      <c r="J394" s="7" t="s">
        <v>7718</v>
      </c>
      <c r="K394" s="9" t="s">
        <v>8987</v>
      </c>
    </row>
    <row r="395" spans="1:11">
      <c r="A395" s="7">
        <v>393</v>
      </c>
      <c r="B395" s="7" t="s">
        <v>8990</v>
      </c>
      <c r="C395" s="7" t="s">
        <v>8991</v>
      </c>
      <c r="D395" s="7" t="s">
        <v>7542</v>
      </c>
      <c r="E395" s="7" t="s">
        <v>9692</v>
      </c>
      <c r="F395" s="8" t="s">
        <v>9613</v>
      </c>
      <c r="G395" s="7">
        <v>10</v>
      </c>
      <c r="H395" s="7" t="s">
        <v>9292</v>
      </c>
      <c r="I395" s="7">
        <v>3</v>
      </c>
      <c r="J395" s="7" t="s">
        <v>7718</v>
      </c>
      <c r="K395" s="9" t="s">
        <v>8987</v>
      </c>
    </row>
    <row r="396" spans="1:11">
      <c r="A396" s="7">
        <v>394</v>
      </c>
      <c r="B396" s="7" t="s">
        <v>8990</v>
      </c>
      <c r="C396" s="7" t="s">
        <v>8991</v>
      </c>
      <c r="D396" s="7" t="s">
        <v>7542</v>
      </c>
      <c r="E396" s="7" t="s">
        <v>9693</v>
      </c>
      <c r="F396" s="8" t="s">
        <v>9615</v>
      </c>
      <c r="G396" s="7">
        <v>10</v>
      </c>
      <c r="H396" s="7" t="s">
        <v>9292</v>
      </c>
      <c r="I396" s="7">
        <v>3</v>
      </c>
      <c r="J396" s="7" t="s">
        <v>7718</v>
      </c>
      <c r="K396" s="9" t="s">
        <v>8987</v>
      </c>
    </row>
    <row r="397" spans="1:11">
      <c r="A397" s="7">
        <v>395</v>
      </c>
      <c r="B397" s="7" t="s">
        <v>8990</v>
      </c>
      <c r="C397" s="7" t="s">
        <v>8991</v>
      </c>
      <c r="D397" s="7" t="s">
        <v>7542</v>
      </c>
      <c r="E397" s="7" t="s">
        <v>6336</v>
      </c>
      <c r="F397" s="8" t="s">
        <v>9617</v>
      </c>
      <c r="G397" s="7">
        <v>10</v>
      </c>
      <c r="H397" s="7" t="s">
        <v>9292</v>
      </c>
      <c r="I397" s="7">
        <v>3</v>
      </c>
      <c r="J397" s="7" t="s">
        <v>7718</v>
      </c>
      <c r="K397" s="9" t="s">
        <v>8987</v>
      </c>
    </row>
    <row r="398" spans="1:11">
      <c r="A398" s="7">
        <v>396</v>
      </c>
      <c r="B398" s="7" t="s">
        <v>8990</v>
      </c>
      <c r="C398" s="7" t="s">
        <v>8991</v>
      </c>
      <c r="D398" s="7" t="s">
        <v>7542</v>
      </c>
      <c r="E398" s="7" t="s">
        <v>9694</v>
      </c>
      <c r="F398" s="8" t="s">
        <v>9291</v>
      </c>
      <c r="G398" s="7">
        <v>10</v>
      </c>
      <c r="H398" s="7" t="s">
        <v>9292</v>
      </c>
      <c r="I398" s="7">
        <v>3</v>
      </c>
      <c r="J398" s="7" t="s">
        <v>7718</v>
      </c>
      <c r="K398" s="9" t="s">
        <v>8987</v>
      </c>
    </row>
    <row r="399" spans="1:11">
      <c r="A399" s="7">
        <v>397</v>
      </c>
      <c r="B399" s="7" t="s">
        <v>9208</v>
      </c>
      <c r="C399" s="7" t="s">
        <v>8984</v>
      </c>
      <c r="D399" s="7" t="s">
        <v>7549</v>
      </c>
      <c r="E399" s="7" t="s">
        <v>9695</v>
      </c>
      <c r="F399" s="8" t="s">
        <v>9696</v>
      </c>
      <c r="G399" s="7">
        <v>0</v>
      </c>
      <c r="H399" s="7" t="s">
        <v>8984</v>
      </c>
      <c r="I399" s="7">
        <v>1</v>
      </c>
      <c r="J399" s="7" t="s">
        <v>7838</v>
      </c>
      <c r="K399" s="9" t="s">
        <v>8987</v>
      </c>
    </row>
    <row r="400" spans="1:11">
      <c r="A400" s="7">
        <v>398</v>
      </c>
      <c r="B400" s="7" t="s">
        <v>9208</v>
      </c>
      <c r="C400" s="7" t="s">
        <v>8984</v>
      </c>
      <c r="D400" s="7" t="s">
        <v>7549</v>
      </c>
      <c r="E400" s="7" t="s">
        <v>9697</v>
      </c>
      <c r="F400" s="8" t="s">
        <v>9698</v>
      </c>
      <c r="G400" s="7">
        <v>0</v>
      </c>
      <c r="H400" s="7" t="s">
        <v>8984</v>
      </c>
      <c r="I400" s="7">
        <v>1</v>
      </c>
      <c r="J400" s="7" t="s">
        <v>7838</v>
      </c>
      <c r="K400" s="9" t="s">
        <v>8987</v>
      </c>
    </row>
    <row r="401" spans="1:11">
      <c r="A401" s="7">
        <v>399</v>
      </c>
      <c r="B401" s="7" t="s">
        <v>9208</v>
      </c>
      <c r="C401" s="7" t="s">
        <v>8984</v>
      </c>
      <c r="D401" s="7" t="s">
        <v>7549</v>
      </c>
      <c r="E401" s="7" t="s">
        <v>9699</v>
      </c>
      <c r="F401" s="8" t="s">
        <v>9700</v>
      </c>
      <c r="G401" s="7">
        <v>0</v>
      </c>
      <c r="H401" s="7" t="s">
        <v>8984</v>
      </c>
      <c r="I401" s="7">
        <v>1</v>
      </c>
      <c r="J401" s="7" t="s">
        <v>7838</v>
      </c>
      <c r="K401" s="9" t="s">
        <v>8987</v>
      </c>
    </row>
    <row r="402" spans="1:11">
      <c r="A402" s="7">
        <v>400</v>
      </c>
      <c r="B402" s="7" t="s">
        <v>9208</v>
      </c>
      <c r="C402" s="7" t="s">
        <v>8984</v>
      </c>
      <c r="D402" s="7" t="s">
        <v>7549</v>
      </c>
      <c r="E402" s="7" t="s">
        <v>9701</v>
      </c>
      <c r="F402" s="8" t="s">
        <v>3131</v>
      </c>
      <c r="G402" s="7">
        <v>0</v>
      </c>
      <c r="H402" s="7" t="s">
        <v>8984</v>
      </c>
      <c r="I402" s="7">
        <v>1</v>
      </c>
      <c r="J402" s="7" t="s">
        <v>7838</v>
      </c>
      <c r="K402" s="9" t="s">
        <v>8987</v>
      </c>
    </row>
    <row r="403" spans="1:11">
      <c r="A403" s="7">
        <v>401</v>
      </c>
      <c r="B403" s="7" t="s">
        <v>8990</v>
      </c>
      <c r="C403" s="7" t="s">
        <v>8984</v>
      </c>
      <c r="D403" s="7" t="s">
        <v>7542</v>
      </c>
      <c r="E403" s="7" t="s">
        <v>9702</v>
      </c>
      <c r="F403" s="8" t="s">
        <v>9703</v>
      </c>
      <c r="G403" s="7">
        <v>150</v>
      </c>
      <c r="H403" s="7" t="s">
        <v>9253</v>
      </c>
      <c r="I403" s="7">
        <v>33</v>
      </c>
      <c r="J403" s="7" t="s">
        <v>9704</v>
      </c>
      <c r="K403" s="9" t="s">
        <v>8987</v>
      </c>
    </row>
    <row r="404" spans="1:11">
      <c r="A404" s="7">
        <v>402</v>
      </c>
      <c r="B404" s="7" t="s">
        <v>8990</v>
      </c>
      <c r="C404" s="7" t="s">
        <v>8984</v>
      </c>
      <c r="D404" s="7" t="s">
        <v>7542</v>
      </c>
      <c r="E404" s="7" t="s">
        <v>9705</v>
      </c>
      <c r="F404" s="8" t="s">
        <v>9706</v>
      </c>
      <c r="G404" s="7">
        <v>150</v>
      </c>
      <c r="H404" s="7" t="s">
        <v>9253</v>
      </c>
      <c r="I404" s="7">
        <v>33</v>
      </c>
      <c r="J404" s="7" t="s">
        <v>9704</v>
      </c>
      <c r="K404" s="9" t="s">
        <v>8987</v>
      </c>
    </row>
    <row r="405" spans="1:11">
      <c r="A405" s="7">
        <v>403</v>
      </c>
      <c r="B405" s="7" t="s">
        <v>8990</v>
      </c>
      <c r="C405" s="7" t="s">
        <v>8984</v>
      </c>
      <c r="D405" s="7" t="s">
        <v>7555</v>
      </c>
      <c r="E405" s="7" t="s">
        <v>9707</v>
      </c>
      <c r="F405" s="8" t="s">
        <v>9708</v>
      </c>
      <c r="G405" s="7">
        <v>150</v>
      </c>
      <c r="H405" s="7" t="s">
        <v>9253</v>
      </c>
      <c r="I405" s="7">
        <v>31</v>
      </c>
      <c r="J405" s="7" t="s">
        <v>9254</v>
      </c>
      <c r="K405" s="9" t="s">
        <v>8987</v>
      </c>
    </row>
    <row r="406" spans="1:11">
      <c r="A406" s="7">
        <v>404</v>
      </c>
      <c r="B406" s="7" t="s">
        <v>9216</v>
      </c>
      <c r="C406" s="7" t="s">
        <v>8984</v>
      </c>
      <c r="D406" s="7" t="s">
        <v>7555</v>
      </c>
      <c r="E406" s="7" t="s">
        <v>9709</v>
      </c>
      <c r="F406" s="8" t="s">
        <v>9710</v>
      </c>
      <c r="G406" s="7">
        <v>150</v>
      </c>
      <c r="H406" s="7" t="s">
        <v>9253</v>
      </c>
      <c r="I406" s="7">
        <v>31</v>
      </c>
      <c r="J406" s="7" t="s">
        <v>9254</v>
      </c>
      <c r="K406" s="9" t="s">
        <v>8987</v>
      </c>
    </row>
    <row r="407" spans="1:11">
      <c r="A407" s="7">
        <v>405</v>
      </c>
      <c r="B407" s="7" t="s">
        <v>9216</v>
      </c>
      <c r="C407" s="7" t="s">
        <v>8991</v>
      </c>
      <c r="D407" s="7" t="s">
        <v>7555</v>
      </c>
      <c r="E407" s="7" t="s">
        <v>9711</v>
      </c>
      <c r="F407" s="8" t="s">
        <v>9712</v>
      </c>
      <c r="G407" s="7">
        <v>150</v>
      </c>
      <c r="H407" s="7" t="s">
        <v>9253</v>
      </c>
      <c r="I407" s="7">
        <v>31</v>
      </c>
      <c r="J407" s="7" t="s">
        <v>9254</v>
      </c>
      <c r="K407" s="9" t="s">
        <v>8987</v>
      </c>
    </row>
    <row r="408" spans="1:11">
      <c r="A408" s="7">
        <v>406</v>
      </c>
      <c r="B408" s="7" t="s">
        <v>8990</v>
      </c>
      <c r="C408" s="7" t="s">
        <v>8991</v>
      </c>
      <c r="D408" s="7" t="s">
        <v>7555</v>
      </c>
      <c r="E408" s="7" t="s">
        <v>9713</v>
      </c>
      <c r="F408" s="8" t="s">
        <v>9708</v>
      </c>
      <c r="G408" s="7">
        <v>200</v>
      </c>
      <c r="H408" s="7" t="s">
        <v>9447</v>
      </c>
      <c r="I408" s="7">
        <v>41</v>
      </c>
      <c r="J408" s="7" t="s">
        <v>9681</v>
      </c>
      <c r="K408" s="9" t="s">
        <v>8987</v>
      </c>
    </row>
    <row r="409" spans="1:11">
      <c r="A409" s="7">
        <v>407</v>
      </c>
      <c r="B409" s="7" t="s">
        <v>9216</v>
      </c>
      <c r="C409" s="7" t="s">
        <v>8991</v>
      </c>
      <c r="D409" s="7" t="s">
        <v>7555</v>
      </c>
      <c r="E409" s="7" t="s">
        <v>9714</v>
      </c>
      <c r="F409" s="8" t="s">
        <v>9710</v>
      </c>
      <c r="G409" s="7">
        <v>200</v>
      </c>
      <c r="H409" s="7" t="s">
        <v>9447</v>
      </c>
      <c r="I409" s="7">
        <v>41</v>
      </c>
      <c r="J409" s="7" t="s">
        <v>9681</v>
      </c>
      <c r="K409" s="9" t="s">
        <v>8987</v>
      </c>
    </row>
    <row r="410" spans="1:11">
      <c r="A410" s="7">
        <v>408</v>
      </c>
      <c r="B410" s="7" t="s">
        <v>9216</v>
      </c>
      <c r="C410" s="7" t="s">
        <v>8991</v>
      </c>
      <c r="D410" s="7" t="s">
        <v>7555</v>
      </c>
      <c r="E410" s="7" t="s">
        <v>9715</v>
      </c>
      <c r="F410" s="8" t="s">
        <v>9712</v>
      </c>
      <c r="G410" s="7">
        <v>200</v>
      </c>
      <c r="H410" s="7" t="s">
        <v>9447</v>
      </c>
      <c r="I410" s="7">
        <v>41</v>
      </c>
      <c r="J410" s="7" t="s">
        <v>9681</v>
      </c>
      <c r="K410" s="9" t="s">
        <v>8987</v>
      </c>
    </row>
    <row r="411" spans="1:11">
      <c r="A411" s="7">
        <v>409</v>
      </c>
      <c r="B411" s="7" t="s">
        <v>8990</v>
      </c>
      <c r="C411" s="7" t="s">
        <v>8984</v>
      </c>
      <c r="D411" s="7" t="s">
        <v>7549</v>
      </c>
      <c r="E411" s="7" t="s">
        <v>9716</v>
      </c>
      <c r="F411" s="8" t="s">
        <v>9717</v>
      </c>
      <c r="G411" s="7">
        <v>250</v>
      </c>
      <c r="H411" s="7" t="s">
        <v>9351</v>
      </c>
      <c r="I411" s="7">
        <v>41</v>
      </c>
      <c r="J411" s="7" t="s">
        <v>9352</v>
      </c>
      <c r="K411" s="9" t="s">
        <v>8987</v>
      </c>
    </row>
    <row r="412" spans="1:11">
      <c r="A412" s="7">
        <v>410</v>
      </c>
      <c r="B412" s="7" t="s">
        <v>8990</v>
      </c>
      <c r="C412" s="7" t="s">
        <v>8991</v>
      </c>
      <c r="D412" s="7" t="s">
        <v>7549</v>
      </c>
      <c r="E412" s="7" t="s">
        <v>9718</v>
      </c>
      <c r="F412" s="8" t="s">
        <v>9717</v>
      </c>
      <c r="G412" s="7">
        <v>320</v>
      </c>
      <c r="H412" s="7" t="s">
        <v>9719</v>
      </c>
      <c r="I412" s="7">
        <v>41</v>
      </c>
      <c r="J412" s="7" t="s">
        <v>9720</v>
      </c>
      <c r="K412" s="9" t="s">
        <v>8987</v>
      </c>
    </row>
    <row r="413" spans="1:11">
      <c r="A413" s="7">
        <v>411</v>
      </c>
      <c r="B413" s="7" t="s">
        <v>8990</v>
      </c>
      <c r="C413" s="7" t="s">
        <v>8984</v>
      </c>
      <c r="D413" s="7" t="s">
        <v>7581</v>
      </c>
      <c r="E413" s="7" t="s">
        <v>9721</v>
      </c>
      <c r="F413" s="8" t="s">
        <v>9722</v>
      </c>
      <c r="G413" s="7">
        <v>1000</v>
      </c>
      <c r="H413" s="7" t="s">
        <v>9723</v>
      </c>
      <c r="I413" s="7">
        <v>1</v>
      </c>
      <c r="J413" s="7" t="s">
        <v>9724</v>
      </c>
      <c r="K413" s="9" t="s">
        <v>8987</v>
      </c>
    </row>
    <row r="414" spans="1:11">
      <c r="A414" s="7">
        <v>412</v>
      </c>
      <c r="B414" s="7" t="s">
        <v>9725</v>
      </c>
      <c r="C414" s="7" t="s">
        <v>8984</v>
      </c>
      <c r="D414" s="7" t="s">
        <v>7551</v>
      </c>
      <c r="E414" s="7" t="s">
        <v>9726</v>
      </c>
      <c r="F414" s="8" t="s">
        <v>1783</v>
      </c>
      <c r="G414" s="7">
        <v>10</v>
      </c>
      <c r="H414" s="7" t="s">
        <v>9292</v>
      </c>
      <c r="I414" s="7">
        <v>1</v>
      </c>
      <c r="J414" s="7" t="s">
        <v>7768</v>
      </c>
      <c r="K414" s="9" t="s">
        <v>8987</v>
      </c>
    </row>
    <row r="415" spans="1:11">
      <c r="A415" s="7">
        <v>413</v>
      </c>
      <c r="B415" s="7" t="s">
        <v>9725</v>
      </c>
      <c r="C415" s="7" t="s">
        <v>8984</v>
      </c>
      <c r="D415" s="7" t="s">
        <v>7551</v>
      </c>
      <c r="E415" s="7" t="s">
        <v>9727</v>
      </c>
      <c r="F415" s="8" t="s">
        <v>9133</v>
      </c>
      <c r="G415" s="7">
        <v>5</v>
      </c>
      <c r="H415" s="7" t="s">
        <v>9336</v>
      </c>
      <c r="I415" s="7">
        <v>1</v>
      </c>
      <c r="J415" s="7" t="s">
        <v>7620</v>
      </c>
      <c r="K415" s="9" t="s">
        <v>8987</v>
      </c>
    </row>
    <row r="416" spans="1:11">
      <c r="A416" s="7">
        <v>414</v>
      </c>
      <c r="B416" s="7" t="s">
        <v>9725</v>
      </c>
      <c r="C416" s="7" t="s">
        <v>8984</v>
      </c>
      <c r="D416" s="7" t="s">
        <v>7551</v>
      </c>
      <c r="E416" s="7" t="s">
        <v>9728</v>
      </c>
      <c r="F416" s="8" t="s">
        <v>9135</v>
      </c>
      <c r="G416" s="7">
        <v>6</v>
      </c>
      <c r="H416" s="7" t="s">
        <v>9218</v>
      </c>
      <c r="I416" s="7">
        <v>1</v>
      </c>
      <c r="J416" s="7" t="s">
        <v>7623</v>
      </c>
      <c r="K416" s="9" t="s">
        <v>8987</v>
      </c>
    </row>
    <row r="417" spans="1:11">
      <c r="A417" s="7">
        <v>415</v>
      </c>
      <c r="B417" s="7" t="s">
        <v>9725</v>
      </c>
      <c r="C417" s="7" t="s">
        <v>8984</v>
      </c>
      <c r="D417" s="7" t="s">
        <v>7551</v>
      </c>
      <c r="E417" s="7" t="s">
        <v>9729</v>
      </c>
      <c r="F417" s="8" t="s">
        <v>1783</v>
      </c>
      <c r="G417" s="7">
        <v>27</v>
      </c>
      <c r="H417" s="7" t="s">
        <v>9130</v>
      </c>
      <c r="I417" s="7">
        <v>9</v>
      </c>
      <c r="J417" s="7" t="s">
        <v>9131</v>
      </c>
      <c r="K417" s="9" t="s">
        <v>8987</v>
      </c>
    </row>
    <row r="418" spans="1:11">
      <c r="A418" s="7">
        <v>416</v>
      </c>
      <c r="B418" s="7" t="s">
        <v>9216</v>
      </c>
      <c r="C418" s="7" t="s">
        <v>8984</v>
      </c>
      <c r="D418" s="7" t="s">
        <v>7551</v>
      </c>
      <c r="E418" s="7" t="s">
        <v>9730</v>
      </c>
      <c r="F418" s="8" t="s">
        <v>9731</v>
      </c>
      <c r="G418" s="7">
        <v>27</v>
      </c>
      <c r="H418" s="7" t="s">
        <v>9130</v>
      </c>
      <c r="I418" s="7">
        <v>9</v>
      </c>
      <c r="J418" s="7" t="s">
        <v>9131</v>
      </c>
      <c r="K418" s="9" t="s">
        <v>8987</v>
      </c>
    </row>
    <row r="419" spans="1:11">
      <c r="A419" s="7">
        <v>417</v>
      </c>
      <c r="B419" s="7" t="s">
        <v>8990</v>
      </c>
      <c r="C419" s="7" t="s">
        <v>8984</v>
      </c>
      <c r="D419" s="7" t="s">
        <v>7556</v>
      </c>
      <c r="E419" s="7" t="s">
        <v>4039</v>
      </c>
      <c r="F419" s="8" t="s">
        <v>9732</v>
      </c>
      <c r="G419" s="7">
        <v>110</v>
      </c>
      <c r="H419" s="7" t="s">
        <v>9321</v>
      </c>
      <c r="I419" s="7">
        <v>25</v>
      </c>
      <c r="J419" s="7" t="s">
        <v>9322</v>
      </c>
      <c r="K419" s="9" t="s">
        <v>8987</v>
      </c>
    </row>
    <row r="420" spans="1:11">
      <c r="A420" s="7">
        <v>418</v>
      </c>
      <c r="B420" s="7" t="s">
        <v>8983</v>
      </c>
      <c r="C420" s="7" t="s">
        <v>8984</v>
      </c>
      <c r="D420" s="7" t="s">
        <v>7556</v>
      </c>
      <c r="E420" s="7" t="s">
        <v>9733</v>
      </c>
      <c r="F420" s="8" t="s">
        <v>9732</v>
      </c>
      <c r="G420" s="7">
        <v>110</v>
      </c>
      <c r="H420" s="7" t="s">
        <v>9321</v>
      </c>
      <c r="I420" s="7">
        <v>25</v>
      </c>
      <c r="J420" s="7" t="s">
        <v>9322</v>
      </c>
      <c r="K420" s="9" t="s">
        <v>8987</v>
      </c>
    </row>
    <row r="421" spans="1:11">
      <c r="A421" s="7">
        <v>419</v>
      </c>
      <c r="B421" s="7" t="s">
        <v>8990</v>
      </c>
      <c r="C421" s="7" t="s">
        <v>8984</v>
      </c>
      <c r="D421" s="7" t="s">
        <v>7556</v>
      </c>
      <c r="E421" s="7" t="s">
        <v>9734</v>
      </c>
      <c r="F421" s="8" t="s">
        <v>9735</v>
      </c>
      <c r="G421" s="7">
        <v>130</v>
      </c>
      <c r="H421" s="7" t="s">
        <v>9062</v>
      </c>
      <c r="I421" s="7">
        <v>25</v>
      </c>
      <c r="J421" s="7" t="s">
        <v>9736</v>
      </c>
      <c r="K421" s="9" t="s">
        <v>8987</v>
      </c>
    </row>
    <row r="422" spans="1:11">
      <c r="A422" s="7">
        <v>420</v>
      </c>
      <c r="B422" s="7" t="s">
        <v>8990</v>
      </c>
      <c r="C422" s="7" t="s">
        <v>8991</v>
      </c>
      <c r="D422" s="7" t="s">
        <v>7556</v>
      </c>
      <c r="E422" s="7" t="s">
        <v>9737</v>
      </c>
      <c r="F422" s="8" t="s">
        <v>9735</v>
      </c>
      <c r="G422" s="7">
        <v>130</v>
      </c>
      <c r="H422" s="7" t="s">
        <v>9062</v>
      </c>
      <c r="I422" s="7">
        <v>25</v>
      </c>
      <c r="J422" s="7" t="s">
        <v>9736</v>
      </c>
      <c r="K422" s="9" t="s">
        <v>8987</v>
      </c>
    </row>
    <row r="423" spans="1:11">
      <c r="A423" s="7">
        <v>421</v>
      </c>
      <c r="B423" s="7" t="s">
        <v>8990</v>
      </c>
      <c r="C423" s="7" t="s">
        <v>8984</v>
      </c>
      <c r="D423" s="7" t="s">
        <v>7556</v>
      </c>
      <c r="E423" s="7" t="s">
        <v>9738</v>
      </c>
      <c r="F423" s="8" t="s">
        <v>9735</v>
      </c>
      <c r="G423" s="7">
        <v>130</v>
      </c>
      <c r="H423" s="7" t="s">
        <v>9062</v>
      </c>
      <c r="I423" s="7">
        <v>25</v>
      </c>
      <c r="J423" s="7" t="s">
        <v>9736</v>
      </c>
      <c r="K423" s="9" t="s">
        <v>8987</v>
      </c>
    </row>
    <row r="424" spans="1:11">
      <c r="A424" s="7">
        <v>422</v>
      </c>
      <c r="B424" s="7" t="s">
        <v>8990</v>
      </c>
      <c r="C424" s="7" t="s">
        <v>8984</v>
      </c>
      <c r="D424" s="7" t="s">
        <v>7556</v>
      </c>
      <c r="E424" s="7" t="s">
        <v>9739</v>
      </c>
      <c r="F424" s="8" t="s">
        <v>9735</v>
      </c>
      <c r="G424" s="7">
        <v>130</v>
      </c>
      <c r="H424" s="7" t="s">
        <v>9062</v>
      </c>
      <c r="I424" s="7">
        <v>25</v>
      </c>
      <c r="J424" s="7" t="s">
        <v>9736</v>
      </c>
      <c r="K424" s="9" t="s">
        <v>8987</v>
      </c>
    </row>
    <row r="425" spans="1:11">
      <c r="A425" s="7">
        <v>423</v>
      </c>
      <c r="B425" s="7" t="s">
        <v>8990</v>
      </c>
      <c r="C425" s="7" t="s">
        <v>8984</v>
      </c>
      <c r="D425" s="7" t="s">
        <v>7556</v>
      </c>
      <c r="E425" s="7" t="s">
        <v>9740</v>
      </c>
      <c r="F425" s="8" t="s">
        <v>9735</v>
      </c>
      <c r="G425" s="7">
        <v>130</v>
      </c>
      <c r="H425" s="7" t="s">
        <v>9062</v>
      </c>
      <c r="I425" s="7">
        <v>25</v>
      </c>
      <c r="J425" s="7" t="s">
        <v>9736</v>
      </c>
      <c r="K425" s="9" t="s">
        <v>8987</v>
      </c>
    </row>
    <row r="426" spans="1:11">
      <c r="A426" s="7">
        <v>424</v>
      </c>
      <c r="B426" s="7" t="s">
        <v>8990</v>
      </c>
      <c r="C426" s="7" t="s">
        <v>8984</v>
      </c>
      <c r="D426" s="7" t="s">
        <v>7556</v>
      </c>
      <c r="E426" s="7" t="s">
        <v>9741</v>
      </c>
      <c r="F426" s="8" t="s">
        <v>9735</v>
      </c>
      <c r="G426" s="7">
        <v>130</v>
      </c>
      <c r="H426" s="7" t="s">
        <v>9062</v>
      </c>
      <c r="I426" s="7">
        <v>25</v>
      </c>
      <c r="J426" s="7" t="s">
        <v>9736</v>
      </c>
      <c r="K426" s="9" t="s">
        <v>8987</v>
      </c>
    </row>
    <row r="427" spans="1:11">
      <c r="A427" s="7">
        <v>425</v>
      </c>
      <c r="B427" s="7" t="s">
        <v>8983</v>
      </c>
      <c r="C427" s="7" t="s">
        <v>8984</v>
      </c>
      <c r="D427" s="7" t="s">
        <v>7556</v>
      </c>
      <c r="E427" s="7" t="s">
        <v>9742</v>
      </c>
      <c r="F427" s="8" t="s">
        <v>9735</v>
      </c>
      <c r="G427" s="7">
        <v>130</v>
      </c>
      <c r="H427" s="7" t="s">
        <v>9062</v>
      </c>
      <c r="I427" s="7">
        <v>25</v>
      </c>
      <c r="J427" s="7" t="s">
        <v>9736</v>
      </c>
      <c r="K427" s="9" t="s">
        <v>8987</v>
      </c>
    </row>
    <row r="428" spans="1:11">
      <c r="A428" s="7">
        <v>426</v>
      </c>
      <c r="B428" s="7" t="s">
        <v>8983</v>
      </c>
      <c r="C428" s="7" t="s">
        <v>8984</v>
      </c>
      <c r="D428" s="7" t="s">
        <v>7556</v>
      </c>
      <c r="E428" s="7" t="s">
        <v>9743</v>
      </c>
      <c r="F428" s="8" t="s">
        <v>9735</v>
      </c>
      <c r="G428" s="7">
        <v>130</v>
      </c>
      <c r="H428" s="7" t="s">
        <v>9062</v>
      </c>
      <c r="I428" s="7">
        <v>25</v>
      </c>
      <c r="J428" s="7" t="s">
        <v>9736</v>
      </c>
      <c r="K428" s="9" t="s">
        <v>8987</v>
      </c>
    </row>
    <row r="429" spans="1:11">
      <c r="A429" s="7">
        <v>427</v>
      </c>
      <c r="B429" s="7" t="s">
        <v>8983</v>
      </c>
      <c r="C429" s="7" t="s">
        <v>8984</v>
      </c>
      <c r="D429" s="7" t="s">
        <v>7556</v>
      </c>
      <c r="E429" s="7" t="s">
        <v>9744</v>
      </c>
      <c r="F429" s="8" t="s">
        <v>9735</v>
      </c>
      <c r="G429" s="7">
        <v>130</v>
      </c>
      <c r="H429" s="7" t="s">
        <v>9062</v>
      </c>
      <c r="I429" s="7">
        <v>25</v>
      </c>
      <c r="J429" s="7" t="s">
        <v>9736</v>
      </c>
      <c r="K429" s="9" t="s">
        <v>8987</v>
      </c>
    </row>
    <row r="430" spans="1:11">
      <c r="A430" s="7">
        <v>428</v>
      </c>
      <c r="B430" s="7" t="s">
        <v>8983</v>
      </c>
      <c r="C430" s="7" t="s">
        <v>8984</v>
      </c>
      <c r="D430" s="7" t="s">
        <v>7556</v>
      </c>
      <c r="E430" s="7" t="s">
        <v>9745</v>
      </c>
      <c r="F430" s="8" t="s">
        <v>9735</v>
      </c>
      <c r="G430" s="7">
        <v>130</v>
      </c>
      <c r="H430" s="7" t="s">
        <v>9062</v>
      </c>
      <c r="I430" s="7">
        <v>25</v>
      </c>
      <c r="J430" s="7" t="s">
        <v>9736</v>
      </c>
      <c r="K430" s="9" t="s">
        <v>8987</v>
      </c>
    </row>
    <row r="431" spans="1:11">
      <c r="A431" s="7">
        <v>429</v>
      </c>
      <c r="B431" s="7" t="s">
        <v>8983</v>
      </c>
      <c r="C431" s="7" t="s">
        <v>8984</v>
      </c>
      <c r="D431" s="7" t="s">
        <v>7556</v>
      </c>
      <c r="E431" s="7" t="s">
        <v>9746</v>
      </c>
      <c r="F431" s="8" t="s">
        <v>9735</v>
      </c>
      <c r="G431" s="7">
        <v>130</v>
      </c>
      <c r="H431" s="7" t="s">
        <v>9062</v>
      </c>
      <c r="I431" s="7">
        <v>25</v>
      </c>
      <c r="J431" s="7" t="s">
        <v>9736</v>
      </c>
      <c r="K431" s="9" t="s">
        <v>8987</v>
      </c>
    </row>
    <row r="432" spans="1:11">
      <c r="A432" s="7">
        <v>430</v>
      </c>
      <c r="B432" s="7" t="s">
        <v>8983</v>
      </c>
      <c r="C432" s="7" t="s">
        <v>8984</v>
      </c>
      <c r="D432" s="7" t="s">
        <v>7556</v>
      </c>
      <c r="E432" s="7" t="s">
        <v>9747</v>
      </c>
      <c r="F432" s="8" t="s">
        <v>9735</v>
      </c>
      <c r="G432" s="7">
        <v>30</v>
      </c>
      <c r="H432" s="7" t="s">
        <v>9015</v>
      </c>
      <c r="I432" s="7">
        <v>9</v>
      </c>
      <c r="J432" s="7" t="s">
        <v>9748</v>
      </c>
      <c r="K432" s="9" t="s">
        <v>8987</v>
      </c>
    </row>
    <row r="433" spans="1:11">
      <c r="A433" s="7">
        <v>431</v>
      </c>
      <c r="B433" s="7" t="s">
        <v>8983</v>
      </c>
      <c r="C433" s="7" t="s">
        <v>8984</v>
      </c>
      <c r="D433" s="7" t="s">
        <v>7556</v>
      </c>
      <c r="E433" s="7" t="s">
        <v>9749</v>
      </c>
      <c r="F433" s="8" t="s">
        <v>9735</v>
      </c>
      <c r="G433" s="7">
        <v>45</v>
      </c>
      <c r="H433" s="7" t="s">
        <v>9750</v>
      </c>
      <c r="I433" s="7">
        <v>13</v>
      </c>
      <c r="J433" s="7" t="s">
        <v>9751</v>
      </c>
      <c r="K433" s="9" t="s">
        <v>8987</v>
      </c>
    </row>
    <row r="434" spans="1:11">
      <c r="A434" s="7">
        <v>432</v>
      </c>
      <c r="B434" s="7" t="s">
        <v>8983</v>
      </c>
      <c r="C434" s="7" t="s">
        <v>8984</v>
      </c>
      <c r="D434" s="7" t="s">
        <v>7556</v>
      </c>
      <c r="E434" s="7" t="s">
        <v>9752</v>
      </c>
      <c r="F434" s="8" t="s">
        <v>9735</v>
      </c>
      <c r="G434" s="7">
        <v>60</v>
      </c>
      <c r="H434" s="7" t="s">
        <v>9289</v>
      </c>
      <c r="I434" s="7">
        <v>17</v>
      </c>
      <c r="J434" s="7" t="s">
        <v>7821</v>
      </c>
      <c r="K434" s="9" t="s">
        <v>8987</v>
      </c>
    </row>
    <row r="435" spans="1:11">
      <c r="A435" s="7">
        <v>433</v>
      </c>
      <c r="B435" s="7" t="s">
        <v>8983</v>
      </c>
      <c r="C435" s="7" t="s">
        <v>8984</v>
      </c>
      <c r="D435" s="7" t="s">
        <v>7547</v>
      </c>
      <c r="E435" s="7" t="s">
        <v>9753</v>
      </c>
      <c r="F435" s="8" t="s">
        <v>9275</v>
      </c>
      <c r="G435" s="7">
        <v>5</v>
      </c>
      <c r="H435" s="7" t="s">
        <v>9336</v>
      </c>
      <c r="I435" s="7">
        <v>2</v>
      </c>
      <c r="J435" s="7" t="s">
        <v>9754</v>
      </c>
      <c r="K435" s="9" t="s">
        <v>8987</v>
      </c>
    </row>
    <row r="436" spans="1:11">
      <c r="A436" s="7">
        <v>434</v>
      </c>
      <c r="B436" s="7" t="s">
        <v>8983</v>
      </c>
      <c r="C436" s="7" t="s">
        <v>8984</v>
      </c>
      <c r="D436" s="7" t="s">
        <v>7547</v>
      </c>
      <c r="E436" s="7" t="s">
        <v>9755</v>
      </c>
      <c r="F436" s="8" t="s">
        <v>9275</v>
      </c>
      <c r="G436" s="7">
        <v>10</v>
      </c>
      <c r="H436" s="7" t="s">
        <v>9292</v>
      </c>
      <c r="I436" s="7">
        <v>2</v>
      </c>
      <c r="J436" s="7" t="s">
        <v>9432</v>
      </c>
      <c r="K436" s="9" t="s">
        <v>8987</v>
      </c>
    </row>
    <row r="437" spans="1:11">
      <c r="A437" s="7">
        <v>435</v>
      </c>
      <c r="B437" s="7" t="s">
        <v>8983</v>
      </c>
      <c r="C437" s="7" t="s">
        <v>8984</v>
      </c>
      <c r="D437" s="7" t="s">
        <v>7547</v>
      </c>
      <c r="E437" s="7" t="s">
        <v>9756</v>
      </c>
      <c r="F437" s="8" t="s">
        <v>9275</v>
      </c>
      <c r="G437" s="7">
        <v>15</v>
      </c>
      <c r="H437" s="7" t="s">
        <v>9053</v>
      </c>
      <c r="I437" s="7">
        <v>3</v>
      </c>
      <c r="J437" s="7" t="s">
        <v>9054</v>
      </c>
      <c r="K437" s="9" t="s">
        <v>8987</v>
      </c>
    </row>
    <row r="438" spans="1:11">
      <c r="A438" s="7">
        <v>436</v>
      </c>
      <c r="B438" s="7" t="s">
        <v>8990</v>
      </c>
      <c r="C438" s="7" t="s">
        <v>8984</v>
      </c>
      <c r="D438" s="7" t="s">
        <v>7542</v>
      </c>
      <c r="E438" s="7" t="s">
        <v>9757</v>
      </c>
      <c r="F438" s="8" t="s">
        <v>9758</v>
      </c>
      <c r="G438" s="7">
        <v>5</v>
      </c>
      <c r="H438" s="7" t="s">
        <v>9336</v>
      </c>
      <c r="I438" s="7">
        <v>1</v>
      </c>
      <c r="J438" s="7" t="s">
        <v>7620</v>
      </c>
      <c r="K438" s="9" t="s">
        <v>8987</v>
      </c>
    </row>
    <row r="439" spans="1:11">
      <c r="A439" s="7">
        <v>437</v>
      </c>
      <c r="B439" s="7" t="s">
        <v>8990</v>
      </c>
      <c r="C439" s="7" t="s">
        <v>8984</v>
      </c>
      <c r="D439" s="7" t="s">
        <v>7542</v>
      </c>
      <c r="E439" s="7" t="s">
        <v>9759</v>
      </c>
      <c r="F439" s="8" t="s">
        <v>9758</v>
      </c>
      <c r="G439" s="7">
        <v>10</v>
      </c>
      <c r="H439" s="7" t="s">
        <v>9292</v>
      </c>
      <c r="I439" s="7">
        <v>1</v>
      </c>
      <c r="J439" s="7" t="s">
        <v>7768</v>
      </c>
      <c r="K439" s="9" t="s">
        <v>8987</v>
      </c>
    </row>
    <row r="440" spans="1:11">
      <c r="A440" s="7">
        <v>438</v>
      </c>
      <c r="B440" s="7" t="s">
        <v>8990</v>
      </c>
      <c r="C440" s="7" t="s">
        <v>8984</v>
      </c>
      <c r="D440" s="7" t="s">
        <v>7542</v>
      </c>
      <c r="E440" s="7" t="s">
        <v>9760</v>
      </c>
      <c r="F440" s="8" t="s">
        <v>9758</v>
      </c>
      <c r="G440" s="7">
        <v>5</v>
      </c>
      <c r="H440" s="7" t="s">
        <v>9336</v>
      </c>
      <c r="I440" s="7">
        <v>4</v>
      </c>
      <c r="J440" s="7" t="s">
        <v>9337</v>
      </c>
      <c r="K440" s="9" t="s">
        <v>8987</v>
      </c>
    </row>
    <row r="441" spans="1:11">
      <c r="A441" s="7">
        <v>439</v>
      </c>
      <c r="B441" s="7" t="s">
        <v>8990</v>
      </c>
      <c r="C441" s="7" t="s">
        <v>8984</v>
      </c>
      <c r="D441" s="7" t="s">
        <v>7542</v>
      </c>
      <c r="E441" s="7" t="s">
        <v>9761</v>
      </c>
      <c r="F441" s="8" t="s">
        <v>9758</v>
      </c>
      <c r="G441" s="7">
        <v>10</v>
      </c>
      <c r="H441" s="7" t="s">
        <v>9292</v>
      </c>
      <c r="I441" s="7">
        <v>3</v>
      </c>
      <c r="J441" s="7" t="s">
        <v>7718</v>
      </c>
      <c r="K441" s="9" t="s">
        <v>8987</v>
      </c>
    </row>
    <row r="442" spans="1:11">
      <c r="A442" s="7">
        <v>440</v>
      </c>
      <c r="B442" s="7" t="s">
        <v>8983</v>
      </c>
      <c r="C442" s="7" t="s">
        <v>8984</v>
      </c>
      <c r="D442" s="7" t="s">
        <v>7556</v>
      </c>
      <c r="E442" s="7" t="s">
        <v>9762</v>
      </c>
      <c r="F442" s="8" t="s">
        <v>9595</v>
      </c>
      <c r="G442" s="7">
        <v>110</v>
      </c>
      <c r="H442" s="7" t="s">
        <v>9321</v>
      </c>
      <c r="I442" s="7">
        <v>17</v>
      </c>
      <c r="J442" s="7" t="s">
        <v>9763</v>
      </c>
      <c r="K442" s="9" t="s">
        <v>8987</v>
      </c>
    </row>
    <row r="443" spans="1:11">
      <c r="A443" s="7">
        <v>441</v>
      </c>
      <c r="B443" s="7" t="s">
        <v>9764</v>
      </c>
      <c r="C443" s="7" t="s">
        <v>8984</v>
      </c>
      <c r="D443" s="7" t="s">
        <v>7556</v>
      </c>
      <c r="E443" s="7" t="s">
        <v>9765</v>
      </c>
      <c r="F443" s="8" t="s">
        <v>9595</v>
      </c>
      <c r="G443" s="7">
        <v>110</v>
      </c>
      <c r="H443" s="7" t="s">
        <v>9321</v>
      </c>
      <c r="I443" s="7">
        <v>17</v>
      </c>
      <c r="J443" s="7" t="s">
        <v>9763</v>
      </c>
      <c r="K443" s="9" t="s">
        <v>8987</v>
      </c>
    </row>
    <row r="444" spans="1:11">
      <c r="A444" s="7">
        <v>442</v>
      </c>
      <c r="B444" s="7" t="s">
        <v>9764</v>
      </c>
      <c r="C444" s="7" t="s">
        <v>8984</v>
      </c>
      <c r="D444" s="7" t="s">
        <v>7556</v>
      </c>
      <c r="E444" s="7" t="s">
        <v>9766</v>
      </c>
      <c r="F444" s="8" t="s">
        <v>9595</v>
      </c>
      <c r="G444" s="7">
        <v>110</v>
      </c>
      <c r="H444" s="7" t="s">
        <v>9321</v>
      </c>
      <c r="I444" s="7">
        <v>17</v>
      </c>
      <c r="J444" s="7" t="s">
        <v>9763</v>
      </c>
      <c r="K444" s="9" t="s">
        <v>8987</v>
      </c>
    </row>
    <row r="445" spans="1:11">
      <c r="A445" s="7">
        <v>443</v>
      </c>
      <c r="B445" s="7" t="s">
        <v>9764</v>
      </c>
      <c r="C445" s="7" t="s">
        <v>8984</v>
      </c>
      <c r="D445" s="7" t="s">
        <v>7556</v>
      </c>
      <c r="E445" s="7" t="s">
        <v>9767</v>
      </c>
      <c r="F445" s="8" t="s">
        <v>9595</v>
      </c>
      <c r="G445" s="7">
        <v>110</v>
      </c>
      <c r="H445" s="7" t="s">
        <v>9321</v>
      </c>
      <c r="I445" s="7">
        <v>17</v>
      </c>
      <c r="J445" s="7" t="s">
        <v>9763</v>
      </c>
      <c r="K445" s="9" t="s">
        <v>8987</v>
      </c>
    </row>
    <row r="446" spans="1:11">
      <c r="A446" s="7">
        <v>444</v>
      </c>
      <c r="B446" s="7" t="s">
        <v>9764</v>
      </c>
      <c r="C446" s="7" t="s">
        <v>8984</v>
      </c>
      <c r="D446" s="7" t="s">
        <v>7556</v>
      </c>
      <c r="E446" s="7" t="s">
        <v>9768</v>
      </c>
      <c r="F446" s="8" t="s">
        <v>9595</v>
      </c>
      <c r="G446" s="7">
        <v>110</v>
      </c>
      <c r="H446" s="7" t="s">
        <v>9321</v>
      </c>
      <c r="I446" s="7">
        <v>17</v>
      </c>
      <c r="J446" s="7" t="s">
        <v>9763</v>
      </c>
      <c r="K446" s="9" t="s">
        <v>8987</v>
      </c>
    </row>
    <row r="447" spans="1:11">
      <c r="A447" s="7">
        <v>445</v>
      </c>
      <c r="B447" s="7" t="s">
        <v>8990</v>
      </c>
      <c r="C447" s="7" t="s">
        <v>8984</v>
      </c>
      <c r="D447" s="7" t="s">
        <v>7550</v>
      </c>
      <c r="E447" s="7" t="s">
        <v>9769</v>
      </c>
      <c r="F447" s="8" t="s">
        <v>9770</v>
      </c>
      <c r="G447" s="7">
        <v>110</v>
      </c>
      <c r="H447" s="7" t="s">
        <v>9321</v>
      </c>
      <c r="I447" s="7">
        <v>17</v>
      </c>
      <c r="J447" s="7" t="s">
        <v>9763</v>
      </c>
      <c r="K447" s="9" t="s">
        <v>8987</v>
      </c>
    </row>
    <row r="448" spans="1:11">
      <c r="A448" s="7">
        <v>446</v>
      </c>
      <c r="B448" s="7" t="s">
        <v>8990</v>
      </c>
      <c r="C448" s="7" t="s">
        <v>8984</v>
      </c>
      <c r="D448" s="7" t="s">
        <v>7550</v>
      </c>
      <c r="E448" s="7" t="s">
        <v>9771</v>
      </c>
      <c r="F448" s="8" t="s">
        <v>9770</v>
      </c>
      <c r="G448" s="7">
        <v>110</v>
      </c>
      <c r="H448" s="7" t="s">
        <v>9321</v>
      </c>
      <c r="I448" s="7">
        <v>17</v>
      </c>
      <c r="J448" s="7" t="s">
        <v>9763</v>
      </c>
      <c r="K448" s="9" t="s">
        <v>8987</v>
      </c>
    </row>
    <row r="449" spans="1:11">
      <c r="A449" s="7">
        <v>447</v>
      </c>
      <c r="B449" s="7" t="s">
        <v>8990</v>
      </c>
      <c r="C449" s="7" t="s">
        <v>8984</v>
      </c>
      <c r="D449" s="7" t="s">
        <v>7550</v>
      </c>
      <c r="E449" s="7" t="s">
        <v>9772</v>
      </c>
      <c r="F449" s="8" t="s">
        <v>9770</v>
      </c>
      <c r="G449" s="7">
        <v>110</v>
      </c>
      <c r="H449" s="7" t="s">
        <v>9321</v>
      </c>
      <c r="I449" s="7">
        <v>17</v>
      </c>
      <c r="J449" s="7" t="s">
        <v>9763</v>
      </c>
      <c r="K449" s="9" t="s">
        <v>8987</v>
      </c>
    </row>
    <row r="450" spans="1:11">
      <c r="A450" s="7">
        <v>448</v>
      </c>
      <c r="B450" s="7" t="s">
        <v>8990</v>
      </c>
      <c r="C450" s="7" t="s">
        <v>8984</v>
      </c>
      <c r="D450" s="7" t="s">
        <v>7556</v>
      </c>
      <c r="E450" s="7" t="s">
        <v>9773</v>
      </c>
      <c r="F450" s="8" t="s">
        <v>9774</v>
      </c>
      <c r="G450" s="7">
        <v>460</v>
      </c>
      <c r="H450" s="7" t="s">
        <v>9775</v>
      </c>
      <c r="I450" s="7">
        <v>41</v>
      </c>
      <c r="J450" s="7" t="s">
        <v>9776</v>
      </c>
      <c r="K450" s="9" t="s">
        <v>8987</v>
      </c>
    </row>
    <row r="451" spans="1:11">
      <c r="A451" s="7">
        <v>449</v>
      </c>
      <c r="B451" s="7" t="s">
        <v>8990</v>
      </c>
      <c r="C451" s="7" t="s">
        <v>8984</v>
      </c>
      <c r="D451" s="7" t="s">
        <v>7556</v>
      </c>
      <c r="E451" s="7" t="s">
        <v>9777</v>
      </c>
      <c r="F451" s="8" t="s">
        <v>9778</v>
      </c>
      <c r="G451" s="7">
        <v>460</v>
      </c>
      <c r="H451" s="7" t="s">
        <v>9775</v>
      </c>
      <c r="I451" s="7">
        <v>41</v>
      </c>
      <c r="J451" s="7" t="s">
        <v>9776</v>
      </c>
      <c r="K451" s="9" t="s">
        <v>8987</v>
      </c>
    </row>
    <row r="452" spans="1:11">
      <c r="A452" s="7">
        <v>450</v>
      </c>
      <c r="B452" s="7" t="s">
        <v>8990</v>
      </c>
      <c r="C452" s="7" t="s">
        <v>8984</v>
      </c>
      <c r="D452" s="7" t="s">
        <v>7556</v>
      </c>
      <c r="E452" s="7" t="s">
        <v>9779</v>
      </c>
      <c r="F452" s="8" t="s">
        <v>9780</v>
      </c>
      <c r="G452" s="7">
        <v>460</v>
      </c>
      <c r="H452" s="7" t="s">
        <v>9775</v>
      </c>
      <c r="I452" s="7">
        <v>41</v>
      </c>
      <c r="J452" s="7" t="s">
        <v>9776</v>
      </c>
      <c r="K452" s="9" t="s">
        <v>8987</v>
      </c>
    </row>
    <row r="453" spans="1:11">
      <c r="A453" s="7">
        <v>451</v>
      </c>
      <c r="B453" s="7" t="s">
        <v>8990</v>
      </c>
      <c r="C453" s="7" t="s">
        <v>8984</v>
      </c>
      <c r="D453" s="7" t="s">
        <v>7556</v>
      </c>
      <c r="E453" s="7" t="s">
        <v>9781</v>
      </c>
      <c r="F453" s="8" t="s">
        <v>9782</v>
      </c>
      <c r="G453" s="7">
        <v>120</v>
      </c>
      <c r="H453" s="7" t="s">
        <v>9036</v>
      </c>
      <c r="I453" s="7">
        <v>29</v>
      </c>
      <c r="J453" s="7" t="s">
        <v>9783</v>
      </c>
      <c r="K453" s="9" t="s">
        <v>8987</v>
      </c>
    </row>
    <row r="454" spans="1:11">
      <c r="A454" s="7">
        <v>452</v>
      </c>
      <c r="B454" s="7" t="s">
        <v>8983</v>
      </c>
      <c r="C454" s="7" t="s">
        <v>8998</v>
      </c>
      <c r="D454" s="7" t="s">
        <v>7556</v>
      </c>
      <c r="E454" s="7" t="s">
        <v>9784</v>
      </c>
      <c r="F454" s="8" t="s">
        <v>9782</v>
      </c>
      <c r="G454" s="7" t="s">
        <v>8987</v>
      </c>
      <c r="H454" s="7" t="s">
        <v>8987</v>
      </c>
      <c r="I454" s="7" t="s">
        <v>8987</v>
      </c>
      <c r="J454" s="7" t="s">
        <v>8987</v>
      </c>
      <c r="K454" s="9" t="s">
        <v>8987</v>
      </c>
    </row>
    <row r="455" spans="1:11">
      <c r="A455" s="7">
        <v>453</v>
      </c>
      <c r="B455" s="7" t="s">
        <v>8990</v>
      </c>
      <c r="C455" s="7" t="s">
        <v>8984</v>
      </c>
      <c r="D455" s="7" t="s">
        <v>7555</v>
      </c>
      <c r="E455" s="7" t="s">
        <v>9785</v>
      </c>
      <c r="F455" s="8" t="s">
        <v>9782</v>
      </c>
      <c r="G455" s="7">
        <v>190</v>
      </c>
      <c r="H455" s="7" t="s">
        <v>9786</v>
      </c>
      <c r="I455" s="7">
        <v>29</v>
      </c>
      <c r="J455" s="7" t="s">
        <v>9787</v>
      </c>
      <c r="K455" s="9" t="s">
        <v>8987</v>
      </c>
    </row>
    <row r="456" spans="1:11">
      <c r="A456" s="7">
        <v>454</v>
      </c>
      <c r="B456" s="7" t="s">
        <v>8983</v>
      </c>
      <c r="C456" s="7" t="s">
        <v>8984</v>
      </c>
      <c r="D456" s="7" t="s">
        <v>7555</v>
      </c>
      <c r="E456" s="7" t="s">
        <v>9788</v>
      </c>
      <c r="F456" s="8" t="s">
        <v>9782</v>
      </c>
      <c r="G456" s="7">
        <v>200</v>
      </c>
      <c r="H456" s="7" t="s">
        <v>9447</v>
      </c>
      <c r="I456" s="7">
        <v>25</v>
      </c>
      <c r="J456" s="7" t="s">
        <v>9789</v>
      </c>
      <c r="K456" s="9" t="s">
        <v>8987</v>
      </c>
    </row>
    <row r="457" spans="1:11">
      <c r="A457" s="7">
        <v>455</v>
      </c>
      <c r="B457" s="7" t="s">
        <v>8990</v>
      </c>
      <c r="C457" s="7" t="s">
        <v>8984</v>
      </c>
      <c r="D457" s="7" t="s">
        <v>7555</v>
      </c>
      <c r="E457" s="7" t="s">
        <v>9790</v>
      </c>
      <c r="F457" s="8" t="s">
        <v>9782</v>
      </c>
      <c r="G457" s="7">
        <v>190</v>
      </c>
      <c r="H457" s="7" t="s">
        <v>9786</v>
      </c>
      <c r="I457" s="7">
        <v>29</v>
      </c>
      <c r="J457" s="7" t="s">
        <v>9787</v>
      </c>
      <c r="K457" s="9" t="s">
        <v>8987</v>
      </c>
    </row>
    <row r="458" spans="1:11">
      <c r="A458" s="7">
        <v>456</v>
      </c>
      <c r="B458" s="7" t="s">
        <v>8990</v>
      </c>
      <c r="C458" s="7" t="s">
        <v>8984</v>
      </c>
      <c r="D458" s="7" t="s">
        <v>7555</v>
      </c>
      <c r="E458" s="7" t="s">
        <v>9791</v>
      </c>
      <c r="F458" s="8" t="s">
        <v>7950</v>
      </c>
      <c r="G458" s="7">
        <v>0</v>
      </c>
      <c r="H458" s="7" t="s">
        <v>8984</v>
      </c>
      <c r="I458" s="7">
        <v>1</v>
      </c>
      <c r="J458" s="7" t="s">
        <v>7838</v>
      </c>
      <c r="K458" s="9" t="s">
        <v>8987</v>
      </c>
    </row>
    <row r="459" spans="1:11">
      <c r="A459" s="7">
        <v>457</v>
      </c>
      <c r="B459" s="7" t="s">
        <v>9216</v>
      </c>
      <c r="C459" s="7" t="s">
        <v>8984</v>
      </c>
      <c r="D459" s="7" t="s">
        <v>7555</v>
      </c>
      <c r="E459" s="7" t="s">
        <v>9792</v>
      </c>
      <c r="F459" s="8" t="s">
        <v>7957</v>
      </c>
      <c r="G459" s="7">
        <v>0</v>
      </c>
      <c r="H459" s="7" t="s">
        <v>8984</v>
      </c>
      <c r="I459" s="7">
        <v>1</v>
      </c>
      <c r="J459" s="7" t="s">
        <v>7838</v>
      </c>
      <c r="K459" s="9" t="s">
        <v>8987</v>
      </c>
    </row>
    <row r="460" spans="1:11">
      <c r="A460" s="7">
        <v>458</v>
      </c>
      <c r="B460" s="7" t="s">
        <v>9216</v>
      </c>
      <c r="C460" s="7" t="s">
        <v>8991</v>
      </c>
      <c r="D460" s="7" t="s">
        <v>7555</v>
      </c>
      <c r="E460" s="7" t="s">
        <v>7296</v>
      </c>
      <c r="F460" s="8" t="s">
        <v>9793</v>
      </c>
      <c r="G460" s="7">
        <v>0</v>
      </c>
      <c r="H460" s="7" t="s">
        <v>8984</v>
      </c>
      <c r="I460" s="7">
        <v>1</v>
      </c>
      <c r="J460" s="7" t="s">
        <v>7838</v>
      </c>
      <c r="K460" s="9" t="s">
        <v>8987</v>
      </c>
    </row>
    <row r="461" spans="1:11">
      <c r="A461" s="7">
        <v>459</v>
      </c>
      <c r="B461" s="7" t="s">
        <v>9124</v>
      </c>
      <c r="C461" s="7" t="s">
        <v>8984</v>
      </c>
      <c r="D461" s="7" t="s">
        <v>7566</v>
      </c>
      <c r="E461" s="7" t="s">
        <v>9794</v>
      </c>
      <c r="F461" s="8" t="s">
        <v>9795</v>
      </c>
      <c r="G461" s="7">
        <v>0</v>
      </c>
      <c r="H461" s="7" t="s">
        <v>8984</v>
      </c>
      <c r="I461" s="7">
        <v>1</v>
      </c>
      <c r="J461" s="7" t="s">
        <v>7838</v>
      </c>
      <c r="K461" s="9" t="s">
        <v>8987</v>
      </c>
    </row>
    <row r="462" spans="1:11">
      <c r="A462" s="7">
        <v>460</v>
      </c>
      <c r="B462" s="7" t="s">
        <v>9796</v>
      </c>
      <c r="C462" s="7" t="s">
        <v>8984</v>
      </c>
      <c r="D462" s="7" t="s">
        <v>7542</v>
      </c>
      <c r="E462" s="7" t="s">
        <v>9797</v>
      </c>
      <c r="F462" s="8" t="s">
        <v>9798</v>
      </c>
      <c r="G462" s="7">
        <v>0</v>
      </c>
      <c r="H462" s="7" t="s">
        <v>8984</v>
      </c>
      <c r="I462" s="7">
        <v>1</v>
      </c>
      <c r="J462" s="7" t="s">
        <v>7838</v>
      </c>
      <c r="K462" s="9" t="s">
        <v>8987</v>
      </c>
    </row>
    <row r="463" spans="1:11">
      <c r="A463" s="7">
        <v>461</v>
      </c>
      <c r="B463" s="7" t="s">
        <v>9796</v>
      </c>
      <c r="C463" s="7" t="s">
        <v>8984</v>
      </c>
      <c r="D463" s="7" t="s">
        <v>7573</v>
      </c>
      <c r="E463" s="7" t="s">
        <v>9799</v>
      </c>
      <c r="F463" s="8" t="s">
        <v>9798</v>
      </c>
      <c r="G463" s="7">
        <v>0</v>
      </c>
      <c r="H463" s="7" t="s">
        <v>8984</v>
      </c>
      <c r="I463" s="7">
        <v>1</v>
      </c>
      <c r="J463" s="7" t="s">
        <v>7838</v>
      </c>
      <c r="K463" s="9" t="s">
        <v>8987</v>
      </c>
    </row>
    <row r="464" spans="1:11">
      <c r="A464" s="7">
        <v>462</v>
      </c>
      <c r="B464" s="7" t="s">
        <v>9796</v>
      </c>
      <c r="C464" s="7" t="s">
        <v>8984</v>
      </c>
      <c r="D464" s="7" t="s">
        <v>7552</v>
      </c>
      <c r="E464" s="7" t="s">
        <v>9800</v>
      </c>
      <c r="F464" s="8" t="s">
        <v>9798</v>
      </c>
      <c r="G464" s="7">
        <v>0</v>
      </c>
      <c r="H464" s="7" t="s">
        <v>8984</v>
      </c>
      <c r="I464" s="7">
        <v>1</v>
      </c>
      <c r="J464" s="7" t="s">
        <v>7838</v>
      </c>
      <c r="K464" s="9" t="s">
        <v>8987</v>
      </c>
    </row>
    <row r="465" spans="1:11">
      <c r="A465" s="7">
        <v>463</v>
      </c>
      <c r="B465" s="7" t="s">
        <v>9796</v>
      </c>
      <c r="C465" s="7" t="s">
        <v>8984</v>
      </c>
      <c r="D465" s="7" t="s">
        <v>7553</v>
      </c>
      <c r="E465" s="7" t="s">
        <v>9801</v>
      </c>
      <c r="F465" s="8" t="s">
        <v>9798</v>
      </c>
      <c r="G465" s="7">
        <v>0</v>
      </c>
      <c r="H465" s="7" t="s">
        <v>8984</v>
      </c>
      <c r="I465" s="7">
        <v>1</v>
      </c>
      <c r="J465" s="7" t="s">
        <v>7838</v>
      </c>
      <c r="K465" s="9" t="s">
        <v>8987</v>
      </c>
    </row>
    <row r="466" spans="1:11">
      <c r="A466" s="7">
        <v>464</v>
      </c>
      <c r="B466" s="7" t="s">
        <v>9796</v>
      </c>
      <c r="C466" s="7" t="s">
        <v>8984</v>
      </c>
      <c r="D466" s="7" t="s">
        <v>7551</v>
      </c>
      <c r="E466" s="7" t="s">
        <v>9802</v>
      </c>
      <c r="F466" s="8" t="s">
        <v>9798</v>
      </c>
      <c r="G466" s="7">
        <v>0</v>
      </c>
      <c r="H466" s="7" t="s">
        <v>8984</v>
      </c>
      <c r="I466" s="7">
        <v>1</v>
      </c>
      <c r="J466" s="7" t="s">
        <v>7838</v>
      </c>
      <c r="K466" s="9" t="s">
        <v>8987</v>
      </c>
    </row>
    <row r="467" spans="1:11">
      <c r="A467" s="7">
        <v>465</v>
      </c>
      <c r="B467" s="7" t="s">
        <v>9796</v>
      </c>
      <c r="C467" s="7" t="s">
        <v>8984</v>
      </c>
      <c r="D467" s="7" t="s">
        <v>7581</v>
      </c>
      <c r="E467" s="7" t="s">
        <v>9803</v>
      </c>
      <c r="F467" s="8" t="s">
        <v>9798</v>
      </c>
      <c r="G467" s="7">
        <v>0</v>
      </c>
      <c r="H467" s="7" t="s">
        <v>8984</v>
      </c>
      <c r="I467" s="7">
        <v>1</v>
      </c>
      <c r="J467" s="7" t="s">
        <v>7838</v>
      </c>
      <c r="K467" s="9" t="s">
        <v>8987</v>
      </c>
    </row>
    <row r="468" spans="1:11">
      <c r="A468" s="7">
        <v>466</v>
      </c>
      <c r="B468" s="7" t="s">
        <v>8983</v>
      </c>
      <c r="C468" s="7" t="s">
        <v>8984</v>
      </c>
      <c r="D468" s="7" t="s">
        <v>7542</v>
      </c>
      <c r="E468" s="7" t="s">
        <v>9804</v>
      </c>
      <c r="F468" s="8" t="s">
        <v>9805</v>
      </c>
      <c r="G468" s="7">
        <v>0</v>
      </c>
      <c r="H468" s="7" t="s">
        <v>8984</v>
      </c>
      <c r="I468" s="7">
        <v>1</v>
      </c>
      <c r="J468" s="7" t="s">
        <v>7838</v>
      </c>
      <c r="K468" s="9" t="s">
        <v>8987</v>
      </c>
    </row>
    <row r="469" spans="1:11">
      <c r="A469" s="7">
        <v>467</v>
      </c>
      <c r="B469" s="7" t="s">
        <v>8983</v>
      </c>
      <c r="C469" s="7" t="s">
        <v>8984</v>
      </c>
      <c r="D469" s="7" t="s">
        <v>7573</v>
      </c>
      <c r="E469" s="7" t="s">
        <v>9806</v>
      </c>
      <c r="F469" s="8" t="s">
        <v>9805</v>
      </c>
      <c r="G469" s="7">
        <v>0</v>
      </c>
      <c r="H469" s="7" t="s">
        <v>8984</v>
      </c>
      <c r="I469" s="7">
        <v>1</v>
      </c>
      <c r="J469" s="7" t="s">
        <v>7838</v>
      </c>
      <c r="K469" s="9" t="s">
        <v>8987</v>
      </c>
    </row>
    <row r="470" spans="1:11">
      <c r="A470" s="7">
        <v>468</v>
      </c>
      <c r="B470" s="7" t="s">
        <v>8983</v>
      </c>
      <c r="C470" s="7" t="s">
        <v>8984</v>
      </c>
      <c r="D470" s="7" t="s">
        <v>7552</v>
      </c>
      <c r="E470" s="7" t="s">
        <v>9807</v>
      </c>
      <c r="F470" s="8" t="s">
        <v>9805</v>
      </c>
      <c r="G470" s="7">
        <v>0</v>
      </c>
      <c r="H470" s="7" t="s">
        <v>8984</v>
      </c>
      <c r="I470" s="7">
        <v>1</v>
      </c>
      <c r="J470" s="7" t="s">
        <v>7838</v>
      </c>
      <c r="K470" s="9" t="s">
        <v>8987</v>
      </c>
    </row>
    <row r="471" spans="1:11">
      <c r="A471" s="7">
        <v>469</v>
      </c>
      <c r="B471" s="7" t="s">
        <v>8983</v>
      </c>
      <c r="C471" s="7" t="s">
        <v>8984</v>
      </c>
      <c r="D471" s="7" t="s">
        <v>7553</v>
      </c>
      <c r="E471" s="7" t="s">
        <v>9808</v>
      </c>
      <c r="F471" s="8" t="s">
        <v>9805</v>
      </c>
      <c r="G471" s="7">
        <v>0</v>
      </c>
      <c r="H471" s="7" t="s">
        <v>8984</v>
      </c>
      <c r="I471" s="7">
        <v>1</v>
      </c>
      <c r="J471" s="7" t="s">
        <v>7838</v>
      </c>
      <c r="K471" s="9" t="s">
        <v>8987</v>
      </c>
    </row>
    <row r="472" spans="1:11">
      <c r="A472" s="7">
        <v>470</v>
      </c>
      <c r="B472" s="7" t="s">
        <v>8983</v>
      </c>
      <c r="C472" s="7" t="s">
        <v>8984</v>
      </c>
      <c r="D472" s="7" t="s">
        <v>7551</v>
      </c>
      <c r="E472" s="7" t="s">
        <v>9809</v>
      </c>
      <c r="F472" s="8" t="s">
        <v>9805</v>
      </c>
      <c r="G472" s="7">
        <v>0</v>
      </c>
      <c r="H472" s="7" t="s">
        <v>8984</v>
      </c>
      <c r="I472" s="7">
        <v>1</v>
      </c>
      <c r="J472" s="7" t="s">
        <v>7838</v>
      </c>
      <c r="K472" s="9" t="s">
        <v>8987</v>
      </c>
    </row>
    <row r="473" spans="1:11">
      <c r="A473" s="7">
        <v>471</v>
      </c>
      <c r="B473" s="7" t="s">
        <v>8983</v>
      </c>
      <c r="C473" s="7" t="s">
        <v>8984</v>
      </c>
      <c r="D473" s="7" t="s">
        <v>7581</v>
      </c>
      <c r="E473" s="7" t="s">
        <v>9810</v>
      </c>
      <c r="F473" s="8" t="s">
        <v>9805</v>
      </c>
      <c r="G473" s="7">
        <v>0</v>
      </c>
      <c r="H473" s="7" t="s">
        <v>8984</v>
      </c>
      <c r="I473" s="7">
        <v>1</v>
      </c>
      <c r="J473" s="7" t="s">
        <v>7838</v>
      </c>
      <c r="K473" s="9" t="s">
        <v>8987</v>
      </c>
    </row>
    <row r="474" spans="1:11">
      <c r="A474" s="7">
        <v>472</v>
      </c>
      <c r="B474" s="7" t="s">
        <v>8983</v>
      </c>
      <c r="C474" s="7" t="s">
        <v>8984</v>
      </c>
      <c r="D474" s="7" t="s">
        <v>7542</v>
      </c>
      <c r="E474" s="7" t="s">
        <v>9811</v>
      </c>
      <c r="F474" s="8" t="s">
        <v>9812</v>
      </c>
      <c r="G474" s="7">
        <v>0</v>
      </c>
      <c r="H474" s="7" t="s">
        <v>8984</v>
      </c>
      <c r="I474" s="7">
        <v>1</v>
      </c>
      <c r="J474" s="7" t="s">
        <v>7838</v>
      </c>
      <c r="K474" s="9" t="s">
        <v>8987</v>
      </c>
    </row>
    <row r="475" spans="1:11">
      <c r="A475" s="7">
        <v>473</v>
      </c>
      <c r="B475" s="7" t="s">
        <v>8983</v>
      </c>
      <c r="C475" s="7" t="s">
        <v>8984</v>
      </c>
      <c r="D475" s="7" t="s">
        <v>7573</v>
      </c>
      <c r="E475" s="7" t="s">
        <v>9813</v>
      </c>
      <c r="F475" s="8" t="s">
        <v>9812</v>
      </c>
      <c r="G475" s="7">
        <v>0</v>
      </c>
      <c r="H475" s="7" t="s">
        <v>8984</v>
      </c>
      <c r="I475" s="7">
        <v>1</v>
      </c>
      <c r="J475" s="7" t="s">
        <v>7838</v>
      </c>
      <c r="K475" s="9" t="s">
        <v>8987</v>
      </c>
    </row>
    <row r="476" spans="1:11">
      <c r="A476" s="7">
        <v>474</v>
      </c>
      <c r="B476" s="7" t="s">
        <v>8983</v>
      </c>
      <c r="C476" s="7" t="s">
        <v>8984</v>
      </c>
      <c r="D476" s="7" t="s">
        <v>7552</v>
      </c>
      <c r="E476" s="7" t="s">
        <v>9814</v>
      </c>
      <c r="F476" s="8" t="s">
        <v>9812</v>
      </c>
      <c r="G476" s="7">
        <v>0</v>
      </c>
      <c r="H476" s="7" t="s">
        <v>8984</v>
      </c>
      <c r="I476" s="7">
        <v>1</v>
      </c>
      <c r="J476" s="7" t="s">
        <v>7838</v>
      </c>
      <c r="K476" s="9" t="s">
        <v>8987</v>
      </c>
    </row>
    <row r="477" spans="1:11">
      <c r="A477" s="7">
        <v>475</v>
      </c>
      <c r="B477" s="7" t="s">
        <v>8983</v>
      </c>
      <c r="C477" s="7" t="s">
        <v>8984</v>
      </c>
      <c r="D477" s="7" t="s">
        <v>7553</v>
      </c>
      <c r="E477" s="7" t="s">
        <v>9815</v>
      </c>
      <c r="F477" s="8" t="s">
        <v>9812</v>
      </c>
      <c r="G477" s="7">
        <v>0</v>
      </c>
      <c r="H477" s="7" t="s">
        <v>8984</v>
      </c>
      <c r="I477" s="7">
        <v>1</v>
      </c>
      <c r="J477" s="7" t="s">
        <v>7838</v>
      </c>
      <c r="K477" s="9" t="s">
        <v>8987</v>
      </c>
    </row>
    <row r="478" spans="1:11">
      <c r="A478" s="7">
        <v>476</v>
      </c>
      <c r="B478" s="7" t="s">
        <v>8983</v>
      </c>
      <c r="C478" s="7" t="s">
        <v>8984</v>
      </c>
      <c r="D478" s="7" t="s">
        <v>7551</v>
      </c>
      <c r="E478" s="7" t="s">
        <v>9816</v>
      </c>
      <c r="F478" s="8" t="s">
        <v>9812</v>
      </c>
      <c r="G478" s="7">
        <v>0</v>
      </c>
      <c r="H478" s="7" t="s">
        <v>8984</v>
      </c>
      <c r="I478" s="7">
        <v>1</v>
      </c>
      <c r="J478" s="7" t="s">
        <v>7838</v>
      </c>
      <c r="K478" s="9" t="s">
        <v>8987</v>
      </c>
    </row>
    <row r="479" spans="1:11">
      <c r="A479" s="7">
        <v>477</v>
      </c>
      <c r="B479" s="7" t="s">
        <v>8983</v>
      </c>
      <c r="C479" s="7" t="s">
        <v>8984</v>
      </c>
      <c r="D479" s="7" t="s">
        <v>7581</v>
      </c>
      <c r="E479" s="7" t="s">
        <v>9817</v>
      </c>
      <c r="F479" s="8" t="s">
        <v>9812</v>
      </c>
      <c r="G479" s="7">
        <v>0</v>
      </c>
      <c r="H479" s="7" t="s">
        <v>8984</v>
      </c>
      <c r="I479" s="7">
        <v>1</v>
      </c>
      <c r="J479" s="7" t="s">
        <v>7838</v>
      </c>
      <c r="K479" s="9" t="s">
        <v>8987</v>
      </c>
    </row>
    <row r="480" spans="1:11">
      <c r="A480" s="7">
        <v>478</v>
      </c>
      <c r="B480" s="7" t="s">
        <v>8983</v>
      </c>
      <c r="C480" s="7" t="s">
        <v>8984</v>
      </c>
      <c r="D480" s="7" t="s">
        <v>7573</v>
      </c>
      <c r="E480" s="7" t="s">
        <v>9818</v>
      </c>
      <c r="F480" s="8" t="s">
        <v>9819</v>
      </c>
      <c r="G480" s="7">
        <v>150</v>
      </c>
      <c r="H480" s="7" t="s">
        <v>9253</v>
      </c>
      <c r="I480" s="7">
        <v>33</v>
      </c>
      <c r="J480" s="7" t="s">
        <v>9704</v>
      </c>
      <c r="K480" s="9" t="s">
        <v>8987</v>
      </c>
    </row>
    <row r="481" spans="1:11">
      <c r="A481" s="7">
        <v>479</v>
      </c>
      <c r="B481" s="7" t="s">
        <v>8983</v>
      </c>
      <c r="C481" s="7" t="s">
        <v>8984</v>
      </c>
      <c r="D481" s="7" t="s">
        <v>7573</v>
      </c>
      <c r="E481" s="7" t="s">
        <v>9820</v>
      </c>
      <c r="F481" s="8" t="s">
        <v>9821</v>
      </c>
      <c r="G481" s="7">
        <v>150</v>
      </c>
      <c r="H481" s="7" t="s">
        <v>9253</v>
      </c>
      <c r="I481" s="7">
        <v>33</v>
      </c>
      <c r="J481" s="7" t="s">
        <v>9704</v>
      </c>
      <c r="K481" s="9" t="s">
        <v>8987</v>
      </c>
    </row>
    <row r="482" spans="1:11">
      <c r="A482" s="7">
        <v>480</v>
      </c>
      <c r="B482" s="7" t="s">
        <v>8990</v>
      </c>
      <c r="C482" s="7" t="s">
        <v>8984</v>
      </c>
      <c r="D482" s="7" t="s">
        <v>7549</v>
      </c>
      <c r="E482" s="7" t="s">
        <v>9822</v>
      </c>
      <c r="F482" s="8" t="s">
        <v>9823</v>
      </c>
      <c r="G482" s="7">
        <v>0</v>
      </c>
      <c r="H482" s="7" t="s">
        <v>8984</v>
      </c>
      <c r="I482" s="7">
        <v>1</v>
      </c>
      <c r="J482" s="7" t="s">
        <v>7838</v>
      </c>
      <c r="K482" s="9" t="s">
        <v>8987</v>
      </c>
    </row>
    <row r="483" spans="1:11">
      <c r="A483" s="7">
        <v>481</v>
      </c>
      <c r="B483" s="7" t="s">
        <v>8990</v>
      </c>
      <c r="C483" s="7" t="s">
        <v>8984</v>
      </c>
      <c r="D483" s="7" t="s">
        <v>7555</v>
      </c>
      <c r="E483" s="7" t="s">
        <v>9824</v>
      </c>
      <c r="F483" s="8" t="s">
        <v>7958</v>
      </c>
      <c r="G483" s="7">
        <v>0</v>
      </c>
      <c r="H483" s="7" t="s">
        <v>8984</v>
      </c>
      <c r="I483" s="7">
        <v>1</v>
      </c>
      <c r="J483" s="7" t="s">
        <v>7838</v>
      </c>
      <c r="K483" s="9" t="s">
        <v>8987</v>
      </c>
    </row>
    <row r="484" spans="1:11">
      <c r="A484" s="7">
        <v>482</v>
      </c>
      <c r="B484" s="7" t="s">
        <v>8983</v>
      </c>
      <c r="C484" s="7" t="s">
        <v>8984</v>
      </c>
      <c r="D484" s="7" t="s">
        <v>7550</v>
      </c>
      <c r="E484" s="7" t="s">
        <v>9825</v>
      </c>
      <c r="F484" s="8" t="s">
        <v>9826</v>
      </c>
      <c r="G484" s="7">
        <v>220</v>
      </c>
      <c r="H484" s="7" t="s">
        <v>9827</v>
      </c>
      <c r="I484" s="7">
        <v>29</v>
      </c>
      <c r="J484" s="7" t="s">
        <v>9828</v>
      </c>
      <c r="K484" s="9" t="s">
        <v>8987</v>
      </c>
    </row>
    <row r="485" spans="1:11">
      <c r="A485" s="7">
        <v>483</v>
      </c>
      <c r="B485" s="7" t="s">
        <v>9208</v>
      </c>
      <c r="C485" s="7" t="s">
        <v>8984</v>
      </c>
      <c r="D485" s="7" t="s">
        <v>7550</v>
      </c>
      <c r="E485" s="7" t="s">
        <v>9829</v>
      </c>
      <c r="F485" s="8" t="s">
        <v>9830</v>
      </c>
      <c r="G485" s="7">
        <v>220</v>
      </c>
      <c r="H485" s="7" t="s">
        <v>9827</v>
      </c>
      <c r="I485" s="7">
        <v>29</v>
      </c>
      <c r="J485" s="7" t="s">
        <v>9828</v>
      </c>
      <c r="K485" s="9" t="s">
        <v>8987</v>
      </c>
    </row>
    <row r="486" spans="1:11">
      <c r="A486" s="7">
        <v>484</v>
      </c>
      <c r="B486" s="7" t="s">
        <v>9208</v>
      </c>
      <c r="C486" s="7" t="s">
        <v>8991</v>
      </c>
      <c r="D486" s="7" t="s">
        <v>7550</v>
      </c>
      <c r="E486" s="7" t="s">
        <v>9831</v>
      </c>
      <c r="F486" s="8" t="s">
        <v>9832</v>
      </c>
      <c r="G486" s="7">
        <v>220</v>
      </c>
      <c r="H486" s="7" t="s">
        <v>9827</v>
      </c>
      <c r="I486" s="7">
        <v>29</v>
      </c>
      <c r="J486" s="7" t="s">
        <v>9828</v>
      </c>
      <c r="K486" s="9" t="s">
        <v>8987</v>
      </c>
    </row>
    <row r="487" spans="1:11">
      <c r="A487" s="7">
        <v>485</v>
      </c>
      <c r="B487" s="7" t="s">
        <v>9216</v>
      </c>
      <c r="C487" s="7" t="s">
        <v>8984</v>
      </c>
      <c r="D487" s="7" t="s">
        <v>7549</v>
      </c>
      <c r="E487" s="7" t="s">
        <v>9833</v>
      </c>
      <c r="F487" s="8" t="s">
        <v>9572</v>
      </c>
      <c r="G487" s="7">
        <v>250</v>
      </c>
      <c r="H487" s="7" t="s">
        <v>9351</v>
      </c>
      <c r="I487" s="7">
        <v>41</v>
      </c>
      <c r="J487" s="7" t="s">
        <v>7832</v>
      </c>
      <c r="K487" s="9" t="s">
        <v>8987</v>
      </c>
    </row>
    <row r="488" spans="1:11">
      <c r="A488" s="7">
        <v>486</v>
      </c>
      <c r="B488" s="7" t="s">
        <v>9216</v>
      </c>
      <c r="C488" s="7" t="s">
        <v>8984</v>
      </c>
      <c r="D488" s="7" t="s">
        <v>7549</v>
      </c>
      <c r="E488" s="7" t="s">
        <v>9834</v>
      </c>
      <c r="F488" s="8" t="s">
        <v>9572</v>
      </c>
      <c r="G488" s="7">
        <v>250</v>
      </c>
      <c r="H488" s="7" t="s">
        <v>9351</v>
      </c>
      <c r="I488" s="7">
        <v>41</v>
      </c>
      <c r="J488" s="7" t="s">
        <v>7832</v>
      </c>
      <c r="K488" s="9" t="s">
        <v>8987</v>
      </c>
    </row>
    <row r="489" spans="1:11">
      <c r="A489" s="7">
        <v>487</v>
      </c>
      <c r="B489" s="7" t="s">
        <v>9216</v>
      </c>
      <c r="C489" s="7" t="s">
        <v>8984</v>
      </c>
      <c r="D489" s="7" t="s">
        <v>7549</v>
      </c>
      <c r="E489" s="7" t="s">
        <v>9835</v>
      </c>
      <c r="F489" s="8" t="s">
        <v>9572</v>
      </c>
      <c r="G489" s="7">
        <v>200</v>
      </c>
      <c r="H489" s="7" t="s">
        <v>9447</v>
      </c>
      <c r="I489" s="7">
        <v>21</v>
      </c>
      <c r="J489" s="7" t="s">
        <v>9836</v>
      </c>
      <c r="K489" s="9" t="s">
        <v>8987</v>
      </c>
    </row>
    <row r="490" spans="1:11">
      <c r="A490" s="7">
        <v>488</v>
      </c>
      <c r="B490" s="7" t="s">
        <v>9216</v>
      </c>
      <c r="C490" s="7" t="s">
        <v>8984</v>
      </c>
      <c r="D490" s="7" t="s">
        <v>7549</v>
      </c>
      <c r="E490" s="7" t="s">
        <v>9837</v>
      </c>
      <c r="F490" s="8" t="s">
        <v>9572</v>
      </c>
      <c r="G490" s="7">
        <v>200</v>
      </c>
      <c r="H490" s="7" t="s">
        <v>9447</v>
      </c>
      <c r="I490" s="7">
        <v>21</v>
      </c>
      <c r="J490" s="7" t="s">
        <v>9836</v>
      </c>
      <c r="K490" s="9" t="s">
        <v>8987</v>
      </c>
    </row>
    <row r="491" spans="1:11">
      <c r="A491" s="7">
        <v>489</v>
      </c>
      <c r="B491" s="7" t="s">
        <v>9216</v>
      </c>
      <c r="C491" s="7" t="s">
        <v>8984</v>
      </c>
      <c r="D491" s="7" t="s">
        <v>7549</v>
      </c>
      <c r="E491" s="7" t="s">
        <v>9838</v>
      </c>
      <c r="F491" s="8" t="s">
        <v>9572</v>
      </c>
      <c r="G491" s="7">
        <v>250</v>
      </c>
      <c r="H491" s="7" t="s">
        <v>9351</v>
      </c>
      <c r="I491" s="7">
        <v>41</v>
      </c>
      <c r="J491" s="7" t="s">
        <v>7832</v>
      </c>
      <c r="K491" s="9" t="s">
        <v>8987</v>
      </c>
    </row>
    <row r="492" spans="1:11">
      <c r="A492" s="7">
        <v>490</v>
      </c>
      <c r="B492" s="7" t="s">
        <v>9216</v>
      </c>
      <c r="C492" s="7" t="s">
        <v>8984</v>
      </c>
      <c r="D492" s="7" t="s">
        <v>7549</v>
      </c>
      <c r="E492" s="7" t="s">
        <v>9839</v>
      </c>
      <c r="F492" s="8" t="s">
        <v>9572</v>
      </c>
      <c r="G492" s="7">
        <v>250</v>
      </c>
      <c r="H492" s="7" t="s">
        <v>9351</v>
      </c>
      <c r="I492" s="7">
        <v>41</v>
      </c>
      <c r="J492" s="7" t="s">
        <v>7832</v>
      </c>
      <c r="K492" s="9" t="s">
        <v>8987</v>
      </c>
    </row>
    <row r="493" spans="1:11">
      <c r="A493" s="7">
        <v>491</v>
      </c>
      <c r="B493" s="7" t="s">
        <v>9216</v>
      </c>
      <c r="C493" s="7" t="s">
        <v>8984</v>
      </c>
      <c r="D493" s="7" t="s">
        <v>7549</v>
      </c>
      <c r="E493" s="7" t="s">
        <v>9840</v>
      </c>
      <c r="F493" s="8" t="s">
        <v>9572</v>
      </c>
      <c r="G493" s="7">
        <v>200</v>
      </c>
      <c r="H493" s="7" t="s">
        <v>9447</v>
      </c>
      <c r="I493" s="7">
        <v>21</v>
      </c>
      <c r="J493" s="7" t="s">
        <v>9836</v>
      </c>
      <c r="K493" s="9" t="s">
        <v>8987</v>
      </c>
    </row>
    <row r="494" spans="1:11">
      <c r="A494" s="7">
        <v>492</v>
      </c>
      <c r="B494" s="7" t="s">
        <v>9216</v>
      </c>
      <c r="C494" s="7" t="s">
        <v>8984</v>
      </c>
      <c r="D494" s="7" t="s">
        <v>7549</v>
      </c>
      <c r="E494" s="7" t="s">
        <v>9841</v>
      </c>
      <c r="F494" s="8" t="s">
        <v>9572</v>
      </c>
      <c r="G494" s="7">
        <v>250</v>
      </c>
      <c r="H494" s="7" t="s">
        <v>9351</v>
      </c>
      <c r="I494" s="7">
        <v>41</v>
      </c>
      <c r="J494" s="7" t="s">
        <v>7832</v>
      </c>
      <c r="K494" s="9" t="s">
        <v>8987</v>
      </c>
    </row>
    <row r="495" spans="1:11">
      <c r="A495" s="7">
        <v>493</v>
      </c>
      <c r="B495" s="7" t="s">
        <v>9216</v>
      </c>
      <c r="C495" s="7" t="s">
        <v>8984</v>
      </c>
      <c r="D495" s="7" t="s">
        <v>7549</v>
      </c>
      <c r="E495" s="7" t="s">
        <v>9842</v>
      </c>
      <c r="F495" s="8" t="s">
        <v>9572</v>
      </c>
      <c r="G495" s="7">
        <v>200</v>
      </c>
      <c r="H495" s="7" t="s">
        <v>9447</v>
      </c>
      <c r="I495" s="7">
        <v>21</v>
      </c>
      <c r="J495" s="7" t="s">
        <v>9836</v>
      </c>
      <c r="K495" s="9" t="s">
        <v>8987</v>
      </c>
    </row>
    <row r="496" spans="1:11">
      <c r="A496" s="7">
        <v>494</v>
      </c>
      <c r="B496" s="7" t="s">
        <v>9216</v>
      </c>
      <c r="C496" s="7" t="s">
        <v>8984</v>
      </c>
      <c r="D496" s="7" t="s">
        <v>7549</v>
      </c>
      <c r="E496" s="7" t="s">
        <v>9843</v>
      </c>
      <c r="F496" s="8" t="s">
        <v>9572</v>
      </c>
      <c r="G496" s="7">
        <v>200</v>
      </c>
      <c r="H496" s="7" t="s">
        <v>9447</v>
      </c>
      <c r="I496" s="7">
        <v>21</v>
      </c>
      <c r="J496" s="7" t="s">
        <v>9836</v>
      </c>
      <c r="K496" s="9" t="s">
        <v>8987</v>
      </c>
    </row>
    <row r="497" spans="1:11">
      <c r="A497" s="7">
        <v>495</v>
      </c>
      <c r="B497" s="7" t="s">
        <v>9216</v>
      </c>
      <c r="C497" s="7" t="s">
        <v>8984</v>
      </c>
      <c r="D497" s="7" t="s">
        <v>7542</v>
      </c>
      <c r="E497" s="7" t="s">
        <v>9844</v>
      </c>
      <c r="F497" s="8" t="s">
        <v>9845</v>
      </c>
      <c r="G497" s="7">
        <v>90</v>
      </c>
      <c r="H497" s="7" t="s">
        <v>9642</v>
      </c>
      <c r="I497" s="7">
        <v>17</v>
      </c>
      <c r="J497" s="7" t="s">
        <v>7820</v>
      </c>
      <c r="K497" s="9" t="s">
        <v>8987</v>
      </c>
    </row>
    <row r="498" spans="1:11">
      <c r="A498" s="7">
        <v>496</v>
      </c>
      <c r="B498" s="7" t="s">
        <v>9216</v>
      </c>
      <c r="C498" s="7" t="s">
        <v>8984</v>
      </c>
      <c r="D498" s="7" t="s">
        <v>7549</v>
      </c>
      <c r="E498" s="7" t="s">
        <v>9846</v>
      </c>
      <c r="F498" s="8" t="s">
        <v>9845</v>
      </c>
      <c r="G498" s="7">
        <v>90</v>
      </c>
      <c r="H498" s="7" t="s">
        <v>9642</v>
      </c>
      <c r="I498" s="7">
        <v>17</v>
      </c>
      <c r="J498" s="7" t="s">
        <v>7820</v>
      </c>
      <c r="K498" s="9" t="s">
        <v>8987</v>
      </c>
    </row>
    <row r="499" spans="1:11">
      <c r="A499" s="7">
        <v>497</v>
      </c>
      <c r="B499" s="7" t="s">
        <v>9216</v>
      </c>
      <c r="C499" s="7" t="s">
        <v>8984</v>
      </c>
      <c r="D499" s="7" t="s">
        <v>7549</v>
      </c>
      <c r="E499" s="7" t="s">
        <v>9847</v>
      </c>
      <c r="F499" s="8" t="s">
        <v>9845</v>
      </c>
      <c r="G499" s="7">
        <v>90</v>
      </c>
      <c r="H499" s="7" t="s">
        <v>9642</v>
      </c>
      <c r="I499" s="7">
        <v>17</v>
      </c>
      <c r="J499" s="7" t="s">
        <v>7820</v>
      </c>
      <c r="K499" s="9" t="s">
        <v>8987</v>
      </c>
    </row>
    <row r="500" spans="1:11">
      <c r="A500" s="7">
        <v>498</v>
      </c>
      <c r="B500" s="7" t="s">
        <v>9216</v>
      </c>
      <c r="C500" s="7" t="s">
        <v>8984</v>
      </c>
      <c r="D500" s="7" t="s">
        <v>7573</v>
      </c>
      <c r="E500" s="7" t="s">
        <v>9848</v>
      </c>
      <c r="F500" s="8" t="s">
        <v>9845</v>
      </c>
      <c r="G500" s="7">
        <v>90</v>
      </c>
      <c r="H500" s="7" t="s">
        <v>9642</v>
      </c>
      <c r="I500" s="7">
        <v>17</v>
      </c>
      <c r="J500" s="7" t="s">
        <v>7820</v>
      </c>
      <c r="K500" s="9" t="s">
        <v>8987</v>
      </c>
    </row>
    <row r="501" spans="1:11">
      <c r="A501" s="7">
        <v>499</v>
      </c>
      <c r="B501" s="7" t="s">
        <v>9216</v>
      </c>
      <c r="C501" s="7" t="s">
        <v>8984</v>
      </c>
      <c r="D501" s="7" t="s">
        <v>7549</v>
      </c>
      <c r="E501" s="7" t="s">
        <v>9849</v>
      </c>
      <c r="F501" s="8" t="s">
        <v>9845</v>
      </c>
      <c r="G501" s="7">
        <v>90</v>
      </c>
      <c r="H501" s="7" t="s">
        <v>9642</v>
      </c>
      <c r="I501" s="7">
        <v>17</v>
      </c>
      <c r="J501" s="7" t="s">
        <v>7820</v>
      </c>
      <c r="K501" s="9" t="s">
        <v>8987</v>
      </c>
    </row>
    <row r="502" spans="1:11">
      <c r="A502" s="7">
        <v>500</v>
      </c>
      <c r="B502" s="7" t="s">
        <v>9216</v>
      </c>
      <c r="C502" s="7" t="s">
        <v>8984</v>
      </c>
      <c r="D502" s="7" t="s">
        <v>7542</v>
      </c>
      <c r="E502" s="7" t="s">
        <v>9850</v>
      </c>
      <c r="F502" s="8" t="s">
        <v>9845</v>
      </c>
      <c r="G502" s="7">
        <v>90</v>
      </c>
      <c r="H502" s="7" t="s">
        <v>9642</v>
      </c>
      <c r="I502" s="7">
        <v>17</v>
      </c>
      <c r="J502" s="7" t="s">
        <v>7820</v>
      </c>
      <c r="K502" s="9" t="s">
        <v>8987</v>
      </c>
    </row>
    <row r="503" spans="1:11">
      <c r="A503" s="7">
        <v>501</v>
      </c>
      <c r="B503" s="7" t="s">
        <v>9216</v>
      </c>
      <c r="C503" s="7" t="s">
        <v>8984</v>
      </c>
      <c r="D503" s="7" t="s">
        <v>7549</v>
      </c>
      <c r="E503" s="7" t="s">
        <v>9851</v>
      </c>
      <c r="F503" s="8" t="s">
        <v>9845</v>
      </c>
      <c r="G503" s="7">
        <v>90</v>
      </c>
      <c r="H503" s="7" t="s">
        <v>9642</v>
      </c>
      <c r="I503" s="7">
        <v>17</v>
      </c>
      <c r="J503" s="7" t="s">
        <v>7820</v>
      </c>
      <c r="K503" s="9" t="s">
        <v>8987</v>
      </c>
    </row>
    <row r="504" spans="1:11">
      <c r="A504" s="7">
        <v>502</v>
      </c>
      <c r="B504" s="7" t="s">
        <v>9216</v>
      </c>
      <c r="C504" s="7" t="s">
        <v>8984</v>
      </c>
      <c r="D504" s="7" t="s">
        <v>7549</v>
      </c>
      <c r="E504" s="7" t="s">
        <v>9852</v>
      </c>
      <c r="F504" s="8" t="s">
        <v>9845</v>
      </c>
      <c r="G504" s="7">
        <v>90</v>
      </c>
      <c r="H504" s="7" t="s">
        <v>9642</v>
      </c>
      <c r="I504" s="7">
        <v>17</v>
      </c>
      <c r="J504" s="7" t="s">
        <v>7820</v>
      </c>
      <c r="K504" s="9" t="s">
        <v>8987</v>
      </c>
    </row>
    <row r="505" spans="1:11">
      <c r="A505" s="7">
        <v>503</v>
      </c>
      <c r="B505" s="7" t="s">
        <v>9216</v>
      </c>
      <c r="C505" s="7" t="s">
        <v>8984</v>
      </c>
      <c r="D505" s="7" t="s">
        <v>7549</v>
      </c>
      <c r="E505" s="7" t="s">
        <v>9853</v>
      </c>
      <c r="F505" s="8" t="s">
        <v>9845</v>
      </c>
      <c r="G505" s="7">
        <v>90</v>
      </c>
      <c r="H505" s="7" t="s">
        <v>9642</v>
      </c>
      <c r="I505" s="7">
        <v>17</v>
      </c>
      <c r="J505" s="7" t="s">
        <v>7820</v>
      </c>
      <c r="K505" s="9" t="s">
        <v>8987</v>
      </c>
    </row>
    <row r="506" spans="1:11">
      <c r="A506" s="7">
        <v>504</v>
      </c>
      <c r="B506" s="7" t="s">
        <v>9216</v>
      </c>
      <c r="C506" s="7" t="s">
        <v>8984</v>
      </c>
      <c r="D506" s="7" t="s">
        <v>7542</v>
      </c>
      <c r="E506" s="7" t="s">
        <v>9854</v>
      </c>
      <c r="F506" s="8" t="s">
        <v>9845</v>
      </c>
      <c r="G506" s="7">
        <v>90</v>
      </c>
      <c r="H506" s="7" t="s">
        <v>9642</v>
      </c>
      <c r="I506" s="7">
        <v>17</v>
      </c>
      <c r="J506" s="7" t="s">
        <v>7820</v>
      </c>
      <c r="K506" s="9" t="s">
        <v>8987</v>
      </c>
    </row>
    <row r="507" spans="1:11">
      <c r="A507" s="7">
        <v>505</v>
      </c>
      <c r="B507" s="7" t="s">
        <v>9216</v>
      </c>
      <c r="C507" s="7" t="s">
        <v>8984</v>
      </c>
      <c r="D507" s="7" t="s">
        <v>7542</v>
      </c>
      <c r="E507" s="7" t="s">
        <v>9855</v>
      </c>
      <c r="F507" s="8" t="s">
        <v>9845</v>
      </c>
      <c r="G507" s="7">
        <v>90</v>
      </c>
      <c r="H507" s="7" t="s">
        <v>9642</v>
      </c>
      <c r="I507" s="7">
        <v>17</v>
      </c>
      <c r="J507" s="7" t="s">
        <v>7820</v>
      </c>
      <c r="K507" s="9" t="s">
        <v>8987</v>
      </c>
    </row>
    <row r="508" spans="1:11">
      <c r="A508" s="7">
        <v>506</v>
      </c>
      <c r="B508" s="7" t="s">
        <v>8983</v>
      </c>
      <c r="C508" s="7" t="s">
        <v>8984</v>
      </c>
      <c r="D508" s="7" t="s">
        <v>7556</v>
      </c>
      <c r="E508" s="7" t="s">
        <v>9856</v>
      </c>
      <c r="F508" s="8" t="s">
        <v>9073</v>
      </c>
      <c r="G508" s="7">
        <v>18</v>
      </c>
      <c r="H508" s="7" t="s">
        <v>9422</v>
      </c>
      <c r="I508" s="7">
        <v>6</v>
      </c>
      <c r="J508" s="7" t="s">
        <v>9857</v>
      </c>
      <c r="K508" s="9" t="s">
        <v>8987</v>
      </c>
    </row>
    <row r="509" spans="1:11">
      <c r="A509" s="7">
        <v>507</v>
      </c>
      <c r="B509" s="7" t="s">
        <v>8983</v>
      </c>
      <c r="C509" s="7" t="s">
        <v>8984</v>
      </c>
      <c r="D509" s="7" t="s">
        <v>7556</v>
      </c>
      <c r="E509" s="7" t="s">
        <v>9858</v>
      </c>
      <c r="F509" s="8" t="s">
        <v>9073</v>
      </c>
      <c r="G509" s="7">
        <v>14</v>
      </c>
      <c r="H509" s="7" t="s">
        <v>9397</v>
      </c>
      <c r="I509" s="7">
        <v>5</v>
      </c>
      <c r="J509" s="7" t="s">
        <v>9420</v>
      </c>
      <c r="K509" s="9" t="s">
        <v>8987</v>
      </c>
    </row>
    <row r="510" spans="1:11">
      <c r="A510" s="7">
        <v>508</v>
      </c>
      <c r="B510" s="7" t="s">
        <v>8983</v>
      </c>
      <c r="C510" s="7" t="s">
        <v>8984</v>
      </c>
      <c r="D510" s="7" t="s">
        <v>7556</v>
      </c>
      <c r="E510" s="7" t="s">
        <v>9859</v>
      </c>
      <c r="F510" s="8" t="s">
        <v>9073</v>
      </c>
      <c r="G510" s="7">
        <v>11</v>
      </c>
      <c r="H510" s="7" t="s">
        <v>9386</v>
      </c>
      <c r="I510" s="7">
        <v>4</v>
      </c>
      <c r="J510" s="7" t="s">
        <v>9860</v>
      </c>
      <c r="K510" s="9" t="s">
        <v>8987</v>
      </c>
    </row>
    <row r="511" spans="1:11">
      <c r="A511" s="7">
        <v>509</v>
      </c>
      <c r="B511" s="7" t="s">
        <v>8990</v>
      </c>
      <c r="C511" s="7" t="s">
        <v>8984</v>
      </c>
      <c r="D511" s="7" t="s">
        <v>7542</v>
      </c>
      <c r="E511" s="7" t="s">
        <v>9861</v>
      </c>
      <c r="F511" s="8" t="s">
        <v>9862</v>
      </c>
      <c r="G511" s="7">
        <v>50</v>
      </c>
      <c r="H511" s="7" t="s">
        <v>9021</v>
      </c>
      <c r="I511" s="7">
        <v>1</v>
      </c>
      <c r="J511" s="7" t="s">
        <v>7881</v>
      </c>
      <c r="K511" s="9" t="s">
        <v>8987</v>
      </c>
    </row>
    <row r="512" spans="1:11">
      <c r="A512" s="7">
        <v>510</v>
      </c>
      <c r="B512" s="7" t="s">
        <v>8990</v>
      </c>
      <c r="C512" s="7" t="s">
        <v>8984</v>
      </c>
      <c r="D512" s="7" t="s">
        <v>7542</v>
      </c>
      <c r="E512" s="7" t="s">
        <v>9863</v>
      </c>
      <c r="F512" s="8" t="s">
        <v>9864</v>
      </c>
      <c r="G512" s="7">
        <v>45</v>
      </c>
      <c r="H512" s="7" t="s">
        <v>9750</v>
      </c>
      <c r="I512" s="7">
        <v>1</v>
      </c>
      <c r="J512" s="7" t="s">
        <v>7880</v>
      </c>
      <c r="K512" s="9" t="s">
        <v>8987</v>
      </c>
    </row>
    <row r="513" spans="1:11">
      <c r="A513" s="7">
        <v>511</v>
      </c>
      <c r="B513" s="7" t="s">
        <v>8990</v>
      </c>
      <c r="C513" s="7" t="s">
        <v>8984</v>
      </c>
      <c r="D513" s="7" t="s">
        <v>7556</v>
      </c>
      <c r="E513" s="7" t="s">
        <v>9865</v>
      </c>
      <c r="F513" s="8" t="s">
        <v>9774</v>
      </c>
      <c r="G513" s="7">
        <v>100</v>
      </c>
      <c r="H513" s="7" t="s">
        <v>9046</v>
      </c>
      <c r="I513" s="7">
        <v>1</v>
      </c>
      <c r="J513" s="7" t="s">
        <v>7878</v>
      </c>
      <c r="K513" s="9" t="s">
        <v>8987</v>
      </c>
    </row>
    <row r="514" spans="1:11">
      <c r="A514" s="7">
        <v>512</v>
      </c>
      <c r="B514" s="7" t="s">
        <v>8990</v>
      </c>
      <c r="C514" s="7" t="s">
        <v>8984</v>
      </c>
      <c r="D514" s="7" t="s">
        <v>7556</v>
      </c>
      <c r="E514" s="7" t="s">
        <v>9866</v>
      </c>
      <c r="F514" s="8" t="s">
        <v>9778</v>
      </c>
      <c r="G514" s="7">
        <v>100</v>
      </c>
      <c r="H514" s="7" t="s">
        <v>9046</v>
      </c>
      <c r="I514" s="7">
        <v>1</v>
      </c>
      <c r="J514" s="7" t="s">
        <v>7878</v>
      </c>
      <c r="K514" s="9" t="s">
        <v>8987</v>
      </c>
    </row>
    <row r="515" spans="1:11">
      <c r="A515" s="7">
        <v>513</v>
      </c>
      <c r="B515" s="7" t="s">
        <v>8990</v>
      </c>
      <c r="C515" s="7" t="s">
        <v>8984</v>
      </c>
      <c r="D515" s="7" t="s">
        <v>7556</v>
      </c>
      <c r="E515" s="7" t="s">
        <v>9867</v>
      </c>
      <c r="F515" s="8" t="s">
        <v>9780</v>
      </c>
      <c r="G515" s="7">
        <v>100</v>
      </c>
      <c r="H515" s="7" t="s">
        <v>9046</v>
      </c>
      <c r="I515" s="7">
        <v>1</v>
      </c>
      <c r="J515" s="7" t="s">
        <v>7878</v>
      </c>
      <c r="K515" s="9" t="s">
        <v>8987</v>
      </c>
    </row>
    <row r="516" spans="1:11">
      <c r="A516" s="7">
        <v>514</v>
      </c>
      <c r="B516" s="7" t="s">
        <v>8990</v>
      </c>
      <c r="C516" s="7" t="s">
        <v>8984</v>
      </c>
      <c r="D516" s="7" t="s">
        <v>7573</v>
      </c>
      <c r="E516" s="7" t="s">
        <v>9868</v>
      </c>
      <c r="F516" s="8" t="s">
        <v>9869</v>
      </c>
      <c r="G516" s="7">
        <v>0</v>
      </c>
      <c r="H516" s="7" t="s">
        <v>8984</v>
      </c>
      <c r="I516" s="7">
        <v>1</v>
      </c>
      <c r="J516" s="7" t="s">
        <v>7838</v>
      </c>
      <c r="K516" s="9" t="s">
        <v>8987</v>
      </c>
    </row>
    <row r="517" spans="1:11">
      <c r="A517" s="7">
        <v>515</v>
      </c>
      <c r="B517" s="7" t="s">
        <v>8990</v>
      </c>
      <c r="C517" s="7" t="s">
        <v>8984</v>
      </c>
      <c r="D517" s="7" t="s">
        <v>7573</v>
      </c>
      <c r="E517" s="7" t="s">
        <v>9870</v>
      </c>
      <c r="F517" s="8" t="s">
        <v>9347</v>
      </c>
      <c r="G517" s="7">
        <v>200</v>
      </c>
      <c r="H517" s="7" t="s">
        <v>9447</v>
      </c>
      <c r="I517" s="7">
        <v>1</v>
      </c>
      <c r="J517" s="7" t="s">
        <v>9448</v>
      </c>
      <c r="K517" s="9" t="s">
        <v>8987</v>
      </c>
    </row>
    <row r="518" spans="1:11">
      <c r="A518" s="7">
        <v>516</v>
      </c>
      <c r="B518" s="7" t="s">
        <v>8990</v>
      </c>
      <c r="C518" s="7" t="s">
        <v>8984</v>
      </c>
      <c r="D518" s="7" t="s">
        <v>7555</v>
      </c>
      <c r="E518" s="7" t="s">
        <v>9871</v>
      </c>
      <c r="F518" s="8" t="s">
        <v>9782</v>
      </c>
      <c r="G518" s="7">
        <v>100</v>
      </c>
      <c r="H518" s="7" t="s">
        <v>9046</v>
      </c>
      <c r="I518" s="7">
        <v>1</v>
      </c>
      <c r="J518" s="7" t="s">
        <v>7878</v>
      </c>
      <c r="K518" s="9" t="s">
        <v>8987</v>
      </c>
    </row>
    <row r="519" spans="1:11">
      <c r="A519" s="7">
        <v>517</v>
      </c>
      <c r="B519" s="7" t="s">
        <v>8990</v>
      </c>
      <c r="C519" s="7" t="s">
        <v>8984</v>
      </c>
      <c r="D519" s="7" t="s">
        <v>7555</v>
      </c>
      <c r="E519" s="7" t="s">
        <v>4967</v>
      </c>
      <c r="F519" s="8" t="s">
        <v>9782</v>
      </c>
      <c r="G519" s="7">
        <v>200</v>
      </c>
      <c r="H519" s="7" t="s">
        <v>9447</v>
      </c>
      <c r="I519" s="7">
        <v>1</v>
      </c>
      <c r="J519" s="7" t="s">
        <v>9448</v>
      </c>
      <c r="K519" s="9" t="s">
        <v>8987</v>
      </c>
    </row>
    <row r="520" spans="1:11">
      <c r="A520" s="7">
        <v>518</v>
      </c>
      <c r="B520" s="7" t="s">
        <v>8990</v>
      </c>
      <c r="C520" s="7" t="s">
        <v>8984</v>
      </c>
      <c r="D520" s="7" t="s">
        <v>7555</v>
      </c>
      <c r="E520" s="7" t="s">
        <v>9872</v>
      </c>
      <c r="F520" s="8" t="s">
        <v>9782</v>
      </c>
      <c r="G520" s="7">
        <v>100</v>
      </c>
      <c r="H520" s="7" t="s">
        <v>9046</v>
      </c>
      <c r="I520" s="7">
        <v>1</v>
      </c>
      <c r="J520" s="7" t="s">
        <v>7878</v>
      </c>
      <c r="K520" s="9" t="s">
        <v>8987</v>
      </c>
    </row>
    <row r="521" spans="1:11">
      <c r="A521" s="7">
        <v>519</v>
      </c>
      <c r="B521" s="7" t="s">
        <v>8990</v>
      </c>
      <c r="C521" s="7" t="s">
        <v>8984</v>
      </c>
      <c r="D521" s="7" t="s">
        <v>7555</v>
      </c>
      <c r="E521" s="7" t="s">
        <v>9873</v>
      </c>
      <c r="F521" s="8" t="s">
        <v>9782</v>
      </c>
      <c r="G521" s="7">
        <v>150</v>
      </c>
      <c r="H521" s="7" t="s">
        <v>9253</v>
      </c>
      <c r="I521" s="7">
        <v>1</v>
      </c>
      <c r="J521" s="7" t="s">
        <v>7846</v>
      </c>
      <c r="K521" s="9" t="s">
        <v>8987</v>
      </c>
    </row>
    <row r="522" spans="1:11">
      <c r="A522" s="7">
        <v>520</v>
      </c>
      <c r="B522" s="7" t="s">
        <v>8990</v>
      </c>
      <c r="C522" s="7" t="s">
        <v>8984</v>
      </c>
      <c r="D522" s="7" t="s">
        <v>7555</v>
      </c>
      <c r="E522" s="7" t="s">
        <v>9874</v>
      </c>
      <c r="F522" s="8" t="s">
        <v>9782</v>
      </c>
      <c r="G522" s="7">
        <v>100</v>
      </c>
      <c r="H522" s="7" t="s">
        <v>9046</v>
      </c>
      <c r="I522" s="7">
        <v>1</v>
      </c>
      <c r="J522" s="7" t="s">
        <v>7878</v>
      </c>
      <c r="K522" s="9" t="s">
        <v>8987</v>
      </c>
    </row>
    <row r="523" spans="1:11">
      <c r="A523" s="7">
        <v>521</v>
      </c>
      <c r="B523" s="7" t="s">
        <v>9216</v>
      </c>
      <c r="C523" s="7" t="s">
        <v>8984</v>
      </c>
      <c r="D523" s="7" t="s">
        <v>7550</v>
      </c>
      <c r="E523" s="7" t="s">
        <v>9875</v>
      </c>
      <c r="F523" s="8" t="s">
        <v>9830</v>
      </c>
      <c r="G523" s="7">
        <v>40</v>
      </c>
      <c r="H523" s="7" t="s">
        <v>9003</v>
      </c>
      <c r="I523" s="7">
        <v>1</v>
      </c>
      <c r="J523" s="7" t="s">
        <v>7860</v>
      </c>
      <c r="K523" s="9" t="s">
        <v>8987</v>
      </c>
    </row>
    <row r="524" spans="1:11">
      <c r="A524" s="7">
        <v>522</v>
      </c>
      <c r="B524" s="7" t="s">
        <v>9216</v>
      </c>
      <c r="C524" s="7" t="s">
        <v>8984</v>
      </c>
      <c r="D524" s="7" t="s">
        <v>7550</v>
      </c>
      <c r="E524" s="7" t="s">
        <v>9876</v>
      </c>
      <c r="F524" s="8" t="s">
        <v>9830</v>
      </c>
      <c r="G524" s="7">
        <v>80</v>
      </c>
      <c r="H524" s="7" t="s">
        <v>9153</v>
      </c>
      <c r="I524" s="7">
        <v>1</v>
      </c>
      <c r="J524" s="7" t="s">
        <v>7867</v>
      </c>
      <c r="K524" s="9" t="s">
        <v>8987</v>
      </c>
    </row>
    <row r="525" spans="1:11">
      <c r="A525" s="7">
        <v>523</v>
      </c>
      <c r="B525" s="7" t="s">
        <v>9216</v>
      </c>
      <c r="C525" s="7" t="s">
        <v>8984</v>
      </c>
      <c r="D525" s="7" t="s">
        <v>7550</v>
      </c>
      <c r="E525" s="7" t="s">
        <v>9877</v>
      </c>
      <c r="F525" s="8" t="s">
        <v>9830</v>
      </c>
      <c r="G525" s="7">
        <v>40</v>
      </c>
      <c r="H525" s="7" t="s">
        <v>9003</v>
      </c>
      <c r="I525" s="7">
        <v>1</v>
      </c>
      <c r="J525" s="7" t="s">
        <v>7860</v>
      </c>
      <c r="K525" s="9" t="s">
        <v>8987</v>
      </c>
    </row>
    <row r="526" spans="1:11">
      <c r="A526" s="7">
        <v>524</v>
      </c>
      <c r="B526" s="7" t="s">
        <v>9216</v>
      </c>
      <c r="C526" s="7" t="s">
        <v>8984</v>
      </c>
      <c r="D526" s="7" t="s">
        <v>7550</v>
      </c>
      <c r="E526" s="7" t="s">
        <v>9878</v>
      </c>
      <c r="F526" s="8" t="s">
        <v>9830</v>
      </c>
      <c r="G526" s="7">
        <v>60</v>
      </c>
      <c r="H526" s="7" t="s">
        <v>9289</v>
      </c>
      <c r="I526" s="7">
        <v>1</v>
      </c>
      <c r="J526" s="7" t="s">
        <v>7870</v>
      </c>
      <c r="K526" s="9" t="s">
        <v>8987</v>
      </c>
    </row>
    <row r="527" spans="1:11">
      <c r="A527" s="7">
        <v>525</v>
      </c>
      <c r="B527" s="7" t="s">
        <v>9216</v>
      </c>
      <c r="C527" s="7" t="s">
        <v>8984</v>
      </c>
      <c r="D527" s="7" t="s">
        <v>7550</v>
      </c>
      <c r="E527" s="7" t="s">
        <v>9879</v>
      </c>
      <c r="F527" s="8" t="s">
        <v>9830</v>
      </c>
      <c r="G527" s="7">
        <v>40</v>
      </c>
      <c r="H527" s="7" t="s">
        <v>9003</v>
      </c>
      <c r="I527" s="7">
        <v>1</v>
      </c>
      <c r="J527" s="7" t="s">
        <v>7860</v>
      </c>
      <c r="K527" s="9" t="s">
        <v>8987</v>
      </c>
    </row>
    <row r="528" spans="1:11">
      <c r="A528" s="7">
        <v>526</v>
      </c>
      <c r="B528" s="7" t="s">
        <v>8990</v>
      </c>
      <c r="C528" s="7" t="s">
        <v>8984</v>
      </c>
      <c r="D528" s="7" t="s">
        <v>7542</v>
      </c>
      <c r="E528" s="7" t="s">
        <v>9880</v>
      </c>
      <c r="F528" s="8" t="s">
        <v>9881</v>
      </c>
      <c r="G528" s="7">
        <v>5</v>
      </c>
      <c r="H528" s="7" t="s">
        <v>9336</v>
      </c>
      <c r="I528" s="7">
        <v>4</v>
      </c>
      <c r="J528" s="7" t="s">
        <v>9337</v>
      </c>
      <c r="K528" s="9" t="s">
        <v>8987</v>
      </c>
    </row>
    <row r="529" spans="1:11">
      <c r="A529" s="7">
        <v>527</v>
      </c>
      <c r="B529" s="7" t="s">
        <v>8990</v>
      </c>
      <c r="C529" s="7" t="s">
        <v>8984</v>
      </c>
      <c r="D529" s="7" t="s">
        <v>7542</v>
      </c>
      <c r="E529" s="7" t="s">
        <v>9882</v>
      </c>
      <c r="F529" s="8" t="s">
        <v>9881</v>
      </c>
      <c r="G529" s="7">
        <v>10</v>
      </c>
      <c r="H529" s="7" t="s">
        <v>9292</v>
      </c>
      <c r="I529" s="7">
        <v>3</v>
      </c>
      <c r="J529" s="7" t="s">
        <v>7718</v>
      </c>
      <c r="K529" s="9" t="s">
        <v>8987</v>
      </c>
    </row>
    <row r="530" spans="1:11">
      <c r="A530" s="7">
        <v>528</v>
      </c>
      <c r="B530" s="7" t="s">
        <v>9764</v>
      </c>
      <c r="C530" s="7" t="s">
        <v>8984</v>
      </c>
      <c r="D530" s="7" t="s">
        <v>7542</v>
      </c>
      <c r="E530" s="7" t="s">
        <v>9883</v>
      </c>
      <c r="F530" s="8" t="s">
        <v>8993</v>
      </c>
      <c r="G530" s="7">
        <v>37</v>
      </c>
      <c r="H530" s="7" t="s">
        <v>9884</v>
      </c>
      <c r="I530" s="7">
        <v>9</v>
      </c>
      <c r="J530" s="7" t="s">
        <v>9885</v>
      </c>
      <c r="K530" s="9" t="s">
        <v>8987</v>
      </c>
    </row>
    <row r="531" spans="1:11">
      <c r="A531" s="7">
        <v>529</v>
      </c>
      <c r="B531" s="7" t="s">
        <v>9764</v>
      </c>
      <c r="C531" s="7" t="s">
        <v>8984</v>
      </c>
      <c r="D531" s="7" t="s">
        <v>7573</v>
      </c>
      <c r="E531" s="7" t="s">
        <v>9886</v>
      </c>
      <c r="F531" s="8" t="s">
        <v>9177</v>
      </c>
      <c r="G531" s="7">
        <v>92</v>
      </c>
      <c r="H531" s="7" t="s">
        <v>9887</v>
      </c>
      <c r="I531" s="7">
        <v>23</v>
      </c>
      <c r="J531" s="7" t="s">
        <v>9888</v>
      </c>
      <c r="K531" s="9" t="s">
        <v>8987</v>
      </c>
    </row>
    <row r="532" spans="1:11">
      <c r="A532" s="7">
        <v>530</v>
      </c>
      <c r="B532" s="7" t="s">
        <v>8990</v>
      </c>
      <c r="C532" s="7" t="s">
        <v>8984</v>
      </c>
      <c r="D532" s="7" t="s">
        <v>7556</v>
      </c>
      <c r="E532" s="7" t="s">
        <v>9889</v>
      </c>
      <c r="F532" s="8" t="s">
        <v>9067</v>
      </c>
      <c r="G532" s="7">
        <v>11</v>
      </c>
      <c r="H532" s="7" t="s">
        <v>9386</v>
      </c>
      <c r="I532" s="7">
        <v>2</v>
      </c>
      <c r="J532" s="7" t="s">
        <v>7719</v>
      </c>
      <c r="K532" s="9" t="s">
        <v>8987</v>
      </c>
    </row>
    <row r="533" spans="1:11">
      <c r="A533" s="7">
        <v>531</v>
      </c>
      <c r="B533" s="7" t="s">
        <v>8990</v>
      </c>
      <c r="C533" s="7" t="s">
        <v>8984</v>
      </c>
      <c r="D533" s="7" t="s">
        <v>7556</v>
      </c>
      <c r="E533" s="7" t="s">
        <v>9890</v>
      </c>
      <c r="F533" s="8" t="s">
        <v>9069</v>
      </c>
      <c r="G533" s="7">
        <v>11</v>
      </c>
      <c r="H533" s="7" t="s">
        <v>9386</v>
      </c>
      <c r="I533" s="7">
        <v>2</v>
      </c>
      <c r="J533" s="7" t="s">
        <v>7719</v>
      </c>
      <c r="K533" s="9" t="s">
        <v>8987</v>
      </c>
    </row>
    <row r="534" spans="1:11">
      <c r="A534" s="7">
        <v>532</v>
      </c>
      <c r="B534" s="7" t="s">
        <v>8990</v>
      </c>
      <c r="C534" s="7" t="s">
        <v>8984</v>
      </c>
      <c r="D534" s="7" t="s">
        <v>7556</v>
      </c>
      <c r="E534" s="7" t="s">
        <v>9891</v>
      </c>
      <c r="F534" s="8" t="s">
        <v>9071</v>
      </c>
      <c r="G534" s="7">
        <v>11</v>
      </c>
      <c r="H534" s="7" t="s">
        <v>9386</v>
      </c>
      <c r="I534" s="7">
        <v>2</v>
      </c>
      <c r="J534" s="7" t="s">
        <v>7719</v>
      </c>
      <c r="K534" s="9" t="s">
        <v>8987</v>
      </c>
    </row>
    <row r="535" spans="1:11">
      <c r="A535" s="7">
        <v>533</v>
      </c>
      <c r="B535" s="7" t="s">
        <v>9764</v>
      </c>
      <c r="C535" s="7" t="s">
        <v>8984</v>
      </c>
      <c r="D535" s="7" t="s">
        <v>7551</v>
      </c>
      <c r="E535" s="7" t="s">
        <v>9892</v>
      </c>
      <c r="F535" s="8" t="s">
        <v>9192</v>
      </c>
      <c r="G535" s="7">
        <v>165</v>
      </c>
      <c r="H535" s="7" t="s">
        <v>9893</v>
      </c>
      <c r="I535" s="7">
        <v>21</v>
      </c>
      <c r="J535" s="7" t="s">
        <v>9894</v>
      </c>
      <c r="K535" s="9" t="s">
        <v>8987</v>
      </c>
    </row>
    <row r="536" spans="1:11">
      <c r="A536" s="7">
        <v>534</v>
      </c>
      <c r="B536" s="7" t="s">
        <v>8983</v>
      </c>
      <c r="C536" s="7" t="s">
        <v>8984</v>
      </c>
      <c r="D536" s="7" t="s">
        <v>7551</v>
      </c>
      <c r="E536" s="7" t="s">
        <v>5099</v>
      </c>
      <c r="F536" s="8" t="s">
        <v>9192</v>
      </c>
      <c r="G536" s="7">
        <v>165</v>
      </c>
      <c r="H536" s="7" t="s">
        <v>9893</v>
      </c>
      <c r="I536" s="7">
        <v>21</v>
      </c>
      <c r="J536" s="7" t="s">
        <v>9894</v>
      </c>
      <c r="K536" s="9" t="s">
        <v>8987</v>
      </c>
    </row>
    <row r="537" spans="1:11">
      <c r="A537" s="7">
        <v>535</v>
      </c>
      <c r="B537" s="7" t="s">
        <v>8983</v>
      </c>
      <c r="C537" s="7" t="s">
        <v>8984</v>
      </c>
      <c r="D537" s="7" t="s">
        <v>7551</v>
      </c>
      <c r="E537" s="7" t="s">
        <v>9895</v>
      </c>
      <c r="F537" s="8" t="s">
        <v>9192</v>
      </c>
      <c r="G537" s="7">
        <v>165</v>
      </c>
      <c r="H537" s="7" t="s">
        <v>9893</v>
      </c>
      <c r="I537" s="7">
        <v>21</v>
      </c>
      <c r="J537" s="7" t="s">
        <v>9894</v>
      </c>
      <c r="K537" s="9" t="s">
        <v>8987</v>
      </c>
    </row>
    <row r="538" spans="1:11">
      <c r="A538" s="7">
        <v>536</v>
      </c>
      <c r="B538" s="7" t="s">
        <v>8983</v>
      </c>
      <c r="C538" s="7" t="s">
        <v>8991</v>
      </c>
      <c r="D538" s="7" t="s">
        <v>7542</v>
      </c>
      <c r="E538" s="7" t="s">
        <v>9896</v>
      </c>
      <c r="F538" s="8" t="s">
        <v>9576</v>
      </c>
      <c r="G538" s="7">
        <v>10</v>
      </c>
      <c r="H538" s="7" t="s">
        <v>9292</v>
      </c>
      <c r="I538" s="7">
        <v>1</v>
      </c>
      <c r="J538" s="7" t="s">
        <v>7768</v>
      </c>
      <c r="K538" s="9" t="s">
        <v>8987</v>
      </c>
    </row>
    <row r="539" spans="1:11">
      <c r="A539" s="7">
        <v>537</v>
      </c>
      <c r="B539" s="7" t="s">
        <v>8983</v>
      </c>
      <c r="C539" s="7" t="s">
        <v>8991</v>
      </c>
      <c r="D539" s="7" t="s">
        <v>7542</v>
      </c>
      <c r="E539" s="7" t="s">
        <v>9897</v>
      </c>
      <c r="F539" s="8" t="s">
        <v>9609</v>
      </c>
      <c r="G539" s="7">
        <v>10</v>
      </c>
      <c r="H539" s="7" t="s">
        <v>9292</v>
      </c>
      <c r="I539" s="7">
        <v>1</v>
      </c>
      <c r="J539" s="7" t="s">
        <v>7768</v>
      </c>
      <c r="K539" s="9" t="s">
        <v>8987</v>
      </c>
    </row>
    <row r="540" spans="1:11">
      <c r="A540" s="7">
        <v>538</v>
      </c>
      <c r="B540" s="7" t="s">
        <v>8983</v>
      </c>
      <c r="C540" s="7" t="s">
        <v>8991</v>
      </c>
      <c r="D540" s="7" t="s">
        <v>7542</v>
      </c>
      <c r="E540" s="7" t="s">
        <v>9898</v>
      </c>
      <c r="F540" s="8" t="s">
        <v>9611</v>
      </c>
      <c r="G540" s="7">
        <v>10</v>
      </c>
      <c r="H540" s="7" t="s">
        <v>9292</v>
      </c>
      <c r="I540" s="7">
        <v>1</v>
      </c>
      <c r="J540" s="7" t="s">
        <v>7768</v>
      </c>
      <c r="K540" s="9" t="s">
        <v>8987</v>
      </c>
    </row>
    <row r="541" spans="1:11">
      <c r="A541" s="7">
        <v>539</v>
      </c>
      <c r="B541" s="7" t="s">
        <v>8983</v>
      </c>
      <c r="C541" s="7" t="s">
        <v>8991</v>
      </c>
      <c r="D541" s="7" t="s">
        <v>7542</v>
      </c>
      <c r="E541" s="7" t="s">
        <v>9899</v>
      </c>
      <c r="F541" s="8" t="s">
        <v>9613</v>
      </c>
      <c r="G541" s="7">
        <v>10</v>
      </c>
      <c r="H541" s="7" t="s">
        <v>9292</v>
      </c>
      <c r="I541" s="7">
        <v>1</v>
      </c>
      <c r="J541" s="7" t="s">
        <v>7768</v>
      </c>
      <c r="K541" s="9" t="s">
        <v>8987</v>
      </c>
    </row>
    <row r="542" spans="1:11">
      <c r="A542" s="7">
        <v>540</v>
      </c>
      <c r="B542" s="7" t="s">
        <v>8983</v>
      </c>
      <c r="C542" s="7" t="s">
        <v>8991</v>
      </c>
      <c r="D542" s="7" t="s">
        <v>7542</v>
      </c>
      <c r="E542" s="7" t="s">
        <v>9900</v>
      </c>
      <c r="F542" s="8" t="s">
        <v>9615</v>
      </c>
      <c r="G542" s="7">
        <v>10</v>
      </c>
      <c r="H542" s="7" t="s">
        <v>9292</v>
      </c>
      <c r="I542" s="7">
        <v>1</v>
      </c>
      <c r="J542" s="7" t="s">
        <v>7768</v>
      </c>
      <c r="K542" s="9" t="s">
        <v>8987</v>
      </c>
    </row>
    <row r="543" spans="1:11">
      <c r="A543" s="7">
        <v>541</v>
      </c>
      <c r="B543" s="7" t="s">
        <v>8983</v>
      </c>
      <c r="C543" s="7" t="s">
        <v>8991</v>
      </c>
      <c r="D543" s="7" t="s">
        <v>7542</v>
      </c>
      <c r="E543" s="7" t="s">
        <v>9901</v>
      </c>
      <c r="F543" s="8" t="s">
        <v>9617</v>
      </c>
      <c r="G543" s="7">
        <v>10</v>
      </c>
      <c r="H543" s="7" t="s">
        <v>9292</v>
      </c>
      <c r="I543" s="7">
        <v>1</v>
      </c>
      <c r="J543" s="7" t="s">
        <v>7768</v>
      </c>
      <c r="K543" s="9" t="s">
        <v>8987</v>
      </c>
    </row>
    <row r="544" spans="1:11">
      <c r="A544" s="7">
        <v>542</v>
      </c>
      <c r="B544" s="7" t="s">
        <v>8983</v>
      </c>
      <c r="C544" s="7" t="s">
        <v>8991</v>
      </c>
      <c r="D544" s="7" t="s">
        <v>7542</v>
      </c>
      <c r="E544" s="7" t="s">
        <v>9902</v>
      </c>
      <c r="F544" s="8" t="s">
        <v>9291</v>
      </c>
      <c r="G544" s="7">
        <v>10</v>
      </c>
      <c r="H544" s="7" t="s">
        <v>9292</v>
      </c>
      <c r="I544" s="7">
        <v>1</v>
      </c>
      <c r="J544" s="7" t="s">
        <v>7768</v>
      </c>
      <c r="K544" s="9" t="s">
        <v>8987</v>
      </c>
    </row>
    <row r="545" spans="1:11">
      <c r="A545" s="7">
        <v>543</v>
      </c>
      <c r="B545" s="7" t="s">
        <v>9764</v>
      </c>
      <c r="C545" s="7" t="s">
        <v>8991</v>
      </c>
      <c r="D545" s="7" t="s">
        <v>7542</v>
      </c>
      <c r="E545" s="7" t="s">
        <v>9903</v>
      </c>
      <c r="F545" s="8" t="s">
        <v>9576</v>
      </c>
      <c r="G545" s="7">
        <v>11</v>
      </c>
      <c r="H545" s="7" t="s">
        <v>9386</v>
      </c>
      <c r="I545" s="7">
        <v>1</v>
      </c>
      <c r="J545" s="7" t="s">
        <v>7865</v>
      </c>
      <c r="K545" s="9" t="s">
        <v>8987</v>
      </c>
    </row>
    <row r="546" spans="1:11">
      <c r="A546" s="7">
        <v>544</v>
      </c>
      <c r="B546" s="7" t="s">
        <v>9764</v>
      </c>
      <c r="C546" s="7" t="s">
        <v>8991</v>
      </c>
      <c r="D546" s="7" t="s">
        <v>7542</v>
      </c>
      <c r="E546" s="7" t="s">
        <v>9904</v>
      </c>
      <c r="F546" s="8" t="s">
        <v>9609</v>
      </c>
      <c r="G546" s="7">
        <v>11</v>
      </c>
      <c r="H546" s="7" t="s">
        <v>9386</v>
      </c>
      <c r="I546" s="7">
        <v>1</v>
      </c>
      <c r="J546" s="7" t="s">
        <v>7865</v>
      </c>
      <c r="K546" s="9" t="s">
        <v>8987</v>
      </c>
    </row>
    <row r="547" spans="1:11">
      <c r="A547" s="7">
        <v>545</v>
      </c>
      <c r="B547" s="7" t="s">
        <v>9764</v>
      </c>
      <c r="C547" s="7" t="s">
        <v>8991</v>
      </c>
      <c r="D547" s="7" t="s">
        <v>7542</v>
      </c>
      <c r="E547" s="7" t="s">
        <v>9905</v>
      </c>
      <c r="F547" s="8" t="s">
        <v>9611</v>
      </c>
      <c r="G547" s="7">
        <v>11</v>
      </c>
      <c r="H547" s="7" t="s">
        <v>9386</v>
      </c>
      <c r="I547" s="7">
        <v>1</v>
      </c>
      <c r="J547" s="7" t="s">
        <v>7865</v>
      </c>
      <c r="K547" s="9" t="s">
        <v>8987</v>
      </c>
    </row>
    <row r="548" spans="1:11">
      <c r="A548" s="7">
        <v>546</v>
      </c>
      <c r="B548" s="7" t="s">
        <v>9764</v>
      </c>
      <c r="C548" s="7" t="s">
        <v>8991</v>
      </c>
      <c r="D548" s="7" t="s">
        <v>7542</v>
      </c>
      <c r="E548" s="7" t="s">
        <v>9906</v>
      </c>
      <c r="F548" s="8" t="s">
        <v>9613</v>
      </c>
      <c r="G548" s="7">
        <v>11</v>
      </c>
      <c r="H548" s="7" t="s">
        <v>9386</v>
      </c>
      <c r="I548" s="7">
        <v>1</v>
      </c>
      <c r="J548" s="7" t="s">
        <v>7865</v>
      </c>
      <c r="K548" s="9" t="s">
        <v>8987</v>
      </c>
    </row>
    <row r="549" spans="1:11">
      <c r="A549" s="7">
        <v>547</v>
      </c>
      <c r="B549" s="7" t="s">
        <v>9764</v>
      </c>
      <c r="C549" s="7" t="s">
        <v>8991</v>
      </c>
      <c r="D549" s="7" t="s">
        <v>7542</v>
      </c>
      <c r="E549" s="7" t="s">
        <v>9907</v>
      </c>
      <c r="F549" s="8" t="s">
        <v>9615</v>
      </c>
      <c r="G549" s="7">
        <v>11</v>
      </c>
      <c r="H549" s="7" t="s">
        <v>9386</v>
      </c>
      <c r="I549" s="7">
        <v>1</v>
      </c>
      <c r="J549" s="7" t="s">
        <v>7865</v>
      </c>
      <c r="K549" s="9" t="s">
        <v>8987</v>
      </c>
    </row>
    <row r="550" spans="1:11">
      <c r="A550" s="7">
        <v>548</v>
      </c>
      <c r="B550" s="7" t="s">
        <v>9764</v>
      </c>
      <c r="C550" s="7" t="s">
        <v>8991</v>
      </c>
      <c r="D550" s="7" t="s">
        <v>7542</v>
      </c>
      <c r="E550" s="7" t="s">
        <v>9908</v>
      </c>
      <c r="F550" s="8" t="s">
        <v>9617</v>
      </c>
      <c r="G550" s="7">
        <v>11</v>
      </c>
      <c r="H550" s="7" t="s">
        <v>9386</v>
      </c>
      <c r="I550" s="7">
        <v>1</v>
      </c>
      <c r="J550" s="7" t="s">
        <v>7865</v>
      </c>
      <c r="K550" s="9" t="s">
        <v>8987</v>
      </c>
    </row>
    <row r="551" spans="1:11">
      <c r="A551" s="7">
        <v>549</v>
      </c>
      <c r="B551" s="7" t="s">
        <v>9764</v>
      </c>
      <c r="C551" s="7" t="s">
        <v>8991</v>
      </c>
      <c r="D551" s="7" t="s">
        <v>7542</v>
      </c>
      <c r="E551" s="7" t="s">
        <v>9909</v>
      </c>
      <c r="F551" s="8" t="s">
        <v>9291</v>
      </c>
      <c r="G551" s="7">
        <v>11</v>
      </c>
      <c r="H551" s="7" t="s">
        <v>9386</v>
      </c>
      <c r="I551" s="7">
        <v>1</v>
      </c>
      <c r="J551" s="7" t="s">
        <v>7865</v>
      </c>
      <c r="K551" s="9" t="s">
        <v>8987</v>
      </c>
    </row>
    <row r="552" spans="1:11">
      <c r="A552" s="7">
        <v>550</v>
      </c>
      <c r="B552" s="7" t="s">
        <v>8983</v>
      </c>
      <c r="C552" s="7" t="s">
        <v>8984</v>
      </c>
      <c r="D552" s="7" t="s">
        <v>7542</v>
      </c>
      <c r="E552" s="7" t="s">
        <v>9910</v>
      </c>
      <c r="F552" s="8" t="s">
        <v>9881</v>
      </c>
      <c r="G552" s="7">
        <v>13</v>
      </c>
      <c r="H552" s="7" t="s">
        <v>9077</v>
      </c>
      <c r="I552" s="7">
        <v>2</v>
      </c>
      <c r="J552" s="7" t="s">
        <v>9178</v>
      </c>
      <c r="K552" s="9" t="s">
        <v>8987</v>
      </c>
    </row>
    <row r="553" spans="1:11">
      <c r="A553" s="7">
        <v>551</v>
      </c>
      <c r="B553" s="7" t="s">
        <v>8983</v>
      </c>
      <c r="C553" s="7" t="s">
        <v>8984</v>
      </c>
      <c r="D553" s="7" t="s">
        <v>7542</v>
      </c>
      <c r="E553" s="7" t="s">
        <v>9911</v>
      </c>
      <c r="F553" s="8" t="s">
        <v>9758</v>
      </c>
      <c r="G553" s="7">
        <v>13</v>
      </c>
      <c r="H553" s="7" t="s">
        <v>9077</v>
      </c>
      <c r="I553" s="7">
        <v>2</v>
      </c>
      <c r="J553" s="7" t="s">
        <v>9178</v>
      </c>
      <c r="K553" s="9" t="s">
        <v>8987</v>
      </c>
    </row>
    <row r="554" spans="1:11">
      <c r="A554" s="7">
        <v>552</v>
      </c>
      <c r="B554" s="7" t="s">
        <v>8983</v>
      </c>
      <c r="C554" s="7" t="s">
        <v>8984</v>
      </c>
      <c r="D554" s="7" t="s">
        <v>7542</v>
      </c>
      <c r="E554" s="7" t="s">
        <v>9912</v>
      </c>
      <c r="F554" s="8" t="s">
        <v>9335</v>
      </c>
      <c r="G554" s="7">
        <v>13</v>
      </c>
      <c r="H554" s="7" t="s">
        <v>9077</v>
      </c>
      <c r="I554" s="7">
        <v>2</v>
      </c>
      <c r="J554" s="7" t="s">
        <v>9178</v>
      </c>
      <c r="K554" s="9" t="s">
        <v>8987</v>
      </c>
    </row>
    <row r="555" spans="1:11">
      <c r="A555" s="7">
        <v>553</v>
      </c>
      <c r="B555" s="7" t="s">
        <v>8983</v>
      </c>
      <c r="C555" s="7" t="s">
        <v>8991</v>
      </c>
      <c r="D555" s="7" t="s">
        <v>7542</v>
      </c>
      <c r="E555" s="7" t="s">
        <v>9913</v>
      </c>
      <c r="F555" s="8" t="s">
        <v>9340</v>
      </c>
      <c r="G555" s="7">
        <v>13</v>
      </c>
      <c r="H555" s="7" t="s">
        <v>9077</v>
      </c>
      <c r="I555" s="7">
        <v>2</v>
      </c>
      <c r="J555" s="7" t="s">
        <v>9178</v>
      </c>
      <c r="K555" s="9" t="s">
        <v>8987</v>
      </c>
    </row>
    <row r="556" spans="1:11">
      <c r="A556" s="7">
        <v>554</v>
      </c>
      <c r="B556" s="7" t="s">
        <v>8983</v>
      </c>
      <c r="C556" s="7" t="s">
        <v>8984</v>
      </c>
      <c r="D556" s="7" t="s">
        <v>7542</v>
      </c>
      <c r="E556" s="7" t="s">
        <v>9914</v>
      </c>
      <c r="F556" s="8" t="s">
        <v>9344</v>
      </c>
      <c r="G556" s="7">
        <v>13</v>
      </c>
      <c r="H556" s="7" t="s">
        <v>9077</v>
      </c>
      <c r="I556" s="7">
        <v>2</v>
      </c>
      <c r="J556" s="7" t="s">
        <v>9178</v>
      </c>
      <c r="K556" s="9" t="s">
        <v>8987</v>
      </c>
    </row>
    <row r="557" spans="1:11">
      <c r="A557" s="7">
        <v>555</v>
      </c>
      <c r="B557" s="7" t="s">
        <v>9208</v>
      </c>
      <c r="C557" s="7" t="s">
        <v>8984</v>
      </c>
      <c r="D557" s="7" t="s">
        <v>7542</v>
      </c>
      <c r="E557" s="7" t="s">
        <v>9915</v>
      </c>
      <c r="F557" s="8" t="s">
        <v>9581</v>
      </c>
      <c r="G557" s="7">
        <v>13</v>
      </c>
      <c r="H557" s="7" t="s">
        <v>9077</v>
      </c>
      <c r="I557" s="7">
        <v>2</v>
      </c>
      <c r="J557" s="7" t="s">
        <v>9178</v>
      </c>
      <c r="K557" s="9" t="s">
        <v>8987</v>
      </c>
    </row>
    <row r="558" spans="1:11">
      <c r="A558" s="7">
        <v>556</v>
      </c>
      <c r="B558" s="7" t="s">
        <v>9764</v>
      </c>
      <c r="C558" s="7" t="s">
        <v>8984</v>
      </c>
      <c r="D558" s="7" t="s">
        <v>7542</v>
      </c>
      <c r="E558" s="7" t="s">
        <v>9916</v>
      </c>
      <c r="F558" s="8" t="s">
        <v>8993</v>
      </c>
      <c r="G558" s="7">
        <v>50</v>
      </c>
      <c r="H558" s="7" t="s">
        <v>9021</v>
      </c>
      <c r="I558" s="7">
        <v>11</v>
      </c>
      <c r="J558" s="7" t="s">
        <v>9247</v>
      </c>
      <c r="K558" s="9" t="s">
        <v>8987</v>
      </c>
    </row>
    <row r="559" spans="1:11">
      <c r="A559" s="7">
        <v>557</v>
      </c>
      <c r="B559" s="7" t="s">
        <v>9764</v>
      </c>
      <c r="C559" s="7" t="s">
        <v>8984</v>
      </c>
      <c r="D559" s="7" t="s">
        <v>7573</v>
      </c>
      <c r="E559" s="7" t="s">
        <v>5091</v>
      </c>
      <c r="F559" s="8" t="s">
        <v>9173</v>
      </c>
      <c r="G559" s="7">
        <v>115</v>
      </c>
      <c r="H559" s="7" t="s">
        <v>9917</v>
      </c>
      <c r="I559" s="7">
        <v>27</v>
      </c>
      <c r="J559" s="7" t="s">
        <v>9918</v>
      </c>
      <c r="K559" s="9" t="s">
        <v>8987</v>
      </c>
    </row>
    <row r="560" spans="1:11">
      <c r="A560" s="7">
        <v>558</v>
      </c>
      <c r="B560" s="7" t="s">
        <v>8990</v>
      </c>
      <c r="C560" s="7" t="s">
        <v>8984</v>
      </c>
      <c r="D560" s="7" t="s">
        <v>7556</v>
      </c>
      <c r="E560" s="7" t="s">
        <v>9919</v>
      </c>
      <c r="F560" s="8" t="s">
        <v>9067</v>
      </c>
      <c r="G560" s="7">
        <v>12</v>
      </c>
      <c r="H560" s="7" t="s">
        <v>9213</v>
      </c>
      <c r="I560" s="7">
        <v>2</v>
      </c>
      <c r="J560" s="7" t="s">
        <v>9920</v>
      </c>
      <c r="K560" s="9" t="s">
        <v>8987</v>
      </c>
    </row>
    <row r="561" spans="1:11">
      <c r="A561" s="7">
        <v>559</v>
      </c>
      <c r="B561" s="7" t="s">
        <v>8990</v>
      </c>
      <c r="C561" s="7" t="s">
        <v>8984</v>
      </c>
      <c r="D561" s="7" t="s">
        <v>7556</v>
      </c>
      <c r="E561" s="7" t="s">
        <v>9921</v>
      </c>
      <c r="F561" s="8" t="s">
        <v>9069</v>
      </c>
      <c r="G561" s="7">
        <v>12</v>
      </c>
      <c r="H561" s="7" t="s">
        <v>9213</v>
      </c>
      <c r="I561" s="7">
        <v>2</v>
      </c>
      <c r="J561" s="7" t="s">
        <v>9920</v>
      </c>
      <c r="K561" s="9" t="s">
        <v>8987</v>
      </c>
    </row>
    <row r="562" spans="1:11">
      <c r="A562" s="7">
        <v>560</v>
      </c>
      <c r="B562" s="7" t="s">
        <v>8990</v>
      </c>
      <c r="C562" s="7" t="s">
        <v>8984</v>
      </c>
      <c r="D562" s="7" t="s">
        <v>7556</v>
      </c>
      <c r="E562" s="7" t="s">
        <v>9922</v>
      </c>
      <c r="F562" s="8" t="s">
        <v>9071</v>
      </c>
      <c r="G562" s="7">
        <v>12</v>
      </c>
      <c r="H562" s="7" t="s">
        <v>9213</v>
      </c>
      <c r="I562" s="7">
        <v>2</v>
      </c>
      <c r="J562" s="7" t="s">
        <v>9920</v>
      </c>
      <c r="K562" s="9" t="s">
        <v>8987</v>
      </c>
    </row>
    <row r="563" spans="1:11">
      <c r="A563" s="7">
        <v>561</v>
      </c>
      <c r="B563" s="7" t="s">
        <v>8983</v>
      </c>
      <c r="C563" s="7" t="s">
        <v>8984</v>
      </c>
      <c r="D563" s="7" t="s">
        <v>7551</v>
      </c>
      <c r="E563" s="7" t="s">
        <v>9923</v>
      </c>
      <c r="F563" s="8" t="s">
        <v>9192</v>
      </c>
      <c r="G563" s="7">
        <v>165</v>
      </c>
      <c r="H563" s="7" t="s">
        <v>9893</v>
      </c>
      <c r="I563" s="7">
        <v>21</v>
      </c>
      <c r="J563" s="7" t="s">
        <v>9894</v>
      </c>
      <c r="K563" s="9" t="s">
        <v>8987</v>
      </c>
    </row>
    <row r="564" spans="1:11">
      <c r="A564" s="7">
        <v>562</v>
      </c>
      <c r="B564" s="7" t="s">
        <v>8983</v>
      </c>
      <c r="C564" s="7" t="s">
        <v>8984</v>
      </c>
      <c r="D564" s="7" t="s">
        <v>7551</v>
      </c>
      <c r="E564" s="7" t="s">
        <v>9924</v>
      </c>
      <c r="F564" s="8" t="s">
        <v>9192</v>
      </c>
      <c r="G564" s="7">
        <v>82</v>
      </c>
      <c r="H564" s="7" t="s">
        <v>9206</v>
      </c>
      <c r="I564" s="7">
        <v>11</v>
      </c>
      <c r="J564" s="7" t="s">
        <v>9925</v>
      </c>
      <c r="K564" s="9" t="s">
        <v>8987</v>
      </c>
    </row>
    <row r="565" spans="1:11">
      <c r="A565" s="7">
        <v>563</v>
      </c>
      <c r="B565" s="7" t="s">
        <v>8983</v>
      </c>
      <c r="C565" s="7" t="s">
        <v>8984</v>
      </c>
      <c r="D565" s="7" t="s">
        <v>7542</v>
      </c>
      <c r="E565" s="7" t="s">
        <v>9926</v>
      </c>
      <c r="F565" s="8" t="s">
        <v>9881</v>
      </c>
      <c r="G565" s="7">
        <v>14</v>
      </c>
      <c r="H565" s="7" t="s">
        <v>9397</v>
      </c>
      <c r="I565" s="7">
        <v>2</v>
      </c>
      <c r="J565" s="7" t="s">
        <v>9927</v>
      </c>
      <c r="K565" s="9" t="s">
        <v>8987</v>
      </c>
    </row>
    <row r="566" spans="1:11">
      <c r="A566" s="7">
        <v>564</v>
      </c>
      <c r="B566" s="7" t="s">
        <v>8983</v>
      </c>
      <c r="C566" s="7" t="s">
        <v>8984</v>
      </c>
      <c r="D566" s="7" t="s">
        <v>7542</v>
      </c>
      <c r="E566" s="7" t="s">
        <v>9928</v>
      </c>
      <c r="F566" s="8" t="s">
        <v>9758</v>
      </c>
      <c r="G566" s="7">
        <v>14</v>
      </c>
      <c r="H566" s="7" t="s">
        <v>9397</v>
      </c>
      <c r="I566" s="7">
        <v>2</v>
      </c>
      <c r="J566" s="7" t="s">
        <v>9927</v>
      </c>
      <c r="K566" s="9" t="s">
        <v>8987</v>
      </c>
    </row>
    <row r="567" spans="1:11">
      <c r="A567" s="7">
        <v>565</v>
      </c>
      <c r="B567" s="7" t="s">
        <v>8983</v>
      </c>
      <c r="C567" s="7" t="s">
        <v>8984</v>
      </c>
      <c r="D567" s="7" t="s">
        <v>7542</v>
      </c>
      <c r="E567" s="7" t="s">
        <v>9929</v>
      </c>
      <c r="F567" s="8" t="s">
        <v>9335</v>
      </c>
      <c r="G567" s="7">
        <v>14</v>
      </c>
      <c r="H567" s="7" t="s">
        <v>9397</v>
      </c>
      <c r="I567" s="7">
        <v>2</v>
      </c>
      <c r="J567" s="7" t="s">
        <v>9927</v>
      </c>
      <c r="K567" s="9" t="s">
        <v>8987</v>
      </c>
    </row>
    <row r="568" spans="1:11">
      <c r="A568" s="7">
        <v>566</v>
      </c>
      <c r="B568" s="7" t="s">
        <v>8983</v>
      </c>
      <c r="C568" s="7" t="s">
        <v>8991</v>
      </c>
      <c r="D568" s="7" t="s">
        <v>7542</v>
      </c>
      <c r="E568" s="7" t="s">
        <v>9930</v>
      </c>
      <c r="F568" s="8" t="s">
        <v>9340</v>
      </c>
      <c r="G568" s="7">
        <v>14</v>
      </c>
      <c r="H568" s="7" t="s">
        <v>9397</v>
      </c>
      <c r="I568" s="7">
        <v>2</v>
      </c>
      <c r="J568" s="7" t="s">
        <v>9927</v>
      </c>
      <c r="K568" s="9" t="s">
        <v>8987</v>
      </c>
    </row>
    <row r="569" spans="1:11">
      <c r="A569" s="7">
        <v>567</v>
      </c>
      <c r="B569" s="7" t="s">
        <v>8983</v>
      </c>
      <c r="C569" s="7" t="s">
        <v>8984</v>
      </c>
      <c r="D569" s="7" t="s">
        <v>7542</v>
      </c>
      <c r="E569" s="7" t="s">
        <v>9931</v>
      </c>
      <c r="F569" s="8" t="s">
        <v>9344</v>
      </c>
      <c r="G569" s="7">
        <v>14</v>
      </c>
      <c r="H569" s="7" t="s">
        <v>9397</v>
      </c>
      <c r="I569" s="7">
        <v>2</v>
      </c>
      <c r="J569" s="7" t="s">
        <v>9927</v>
      </c>
      <c r="K569" s="9" t="s">
        <v>8987</v>
      </c>
    </row>
    <row r="570" spans="1:11">
      <c r="A570" s="7">
        <v>568</v>
      </c>
      <c r="B570" s="7" t="s">
        <v>9208</v>
      </c>
      <c r="C570" s="7" t="s">
        <v>8984</v>
      </c>
      <c r="D570" s="7" t="s">
        <v>7542</v>
      </c>
      <c r="E570" s="7" t="s">
        <v>9932</v>
      </c>
      <c r="F570" s="8" t="s">
        <v>9581</v>
      </c>
      <c r="G570" s="7">
        <v>14</v>
      </c>
      <c r="H570" s="7" t="s">
        <v>9397</v>
      </c>
      <c r="I570" s="7">
        <v>2</v>
      </c>
      <c r="J570" s="7" t="s">
        <v>9927</v>
      </c>
      <c r="K570" s="9" t="s">
        <v>8987</v>
      </c>
    </row>
    <row r="571" spans="1:11">
      <c r="A571" s="7">
        <v>569</v>
      </c>
      <c r="B571" s="7" t="s">
        <v>9764</v>
      </c>
      <c r="C571" s="7" t="s">
        <v>8991</v>
      </c>
      <c r="D571" s="7" t="s">
        <v>7542</v>
      </c>
      <c r="E571" s="7" t="s">
        <v>9933</v>
      </c>
      <c r="F571" s="8" t="s">
        <v>9576</v>
      </c>
      <c r="G571" s="7">
        <v>13</v>
      </c>
      <c r="H571" s="7" t="s">
        <v>9077</v>
      </c>
      <c r="I571" s="7">
        <v>2</v>
      </c>
      <c r="J571" s="7" t="s">
        <v>9178</v>
      </c>
      <c r="K571" s="9" t="s">
        <v>8987</v>
      </c>
    </row>
    <row r="572" spans="1:11">
      <c r="A572" s="7">
        <v>570</v>
      </c>
      <c r="B572" s="7" t="s">
        <v>9764</v>
      </c>
      <c r="C572" s="7" t="s">
        <v>8991</v>
      </c>
      <c r="D572" s="7" t="s">
        <v>7542</v>
      </c>
      <c r="E572" s="7" t="s">
        <v>9934</v>
      </c>
      <c r="F572" s="8" t="s">
        <v>9609</v>
      </c>
      <c r="G572" s="7">
        <v>13</v>
      </c>
      <c r="H572" s="7" t="s">
        <v>9077</v>
      </c>
      <c r="I572" s="7">
        <v>2</v>
      </c>
      <c r="J572" s="7" t="s">
        <v>9178</v>
      </c>
      <c r="K572" s="9" t="s">
        <v>8987</v>
      </c>
    </row>
    <row r="573" spans="1:11">
      <c r="A573" s="7">
        <v>571</v>
      </c>
      <c r="B573" s="7" t="s">
        <v>9764</v>
      </c>
      <c r="C573" s="7" t="s">
        <v>8991</v>
      </c>
      <c r="D573" s="7" t="s">
        <v>7542</v>
      </c>
      <c r="E573" s="7" t="s">
        <v>9935</v>
      </c>
      <c r="F573" s="8" t="s">
        <v>9611</v>
      </c>
      <c r="G573" s="7">
        <v>13</v>
      </c>
      <c r="H573" s="7" t="s">
        <v>9077</v>
      </c>
      <c r="I573" s="7">
        <v>2</v>
      </c>
      <c r="J573" s="7" t="s">
        <v>9178</v>
      </c>
      <c r="K573" s="9" t="s">
        <v>8987</v>
      </c>
    </row>
    <row r="574" spans="1:11">
      <c r="A574" s="7">
        <v>572</v>
      </c>
      <c r="B574" s="7" t="s">
        <v>9764</v>
      </c>
      <c r="C574" s="7" t="s">
        <v>8991</v>
      </c>
      <c r="D574" s="7" t="s">
        <v>7542</v>
      </c>
      <c r="E574" s="7" t="s">
        <v>9936</v>
      </c>
      <c r="F574" s="8" t="s">
        <v>9613</v>
      </c>
      <c r="G574" s="7">
        <v>13</v>
      </c>
      <c r="H574" s="7" t="s">
        <v>9077</v>
      </c>
      <c r="I574" s="7">
        <v>2</v>
      </c>
      <c r="J574" s="7" t="s">
        <v>9178</v>
      </c>
      <c r="K574" s="9" t="s">
        <v>8987</v>
      </c>
    </row>
    <row r="575" spans="1:11">
      <c r="A575" s="7">
        <v>573</v>
      </c>
      <c r="B575" s="7" t="s">
        <v>9764</v>
      </c>
      <c r="C575" s="7" t="s">
        <v>8991</v>
      </c>
      <c r="D575" s="7" t="s">
        <v>7542</v>
      </c>
      <c r="E575" s="7" t="s">
        <v>9937</v>
      </c>
      <c r="F575" s="8" t="s">
        <v>9615</v>
      </c>
      <c r="G575" s="7">
        <v>13</v>
      </c>
      <c r="H575" s="7" t="s">
        <v>9077</v>
      </c>
      <c r="I575" s="7">
        <v>2</v>
      </c>
      <c r="J575" s="7" t="s">
        <v>9178</v>
      </c>
      <c r="K575" s="9" t="s">
        <v>8987</v>
      </c>
    </row>
    <row r="576" spans="1:11">
      <c r="A576" s="7">
        <v>574</v>
      </c>
      <c r="B576" s="7" t="s">
        <v>9764</v>
      </c>
      <c r="C576" s="7" t="s">
        <v>8991</v>
      </c>
      <c r="D576" s="7" t="s">
        <v>7542</v>
      </c>
      <c r="E576" s="7" t="s">
        <v>9938</v>
      </c>
      <c r="F576" s="8" t="s">
        <v>9617</v>
      </c>
      <c r="G576" s="7">
        <v>13</v>
      </c>
      <c r="H576" s="7" t="s">
        <v>9077</v>
      </c>
      <c r="I576" s="7">
        <v>2</v>
      </c>
      <c r="J576" s="7" t="s">
        <v>9178</v>
      </c>
      <c r="K576" s="9" t="s">
        <v>8987</v>
      </c>
    </row>
    <row r="577" spans="1:11">
      <c r="A577" s="7">
        <v>575</v>
      </c>
      <c r="B577" s="7" t="s">
        <v>9764</v>
      </c>
      <c r="C577" s="7" t="s">
        <v>8991</v>
      </c>
      <c r="D577" s="7" t="s">
        <v>7542</v>
      </c>
      <c r="E577" s="7" t="s">
        <v>9939</v>
      </c>
      <c r="F577" s="8" t="s">
        <v>9291</v>
      </c>
      <c r="G577" s="7">
        <v>13</v>
      </c>
      <c r="H577" s="7" t="s">
        <v>9077</v>
      </c>
      <c r="I577" s="7">
        <v>2</v>
      </c>
      <c r="J577" s="7" t="s">
        <v>9178</v>
      </c>
      <c r="K577" s="9" t="s">
        <v>8987</v>
      </c>
    </row>
    <row r="578" spans="1:11">
      <c r="A578" s="7">
        <v>576</v>
      </c>
      <c r="B578" s="7" t="s">
        <v>8983</v>
      </c>
      <c r="C578" s="7" t="s">
        <v>8984</v>
      </c>
      <c r="D578" s="7" t="s">
        <v>7542</v>
      </c>
      <c r="E578" s="7" t="s">
        <v>9940</v>
      </c>
      <c r="F578" s="8" t="s">
        <v>9576</v>
      </c>
      <c r="G578" s="7">
        <v>0</v>
      </c>
      <c r="H578" s="7" t="s">
        <v>8984</v>
      </c>
      <c r="I578" s="7">
        <v>1</v>
      </c>
      <c r="J578" s="7" t="s">
        <v>7838</v>
      </c>
      <c r="K578" s="9" t="s">
        <v>8987</v>
      </c>
    </row>
    <row r="579" spans="1:11">
      <c r="A579" s="7">
        <v>577</v>
      </c>
      <c r="B579" s="7" t="s">
        <v>8983</v>
      </c>
      <c r="C579" s="7" t="s">
        <v>8984</v>
      </c>
      <c r="D579" s="7" t="s">
        <v>7542</v>
      </c>
      <c r="E579" s="7" t="s">
        <v>9941</v>
      </c>
      <c r="F579" s="8" t="s">
        <v>9609</v>
      </c>
      <c r="G579" s="7">
        <v>0</v>
      </c>
      <c r="H579" s="7" t="s">
        <v>8984</v>
      </c>
      <c r="I579" s="7">
        <v>1</v>
      </c>
      <c r="J579" s="7" t="s">
        <v>7838</v>
      </c>
      <c r="K579" s="9" t="s">
        <v>8987</v>
      </c>
    </row>
    <row r="580" spans="1:11">
      <c r="A580" s="7">
        <v>578</v>
      </c>
      <c r="B580" s="7" t="s">
        <v>8983</v>
      </c>
      <c r="C580" s="7" t="s">
        <v>8984</v>
      </c>
      <c r="D580" s="7" t="s">
        <v>7542</v>
      </c>
      <c r="E580" s="7" t="s">
        <v>9942</v>
      </c>
      <c r="F580" s="8" t="s">
        <v>9611</v>
      </c>
      <c r="G580" s="7">
        <v>0</v>
      </c>
      <c r="H580" s="7" t="s">
        <v>8984</v>
      </c>
      <c r="I580" s="7">
        <v>1</v>
      </c>
      <c r="J580" s="7" t="s">
        <v>7838</v>
      </c>
      <c r="K580" s="9" t="s">
        <v>8987</v>
      </c>
    </row>
    <row r="581" spans="1:11">
      <c r="A581" s="7">
        <v>579</v>
      </c>
      <c r="B581" s="7" t="s">
        <v>8983</v>
      </c>
      <c r="C581" s="7" t="s">
        <v>8984</v>
      </c>
      <c r="D581" s="7" t="s">
        <v>7542</v>
      </c>
      <c r="E581" s="7" t="s">
        <v>9943</v>
      </c>
      <c r="F581" s="8" t="s">
        <v>9613</v>
      </c>
      <c r="G581" s="7">
        <v>0</v>
      </c>
      <c r="H581" s="7" t="s">
        <v>8984</v>
      </c>
      <c r="I581" s="7">
        <v>1</v>
      </c>
      <c r="J581" s="7" t="s">
        <v>7838</v>
      </c>
      <c r="K581" s="9" t="s">
        <v>8987</v>
      </c>
    </row>
    <row r="582" spans="1:11">
      <c r="A582" s="7">
        <v>580</v>
      </c>
      <c r="B582" s="7" t="s">
        <v>8983</v>
      </c>
      <c r="C582" s="7" t="s">
        <v>8984</v>
      </c>
      <c r="D582" s="7" t="s">
        <v>7542</v>
      </c>
      <c r="E582" s="7" t="s">
        <v>9944</v>
      </c>
      <c r="F582" s="8" t="s">
        <v>9615</v>
      </c>
      <c r="G582" s="7">
        <v>0</v>
      </c>
      <c r="H582" s="7" t="s">
        <v>8984</v>
      </c>
      <c r="I582" s="7">
        <v>1</v>
      </c>
      <c r="J582" s="7" t="s">
        <v>7838</v>
      </c>
      <c r="K582" s="9" t="s">
        <v>8987</v>
      </c>
    </row>
    <row r="583" spans="1:11">
      <c r="A583" s="7">
        <v>581</v>
      </c>
      <c r="B583" s="7" t="s">
        <v>8983</v>
      </c>
      <c r="C583" s="7" t="s">
        <v>8984</v>
      </c>
      <c r="D583" s="7" t="s">
        <v>7542</v>
      </c>
      <c r="E583" s="7" t="s">
        <v>9945</v>
      </c>
      <c r="F583" s="8" t="s">
        <v>9617</v>
      </c>
      <c r="G583" s="7">
        <v>0</v>
      </c>
      <c r="H583" s="7" t="s">
        <v>8984</v>
      </c>
      <c r="I583" s="7">
        <v>1</v>
      </c>
      <c r="J583" s="7" t="s">
        <v>7838</v>
      </c>
      <c r="K583" s="9" t="s">
        <v>8987</v>
      </c>
    </row>
    <row r="584" spans="1:11">
      <c r="A584" s="7">
        <v>582</v>
      </c>
      <c r="B584" s="7" t="s">
        <v>8983</v>
      </c>
      <c r="C584" s="7" t="s">
        <v>8984</v>
      </c>
      <c r="D584" s="7" t="s">
        <v>7542</v>
      </c>
      <c r="E584" s="7" t="s">
        <v>9946</v>
      </c>
      <c r="F584" s="8" t="s">
        <v>9291</v>
      </c>
      <c r="G584" s="7">
        <v>0</v>
      </c>
      <c r="H584" s="7" t="s">
        <v>8984</v>
      </c>
      <c r="I584" s="7">
        <v>1</v>
      </c>
      <c r="J584" s="7" t="s">
        <v>7838</v>
      </c>
      <c r="K584" s="9" t="s">
        <v>8987</v>
      </c>
    </row>
    <row r="585" spans="1:11">
      <c r="A585" s="7">
        <v>583</v>
      </c>
      <c r="B585" s="7" t="s">
        <v>8983</v>
      </c>
      <c r="C585" s="7" t="s">
        <v>8984</v>
      </c>
      <c r="D585" s="7" t="s">
        <v>7573</v>
      </c>
      <c r="E585" s="7" t="s">
        <v>9947</v>
      </c>
      <c r="F585" s="8" t="s">
        <v>9295</v>
      </c>
      <c r="G585" s="7">
        <v>10</v>
      </c>
      <c r="H585" s="7" t="s">
        <v>9292</v>
      </c>
      <c r="I585" s="7">
        <v>2</v>
      </c>
      <c r="J585" s="7" t="s">
        <v>9432</v>
      </c>
      <c r="K585" s="9" t="s">
        <v>8987</v>
      </c>
    </row>
    <row r="586" spans="1:11">
      <c r="A586" s="7">
        <v>584</v>
      </c>
      <c r="B586" s="7" t="s">
        <v>8983</v>
      </c>
      <c r="C586" s="7" t="s">
        <v>8984</v>
      </c>
      <c r="D586" s="7" t="s">
        <v>7542</v>
      </c>
      <c r="E586" s="7" t="s">
        <v>9948</v>
      </c>
      <c r="F586" s="8" t="s">
        <v>9576</v>
      </c>
      <c r="G586" s="7">
        <v>0</v>
      </c>
      <c r="H586" s="7" t="s">
        <v>8984</v>
      </c>
      <c r="I586" s="7">
        <v>1</v>
      </c>
      <c r="J586" s="7" t="s">
        <v>7838</v>
      </c>
      <c r="K586" s="9" t="s">
        <v>8987</v>
      </c>
    </row>
    <row r="587" spans="1:11">
      <c r="A587" s="7">
        <v>585</v>
      </c>
      <c r="B587" s="7" t="s">
        <v>8983</v>
      </c>
      <c r="C587" s="7" t="s">
        <v>8984</v>
      </c>
      <c r="D587" s="7" t="s">
        <v>7542</v>
      </c>
      <c r="E587" s="7" t="s">
        <v>3541</v>
      </c>
      <c r="F587" s="8" t="s">
        <v>9609</v>
      </c>
      <c r="G587" s="7">
        <v>0</v>
      </c>
      <c r="H587" s="7" t="s">
        <v>8984</v>
      </c>
      <c r="I587" s="7">
        <v>1</v>
      </c>
      <c r="J587" s="7" t="s">
        <v>7838</v>
      </c>
      <c r="K587" s="9" t="s">
        <v>8987</v>
      </c>
    </row>
    <row r="588" spans="1:11">
      <c r="A588" s="7">
        <v>586</v>
      </c>
      <c r="B588" s="7" t="s">
        <v>8983</v>
      </c>
      <c r="C588" s="7" t="s">
        <v>8984</v>
      </c>
      <c r="D588" s="7" t="s">
        <v>7542</v>
      </c>
      <c r="E588" s="7" t="s">
        <v>9949</v>
      </c>
      <c r="F588" s="8" t="s">
        <v>9611</v>
      </c>
      <c r="G588" s="7">
        <v>0</v>
      </c>
      <c r="H588" s="7" t="s">
        <v>8984</v>
      </c>
      <c r="I588" s="7">
        <v>1</v>
      </c>
      <c r="J588" s="7" t="s">
        <v>7838</v>
      </c>
      <c r="K588" s="9" t="s">
        <v>8987</v>
      </c>
    </row>
    <row r="589" spans="1:11">
      <c r="A589" s="7">
        <v>587</v>
      </c>
      <c r="B589" s="7" t="s">
        <v>8983</v>
      </c>
      <c r="C589" s="7" t="s">
        <v>8984</v>
      </c>
      <c r="D589" s="7" t="s">
        <v>7542</v>
      </c>
      <c r="E589" s="7" t="s">
        <v>9950</v>
      </c>
      <c r="F589" s="8" t="s">
        <v>9613</v>
      </c>
      <c r="G589" s="7">
        <v>0</v>
      </c>
      <c r="H589" s="7" t="s">
        <v>8984</v>
      </c>
      <c r="I589" s="7">
        <v>1</v>
      </c>
      <c r="J589" s="7" t="s">
        <v>7838</v>
      </c>
      <c r="K589" s="9" t="s">
        <v>8987</v>
      </c>
    </row>
    <row r="590" spans="1:11">
      <c r="A590" s="7">
        <v>588</v>
      </c>
      <c r="B590" s="7" t="s">
        <v>8983</v>
      </c>
      <c r="C590" s="7" t="s">
        <v>8984</v>
      </c>
      <c r="D590" s="7" t="s">
        <v>7542</v>
      </c>
      <c r="E590" s="7" t="s">
        <v>9951</v>
      </c>
      <c r="F590" s="8" t="s">
        <v>9615</v>
      </c>
      <c r="G590" s="7">
        <v>0</v>
      </c>
      <c r="H590" s="7" t="s">
        <v>8984</v>
      </c>
      <c r="I590" s="7">
        <v>1</v>
      </c>
      <c r="J590" s="7" t="s">
        <v>7838</v>
      </c>
      <c r="K590" s="9" t="s">
        <v>8987</v>
      </c>
    </row>
    <row r="591" spans="1:11">
      <c r="A591" s="7">
        <v>589</v>
      </c>
      <c r="B591" s="7" t="s">
        <v>8983</v>
      </c>
      <c r="C591" s="7" t="s">
        <v>8984</v>
      </c>
      <c r="D591" s="7" t="s">
        <v>7542</v>
      </c>
      <c r="E591" s="7" t="s">
        <v>9952</v>
      </c>
      <c r="F591" s="8" t="s">
        <v>9617</v>
      </c>
      <c r="G591" s="7">
        <v>0</v>
      </c>
      <c r="H591" s="7" t="s">
        <v>8984</v>
      </c>
      <c r="I591" s="7">
        <v>1</v>
      </c>
      <c r="J591" s="7" t="s">
        <v>7838</v>
      </c>
      <c r="K591" s="9" t="s">
        <v>8987</v>
      </c>
    </row>
    <row r="592" spans="1:11">
      <c r="A592" s="7">
        <v>590</v>
      </c>
      <c r="B592" s="7" t="s">
        <v>8983</v>
      </c>
      <c r="C592" s="7" t="s">
        <v>8984</v>
      </c>
      <c r="D592" s="7" t="s">
        <v>7542</v>
      </c>
      <c r="E592" s="7" t="s">
        <v>9953</v>
      </c>
      <c r="F592" s="8" t="s">
        <v>9291</v>
      </c>
      <c r="G592" s="7">
        <v>0</v>
      </c>
      <c r="H592" s="7" t="s">
        <v>8984</v>
      </c>
      <c r="I592" s="7">
        <v>1</v>
      </c>
      <c r="J592" s="7" t="s">
        <v>7838</v>
      </c>
      <c r="K592" s="9" t="s">
        <v>8987</v>
      </c>
    </row>
    <row r="593" spans="1:11">
      <c r="A593" s="7">
        <v>591</v>
      </c>
      <c r="B593" s="7" t="s">
        <v>9124</v>
      </c>
      <c r="C593" s="7" t="s">
        <v>8984</v>
      </c>
      <c r="D593" s="7" t="s">
        <v>7573</v>
      </c>
      <c r="E593" s="7" t="s">
        <v>9954</v>
      </c>
      <c r="F593" s="8" t="s">
        <v>9955</v>
      </c>
      <c r="G593" s="7">
        <v>0</v>
      </c>
      <c r="H593" s="7" t="s">
        <v>8984</v>
      </c>
      <c r="I593" s="7">
        <v>1</v>
      </c>
      <c r="J593" s="7" t="s">
        <v>7838</v>
      </c>
      <c r="K593" s="9" t="s">
        <v>8987</v>
      </c>
    </row>
    <row r="594" spans="1:11">
      <c r="A594" s="7">
        <v>592</v>
      </c>
      <c r="B594" s="7" t="s">
        <v>8983</v>
      </c>
      <c r="C594" s="7" t="s">
        <v>8984</v>
      </c>
      <c r="D594" s="7" t="s">
        <v>7549</v>
      </c>
      <c r="E594" s="7" t="s">
        <v>9956</v>
      </c>
      <c r="F594" s="8" t="s">
        <v>9957</v>
      </c>
      <c r="G594" s="7">
        <v>330</v>
      </c>
      <c r="H594" s="7" t="s">
        <v>9958</v>
      </c>
      <c r="I594" s="7">
        <v>21</v>
      </c>
      <c r="J594" s="7" t="s">
        <v>9959</v>
      </c>
      <c r="K594" s="9" t="s">
        <v>8987</v>
      </c>
    </row>
    <row r="595" spans="1:11">
      <c r="A595" s="7">
        <v>593</v>
      </c>
      <c r="B595" s="7" t="s">
        <v>8983</v>
      </c>
      <c r="C595" s="7" t="s">
        <v>8998</v>
      </c>
      <c r="D595" s="7" t="s">
        <v>7549</v>
      </c>
      <c r="E595" s="7" t="s">
        <v>9960</v>
      </c>
      <c r="F595" s="8" t="s">
        <v>9957</v>
      </c>
      <c r="G595" s="7" t="s">
        <v>8987</v>
      </c>
      <c r="H595" s="7" t="s">
        <v>8987</v>
      </c>
      <c r="I595" s="7" t="s">
        <v>8987</v>
      </c>
      <c r="J595" s="7" t="s">
        <v>8987</v>
      </c>
      <c r="K595" s="9" t="s">
        <v>8987</v>
      </c>
    </row>
    <row r="596" spans="1:11">
      <c r="A596" s="7">
        <v>594</v>
      </c>
      <c r="B596" s="7" t="s">
        <v>8983</v>
      </c>
      <c r="C596" s="7" t="s">
        <v>8984</v>
      </c>
      <c r="D596" s="7" t="s">
        <v>7555</v>
      </c>
      <c r="E596" s="7" t="s">
        <v>9961</v>
      </c>
      <c r="F596" s="8" t="s">
        <v>9962</v>
      </c>
      <c r="G596" s="7">
        <v>0</v>
      </c>
      <c r="H596" s="7" t="s">
        <v>8984</v>
      </c>
      <c r="I596" s="7">
        <v>1</v>
      </c>
      <c r="J596" s="7" t="s">
        <v>7838</v>
      </c>
      <c r="K596" s="9" t="s">
        <v>8987</v>
      </c>
    </row>
    <row r="597" spans="1:11">
      <c r="A597" s="7">
        <v>595</v>
      </c>
      <c r="B597" s="7" t="s">
        <v>8983</v>
      </c>
      <c r="C597" s="7" t="s">
        <v>8984</v>
      </c>
      <c r="D597" s="7" t="s">
        <v>7542</v>
      </c>
      <c r="E597" s="7" t="s">
        <v>9963</v>
      </c>
      <c r="F597" s="8" t="s">
        <v>9964</v>
      </c>
      <c r="G597" s="7">
        <v>0</v>
      </c>
      <c r="H597" s="7" t="s">
        <v>8984</v>
      </c>
      <c r="I597" s="7">
        <v>1</v>
      </c>
      <c r="J597" s="7" t="s">
        <v>7838</v>
      </c>
      <c r="K597" s="9" t="s">
        <v>8987</v>
      </c>
    </row>
    <row r="598" spans="1:11">
      <c r="A598" s="7">
        <v>596</v>
      </c>
      <c r="B598" s="7" t="s">
        <v>8983</v>
      </c>
      <c r="C598" s="7" t="s">
        <v>8984</v>
      </c>
      <c r="D598" s="7" t="s">
        <v>7566</v>
      </c>
      <c r="E598" s="7" t="s">
        <v>5316</v>
      </c>
      <c r="F598" s="8" t="s">
        <v>9965</v>
      </c>
      <c r="G598" s="7">
        <v>280</v>
      </c>
      <c r="H598" s="7" t="s">
        <v>9966</v>
      </c>
      <c r="I598" s="7">
        <v>21</v>
      </c>
      <c r="J598" s="7" t="s">
        <v>9967</v>
      </c>
      <c r="K598" s="9" t="s">
        <v>8987</v>
      </c>
    </row>
    <row r="599" spans="1:11">
      <c r="A599" s="7">
        <v>597</v>
      </c>
      <c r="B599" s="7" t="s">
        <v>8983</v>
      </c>
      <c r="C599" s="7" t="s">
        <v>8984</v>
      </c>
      <c r="D599" s="7" t="s">
        <v>7566</v>
      </c>
      <c r="E599" s="7" t="s">
        <v>9968</v>
      </c>
      <c r="F599" s="8" t="s">
        <v>9969</v>
      </c>
      <c r="G599" s="7">
        <v>280</v>
      </c>
      <c r="H599" s="7" t="s">
        <v>9966</v>
      </c>
      <c r="I599" s="7">
        <v>21</v>
      </c>
      <c r="J599" s="7" t="s">
        <v>9967</v>
      </c>
      <c r="K599" s="9" t="s">
        <v>8987</v>
      </c>
    </row>
    <row r="600" spans="1:11">
      <c r="A600" s="7">
        <v>598</v>
      </c>
      <c r="B600" s="7" t="s">
        <v>8983</v>
      </c>
      <c r="C600" s="7" t="s">
        <v>8984</v>
      </c>
      <c r="D600" s="7" t="s">
        <v>7566</v>
      </c>
      <c r="E600" s="7" t="s">
        <v>9970</v>
      </c>
      <c r="F600" s="8" t="s">
        <v>9971</v>
      </c>
      <c r="G600" s="7">
        <v>280</v>
      </c>
      <c r="H600" s="7" t="s">
        <v>9966</v>
      </c>
      <c r="I600" s="7">
        <v>21</v>
      </c>
      <c r="J600" s="7" t="s">
        <v>9967</v>
      </c>
      <c r="K600" s="9" t="s">
        <v>8987</v>
      </c>
    </row>
    <row r="601" spans="1:11">
      <c r="A601" s="7">
        <v>599</v>
      </c>
      <c r="B601" s="7" t="s">
        <v>8983</v>
      </c>
      <c r="C601" s="7" t="s">
        <v>8984</v>
      </c>
      <c r="D601" s="7" t="s">
        <v>7581</v>
      </c>
      <c r="E601" s="7" t="s">
        <v>9972</v>
      </c>
      <c r="F601" s="8" t="s">
        <v>9973</v>
      </c>
      <c r="G601" s="7">
        <v>0</v>
      </c>
      <c r="H601" s="7" t="s">
        <v>8984</v>
      </c>
      <c r="I601" s="7">
        <v>1</v>
      </c>
      <c r="J601" s="7" t="s">
        <v>7838</v>
      </c>
      <c r="K601" s="9" t="s">
        <v>8987</v>
      </c>
    </row>
    <row r="602" spans="1:11">
      <c r="A602" s="7">
        <v>600</v>
      </c>
      <c r="B602" s="7" t="s">
        <v>8990</v>
      </c>
      <c r="C602" s="7" t="s">
        <v>8984</v>
      </c>
      <c r="D602" s="7" t="s">
        <v>7550</v>
      </c>
      <c r="E602" s="7" t="s">
        <v>9974</v>
      </c>
      <c r="F602" s="8" t="s">
        <v>9975</v>
      </c>
      <c r="G602" s="7">
        <v>150</v>
      </c>
      <c r="H602" s="7" t="s">
        <v>9253</v>
      </c>
      <c r="I602" s="7">
        <v>31</v>
      </c>
      <c r="J602" s="7" t="s">
        <v>9254</v>
      </c>
      <c r="K602" s="9" t="s">
        <v>8987</v>
      </c>
    </row>
    <row r="603" spans="1:11">
      <c r="A603" s="7">
        <v>601</v>
      </c>
      <c r="B603" s="7" t="s">
        <v>8983</v>
      </c>
      <c r="C603" s="7" t="s">
        <v>8984</v>
      </c>
      <c r="D603" s="7" t="s">
        <v>7550</v>
      </c>
      <c r="E603" s="7" t="s">
        <v>9976</v>
      </c>
      <c r="F603" s="8" t="s">
        <v>9975</v>
      </c>
      <c r="G603" s="7">
        <v>150</v>
      </c>
      <c r="H603" s="7" t="s">
        <v>9253</v>
      </c>
      <c r="I603" s="7">
        <v>19</v>
      </c>
      <c r="J603" s="7" t="s">
        <v>9977</v>
      </c>
      <c r="K603" s="9" t="s">
        <v>8987</v>
      </c>
    </row>
    <row r="604" spans="1:11">
      <c r="A604" s="7">
        <v>602</v>
      </c>
      <c r="B604" s="7" t="s">
        <v>8983</v>
      </c>
      <c r="C604" s="7" t="s">
        <v>8984</v>
      </c>
      <c r="D604" s="7" t="s">
        <v>7549</v>
      </c>
      <c r="E604" s="7" t="s">
        <v>9978</v>
      </c>
      <c r="F604" s="8" t="s">
        <v>9979</v>
      </c>
      <c r="G604" s="7">
        <v>650</v>
      </c>
      <c r="H604" s="7" t="s">
        <v>9980</v>
      </c>
      <c r="I604" s="7">
        <v>41</v>
      </c>
      <c r="J604" s="7" t="s">
        <v>9981</v>
      </c>
      <c r="K604" s="9" t="s">
        <v>8987</v>
      </c>
    </row>
    <row r="605" spans="1:11">
      <c r="A605" s="7">
        <v>603</v>
      </c>
      <c r="B605" s="7" t="s">
        <v>8983</v>
      </c>
      <c r="C605" s="7" t="s">
        <v>8984</v>
      </c>
      <c r="D605" s="7" t="s">
        <v>7549</v>
      </c>
      <c r="E605" s="7" t="s">
        <v>9982</v>
      </c>
      <c r="F605" s="8" t="s">
        <v>9979</v>
      </c>
      <c r="G605" s="7">
        <v>650</v>
      </c>
      <c r="H605" s="7" t="s">
        <v>9980</v>
      </c>
      <c r="I605" s="7">
        <v>41</v>
      </c>
      <c r="J605" s="7" t="s">
        <v>9981</v>
      </c>
      <c r="K605" s="9" t="s">
        <v>8987</v>
      </c>
    </row>
    <row r="606" spans="1:11">
      <c r="A606" s="7">
        <v>604</v>
      </c>
      <c r="B606" s="7" t="s">
        <v>8983</v>
      </c>
      <c r="C606" s="7" t="s">
        <v>8984</v>
      </c>
      <c r="D606" s="7" t="s">
        <v>7549</v>
      </c>
      <c r="E606" s="7" t="s">
        <v>9983</v>
      </c>
      <c r="F606" s="8" t="s">
        <v>9979</v>
      </c>
      <c r="G606" s="7">
        <v>650</v>
      </c>
      <c r="H606" s="7" t="s">
        <v>9980</v>
      </c>
      <c r="I606" s="7">
        <v>41</v>
      </c>
      <c r="J606" s="7" t="s">
        <v>9981</v>
      </c>
      <c r="K606" s="9" t="s">
        <v>8987</v>
      </c>
    </row>
    <row r="607" spans="1:11">
      <c r="A607" s="7">
        <v>605</v>
      </c>
      <c r="B607" s="7" t="s">
        <v>8983</v>
      </c>
      <c r="C607" s="7" t="s">
        <v>8984</v>
      </c>
      <c r="D607" s="7" t="s">
        <v>7549</v>
      </c>
      <c r="E607" s="7" t="s">
        <v>9984</v>
      </c>
      <c r="F607" s="8" t="s">
        <v>9979</v>
      </c>
      <c r="G607" s="7">
        <v>650</v>
      </c>
      <c r="H607" s="7" t="s">
        <v>9980</v>
      </c>
      <c r="I607" s="7">
        <v>41</v>
      </c>
      <c r="J607" s="7" t="s">
        <v>9981</v>
      </c>
      <c r="K607" s="9" t="s">
        <v>8987</v>
      </c>
    </row>
    <row r="608" spans="1:11">
      <c r="A608" s="7">
        <v>606</v>
      </c>
      <c r="B608" s="7" t="s">
        <v>8983</v>
      </c>
      <c r="C608" s="7" t="s">
        <v>8984</v>
      </c>
      <c r="D608" s="7" t="s">
        <v>7549</v>
      </c>
      <c r="E608" s="7" t="s">
        <v>6844</v>
      </c>
      <c r="F608" s="8" t="s">
        <v>9979</v>
      </c>
      <c r="G608" s="7">
        <v>650</v>
      </c>
      <c r="H608" s="7" t="s">
        <v>9980</v>
      </c>
      <c r="I608" s="7">
        <v>41</v>
      </c>
      <c r="J608" s="7" t="s">
        <v>9981</v>
      </c>
      <c r="K608" s="9" t="s">
        <v>8987</v>
      </c>
    </row>
    <row r="609" spans="1:11">
      <c r="A609" s="7">
        <v>607</v>
      </c>
      <c r="B609" s="7" t="s">
        <v>8983</v>
      </c>
      <c r="C609" s="7" t="s">
        <v>8984</v>
      </c>
      <c r="D609" s="7" t="s">
        <v>7549</v>
      </c>
      <c r="E609" s="7" t="s">
        <v>9985</v>
      </c>
      <c r="F609" s="8" t="s">
        <v>9979</v>
      </c>
      <c r="G609" s="7">
        <v>650</v>
      </c>
      <c r="H609" s="7" t="s">
        <v>9980</v>
      </c>
      <c r="I609" s="7">
        <v>41</v>
      </c>
      <c r="J609" s="7" t="s">
        <v>9981</v>
      </c>
      <c r="K609" s="9" t="s">
        <v>8987</v>
      </c>
    </row>
    <row r="610" spans="1:11">
      <c r="A610" s="7">
        <v>608</v>
      </c>
      <c r="B610" s="7" t="s">
        <v>8983</v>
      </c>
      <c r="C610" s="7" t="s">
        <v>8984</v>
      </c>
      <c r="D610" s="7" t="s">
        <v>7549</v>
      </c>
      <c r="E610" s="7" t="s">
        <v>9986</v>
      </c>
      <c r="F610" s="8" t="s">
        <v>9979</v>
      </c>
      <c r="G610" s="7">
        <v>650</v>
      </c>
      <c r="H610" s="7" t="s">
        <v>9980</v>
      </c>
      <c r="I610" s="7">
        <v>41</v>
      </c>
      <c r="J610" s="7" t="s">
        <v>9981</v>
      </c>
      <c r="K610" s="9" t="s">
        <v>8987</v>
      </c>
    </row>
    <row r="611" spans="1:11">
      <c r="A611" s="7">
        <v>609</v>
      </c>
      <c r="B611" s="7" t="s">
        <v>8983</v>
      </c>
      <c r="C611" s="7" t="s">
        <v>8984</v>
      </c>
      <c r="D611" s="7" t="s">
        <v>7549</v>
      </c>
      <c r="E611" s="7" t="s">
        <v>9987</v>
      </c>
      <c r="F611" s="8" t="s">
        <v>9988</v>
      </c>
      <c r="G611" s="7">
        <v>650</v>
      </c>
      <c r="H611" s="7" t="s">
        <v>9980</v>
      </c>
      <c r="I611" s="7">
        <v>41</v>
      </c>
      <c r="J611" s="7" t="s">
        <v>9981</v>
      </c>
      <c r="K611" s="9" t="s">
        <v>8987</v>
      </c>
    </row>
    <row r="612" spans="1:11">
      <c r="A612" s="7">
        <v>610</v>
      </c>
      <c r="B612" s="7" t="s">
        <v>8983</v>
      </c>
      <c r="C612" s="7" t="s">
        <v>8984</v>
      </c>
      <c r="D612" s="7" t="s">
        <v>7549</v>
      </c>
      <c r="E612" s="7" t="s">
        <v>9989</v>
      </c>
      <c r="F612" s="8" t="s">
        <v>9988</v>
      </c>
      <c r="G612" s="7">
        <v>650</v>
      </c>
      <c r="H612" s="7" t="s">
        <v>9980</v>
      </c>
      <c r="I612" s="7">
        <v>41</v>
      </c>
      <c r="J612" s="7" t="s">
        <v>9981</v>
      </c>
      <c r="K612" s="9" t="s">
        <v>8987</v>
      </c>
    </row>
    <row r="613" spans="1:11">
      <c r="A613" s="7">
        <v>611</v>
      </c>
      <c r="B613" s="7" t="s">
        <v>8983</v>
      </c>
      <c r="C613" s="7" t="s">
        <v>8984</v>
      </c>
      <c r="D613" s="7" t="s">
        <v>7549</v>
      </c>
      <c r="E613" s="7" t="s">
        <v>9990</v>
      </c>
      <c r="F613" s="8" t="s">
        <v>9988</v>
      </c>
      <c r="G613" s="7">
        <v>650</v>
      </c>
      <c r="H613" s="7" t="s">
        <v>9980</v>
      </c>
      <c r="I613" s="7">
        <v>41</v>
      </c>
      <c r="J613" s="7" t="s">
        <v>9981</v>
      </c>
      <c r="K613" s="9" t="s">
        <v>8987</v>
      </c>
    </row>
    <row r="614" spans="1:11">
      <c r="A614" s="7">
        <v>612</v>
      </c>
      <c r="B614" s="7" t="s">
        <v>8983</v>
      </c>
      <c r="C614" s="7" t="s">
        <v>8984</v>
      </c>
      <c r="D614" s="7" t="s">
        <v>7549</v>
      </c>
      <c r="E614" s="7" t="s">
        <v>4246</v>
      </c>
      <c r="F614" s="8" t="s">
        <v>9988</v>
      </c>
      <c r="G614" s="7">
        <v>650</v>
      </c>
      <c r="H614" s="7" t="s">
        <v>9980</v>
      </c>
      <c r="I614" s="7">
        <v>41</v>
      </c>
      <c r="J614" s="7" t="s">
        <v>9981</v>
      </c>
      <c r="K614" s="9" t="s">
        <v>8987</v>
      </c>
    </row>
    <row r="615" spans="1:11">
      <c r="A615" s="7">
        <v>613</v>
      </c>
      <c r="B615" s="7" t="s">
        <v>8983</v>
      </c>
      <c r="C615" s="7" t="s">
        <v>8984</v>
      </c>
      <c r="D615" s="7" t="s">
        <v>7549</v>
      </c>
      <c r="E615" s="7" t="s">
        <v>9991</v>
      </c>
      <c r="F615" s="8" t="s">
        <v>9988</v>
      </c>
      <c r="G615" s="7">
        <v>650</v>
      </c>
      <c r="H615" s="7" t="s">
        <v>9980</v>
      </c>
      <c r="I615" s="7">
        <v>41</v>
      </c>
      <c r="J615" s="7" t="s">
        <v>9981</v>
      </c>
      <c r="K615" s="9" t="s">
        <v>8987</v>
      </c>
    </row>
    <row r="616" spans="1:11">
      <c r="A616" s="7">
        <v>614</v>
      </c>
      <c r="B616" s="7" t="s">
        <v>8983</v>
      </c>
      <c r="C616" s="7" t="s">
        <v>8984</v>
      </c>
      <c r="D616" s="7" t="s">
        <v>7549</v>
      </c>
      <c r="E616" s="7" t="s">
        <v>9992</v>
      </c>
      <c r="F616" s="8" t="s">
        <v>9988</v>
      </c>
      <c r="G616" s="7">
        <v>650</v>
      </c>
      <c r="H616" s="7" t="s">
        <v>9980</v>
      </c>
      <c r="I616" s="7">
        <v>41</v>
      </c>
      <c r="J616" s="7" t="s">
        <v>9981</v>
      </c>
      <c r="K616" s="9" t="s">
        <v>8987</v>
      </c>
    </row>
    <row r="617" spans="1:11">
      <c r="A617" s="7">
        <v>615</v>
      </c>
      <c r="B617" s="7" t="s">
        <v>8983</v>
      </c>
      <c r="C617" s="7" t="s">
        <v>8984</v>
      </c>
      <c r="D617" s="7" t="s">
        <v>7549</v>
      </c>
      <c r="E617" s="7" t="s">
        <v>9993</v>
      </c>
      <c r="F617" s="8" t="s">
        <v>9988</v>
      </c>
      <c r="G617" s="7">
        <v>650</v>
      </c>
      <c r="H617" s="7" t="s">
        <v>9980</v>
      </c>
      <c r="I617" s="7">
        <v>41</v>
      </c>
      <c r="J617" s="7" t="s">
        <v>9981</v>
      </c>
      <c r="K617" s="9" t="s">
        <v>8987</v>
      </c>
    </row>
    <row r="618" spans="1:11">
      <c r="A618" s="7">
        <v>616</v>
      </c>
      <c r="B618" s="7" t="s">
        <v>8983</v>
      </c>
      <c r="C618" s="7" t="s">
        <v>8984</v>
      </c>
      <c r="D618" s="7" t="s">
        <v>7549</v>
      </c>
      <c r="E618" s="7" t="s">
        <v>9994</v>
      </c>
      <c r="F618" s="8" t="s">
        <v>9995</v>
      </c>
      <c r="G618" s="7">
        <v>0</v>
      </c>
      <c r="H618" s="7" t="s">
        <v>8984</v>
      </c>
      <c r="I618" s="7">
        <v>1</v>
      </c>
      <c r="J618" s="7" t="s">
        <v>7838</v>
      </c>
      <c r="K618" s="9" t="s">
        <v>8987</v>
      </c>
    </row>
    <row r="619" spans="1:11">
      <c r="A619" s="7">
        <v>617</v>
      </c>
      <c r="B619" s="7" t="s">
        <v>9208</v>
      </c>
      <c r="C619" s="7" t="s">
        <v>8984</v>
      </c>
      <c r="D619" s="7" t="s">
        <v>7546</v>
      </c>
      <c r="E619" s="7" t="s">
        <v>9996</v>
      </c>
      <c r="F619" s="8" t="s">
        <v>9997</v>
      </c>
      <c r="G619" s="7">
        <v>0</v>
      </c>
      <c r="H619" s="7" t="s">
        <v>8984</v>
      </c>
      <c r="I619" s="7">
        <v>1</v>
      </c>
      <c r="J619" s="7" t="s">
        <v>7838</v>
      </c>
      <c r="K619" s="9" t="s">
        <v>8987</v>
      </c>
    </row>
    <row r="620" spans="1:11">
      <c r="A620" s="7">
        <v>618</v>
      </c>
      <c r="B620" s="7" t="s">
        <v>9208</v>
      </c>
      <c r="C620" s="7" t="s">
        <v>8984</v>
      </c>
      <c r="D620" s="7" t="s">
        <v>7553</v>
      </c>
      <c r="E620" s="7" t="s">
        <v>9998</v>
      </c>
      <c r="F620" s="8" t="s">
        <v>9999</v>
      </c>
      <c r="G620" s="7">
        <v>0</v>
      </c>
      <c r="H620" s="7" t="s">
        <v>8984</v>
      </c>
      <c r="I620" s="7">
        <v>1</v>
      </c>
      <c r="J620" s="7" t="s">
        <v>7838</v>
      </c>
      <c r="K620" s="9" t="s">
        <v>8987</v>
      </c>
    </row>
    <row r="621" spans="1:11">
      <c r="A621" s="7">
        <v>619</v>
      </c>
      <c r="B621" s="7" t="s">
        <v>9208</v>
      </c>
      <c r="C621" s="7" t="s">
        <v>8984</v>
      </c>
      <c r="D621" s="7" t="s">
        <v>7549</v>
      </c>
      <c r="E621" s="7" t="s">
        <v>10000</v>
      </c>
      <c r="F621" s="8" t="s">
        <v>10001</v>
      </c>
      <c r="G621" s="7">
        <v>0</v>
      </c>
      <c r="H621" s="7" t="s">
        <v>8984</v>
      </c>
      <c r="I621" s="7">
        <v>1</v>
      </c>
      <c r="J621" s="7" t="s">
        <v>7838</v>
      </c>
      <c r="K621" s="9" t="s">
        <v>8987</v>
      </c>
    </row>
    <row r="622" spans="1:11">
      <c r="A622" s="7">
        <v>620</v>
      </c>
      <c r="B622" s="7" t="s">
        <v>9208</v>
      </c>
      <c r="C622" s="7" t="s">
        <v>8984</v>
      </c>
      <c r="D622" s="7" t="s">
        <v>7549</v>
      </c>
      <c r="E622" s="7" t="s">
        <v>10002</v>
      </c>
      <c r="F622" s="8" t="s">
        <v>10003</v>
      </c>
      <c r="G622" s="7">
        <v>0</v>
      </c>
      <c r="H622" s="7" t="s">
        <v>8984</v>
      </c>
      <c r="I622" s="7">
        <v>1</v>
      </c>
      <c r="J622" s="7" t="s">
        <v>7838</v>
      </c>
      <c r="K622" s="9" t="s">
        <v>8987</v>
      </c>
    </row>
    <row r="623" spans="1:11">
      <c r="A623" s="7">
        <v>621</v>
      </c>
      <c r="B623" s="7" t="s">
        <v>9208</v>
      </c>
      <c r="C623" s="7" t="s">
        <v>8984</v>
      </c>
      <c r="D623" s="7" t="s">
        <v>7549</v>
      </c>
      <c r="E623" s="7" t="s">
        <v>10004</v>
      </c>
      <c r="F623" s="8" t="s">
        <v>3133</v>
      </c>
      <c r="G623" s="7">
        <v>0</v>
      </c>
      <c r="H623" s="7" t="s">
        <v>8984</v>
      </c>
      <c r="I623" s="7">
        <v>1</v>
      </c>
      <c r="J623" s="7" t="s">
        <v>7838</v>
      </c>
      <c r="K623" s="9" t="s">
        <v>8987</v>
      </c>
    </row>
    <row r="624" spans="1:11">
      <c r="A624" s="7">
        <v>622</v>
      </c>
      <c r="B624" s="7" t="s">
        <v>9208</v>
      </c>
      <c r="C624" s="7" t="s">
        <v>8984</v>
      </c>
      <c r="D624" s="7" t="s">
        <v>7549</v>
      </c>
      <c r="E624" s="7" t="s">
        <v>10005</v>
      </c>
      <c r="F624" s="8" t="s">
        <v>10006</v>
      </c>
      <c r="G624" s="7">
        <v>0</v>
      </c>
      <c r="H624" s="7" t="s">
        <v>8984</v>
      </c>
      <c r="I624" s="7">
        <v>1</v>
      </c>
      <c r="J624" s="7" t="s">
        <v>7838</v>
      </c>
      <c r="K624" s="9" t="s">
        <v>8987</v>
      </c>
    </row>
    <row r="625" spans="1:11">
      <c r="A625" s="7">
        <v>623</v>
      </c>
      <c r="B625" s="7" t="s">
        <v>9208</v>
      </c>
      <c r="C625" s="7" t="s">
        <v>8984</v>
      </c>
      <c r="D625" s="7" t="s">
        <v>7551</v>
      </c>
      <c r="E625" s="7" t="s">
        <v>10007</v>
      </c>
      <c r="F625" s="8" t="s">
        <v>9731</v>
      </c>
      <c r="G625" s="7">
        <v>17</v>
      </c>
      <c r="H625" s="7" t="s">
        <v>9146</v>
      </c>
      <c r="I625" s="7">
        <v>5</v>
      </c>
      <c r="J625" s="7" t="s">
        <v>10008</v>
      </c>
      <c r="K625" s="9" t="s">
        <v>8987</v>
      </c>
    </row>
    <row r="626" spans="1:11">
      <c r="A626" s="7">
        <v>624</v>
      </c>
      <c r="B626" s="7" t="s">
        <v>9796</v>
      </c>
      <c r="C626" s="7" t="s">
        <v>8984</v>
      </c>
      <c r="D626" s="7" t="s">
        <v>7551</v>
      </c>
      <c r="E626" s="7" t="s">
        <v>10009</v>
      </c>
      <c r="F626" s="8" t="s">
        <v>1783</v>
      </c>
      <c r="G626" s="7">
        <v>13</v>
      </c>
      <c r="H626" s="7" t="s">
        <v>9077</v>
      </c>
      <c r="I626" s="7">
        <v>3</v>
      </c>
      <c r="J626" s="7" t="s">
        <v>7773</v>
      </c>
      <c r="K626" s="9" t="s">
        <v>8987</v>
      </c>
    </row>
    <row r="627" spans="1:11">
      <c r="A627" s="7">
        <v>625</v>
      </c>
      <c r="B627" s="7" t="s">
        <v>8983</v>
      </c>
      <c r="C627" s="7" t="s">
        <v>8984</v>
      </c>
      <c r="D627" s="7" t="s">
        <v>7556</v>
      </c>
      <c r="E627" s="7" t="s">
        <v>10010</v>
      </c>
      <c r="F627" s="8" t="s">
        <v>9782</v>
      </c>
      <c r="G627" s="7">
        <v>530</v>
      </c>
      <c r="H627" s="7" t="s">
        <v>10011</v>
      </c>
      <c r="I627" s="7">
        <v>41</v>
      </c>
      <c r="J627" s="7" t="s">
        <v>10012</v>
      </c>
      <c r="K627" s="9" t="s">
        <v>8987</v>
      </c>
    </row>
    <row r="628" spans="1:11">
      <c r="A628" s="7">
        <v>626</v>
      </c>
      <c r="B628" s="7" t="s">
        <v>8983</v>
      </c>
      <c r="C628" s="7" t="s">
        <v>8991</v>
      </c>
      <c r="D628" s="7" t="s">
        <v>7547</v>
      </c>
      <c r="E628" s="7" t="s">
        <v>10013</v>
      </c>
      <c r="F628" s="8" t="s">
        <v>9279</v>
      </c>
      <c r="G628" s="7">
        <v>30</v>
      </c>
      <c r="H628" s="7" t="s">
        <v>9015</v>
      </c>
      <c r="I628" s="7">
        <v>7</v>
      </c>
      <c r="J628" s="7" t="s">
        <v>10014</v>
      </c>
      <c r="K628" s="9" t="s">
        <v>8987</v>
      </c>
    </row>
    <row r="629" spans="1:11">
      <c r="A629" s="7">
        <v>627</v>
      </c>
      <c r="B629" s="7" t="s">
        <v>8983</v>
      </c>
      <c r="C629" s="7" t="s">
        <v>8984</v>
      </c>
      <c r="D629" s="7" t="s">
        <v>7551</v>
      </c>
      <c r="E629" s="7" t="s">
        <v>10015</v>
      </c>
      <c r="F629" s="8" t="s">
        <v>9288</v>
      </c>
      <c r="G629" s="7">
        <v>80</v>
      </c>
      <c r="H629" s="7" t="s">
        <v>9153</v>
      </c>
      <c r="I629" s="7">
        <v>17</v>
      </c>
      <c r="J629" s="7" t="s">
        <v>7837</v>
      </c>
      <c r="K629" s="9" t="s">
        <v>8987</v>
      </c>
    </row>
    <row r="630" spans="1:11">
      <c r="A630" s="7">
        <v>628</v>
      </c>
      <c r="B630" s="7" t="s">
        <v>8983</v>
      </c>
      <c r="C630" s="7" t="s">
        <v>8984</v>
      </c>
      <c r="D630" s="7" t="s">
        <v>7573</v>
      </c>
      <c r="E630" s="7" t="s">
        <v>10016</v>
      </c>
      <c r="F630" s="8" t="s">
        <v>9347</v>
      </c>
      <c r="G630" s="7">
        <v>100</v>
      </c>
      <c r="H630" s="7" t="s">
        <v>9046</v>
      </c>
      <c r="I630" s="7">
        <v>21</v>
      </c>
      <c r="J630" s="7" t="s">
        <v>7721</v>
      </c>
      <c r="K630" s="9" t="s">
        <v>8987</v>
      </c>
    </row>
    <row r="631" spans="1:11">
      <c r="A631" s="7">
        <v>629</v>
      </c>
      <c r="B631" s="7" t="s">
        <v>8983</v>
      </c>
      <c r="C631" s="7" t="s">
        <v>8984</v>
      </c>
      <c r="D631" s="7" t="s">
        <v>7555</v>
      </c>
      <c r="E631" s="7" t="s">
        <v>10017</v>
      </c>
      <c r="F631" s="8" t="s">
        <v>7958</v>
      </c>
      <c r="G631" s="7">
        <v>0</v>
      </c>
      <c r="H631" s="7" t="s">
        <v>8984</v>
      </c>
      <c r="I631" s="7">
        <v>1</v>
      </c>
      <c r="J631" s="7" t="s">
        <v>7838</v>
      </c>
      <c r="K631" s="9" t="s">
        <v>8987</v>
      </c>
    </row>
    <row r="632" spans="1:11">
      <c r="A632" s="7">
        <v>630</v>
      </c>
      <c r="B632" s="7" t="s">
        <v>9208</v>
      </c>
      <c r="C632" s="7" t="s">
        <v>8984</v>
      </c>
      <c r="D632" s="7" t="s">
        <v>7549</v>
      </c>
      <c r="E632" s="7" t="s">
        <v>10018</v>
      </c>
      <c r="F632" s="8" t="s">
        <v>10019</v>
      </c>
      <c r="G632" s="7">
        <v>0</v>
      </c>
      <c r="H632" s="7" t="s">
        <v>8984</v>
      </c>
      <c r="I632" s="7">
        <v>1</v>
      </c>
      <c r="J632" s="7" t="s">
        <v>7838</v>
      </c>
      <c r="K632" s="9" t="s">
        <v>8987</v>
      </c>
    </row>
    <row r="633" spans="1:11">
      <c r="A633" s="7">
        <v>631</v>
      </c>
      <c r="B633" s="7" t="s">
        <v>9208</v>
      </c>
      <c r="C633" s="7" t="s">
        <v>8984</v>
      </c>
      <c r="D633" s="7" t="s">
        <v>7549</v>
      </c>
      <c r="E633" s="7" t="s">
        <v>10020</v>
      </c>
      <c r="F633" s="8" t="s">
        <v>10021</v>
      </c>
      <c r="G633" s="7">
        <v>0</v>
      </c>
      <c r="H633" s="7" t="s">
        <v>8984</v>
      </c>
      <c r="I633" s="7">
        <v>1</v>
      </c>
      <c r="J633" s="7" t="s">
        <v>7838</v>
      </c>
      <c r="K633" s="9" t="s">
        <v>8987</v>
      </c>
    </row>
    <row r="634" spans="1:11">
      <c r="A634" s="7">
        <v>632</v>
      </c>
      <c r="B634" s="7" t="s">
        <v>9208</v>
      </c>
      <c r="C634" s="7" t="s">
        <v>8984</v>
      </c>
      <c r="D634" s="7" t="s">
        <v>7549</v>
      </c>
      <c r="E634" s="7" t="s">
        <v>10022</v>
      </c>
      <c r="F634" s="8" t="s">
        <v>10023</v>
      </c>
      <c r="G634" s="7">
        <v>0</v>
      </c>
      <c r="H634" s="7" t="s">
        <v>8984</v>
      </c>
      <c r="I634" s="7">
        <v>1</v>
      </c>
      <c r="J634" s="7" t="s">
        <v>7838</v>
      </c>
      <c r="K634" s="9" t="s">
        <v>8987</v>
      </c>
    </row>
    <row r="635" spans="1:11">
      <c r="A635" s="7">
        <v>633</v>
      </c>
      <c r="B635" s="7" t="s">
        <v>9208</v>
      </c>
      <c r="C635" s="7" t="s">
        <v>8984</v>
      </c>
      <c r="D635" s="7" t="s">
        <v>7549</v>
      </c>
      <c r="E635" s="7" t="s">
        <v>10024</v>
      </c>
      <c r="F635" s="8" t="s">
        <v>10025</v>
      </c>
      <c r="G635" s="7">
        <v>0</v>
      </c>
      <c r="H635" s="7" t="s">
        <v>8984</v>
      </c>
      <c r="I635" s="7">
        <v>1</v>
      </c>
      <c r="J635" s="7" t="s">
        <v>7838</v>
      </c>
      <c r="K635" s="9" t="s">
        <v>8987</v>
      </c>
    </row>
    <row r="636" spans="1:11">
      <c r="A636" s="7">
        <v>634</v>
      </c>
      <c r="B636" s="7" t="s">
        <v>9208</v>
      </c>
      <c r="C636" s="7" t="s">
        <v>8984</v>
      </c>
      <c r="D636" s="7" t="s">
        <v>7549</v>
      </c>
      <c r="E636" s="7" t="s">
        <v>10026</v>
      </c>
      <c r="F636" s="8" t="s">
        <v>10027</v>
      </c>
      <c r="G636" s="7">
        <v>0</v>
      </c>
      <c r="H636" s="7" t="s">
        <v>8984</v>
      </c>
      <c r="I636" s="7">
        <v>1</v>
      </c>
      <c r="J636" s="7" t="s">
        <v>7838</v>
      </c>
      <c r="K636" s="9" t="s">
        <v>8987</v>
      </c>
    </row>
    <row r="637" spans="1:11">
      <c r="A637" s="7">
        <v>635</v>
      </c>
      <c r="B637" s="7" t="s">
        <v>9208</v>
      </c>
      <c r="C637" s="7" t="s">
        <v>8984</v>
      </c>
      <c r="D637" s="7" t="s">
        <v>7556</v>
      </c>
      <c r="E637" s="7" t="s">
        <v>10028</v>
      </c>
      <c r="F637" s="8" t="s">
        <v>10029</v>
      </c>
      <c r="G637" s="7">
        <v>0</v>
      </c>
      <c r="H637" s="7" t="s">
        <v>8984</v>
      </c>
      <c r="I637" s="7">
        <v>1</v>
      </c>
      <c r="J637" s="7" t="s">
        <v>7838</v>
      </c>
      <c r="K637" s="9" t="s">
        <v>8987</v>
      </c>
    </row>
    <row r="638" spans="1:11">
      <c r="A638" s="7">
        <v>636</v>
      </c>
      <c r="B638" s="7" t="s">
        <v>9208</v>
      </c>
      <c r="C638" s="7" t="s">
        <v>8984</v>
      </c>
      <c r="D638" s="7" t="s">
        <v>7556</v>
      </c>
      <c r="E638" s="7" t="s">
        <v>10030</v>
      </c>
      <c r="F638" s="8" t="s">
        <v>10029</v>
      </c>
      <c r="G638" s="7">
        <v>0</v>
      </c>
      <c r="H638" s="7" t="s">
        <v>8984</v>
      </c>
      <c r="I638" s="7">
        <v>1</v>
      </c>
      <c r="J638" s="7" t="s">
        <v>7838</v>
      </c>
      <c r="K638" s="9" t="s">
        <v>8987</v>
      </c>
    </row>
    <row r="639" spans="1:11">
      <c r="A639" s="7">
        <v>637</v>
      </c>
      <c r="B639" s="7" t="s">
        <v>9208</v>
      </c>
      <c r="C639" s="7" t="s">
        <v>8984</v>
      </c>
      <c r="D639" s="7" t="s">
        <v>7581</v>
      </c>
      <c r="E639" s="7" t="s">
        <v>10031</v>
      </c>
      <c r="F639" s="8" t="s">
        <v>10029</v>
      </c>
      <c r="G639" s="7">
        <v>0</v>
      </c>
      <c r="H639" s="7" t="s">
        <v>8984</v>
      </c>
      <c r="I639" s="7">
        <v>1</v>
      </c>
      <c r="J639" s="7" t="s">
        <v>7838</v>
      </c>
      <c r="K639" s="9" t="s">
        <v>8987</v>
      </c>
    </row>
    <row r="640" spans="1:11">
      <c r="A640" s="7">
        <v>638</v>
      </c>
      <c r="B640" s="7" t="s">
        <v>9208</v>
      </c>
      <c r="C640" s="7" t="s">
        <v>8984</v>
      </c>
      <c r="D640" s="7" t="s">
        <v>7573</v>
      </c>
      <c r="E640" s="7" t="s">
        <v>10032</v>
      </c>
      <c r="F640" s="8" t="s">
        <v>10029</v>
      </c>
      <c r="G640" s="7">
        <v>0</v>
      </c>
      <c r="H640" s="7" t="s">
        <v>8984</v>
      </c>
      <c r="I640" s="7">
        <v>1</v>
      </c>
      <c r="J640" s="7" t="s">
        <v>7838</v>
      </c>
      <c r="K640" s="9" t="s">
        <v>8987</v>
      </c>
    </row>
    <row r="641" spans="1:11">
      <c r="A641" s="7">
        <v>639</v>
      </c>
      <c r="B641" s="7" t="s">
        <v>9208</v>
      </c>
      <c r="C641" s="7" t="s">
        <v>8984</v>
      </c>
      <c r="D641" s="7" t="s">
        <v>7542</v>
      </c>
      <c r="E641" s="7" t="s">
        <v>10033</v>
      </c>
      <c r="F641" s="8" t="s">
        <v>10029</v>
      </c>
      <c r="G641" s="7">
        <v>0</v>
      </c>
      <c r="H641" s="7" t="s">
        <v>8984</v>
      </c>
      <c r="I641" s="7">
        <v>1</v>
      </c>
      <c r="J641" s="7" t="s">
        <v>7838</v>
      </c>
      <c r="K641" s="9" t="s">
        <v>8987</v>
      </c>
    </row>
    <row r="642" spans="1:11">
      <c r="A642" s="7">
        <v>640</v>
      </c>
      <c r="B642" s="7" t="s">
        <v>9208</v>
      </c>
      <c r="C642" s="7" t="s">
        <v>8984</v>
      </c>
      <c r="D642" s="7" t="s">
        <v>7550</v>
      </c>
      <c r="E642" s="7" t="s">
        <v>10034</v>
      </c>
      <c r="F642" s="8" t="s">
        <v>10029</v>
      </c>
      <c r="G642" s="7">
        <v>0</v>
      </c>
      <c r="H642" s="7" t="s">
        <v>8984</v>
      </c>
      <c r="I642" s="7">
        <v>1</v>
      </c>
      <c r="J642" s="7" t="s">
        <v>7838</v>
      </c>
      <c r="K642" s="9" t="s">
        <v>8987</v>
      </c>
    </row>
    <row r="643" spans="1:11">
      <c r="A643" s="7">
        <v>641</v>
      </c>
      <c r="B643" s="7" t="s">
        <v>9208</v>
      </c>
      <c r="C643" s="7" t="s">
        <v>8984</v>
      </c>
      <c r="D643" s="7" t="s">
        <v>7542</v>
      </c>
      <c r="E643" s="7" t="s">
        <v>10035</v>
      </c>
      <c r="F643" s="8" t="s">
        <v>10036</v>
      </c>
      <c r="G643" s="7">
        <v>0</v>
      </c>
      <c r="H643" s="7" t="s">
        <v>8984</v>
      </c>
      <c r="I643" s="7">
        <v>1</v>
      </c>
      <c r="J643" s="7" t="s">
        <v>7838</v>
      </c>
      <c r="K643" s="9" t="s">
        <v>8987</v>
      </c>
    </row>
    <row r="644" spans="1:11">
      <c r="A644" s="7">
        <v>642</v>
      </c>
      <c r="B644" s="7" t="s">
        <v>9208</v>
      </c>
      <c r="C644" s="7" t="s">
        <v>8984</v>
      </c>
      <c r="D644" s="7" t="s">
        <v>7573</v>
      </c>
      <c r="E644" s="7" t="s">
        <v>10037</v>
      </c>
      <c r="F644" s="8" t="s">
        <v>10036</v>
      </c>
      <c r="G644" s="7">
        <v>0</v>
      </c>
      <c r="H644" s="7" t="s">
        <v>8984</v>
      </c>
      <c r="I644" s="7">
        <v>1</v>
      </c>
      <c r="J644" s="7" t="s">
        <v>7838</v>
      </c>
      <c r="K644" s="9" t="s">
        <v>8987</v>
      </c>
    </row>
    <row r="645" spans="1:11">
      <c r="A645" s="7">
        <v>643</v>
      </c>
      <c r="B645" s="7" t="s">
        <v>9208</v>
      </c>
      <c r="C645" s="7" t="s">
        <v>8984</v>
      </c>
      <c r="D645" s="7" t="s">
        <v>7552</v>
      </c>
      <c r="E645" s="7" t="s">
        <v>10038</v>
      </c>
      <c r="F645" s="8" t="s">
        <v>10036</v>
      </c>
      <c r="G645" s="7">
        <v>0</v>
      </c>
      <c r="H645" s="7" t="s">
        <v>8984</v>
      </c>
      <c r="I645" s="7">
        <v>1</v>
      </c>
      <c r="J645" s="7" t="s">
        <v>7838</v>
      </c>
      <c r="K645" s="9" t="s">
        <v>8987</v>
      </c>
    </row>
    <row r="646" spans="1:11">
      <c r="A646" s="7">
        <v>644</v>
      </c>
      <c r="B646" s="7" t="s">
        <v>9208</v>
      </c>
      <c r="C646" s="7" t="s">
        <v>8984</v>
      </c>
      <c r="D646" s="7" t="s">
        <v>7581</v>
      </c>
      <c r="E646" s="7" t="s">
        <v>4592</v>
      </c>
      <c r="F646" s="8" t="s">
        <v>10036</v>
      </c>
      <c r="G646" s="7">
        <v>0</v>
      </c>
      <c r="H646" s="7" t="s">
        <v>8984</v>
      </c>
      <c r="I646" s="7">
        <v>1</v>
      </c>
      <c r="J646" s="7" t="s">
        <v>7838</v>
      </c>
      <c r="K646" s="9" t="s">
        <v>8987</v>
      </c>
    </row>
    <row r="647" spans="1:11">
      <c r="A647" s="7">
        <v>645</v>
      </c>
      <c r="B647" s="7" t="s">
        <v>9208</v>
      </c>
      <c r="C647" s="7" t="s">
        <v>8984</v>
      </c>
      <c r="D647" s="7" t="s">
        <v>7553</v>
      </c>
      <c r="E647" s="7" t="s">
        <v>10039</v>
      </c>
      <c r="F647" s="8" t="s">
        <v>10036</v>
      </c>
      <c r="G647" s="7">
        <v>0</v>
      </c>
      <c r="H647" s="7" t="s">
        <v>8984</v>
      </c>
      <c r="I647" s="7">
        <v>1</v>
      </c>
      <c r="J647" s="7" t="s">
        <v>7838</v>
      </c>
      <c r="K647" s="9" t="s">
        <v>8987</v>
      </c>
    </row>
    <row r="648" spans="1:11">
      <c r="A648" s="7">
        <v>646</v>
      </c>
      <c r="B648" s="7" t="s">
        <v>9208</v>
      </c>
      <c r="C648" s="7" t="s">
        <v>8984</v>
      </c>
      <c r="D648" s="7" t="s">
        <v>7551</v>
      </c>
      <c r="E648" s="7" t="s">
        <v>4715</v>
      </c>
      <c r="F648" s="8" t="s">
        <v>10036</v>
      </c>
      <c r="G648" s="7">
        <v>0</v>
      </c>
      <c r="H648" s="7" t="s">
        <v>8984</v>
      </c>
      <c r="I648" s="7">
        <v>1</v>
      </c>
      <c r="J648" s="7" t="s">
        <v>7838</v>
      </c>
      <c r="K648" s="9" t="s">
        <v>8987</v>
      </c>
    </row>
    <row r="649" spans="1:11">
      <c r="A649" s="7">
        <v>647</v>
      </c>
      <c r="B649" s="7" t="s">
        <v>10040</v>
      </c>
      <c r="C649" s="7" t="s">
        <v>8984</v>
      </c>
      <c r="D649" s="7" t="s">
        <v>7581</v>
      </c>
      <c r="E649" s="7" t="s">
        <v>10041</v>
      </c>
      <c r="F649" s="8" t="s">
        <v>10042</v>
      </c>
      <c r="G649" s="7">
        <v>0</v>
      </c>
      <c r="H649" s="7" t="s">
        <v>8984</v>
      </c>
      <c r="I649" s="7">
        <v>1</v>
      </c>
      <c r="J649" s="7" t="s">
        <v>7838</v>
      </c>
      <c r="K649" s="9" t="s">
        <v>8987</v>
      </c>
    </row>
    <row r="650" spans="1:11">
      <c r="A650" s="7">
        <v>648</v>
      </c>
      <c r="B650" s="7" t="s">
        <v>9208</v>
      </c>
      <c r="C650" s="7" t="s">
        <v>8984</v>
      </c>
      <c r="D650" s="7" t="s">
        <v>7552</v>
      </c>
      <c r="E650" s="7" t="s">
        <v>10043</v>
      </c>
      <c r="F650" s="8" t="s">
        <v>10044</v>
      </c>
      <c r="G650" s="7">
        <v>0</v>
      </c>
      <c r="H650" s="7" t="s">
        <v>8984</v>
      </c>
      <c r="I650" s="7">
        <v>1</v>
      </c>
      <c r="J650" s="7" t="s">
        <v>7838</v>
      </c>
      <c r="K650" s="9" t="s">
        <v>8987</v>
      </c>
    </row>
    <row r="651" spans="1:11">
      <c r="A651" s="7">
        <v>649</v>
      </c>
      <c r="B651" s="7" t="s">
        <v>9208</v>
      </c>
      <c r="C651" s="7" t="s">
        <v>8984</v>
      </c>
      <c r="D651" s="7" t="s">
        <v>7556</v>
      </c>
      <c r="E651" s="7" t="s">
        <v>10045</v>
      </c>
      <c r="F651" s="8" t="s">
        <v>10044</v>
      </c>
      <c r="G651" s="7">
        <v>0</v>
      </c>
      <c r="H651" s="7" t="s">
        <v>8984</v>
      </c>
      <c r="I651" s="7">
        <v>1</v>
      </c>
      <c r="J651" s="7" t="s">
        <v>7838</v>
      </c>
      <c r="K651" s="9" t="s">
        <v>8987</v>
      </c>
    </row>
    <row r="652" spans="1:11">
      <c r="A652" s="7">
        <v>650</v>
      </c>
      <c r="B652" s="7" t="s">
        <v>9208</v>
      </c>
      <c r="C652" s="7" t="s">
        <v>8984</v>
      </c>
      <c r="D652" s="7" t="s">
        <v>7553</v>
      </c>
      <c r="E652" s="7" t="s">
        <v>10046</v>
      </c>
      <c r="F652" s="8" t="s">
        <v>10044</v>
      </c>
      <c r="G652" s="7">
        <v>0</v>
      </c>
      <c r="H652" s="7" t="s">
        <v>8984</v>
      </c>
      <c r="I652" s="7">
        <v>1</v>
      </c>
      <c r="J652" s="7" t="s">
        <v>7838</v>
      </c>
      <c r="K652" s="9" t="s">
        <v>8987</v>
      </c>
    </row>
    <row r="653" spans="1:11">
      <c r="A653" s="7">
        <v>651</v>
      </c>
      <c r="B653" s="7" t="s">
        <v>9208</v>
      </c>
      <c r="C653" s="7" t="s">
        <v>8984</v>
      </c>
      <c r="D653" s="7" t="s">
        <v>7551</v>
      </c>
      <c r="E653" s="7" t="s">
        <v>10047</v>
      </c>
      <c r="F653" s="8" t="s">
        <v>10044</v>
      </c>
      <c r="G653" s="7">
        <v>0</v>
      </c>
      <c r="H653" s="7" t="s">
        <v>8984</v>
      </c>
      <c r="I653" s="7">
        <v>1</v>
      </c>
      <c r="J653" s="7" t="s">
        <v>7838</v>
      </c>
      <c r="K653" s="9" t="s">
        <v>8987</v>
      </c>
    </row>
    <row r="654" spans="1:11">
      <c r="A654" s="7">
        <v>652</v>
      </c>
      <c r="B654" s="7" t="s">
        <v>8983</v>
      </c>
      <c r="C654" s="7" t="s">
        <v>8984</v>
      </c>
      <c r="D654" s="7" t="s">
        <v>7542</v>
      </c>
      <c r="E654" s="7" t="s">
        <v>10048</v>
      </c>
      <c r="F654" s="8" t="s">
        <v>10049</v>
      </c>
      <c r="G654" s="7">
        <v>0</v>
      </c>
      <c r="H654" s="7" t="s">
        <v>8984</v>
      </c>
      <c r="I654" s="7">
        <v>1</v>
      </c>
      <c r="J654" s="7" t="s">
        <v>7838</v>
      </c>
      <c r="K654" s="9" t="s">
        <v>8987</v>
      </c>
    </row>
    <row r="655" spans="1:11">
      <c r="A655" s="7">
        <v>653</v>
      </c>
      <c r="B655" s="7" t="s">
        <v>8983</v>
      </c>
      <c r="C655" s="7" t="s">
        <v>8984</v>
      </c>
      <c r="D655" s="7" t="s">
        <v>7573</v>
      </c>
      <c r="E655" s="7" t="s">
        <v>10050</v>
      </c>
      <c r="F655" s="8" t="s">
        <v>10049</v>
      </c>
      <c r="G655" s="7">
        <v>0</v>
      </c>
      <c r="H655" s="7" t="s">
        <v>8984</v>
      </c>
      <c r="I655" s="7">
        <v>1</v>
      </c>
      <c r="J655" s="7" t="s">
        <v>7838</v>
      </c>
      <c r="K655" s="9" t="s">
        <v>8987</v>
      </c>
    </row>
    <row r="656" spans="1:11">
      <c r="A656" s="7">
        <v>654</v>
      </c>
      <c r="B656" s="7" t="s">
        <v>8983</v>
      </c>
      <c r="C656" s="7" t="s">
        <v>8984</v>
      </c>
      <c r="D656" s="7" t="s">
        <v>7552</v>
      </c>
      <c r="E656" s="7" t="s">
        <v>10051</v>
      </c>
      <c r="F656" s="8" t="s">
        <v>10049</v>
      </c>
      <c r="G656" s="7">
        <v>0</v>
      </c>
      <c r="H656" s="7" t="s">
        <v>8984</v>
      </c>
      <c r="I656" s="7">
        <v>1</v>
      </c>
      <c r="J656" s="7" t="s">
        <v>7838</v>
      </c>
      <c r="K656" s="9" t="s">
        <v>8987</v>
      </c>
    </row>
    <row r="657" spans="1:11">
      <c r="A657" s="7">
        <v>655</v>
      </c>
      <c r="B657" s="7" t="s">
        <v>8983</v>
      </c>
      <c r="C657" s="7" t="s">
        <v>8984</v>
      </c>
      <c r="D657" s="7" t="s">
        <v>7581</v>
      </c>
      <c r="E657" s="7" t="s">
        <v>10052</v>
      </c>
      <c r="F657" s="8" t="s">
        <v>10049</v>
      </c>
      <c r="G657" s="7">
        <v>0</v>
      </c>
      <c r="H657" s="7" t="s">
        <v>8984</v>
      </c>
      <c r="I657" s="7">
        <v>1</v>
      </c>
      <c r="J657" s="7" t="s">
        <v>7838</v>
      </c>
      <c r="K657" s="9" t="s">
        <v>8987</v>
      </c>
    </row>
    <row r="658" spans="1:11">
      <c r="A658" s="7">
        <v>656</v>
      </c>
      <c r="B658" s="7" t="s">
        <v>8983</v>
      </c>
      <c r="C658" s="7" t="s">
        <v>8984</v>
      </c>
      <c r="D658" s="7" t="s">
        <v>7553</v>
      </c>
      <c r="E658" s="7" t="s">
        <v>10053</v>
      </c>
      <c r="F658" s="8" t="s">
        <v>10049</v>
      </c>
      <c r="G658" s="7">
        <v>0</v>
      </c>
      <c r="H658" s="7" t="s">
        <v>8984</v>
      </c>
      <c r="I658" s="7">
        <v>1</v>
      </c>
      <c r="J658" s="7" t="s">
        <v>7838</v>
      </c>
      <c r="K658" s="9" t="s">
        <v>8987</v>
      </c>
    </row>
    <row r="659" spans="1:11">
      <c r="A659" s="7">
        <v>657</v>
      </c>
      <c r="B659" s="7" t="s">
        <v>8983</v>
      </c>
      <c r="C659" s="7" t="s">
        <v>8984</v>
      </c>
      <c r="D659" s="7" t="s">
        <v>7551</v>
      </c>
      <c r="E659" s="7" t="s">
        <v>10054</v>
      </c>
      <c r="F659" s="8" t="s">
        <v>10049</v>
      </c>
      <c r="G659" s="7">
        <v>0</v>
      </c>
      <c r="H659" s="7" t="s">
        <v>8984</v>
      </c>
      <c r="I659" s="7">
        <v>1</v>
      </c>
      <c r="J659" s="7" t="s">
        <v>7838</v>
      </c>
      <c r="K659" s="9" t="s">
        <v>8987</v>
      </c>
    </row>
    <row r="660" spans="1:11">
      <c r="A660" s="7">
        <v>658</v>
      </c>
      <c r="B660" s="7" t="s">
        <v>8983</v>
      </c>
      <c r="C660" s="7" t="s">
        <v>8984</v>
      </c>
      <c r="D660" s="7" t="s">
        <v>7581</v>
      </c>
      <c r="E660" s="7" t="s">
        <v>4887</v>
      </c>
      <c r="F660" s="8" t="s">
        <v>10055</v>
      </c>
      <c r="G660" s="7">
        <v>0</v>
      </c>
      <c r="H660" s="7" t="s">
        <v>8984</v>
      </c>
      <c r="I660" s="7">
        <v>1</v>
      </c>
      <c r="J660" s="7" t="s">
        <v>7838</v>
      </c>
      <c r="K660" s="9" t="s">
        <v>8987</v>
      </c>
    </row>
    <row r="661" spans="1:11">
      <c r="A661" s="7">
        <v>659</v>
      </c>
      <c r="B661" s="7" t="s">
        <v>8983</v>
      </c>
      <c r="C661" s="7" t="s">
        <v>8984</v>
      </c>
      <c r="D661" s="7" t="s">
        <v>7573</v>
      </c>
      <c r="E661" s="7" t="s">
        <v>10056</v>
      </c>
      <c r="F661" s="8" t="s">
        <v>10057</v>
      </c>
      <c r="G661" s="7">
        <v>0</v>
      </c>
      <c r="H661" s="7" t="s">
        <v>8984</v>
      </c>
      <c r="I661" s="7">
        <v>1</v>
      </c>
      <c r="J661" s="7" t="s">
        <v>7838</v>
      </c>
      <c r="K661" s="9" t="s">
        <v>8987</v>
      </c>
    </row>
    <row r="662" spans="1:11">
      <c r="A662" s="7">
        <v>660</v>
      </c>
      <c r="B662" s="7" t="s">
        <v>8983</v>
      </c>
      <c r="C662" s="7" t="s">
        <v>8984</v>
      </c>
      <c r="D662" s="7" t="s">
        <v>7542</v>
      </c>
      <c r="E662" s="7" t="s">
        <v>10058</v>
      </c>
      <c r="F662" s="8" t="s">
        <v>10059</v>
      </c>
      <c r="G662" s="7">
        <v>500</v>
      </c>
      <c r="H662" s="7" t="s">
        <v>9597</v>
      </c>
      <c r="I662" s="7">
        <v>41</v>
      </c>
      <c r="J662" s="7" t="s">
        <v>10060</v>
      </c>
      <c r="K662" s="9" t="s">
        <v>8987</v>
      </c>
    </row>
    <row r="663" spans="1:11">
      <c r="A663" s="7">
        <v>661</v>
      </c>
      <c r="B663" s="7" t="s">
        <v>8983</v>
      </c>
      <c r="C663" s="7" t="s">
        <v>8984</v>
      </c>
      <c r="D663" s="7" t="s">
        <v>7573</v>
      </c>
      <c r="E663" s="7" t="s">
        <v>10061</v>
      </c>
      <c r="F663" s="8" t="s">
        <v>10059</v>
      </c>
      <c r="G663" s="7">
        <v>500</v>
      </c>
      <c r="H663" s="7" t="s">
        <v>9597</v>
      </c>
      <c r="I663" s="7">
        <v>41</v>
      </c>
      <c r="J663" s="7" t="s">
        <v>10060</v>
      </c>
      <c r="K663" s="9" t="s">
        <v>8987</v>
      </c>
    </row>
    <row r="664" spans="1:11">
      <c r="A664" s="7">
        <v>662</v>
      </c>
      <c r="B664" s="7" t="s">
        <v>8983</v>
      </c>
      <c r="C664" s="7" t="s">
        <v>8984</v>
      </c>
      <c r="D664" s="7" t="s">
        <v>7552</v>
      </c>
      <c r="E664" s="7" t="s">
        <v>10062</v>
      </c>
      <c r="F664" s="8" t="s">
        <v>10059</v>
      </c>
      <c r="G664" s="7">
        <v>500</v>
      </c>
      <c r="H664" s="7" t="s">
        <v>9597</v>
      </c>
      <c r="I664" s="7">
        <v>41</v>
      </c>
      <c r="J664" s="7" t="s">
        <v>10060</v>
      </c>
      <c r="K664" s="9" t="s">
        <v>8987</v>
      </c>
    </row>
    <row r="665" spans="1:11">
      <c r="A665" s="7">
        <v>663</v>
      </c>
      <c r="B665" s="7" t="s">
        <v>8983</v>
      </c>
      <c r="C665" s="7" t="s">
        <v>8984</v>
      </c>
      <c r="D665" s="7" t="s">
        <v>7581</v>
      </c>
      <c r="E665" s="7" t="s">
        <v>10063</v>
      </c>
      <c r="F665" s="8" t="s">
        <v>10059</v>
      </c>
      <c r="G665" s="7">
        <v>500</v>
      </c>
      <c r="H665" s="7" t="s">
        <v>9597</v>
      </c>
      <c r="I665" s="7">
        <v>41</v>
      </c>
      <c r="J665" s="7" t="s">
        <v>10060</v>
      </c>
      <c r="K665" s="9" t="s">
        <v>8987</v>
      </c>
    </row>
    <row r="666" spans="1:11">
      <c r="A666" s="7">
        <v>664</v>
      </c>
      <c r="B666" s="7" t="s">
        <v>8983</v>
      </c>
      <c r="C666" s="7" t="s">
        <v>8984</v>
      </c>
      <c r="D666" s="7" t="s">
        <v>7553</v>
      </c>
      <c r="E666" s="7" t="s">
        <v>10064</v>
      </c>
      <c r="F666" s="8" t="s">
        <v>10059</v>
      </c>
      <c r="G666" s="7">
        <v>500</v>
      </c>
      <c r="H666" s="7" t="s">
        <v>9597</v>
      </c>
      <c r="I666" s="7">
        <v>41</v>
      </c>
      <c r="J666" s="7" t="s">
        <v>10060</v>
      </c>
      <c r="K666" s="9" t="s">
        <v>8987</v>
      </c>
    </row>
    <row r="667" spans="1:11">
      <c r="A667" s="7">
        <v>665</v>
      </c>
      <c r="B667" s="7" t="s">
        <v>8983</v>
      </c>
      <c r="C667" s="7" t="s">
        <v>8984</v>
      </c>
      <c r="D667" s="7" t="s">
        <v>7551</v>
      </c>
      <c r="E667" s="7" t="s">
        <v>10065</v>
      </c>
      <c r="F667" s="8" t="s">
        <v>10059</v>
      </c>
      <c r="G667" s="7">
        <v>500</v>
      </c>
      <c r="H667" s="7" t="s">
        <v>9597</v>
      </c>
      <c r="I667" s="7">
        <v>41</v>
      </c>
      <c r="J667" s="7" t="s">
        <v>10060</v>
      </c>
      <c r="K667" s="9" t="s">
        <v>8987</v>
      </c>
    </row>
    <row r="668" spans="1:11">
      <c r="A668" s="7">
        <v>666</v>
      </c>
      <c r="B668" s="7" t="s">
        <v>8983</v>
      </c>
      <c r="C668" s="7" t="s">
        <v>8984</v>
      </c>
      <c r="D668" s="7" t="s">
        <v>7547</v>
      </c>
      <c r="E668" s="7" t="s">
        <v>10066</v>
      </c>
      <c r="F668" s="8" t="s">
        <v>10059</v>
      </c>
      <c r="G668" s="7">
        <v>500</v>
      </c>
      <c r="H668" s="7" t="s">
        <v>9597</v>
      </c>
      <c r="I668" s="7">
        <v>41</v>
      </c>
      <c r="J668" s="7" t="s">
        <v>10060</v>
      </c>
      <c r="K668" s="9" t="s">
        <v>8987</v>
      </c>
    </row>
    <row r="669" spans="1:11">
      <c r="A669" s="7">
        <v>667</v>
      </c>
      <c r="B669" s="7" t="s">
        <v>9124</v>
      </c>
      <c r="C669" s="7" t="s">
        <v>8984</v>
      </c>
      <c r="D669" s="7" t="s">
        <v>7542</v>
      </c>
      <c r="E669" s="7" t="s">
        <v>10067</v>
      </c>
      <c r="F669" s="8" t="s">
        <v>10068</v>
      </c>
      <c r="G669" s="7">
        <v>0</v>
      </c>
      <c r="H669" s="7" t="s">
        <v>8984</v>
      </c>
      <c r="I669" s="7">
        <v>1</v>
      </c>
      <c r="J669" s="7" t="s">
        <v>7838</v>
      </c>
      <c r="K669" s="9" t="s">
        <v>8987</v>
      </c>
    </row>
    <row r="670" spans="1:11">
      <c r="A670" s="7">
        <v>668</v>
      </c>
      <c r="B670" s="7" t="s">
        <v>9124</v>
      </c>
      <c r="C670" s="7" t="s">
        <v>8984</v>
      </c>
      <c r="D670" s="7" t="s">
        <v>7573</v>
      </c>
      <c r="E670" s="7" t="s">
        <v>10069</v>
      </c>
      <c r="F670" s="8" t="s">
        <v>10068</v>
      </c>
      <c r="G670" s="7">
        <v>0</v>
      </c>
      <c r="H670" s="7" t="s">
        <v>8984</v>
      </c>
      <c r="I670" s="7">
        <v>1</v>
      </c>
      <c r="J670" s="7" t="s">
        <v>7838</v>
      </c>
      <c r="K670" s="9" t="s">
        <v>8987</v>
      </c>
    </row>
    <row r="671" spans="1:11">
      <c r="A671" s="7">
        <v>669</v>
      </c>
      <c r="B671" s="7" t="s">
        <v>9124</v>
      </c>
      <c r="C671" s="7" t="s">
        <v>8984</v>
      </c>
      <c r="D671" s="7" t="s">
        <v>7552</v>
      </c>
      <c r="E671" s="7" t="s">
        <v>10070</v>
      </c>
      <c r="F671" s="8" t="s">
        <v>10068</v>
      </c>
      <c r="G671" s="7">
        <v>0</v>
      </c>
      <c r="H671" s="7" t="s">
        <v>8984</v>
      </c>
      <c r="I671" s="7">
        <v>1</v>
      </c>
      <c r="J671" s="7" t="s">
        <v>7838</v>
      </c>
      <c r="K671" s="9" t="s">
        <v>8987</v>
      </c>
    </row>
    <row r="672" spans="1:11">
      <c r="A672" s="7">
        <v>670</v>
      </c>
      <c r="B672" s="7" t="s">
        <v>9124</v>
      </c>
      <c r="C672" s="7" t="s">
        <v>8984</v>
      </c>
      <c r="D672" s="7" t="s">
        <v>7581</v>
      </c>
      <c r="E672" s="7" t="s">
        <v>10071</v>
      </c>
      <c r="F672" s="8" t="s">
        <v>10068</v>
      </c>
      <c r="G672" s="7">
        <v>0</v>
      </c>
      <c r="H672" s="7" t="s">
        <v>8984</v>
      </c>
      <c r="I672" s="7">
        <v>1</v>
      </c>
      <c r="J672" s="7" t="s">
        <v>7838</v>
      </c>
      <c r="K672" s="9" t="s">
        <v>8987</v>
      </c>
    </row>
    <row r="673" spans="1:11">
      <c r="A673" s="7">
        <v>671</v>
      </c>
      <c r="B673" s="7" t="s">
        <v>9124</v>
      </c>
      <c r="C673" s="7" t="s">
        <v>8984</v>
      </c>
      <c r="D673" s="7" t="s">
        <v>7553</v>
      </c>
      <c r="E673" s="7" t="s">
        <v>10072</v>
      </c>
      <c r="F673" s="8" t="s">
        <v>10068</v>
      </c>
      <c r="G673" s="7">
        <v>0</v>
      </c>
      <c r="H673" s="7" t="s">
        <v>8984</v>
      </c>
      <c r="I673" s="7">
        <v>1</v>
      </c>
      <c r="J673" s="7" t="s">
        <v>7838</v>
      </c>
      <c r="K673" s="9" t="s">
        <v>8987</v>
      </c>
    </row>
    <row r="674" spans="1:11">
      <c r="A674" s="7">
        <v>672</v>
      </c>
      <c r="B674" s="7" t="s">
        <v>9124</v>
      </c>
      <c r="C674" s="7" t="s">
        <v>8984</v>
      </c>
      <c r="D674" s="7" t="s">
        <v>7551</v>
      </c>
      <c r="E674" s="7" t="s">
        <v>10073</v>
      </c>
      <c r="F674" s="8" t="s">
        <v>10068</v>
      </c>
      <c r="G674" s="7">
        <v>0</v>
      </c>
      <c r="H674" s="7" t="s">
        <v>8984</v>
      </c>
      <c r="I674" s="7">
        <v>1</v>
      </c>
      <c r="J674" s="7" t="s">
        <v>7838</v>
      </c>
      <c r="K674" s="9" t="s">
        <v>8987</v>
      </c>
    </row>
    <row r="675" spans="1:11">
      <c r="A675" s="7">
        <v>673</v>
      </c>
      <c r="B675" s="7" t="s">
        <v>9208</v>
      </c>
      <c r="C675" s="7" t="s">
        <v>8984</v>
      </c>
      <c r="D675" s="7" t="s">
        <v>7542</v>
      </c>
      <c r="E675" s="7" t="s">
        <v>10074</v>
      </c>
      <c r="F675" s="8" t="s">
        <v>10075</v>
      </c>
      <c r="G675" s="7">
        <v>0</v>
      </c>
      <c r="H675" s="7" t="s">
        <v>8984</v>
      </c>
      <c r="I675" s="7">
        <v>1</v>
      </c>
      <c r="J675" s="7" t="s">
        <v>7838</v>
      </c>
      <c r="K675" s="9" t="s">
        <v>8987</v>
      </c>
    </row>
    <row r="676" spans="1:11">
      <c r="A676" s="7">
        <v>674</v>
      </c>
      <c r="B676" s="7" t="s">
        <v>9208</v>
      </c>
      <c r="C676" s="7" t="s">
        <v>8984</v>
      </c>
      <c r="D676" s="7" t="s">
        <v>7573</v>
      </c>
      <c r="E676" s="7" t="s">
        <v>10076</v>
      </c>
      <c r="F676" s="8" t="s">
        <v>10075</v>
      </c>
      <c r="G676" s="7">
        <v>0</v>
      </c>
      <c r="H676" s="7" t="s">
        <v>8984</v>
      </c>
      <c r="I676" s="7">
        <v>1</v>
      </c>
      <c r="J676" s="7" t="s">
        <v>7838</v>
      </c>
      <c r="K676" s="9" t="s">
        <v>8987</v>
      </c>
    </row>
    <row r="677" spans="1:11">
      <c r="A677" s="7">
        <v>675</v>
      </c>
      <c r="B677" s="7" t="s">
        <v>9208</v>
      </c>
      <c r="C677" s="7" t="s">
        <v>8984</v>
      </c>
      <c r="D677" s="7" t="s">
        <v>7552</v>
      </c>
      <c r="E677" s="7" t="s">
        <v>10077</v>
      </c>
      <c r="F677" s="8" t="s">
        <v>10075</v>
      </c>
      <c r="G677" s="7">
        <v>0</v>
      </c>
      <c r="H677" s="7" t="s">
        <v>8984</v>
      </c>
      <c r="I677" s="7">
        <v>1</v>
      </c>
      <c r="J677" s="7" t="s">
        <v>7838</v>
      </c>
      <c r="K677" s="9" t="s">
        <v>8987</v>
      </c>
    </row>
    <row r="678" spans="1:11">
      <c r="A678" s="7">
        <v>676</v>
      </c>
      <c r="B678" s="7" t="s">
        <v>9208</v>
      </c>
      <c r="C678" s="7" t="s">
        <v>8984</v>
      </c>
      <c r="D678" s="7" t="s">
        <v>7581</v>
      </c>
      <c r="E678" s="7" t="s">
        <v>10078</v>
      </c>
      <c r="F678" s="8" t="s">
        <v>10075</v>
      </c>
      <c r="G678" s="7">
        <v>0</v>
      </c>
      <c r="H678" s="7" t="s">
        <v>8984</v>
      </c>
      <c r="I678" s="7">
        <v>1</v>
      </c>
      <c r="J678" s="7" t="s">
        <v>7838</v>
      </c>
      <c r="K678" s="9" t="s">
        <v>8987</v>
      </c>
    </row>
    <row r="679" spans="1:11">
      <c r="A679" s="7">
        <v>677</v>
      </c>
      <c r="B679" s="7" t="s">
        <v>9208</v>
      </c>
      <c r="C679" s="7" t="s">
        <v>8984</v>
      </c>
      <c r="D679" s="7" t="s">
        <v>7553</v>
      </c>
      <c r="E679" s="7" t="s">
        <v>10079</v>
      </c>
      <c r="F679" s="8" t="s">
        <v>10075</v>
      </c>
      <c r="G679" s="7">
        <v>0</v>
      </c>
      <c r="H679" s="7" t="s">
        <v>8984</v>
      </c>
      <c r="I679" s="7">
        <v>1</v>
      </c>
      <c r="J679" s="7" t="s">
        <v>7838</v>
      </c>
      <c r="K679" s="9" t="s">
        <v>8987</v>
      </c>
    </row>
    <row r="680" spans="1:11">
      <c r="A680" s="7">
        <v>678</v>
      </c>
      <c r="B680" s="7" t="s">
        <v>9208</v>
      </c>
      <c r="C680" s="7" t="s">
        <v>8984</v>
      </c>
      <c r="D680" s="7" t="s">
        <v>7551</v>
      </c>
      <c r="E680" s="7" t="s">
        <v>10080</v>
      </c>
      <c r="F680" s="8" t="s">
        <v>10075</v>
      </c>
      <c r="G680" s="7">
        <v>0</v>
      </c>
      <c r="H680" s="7" t="s">
        <v>8984</v>
      </c>
      <c r="I680" s="7">
        <v>1</v>
      </c>
      <c r="J680" s="7" t="s">
        <v>7838</v>
      </c>
      <c r="K680" s="9" t="s">
        <v>8987</v>
      </c>
    </row>
    <row r="681" spans="1:11">
      <c r="A681" s="7">
        <v>679</v>
      </c>
      <c r="B681" s="7" t="s">
        <v>8983</v>
      </c>
      <c r="C681" s="7" t="s">
        <v>8984</v>
      </c>
      <c r="D681" s="7" t="s">
        <v>7547</v>
      </c>
      <c r="E681" s="7" t="s">
        <v>10081</v>
      </c>
      <c r="F681" s="8" t="s">
        <v>10082</v>
      </c>
      <c r="G681" s="7">
        <v>17</v>
      </c>
      <c r="H681" s="7" t="s">
        <v>9146</v>
      </c>
      <c r="I681" s="7">
        <v>8</v>
      </c>
      <c r="J681" s="7" t="s">
        <v>9358</v>
      </c>
      <c r="K681" s="9" t="s">
        <v>8987</v>
      </c>
    </row>
    <row r="682" spans="1:11">
      <c r="A682" s="7">
        <v>680</v>
      </c>
      <c r="B682" s="7" t="s">
        <v>8983</v>
      </c>
      <c r="C682" s="7" t="s">
        <v>8984</v>
      </c>
      <c r="D682" s="7" t="s">
        <v>7547</v>
      </c>
      <c r="E682" s="7" t="s">
        <v>10083</v>
      </c>
      <c r="F682" s="8" t="s">
        <v>10082</v>
      </c>
      <c r="G682" s="7">
        <v>10</v>
      </c>
      <c r="H682" s="7" t="s">
        <v>9292</v>
      </c>
      <c r="I682" s="7">
        <v>3</v>
      </c>
      <c r="J682" s="7" t="s">
        <v>7718</v>
      </c>
      <c r="K682" s="9" t="s">
        <v>8987</v>
      </c>
    </row>
    <row r="683" spans="1:11">
      <c r="A683" s="7">
        <v>681</v>
      </c>
      <c r="B683" s="7" t="s">
        <v>8983</v>
      </c>
      <c r="C683" s="7" t="s">
        <v>8984</v>
      </c>
      <c r="D683" s="7" t="s">
        <v>7547</v>
      </c>
      <c r="E683" s="7" t="s">
        <v>10084</v>
      </c>
      <c r="F683" s="8" t="s">
        <v>10085</v>
      </c>
      <c r="G683" s="7">
        <v>4</v>
      </c>
      <c r="H683" s="7" t="s">
        <v>9579</v>
      </c>
      <c r="I683" s="7">
        <v>3</v>
      </c>
      <c r="J683" s="7" t="s">
        <v>10086</v>
      </c>
      <c r="K683" s="9" t="s">
        <v>8987</v>
      </c>
    </row>
    <row r="684" spans="1:11">
      <c r="A684" s="7">
        <v>682</v>
      </c>
      <c r="B684" s="7" t="s">
        <v>8983</v>
      </c>
      <c r="C684" s="7" t="s">
        <v>8984</v>
      </c>
      <c r="D684" s="7" t="s">
        <v>7547</v>
      </c>
      <c r="E684" s="7" t="s">
        <v>10087</v>
      </c>
      <c r="F684" s="8" t="s">
        <v>10085</v>
      </c>
      <c r="G684" s="7">
        <v>8</v>
      </c>
      <c r="H684" s="7" t="s">
        <v>8991</v>
      </c>
      <c r="I684" s="7">
        <v>3</v>
      </c>
      <c r="J684" s="7" t="s">
        <v>7823</v>
      </c>
      <c r="K684" s="9" t="s">
        <v>8987</v>
      </c>
    </row>
    <row r="685" spans="1:11">
      <c r="A685" s="7">
        <v>683</v>
      </c>
      <c r="B685" s="7" t="s">
        <v>8983</v>
      </c>
      <c r="C685" s="7" t="s">
        <v>8984</v>
      </c>
      <c r="D685" s="7" t="s">
        <v>7547</v>
      </c>
      <c r="E685" s="7" t="s">
        <v>10088</v>
      </c>
      <c r="F685" s="8" t="s">
        <v>10085</v>
      </c>
      <c r="G685" s="7">
        <v>13</v>
      </c>
      <c r="H685" s="7" t="s">
        <v>9077</v>
      </c>
      <c r="I685" s="7">
        <v>3</v>
      </c>
      <c r="J685" s="7" t="s">
        <v>7773</v>
      </c>
      <c r="K685" s="9" t="s">
        <v>8987</v>
      </c>
    </row>
    <row r="686" spans="1:11">
      <c r="A686" s="7">
        <v>684</v>
      </c>
      <c r="B686" s="7" t="s">
        <v>8983</v>
      </c>
      <c r="C686" s="7" t="s">
        <v>8984</v>
      </c>
      <c r="D686" s="7" t="s">
        <v>7547</v>
      </c>
      <c r="E686" s="7" t="s">
        <v>10089</v>
      </c>
      <c r="F686" s="8" t="s">
        <v>10090</v>
      </c>
      <c r="G686" s="7">
        <v>30</v>
      </c>
      <c r="H686" s="7" t="s">
        <v>9015</v>
      </c>
      <c r="I686" s="7">
        <v>9</v>
      </c>
      <c r="J686" s="7" t="s">
        <v>9748</v>
      </c>
      <c r="K686" s="9" t="s">
        <v>8987</v>
      </c>
    </row>
    <row r="687" spans="1:11">
      <c r="A687" s="7">
        <v>685</v>
      </c>
      <c r="B687" s="7" t="s">
        <v>8983</v>
      </c>
      <c r="C687" s="7" t="s">
        <v>8984</v>
      </c>
      <c r="D687" s="7" t="s">
        <v>7566</v>
      </c>
      <c r="E687" s="7" t="s">
        <v>10091</v>
      </c>
      <c r="F687" s="8" t="s">
        <v>10092</v>
      </c>
      <c r="G687" s="7">
        <v>100</v>
      </c>
      <c r="H687" s="7" t="s">
        <v>9046</v>
      </c>
      <c r="I687" s="7">
        <v>35</v>
      </c>
      <c r="J687" s="7" t="s">
        <v>9389</v>
      </c>
      <c r="K687" s="9" t="s">
        <v>8987</v>
      </c>
    </row>
    <row r="688" spans="1:11">
      <c r="A688" s="7">
        <v>686</v>
      </c>
      <c r="B688" s="7" t="s">
        <v>9208</v>
      </c>
      <c r="C688" s="7" t="s">
        <v>8984</v>
      </c>
      <c r="D688" s="7" t="s">
        <v>7542</v>
      </c>
      <c r="E688" s="7" t="s">
        <v>10093</v>
      </c>
      <c r="F688" s="8" t="s">
        <v>10094</v>
      </c>
      <c r="G688" s="7">
        <v>100</v>
      </c>
      <c r="H688" s="7" t="s">
        <v>9046</v>
      </c>
      <c r="I688" s="7">
        <v>35</v>
      </c>
      <c r="J688" s="7" t="s">
        <v>9389</v>
      </c>
      <c r="K688" s="9" t="s">
        <v>8987</v>
      </c>
    </row>
    <row r="689" spans="1:11">
      <c r="A689" s="7">
        <v>687</v>
      </c>
      <c r="B689" s="7" t="s">
        <v>8983</v>
      </c>
      <c r="C689" s="7" t="s">
        <v>8984</v>
      </c>
      <c r="D689" s="7" t="s">
        <v>7555</v>
      </c>
      <c r="E689" s="7" t="s">
        <v>10095</v>
      </c>
      <c r="F689" s="8" t="s">
        <v>10096</v>
      </c>
      <c r="G689" s="7">
        <v>100</v>
      </c>
      <c r="H689" s="7" t="s">
        <v>9046</v>
      </c>
      <c r="I689" s="7">
        <v>13</v>
      </c>
      <c r="J689" s="7" t="s">
        <v>10097</v>
      </c>
      <c r="K689" s="9" t="s">
        <v>8987</v>
      </c>
    </row>
    <row r="690" spans="1:11">
      <c r="A690" s="7">
        <v>688</v>
      </c>
      <c r="B690" s="7" t="s">
        <v>8983</v>
      </c>
      <c r="C690" s="7" t="s">
        <v>8984</v>
      </c>
      <c r="D690" s="7" t="s">
        <v>7555</v>
      </c>
      <c r="E690" s="7" t="s">
        <v>10098</v>
      </c>
      <c r="F690" s="8" t="s">
        <v>10096</v>
      </c>
      <c r="G690" s="7">
        <v>180</v>
      </c>
      <c r="H690" s="7" t="s">
        <v>9056</v>
      </c>
      <c r="I690" s="7">
        <v>23</v>
      </c>
      <c r="J690" s="7" t="s">
        <v>10099</v>
      </c>
      <c r="K690" s="9" t="s">
        <v>8987</v>
      </c>
    </row>
    <row r="691" spans="1:11">
      <c r="A691" s="7">
        <v>689</v>
      </c>
      <c r="B691" s="7" t="s">
        <v>8983</v>
      </c>
      <c r="C691" s="7" t="s">
        <v>8984</v>
      </c>
      <c r="D691" s="7" t="s">
        <v>7555</v>
      </c>
      <c r="E691" s="7" t="s">
        <v>10100</v>
      </c>
      <c r="F691" s="8" t="s">
        <v>10096</v>
      </c>
      <c r="G691" s="7">
        <v>100</v>
      </c>
      <c r="H691" s="7" t="s">
        <v>9046</v>
      </c>
      <c r="I691" s="7">
        <v>35</v>
      </c>
      <c r="J691" s="7" t="s">
        <v>9389</v>
      </c>
      <c r="K691" s="9" t="s">
        <v>8987</v>
      </c>
    </row>
    <row r="692" spans="1:11">
      <c r="A692" s="7">
        <v>690</v>
      </c>
      <c r="B692" s="7" t="s">
        <v>8983</v>
      </c>
      <c r="C692" s="7" t="s">
        <v>8984</v>
      </c>
      <c r="D692" s="7" t="s">
        <v>7552</v>
      </c>
      <c r="E692" s="7" t="s">
        <v>10101</v>
      </c>
      <c r="F692" s="8" t="s">
        <v>10102</v>
      </c>
      <c r="G692" s="7">
        <v>30</v>
      </c>
      <c r="H692" s="7" t="s">
        <v>9015</v>
      </c>
      <c r="I692" s="7">
        <v>14</v>
      </c>
      <c r="J692" s="7" t="s">
        <v>10103</v>
      </c>
      <c r="K692" s="9" t="s">
        <v>8987</v>
      </c>
    </row>
    <row r="693" spans="1:11">
      <c r="A693" s="7">
        <v>691</v>
      </c>
      <c r="B693" s="7" t="s">
        <v>8983</v>
      </c>
      <c r="C693" s="7" t="s">
        <v>8984</v>
      </c>
      <c r="D693" s="7" t="s">
        <v>7542</v>
      </c>
      <c r="E693" s="7" t="s">
        <v>10104</v>
      </c>
      <c r="F693" s="8" t="s">
        <v>10105</v>
      </c>
      <c r="G693" s="7">
        <v>17</v>
      </c>
      <c r="H693" s="7" t="s">
        <v>9146</v>
      </c>
      <c r="I693" s="7">
        <v>8</v>
      </c>
      <c r="J693" s="7" t="s">
        <v>9358</v>
      </c>
      <c r="K693" s="9" t="s">
        <v>8987</v>
      </c>
    </row>
    <row r="694" spans="1:11">
      <c r="A694" s="7">
        <v>692</v>
      </c>
      <c r="B694" s="7" t="s">
        <v>9208</v>
      </c>
      <c r="C694" s="7" t="s">
        <v>8984</v>
      </c>
      <c r="D694" s="7" t="s">
        <v>7549</v>
      </c>
      <c r="E694" s="7" t="s">
        <v>10106</v>
      </c>
      <c r="F694" s="8" t="s">
        <v>10107</v>
      </c>
      <c r="G694" s="7">
        <v>0</v>
      </c>
      <c r="H694" s="7" t="s">
        <v>8984</v>
      </c>
      <c r="I694" s="7">
        <v>1</v>
      </c>
      <c r="J694" s="7" t="s">
        <v>7838</v>
      </c>
      <c r="K694" s="9" t="s">
        <v>8987</v>
      </c>
    </row>
    <row r="695" spans="1:11">
      <c r="A695" s="7">
        <v>693</v>
      </c>
      <c r="B695" s="7" t="s">
        <v>8983</v>
      </c>
      <c r="C695" s="7" t="s">
        <v>8984</v>
      </c>
      <c r="D695" s="7" t="s">
        <v>7566</v>
      </c>
      <c r="E695" s="7" t="s">
        <v>10108</v>
      </c>
      <c r="F695" s="8" t="s">
        <v>10109</v>
      </c>
      <c r="G695" s="7">
        <v>80</v>
      </c>
      <c r="H695" s="7" t="s">
        <v>9153</v>
      </c>
      <c r="I695" s="7">
        <v>13</v>
      </c>
      <c r="J695" s="7" t="s">
        <v>9315</v>
      </c>
      <c r="K695" s="9" t="s">
        <v>8987</v>
      </c>
    </row>
    <row r="696" spans="1:11">
      <c r="A696" s="7">
        <v>694</v>
      </c>
      <c r="B696" s="7" t="s">
        <v>9208</v>
      </c>
      <c r="C696" s="7" t="s">
        <v>8984</v>
      </c>
      <c r="D696" s="7" t="s">
        <v>7549</v>
      </c>
      <c r="E696" s="7" t="s">
        <v>10110</v>
      </c>
      <c r="F696" s="8" t="s">
        <v>10111</v>
      </c>
      <c r="G696" s="7">
        <v>0</v>
      </c>
      <c r="H696" s="7" t="s">
        <v>8984</v>
      </c>
      <c r="I696" s="7">
        <v>1</v>
      </c>
      <c r="J696" s="7" t="s">
        <v>7838</v>
      </c>
      <c r="K696" s="9" t="s">
        <v>8987</v>
      </c>
    </row>
    <row r="697" spans="1:11">
      <c r="A697" s="7">
        <v>695</v>
      </c>
      <c r="B697" s="7" t="s">
        <v>8983</v>
      </c>
      <c r="C697" s="7" t="s">
        <v>8984</v>
      </c>
      <c r="D697" s="7" t="s">
        <v>7547</v>
      </c>
      <c r="E697" s="7" t="s">
        <v>10112</v>
      </c>
      <c r="F697" s="8" t="s">
        <v>9812</v>
      </c>
      <c r="G697" s="7">
        <v>0</v>
      </c>
      <c r="H697" s="7" t="s">
        <v>8984</v>
      </c>
      <c r="I697" s="7">
        <v>1</v>
      </c>
      <c r="J697" s="7" t="s">
        <v>7838</v>
      </c>
      <c r="K697" s="9" t="s">
        <v>8987</v>
      </c>
    </row>
    <row r="698" spans="1:11">
      <c r="A698" s="7">
        <v>696</v>
      </c>
      <c r="B698" s="7" t="s">
        <v>8983</v>
      </c>
      <c r="C698" s="7" t="s">
        <v>8984</v>
      </c>
      <c r="D698" s="7" t="s">
        <v>7556</v>
      </c>
      <c r="E698" s="7" t="s">
        <v>10113</v>
      </c>
      <c r="F698" s="8" t="s">
        <v>10114</v>
      </c>
      <c r="G698" s="7">
        <v>7</v>
      </c>
      <c r="H698" s="7" t="s">
        <v>9182</v>
      </c>
      <c r="I698" s="7">
        <v>2</v>
      </c>
      <c r="J698" s="7" t="s">
        <v>9183</v>
      </c>
      <c r="K698" s="9" t="s">
        <v>8987</v>
      </c>
    </row>
    <row r="699" spans="1:11">
      <c r="A699" s="7">
        <v>697</v>
      </c>
      <c r="B699" s="7" t="s">
        <v>8983</v>
      </c>
      <c r="C699" s="7" t="s">
        <v>8984</v>
      </c>
      <c r="D699" s="7" t="s">
        <v>7556</v>
      </c>
      <c r="E699" s="7" t="s">
        <v>10115</v>
      </c>
      <c r="F699" s="8" t="s">
        <v>10116</v>
      </c>
      <c r="G699" s="7">
        <v>7</v>
      </c>
      <c r="H699" s="7" t="s">
        <v>9182</v>
      </c>
      <c r="I699" s="7">
        <v>2</v>
      </c>
      <c r="J699" s="7" t="s">
        <v>9183</v>
      </c>
      <c r="K699" s="9" t="s">
        <v>8987</v>
      </c>
    </row>
    <row r="700" spans="1:11">
      <c r="A700" s="7">
        <v>698</v>
      </c>
      <c r="B700" s="7" t="s">
        <v>8983</v>
      </c>
      <c r="C700" s="7" t="s">
        <v>8984</v>
      </c>
      <c r="D700" s="7" t="s">
        <v>7556</v>
      </c>
      <c r="E700" s="7" t="s">
        <v>10117</v>
      </c>
      <c r="F700" s="8" t="s">
        <v>10118</v>
      </c>
      <c r="G700" s="7">
        <v>7</v>
      </c>
      <c r="H700" s="7" t="s">
        <v>9182</v>
      </c>
      <c r="I700" s="7">
        <v>2</v>
      </c>
      <c r="J700" s="7" t="s">
        <v>9183</v>
      </c>
      <c r="K700" s="9" t="s">
        <v>8987</v>
      </c>
    </row>
    <row r="701" spans="1:11">
      <c r="A701" s="7">
        <v>699</v>
      </c>
      <c r="B701" s="7" t="s">
        <v>8983</v>
      </c>
      <c r="C701" s="7" t="s">
        <v>8984</v>
      </c>
      <c r="D701" s="7" t="s">
        <v>7556</v>
      </c>
      <c r="E701" s="7" t="s">
        <v>10119</v>
      </c>
      <c r="F701" s="8" t="s">
        <v>10114</v>
      </c>
      <c r="G701" s="7">
        <v>7</v>
      </c>
      <c r="H701" s="7" t="s">
        <v>9182</v>
      </c>
      <c r="I701" s="7">
        <v>2</v>
      </c>
      <c r="J701" s="7" t="s">
        <v>9183</v>
      </c>
      <c r="K701" s="9" t="s">
        <v>8987</v>
      </c>
    </row>
    <row r="702" spans="1:11">
      <c r="A702" s="7">
        <v>700</v>
      </c>
      <c r="B702" s="7" t="s">
        <v>8983</v>
      </c>
      <c r="C702" s="7" t="s">
        <v>8984</v>
      </c>
      <c r="D702" s="7" t="s">
        <v>7551</v>
      </c>
      <c r="E702" s="7" t="s">
        <v>10120</v>
      </c>
      <c r="F702" s="8" t="s">
        <v>10121</v>
      </c>
      <c r="G702" s="7">
        <v>120</v>
      </c>
      <c r="H702" s="7" t="s">
        <v>9036</v>
      </c>
      <c r="I702" s="7">
        <v>5</v>
      </c>
      <c r="J702" s="7" t="s">
        <v>10122</v>
      </c>
      <c r="K702" s="9" t="s">
        <v>8987</v>
      </c>
    </row>
    <row r="703" spans="1:11">
      <c r="A703" s="7">
        <v>701</v>
      </c>
      <c r="B703" s="7" t="s">
        <v>8983</v>
      </c>
      <c r="C703" s="7" t="s">
        <v>8984</v>
      </c>
      <c r="D703" s="7" t="s">
        <v>7549</v>
      </c>
      <c r="E703" s="7" t="s">
        <v>10123</v>
      </c>
      <c r="F703" s="8" t="s">
        <v>9979</v>
      </c>
      <c r="G703" s="7">
        <v>660</v>
      </c>
      <c r="H703" s="7" t="s">
        <v>10124</v>
      </c>
      <c r="I703" s="7">
        <v>1</v>
      </c>
      <c r="J703" s="7" t="s">
        <v>10125</v>
      </c>
      <c r="K703" s="9" t="s">
        <v>8987</v>
      </c>
    </row>
    <row r="704" spans="1:11">
      <c r="A704" s="7">
        <v>702</v>
      </c>
      <c r="B704" s="7" t="s">
        <v>8983</v>
      </c>
      <c r="C704" s="7" t="s">
        <v>8984</v>
      </c>
      <c r="D704" s="7" t="s">
        <v>7549</v>
      </c>
      <c r="E704" s="7" t="s">
        <v>10126</v>
      </c>
      <c r="F704" s="8" t="s">
        <v>9979</v>
      </c>
      <c r="G704" s="7">
        <v>700</v>
      </c>
      <c r="H704" s="7" t="s">
        <v>10127</v>
      </c>
      <c r="I704" s="7">
        <v>1</v>
      </c>
      <c r="J704" s="7" t="s">
        <v>10128</v>
      </c>
      <c r="K704" s="9" t="s">
        <v>8987</v>
      </c>
    </row>
    <row r="705" spans="1:11">
      <c r="A705" s="7">
        <v>703</v>
      </c>
      <c r="B705" s="7" t="s">
        <v>8983</v>
      </c>
      <c r="C705" s="7" t="s">
        <v>8984</v>
      </c>
      <c r="D705" s="7" t="s">
        <v>7549</v>
      </c>
      <c r="E705" s="7" t="s">
        <v>10129</v>
      </c>
      <c r="F705" s="8" t="s">
        <v>9979</v>
      </c>
      <c r="G705" s="7">
        <v>1000</v>
      </c>
      <c r="H705" s="7" t="s">
        <v>9723</v>
      </c>
      <c r="I705" s="7">
        <v>41</v>
      </c>
      <c r="J705" s="7" t="s">
        <v>10130</v>
      </c>
      <c r="K705" s="9" t="s">
        <v>8987</v>
      </c>
    </row>
    <row r="706" spans="1:11">
      <c r="A706" s="7">
        <v>704</v>
      </c>
      <c r="B706" s="7" t="s">
        <v>8983</v>
      </c>
      <c r="C706" s="7" t="s">
        <v>8984</v>
      </c>
      <c r="D706" s="7" t="s">
        <v>7566</v>
      </c>
      <c r="E706" s="7" t="s">
        <v>10131</v>
      </c>
      <c r="F706" s="8" t="s">
        <v>10109</v>
      </c>
      <c r="G706" s="7">
        <v>500</v>
      </c>
      <c r="H706" s="7" t="s">
        <v>9597</v>
      </c>
      <c r="I706" s="7">
        <v>1</v>
      </c>
      <c r="J706" s="7" t="s">
        <v>7876</v>
      </c>
      <c r="K706" s="9" t="s">
        <v>8987</v>
      </c>
    </row>
    <row r="707" spans="1:11">
      <c r="A707" s="7">
        <v>705</v>
      </c>
      <c r="B707" s="7" t="s">
        <v>8983</v>
      </c>
      <c r="C707" s="7" t="s">
        <v>8984</v>
      </c>
      <c r="D707" s="7" t="s">
        <v>7555</v>
      </c>
      <c r="E707" s="7" t="s">
        <v>10132</v>
      </c>
      <c r="F707" s="8" t="s">
        <v>10096</v>
      </c>
      <c r="G707" s="7">
        <v>270</v>
      </c>
      <c r="H707" s="7" t="s">
        <v>10133</v>
      </c>
      <c r="I707" s="7">
        <v>1</v>
      </c>
      <c r="J707" s="7" t="s">
        <v>10134</v>
      </c>
      <c r="K707" s="9" t="s">
        <v>8987</v>
      </c>
    </row>
    <row r="708" spans="1:11">
      <c r="A708" s="7">
        <v>706</v>
      </c>
      <c r="B708" s="7" t="s">
        <v>8983</v>
      </c>
      <c r="C708" s="7" t="s">
        <v>8984</v>
      </c>
      <c r="D708" s="7" t="s">
        <v>7566</v>
      </c>
      <c r="E708" s="7" t="s">
        <v>10135</v>
      </c>
      <c r="F708" s="8" t="s">
        <v>9971</v>
      </c>
      <c r="G708" s="7">
        <v>200</v>
      </c>
      <c r="H708" s="7" t="s">
        <v>9447</v>
      </c>
      <c r="I708" s="7">
        <v>1</v>
      </c>
      <c r="J708" s="7" t="s">
        <v>9448</v>
      </c>
      <c r="K708" s="9" t="s">
        <v>8987</v>
      </c>
    </row>
    <row r="709" spans="1:11">
      <c r="A709" s="7">
        <v>707</v>
      </c>
      <c r="B709" s="7" t="s">
        <v>8983</v>
      </c>
      <c r="C709" s="7" t="s">
        <v>8984</v>
      </c>
      <c r="D709" s="7" t="s">
        <v>7550</v>
      </c>
      <c r="E709" s="7" t="s">
        <v>10136</v>
      </c>
      <c r="F709" s="8" t="s">
        <v>9975</v>
      </c>
      <c r="G709" s="7">
        <v>250</v>
      </c>
      <c r="H709" s="7" t="s">
        <v>9351</v>
      </c>
      <c r="I709" s="7">
        <v>1</v>
      </c>
      <c r="J709" s="7" t="s">
        <v>10137</v>
      </c>
      <c r="K709" s="9" t="s">
        <v>8987</v>
      </c>
    </row>
    <row r="710" spans="1:11">
      <c r="A710" s="7">
        <v>708</v>
      </c>
      <c r="B710" s="7" t="s">
        <v>8983</v>
      </c>
      <c r="C710" s="7" t="s">
        <v>8984</v>
      </c>
      <c r="D710" s="7" t="s">
        <v>7552</v>
      </c>
      <c r="E710" s="7" t="s">
        <v>10138</v>
      </c>
      <c r="F710" s="8" t="s">
        <v>9450</v>
      </c>
      <c r="G710" s="7">
        <v>45</v>
      </c>
      <c r="H710" s="7" t="s">
        <v>9750</v>
      </c>
      <c r="I710" s="7">
        <v>1</v>
      </c>
      <c r="J710" s="7" t="s">
        <v>7880</v>
      </c>
      <c r="K710" s="9" t="s">
        <v>8987</v>
      </c>
    </row>
    <row r="711" spans="1:11">
      <c r="A711" s="7">
        <v>709</v>
      </c>
      <c r="B711" s="7" t="s">
        <v>8983</v>
      </c>
      <c r="C711" s="7" t="s">
        <v>8984</v>
      </c>
      <c r="D711" s="7" t="s">
        <v>7552</v>
      </c>
      <c r="E711" s="7" t="s">
        <v>10139</v>
      </c>
      <c r="F711" s="8" t="s">
        <v>9450</v>
      </c>
      <c r="G711" s="7">
        <v>20</v>
      </c>
      <c r="H711" s="7" t="s">
        <v>9394</v>
      </c>
      <c r="I711" s="7">
        <v>1</v>
      </c>
      <c r="J711" s="7" t="s">
        <v>7851</v>
      </c>
      <c r="K711" s="9" t="s">
        <v>8987</v>
      </c>
    </row>
    <row r="712" spans="1:11">
      <c r="A712" s="7">
        <v>710</v>
      </c>
      <c r="B712" s="7" t="s">
        <v>8983</v>
      </c>
      <c r="C712" s="7" t="s">
        <v>8984</v>
      </c>
      <c r="D712" s="7" t="s">
        <v>7552</v>
      </c>
      <c r="E712" s="7" t="s">
        <v>10140</v>
      </c>
      <c r="F712" s="8" t="s">
        <v>10102</v>
      </c>
      <c r="G712" s="7">
        <v>25</v>
      </c>
      <c r="H712" s="7" t="s">
        <v>9011</v>
      </c>
      <c r="I712" s="7">
        <v>1</v>
      </c>
      <c r="J712" s="7" t="s">
        <v>7840</v>
      </c>
      <c r="K712" s="9" t="s">
        <v>8987</v>
      </c>
    </row>
    <row r="713" spans="1:11">
      <c r="A713" s="7">
        <v>711</v>
      </c>
      <c r="B713" s="7" t="s">
        <v>8983</v>
      </c>
      <c r="C713" s="7" t="s">
        <v>8984</v>
      </c>
      <c r="D713" s="7" t="s">
        <v>7552</v>
      </c>
      <c r="E713" s="7" t="s">
        <v>10141</v>
      </c>
      <c r="F713" s="8" t="s">
        <v>10142</v>
      </c>
      <c r="G713" s="7">
        <v>50</v>
      </c>
      <c r="H713" s="7" t="s">
        <v>9021</v>
      </c>
      <c r="I713" s="7">
        <v>1</v>
      </c>
      <c r="J713" s="7" t="s">
        <v>7881</v>
      </c>
      <c r="K713" s="9" t="s">
        <v>8987</v>
      </c>
    </row>
    <row r="714" spans="1:11">
      <c r="A714" s="7">
        <v>712</v>
      </c>
      <c r="B714" s="7" t="s">
        <v>8983</v>
      </c>
      <c r="C714" s="7" t="s">
        <v>8998</v>
      </c>
      <c r="D714" s="7" t="s">
        <v>7552</v>
      </c>
      <c r="E714" s="7" t="s">
        <v>10143</v>
      </c>
      <c r="F714" s="8" t="s">
        <v>9450</v>
      </c>
      <c r="G714" s="7" t="s">
        <v>8987</v>
      </c>
      <c r="H714" s="7" t="s">
        <v>8987</v>
      </c>
      <c r="I714" s="7" t="s">
        <v>8987</v>
      </c>
      <c r="J714" s="7" t="s">
        <v>8987</v>
      </c>
      <c r="K714" s="9" t="s">
        <v>8987</v>
      </c>
    </row>
    <row r="715" spans="1:11">
      <c r="A715" s="7">
        <v>713</v>
      </c>
      <c r="B715" s="7" t="s">
        <v>8983</v>
      </c>
      <c r="C715" s="7" t="s">
        <v>8998</v>
      </c>
      <c r="D715" s="7" t="s">
        <v>7552</v>
      </c>
      <c r="E715" s="7" t="s">
        <v>10144</v>
      </c>
      <c r="F715" s="8" t="s">
        <v>10102</v>
      </c>
      <c r="G715" s="7" t="s">
        <v>8987</v>
      </c>
      <c r="H715" s="7" t="s">
        <v>8987</v>
      </c>
      <c r="I715" s="7" t="s">
        <v>8987</v>
      </c>
      <c r="J715" s="7" t="s">
        <v>8987</v>
      </c>
      <c r="K715" s="9" t="s">
        <v>8987</v>
      </c>
    </row>
    <row r="716" spans="1:11">
      <c r="A716" s="7">
        <v>714</v>
      </c>
      <c r="B716" s="7" t="s">
        <v>9124</v>
      </c>
      <c r="C716" s="7" t="s">
        <v>8998</v>
      </c>
      <c r="D716" s="7" t="s">
        <v>7542</v>
      </c>
      <c r="E716" s="7" t="s">
        <v>10145</v>
      </c>
      <c r="F716" s="8" t="s">
        <v>9002</v>
      </c>
      <c r="G716" s="7" t="s">
        <v>8987</v>
      </c>
      <c r="H716" s="7" t="s">
        <v>8987</v>
      </c>
      <c r="I716" s="7" t="s">
        <v>8987</v>
      </c>
      <c r="J716" s="7" t="s">
        <v>8987</v>
      </c>
      <c r="K716" s="9" t="s">
        <v>8987</v>
      </c>
    </row>
    <row r="717" spans="1:11">
      <c r="A717" s="7">
        <v>715</v>
      </c>
      <c r="B717" s="7" t="s">
        <v>9124</v>
      </c>
      <c r="C717" s="7" t="s">
        <v>8998</v>
      </c>
      <c r="D717" s="7" t="s">
        <v>7542</v>
      </c>
      <c r="E717" s="7" t="s">
        <v>10146</v>
      </c>
      <c r="F717" s="8" t="s">
        <v>9008</v>
      </c>
      <c r="G717" s="7" t="s">
        <v>8987</v>
      </c>
      <c r="H717" s="7" t="s">
        <v>8987</v>
      </c>
      <c r="I717" s="7" t="s">
        <v>8987</v>
      </c>
      <c r="J717" s="7" t="s">
        <v>8987</v>
      </c>
      <c r="K717" s="9" t="s">
        <v>8987</v>
      </c>
    </row>
    <row r="718" spans="1:11">
      <c r="A718" s="7">
        <v>716</v>
      </c>
      <c r="B718" s="7" t="s">
        <v>8983</v>
      </c>
      <c r="C718" s="7" t="s">
        <v>8998</v>
      </c>
      <c r="D718" s="7" t="s">
        <v>7556</v>
      </c>
      <c r="E718" s="7" t="s">
        <v>10147</v>
      </c>
      <c r="F718" s="8" t="s">
        <v>9563</v>
      </c>
      <c r="G718" s="7" t="s">
        <v>8987</v>
      </c>
      <c r="H718" s="7" t="s">
        <v>8987</v>
      </c>
      <c r="I718" s="7" t="s">
        <v>8987</v>
      </c>
      <c r="J718" s="7" t="s">
        <v>8987</v>
      </c>
      <c r="K718" s="9" t="s">
        <v>8987</v>
      </c>
    </row>
    <row r="719" spans="1:11">
      <c r="A719" s="7">
        <v>717</v>
      </c>
      <c r="B719" s="7" t="s">
        <v>8983</v>
      </c>
      <c r="C719" s="7" t="s">
        <v>8998</v>
      </c>
      <c r="D719" s="7" t="s">
        <v>7556</v>
      </c>
      <c r="E719" s="7" t="s">
        <v>10148</v>
      </c>
      <c r="F719" s="8" t="s">
        <v>9073</v>
      </c>
      <c r="G719" s="7" t="s">
        <v>8987</v>
      </c>
      <c r="H719" s="7" t="s">
        <v>8987</v>
      </c>
      <c r="I719" s="7" t="s">
        <v>8987</v>
      </c>
      <c r="J719" s="7" t="s">
        <v>8987</v>
      </c>
      <c r="K719" s="9" t="s">
        <v>8987</v>
      </c>
    </row>
    <row r="720" spans="1:11">
      <c r="A720" s="7">
        <v>718</v>
      </c>
      <c r="B720" s="7" t="s">
        <v>9796</v>
      </c>
      <c r="C720" s="7" t="s">
        <v>8984</v>
      </c>
      <c r="D720" s="7" t="s">
        <v>7552</v>
      </c>
      <c r="E720" s="7" t="s">
        <v>10149</v>
      </c>
      <c r="F720" s="8" t="s">
        <v>10150</v>
      </c>
      <c r="G720" s="7">
        <v>50</v>
      </c>
      <c r="H720" s="7" t="s">
        <v>9021</v>
      </c>
      <c r="I720" s="7">
        <v>9</v>
      </c>
      <c r="J720" s="7" t="s">
        <v>9639</v>
      </c>
      <c r="K720" s="9" t="s">
        <v>8987</v>
      </c>
    </row>
    <row r="721" spans="1:11">
      <c r="A721" s="7">
        <v>719</v>
      </c>
      <c r="B721" s="7" t="s">
        <v>9796</v>
      </c>
      <c r="C721" s="7" t="s">
        <v>8998</v>
      </c>
      <c r="D721" s="7" t="s">
        <v>7552</v>
      </c>
      <c r="E721" s="7" t="s">
        <v>10151</v>
      </c>
      <c r="F721" s="8" t="s">
        <v>10150</v>
      </c>
      <c r="G721" s="7" t="s">
        <v>8987</v>
      </c>
      <c r="H721" s="7" t="s">
        <v>8987</v>
      </c>
      <c r="I721" s="7" t="s">
        <v>8987</v>
      </c>
      <c r="J721" s="7" t="s">
        <v>8987</v>
      </c>
      <c r="K721" s="9" t="s">
        <v>8987</v>
      </c>
    </row>
    <row r="722" spans="1:11">
      <c r="A722" s="7">
        <v>720</v>
      </c>
      <c r="B722" s="7" t="s">
        <v>8983</v>
      </c>
      <c r="C722" s="7" t="s">
        <v>8998</v>
      </c>
      <c r="D722" s="7" t="s">
        <v>7552</v>
      </c>
      <c r="E722" s="7" t="s">
        <v>10152</v>
      </c>
      <c r="F722" s="8" t="s">
        <v>10142</v>
      </c>
      <c r="G722" s="7" t="s">
        <v>8987</v>
      </c>
      <c r="H722" s="7" t="s">
        <v>8987</v>
      </c>
      <c r="I722" s="7" t="s">
        <v>8987</v>
      </c>
      <c r="J722" s="7" t="s">
        <v>8987</v>
      </c>
      <c r="K722" s="9" t="s">
        <v>8987</v>
      </c>
    </row>
    <row r="723" spans="1:11">
      <c r="A723" s="7">
        <v>721</v>
      </c>
      <c r="B723" s="7" t="s">
        <v>9208</v>
      </c>
      <c r="C723" s="7" t="s">
        <v>8984</v>
      </c>
      <c r="D723" s="7" t="s">
        <v>7549</v>
      </c>
      <c r="E723" s="7" t="s">
        <v>10153</v>
      </c>
      <c r="F723" s="8" t="s">
        <v>10111</v>
      </c>
      <c r="G723" s="7">
        <v>0</v>
      </c>
      <c r="H723" s="7" t="s">
        <v>8984</v>
      </c>
      <c r="I723" s="7">
        <v>1</v>
      </c>
      <c r="J723" s="7" t="s">
        <v>7838</v>
      </c>
      <c r="K723" s="9" t="s">
        <v>8987</v>
      </c>
    </row>
    <row r="724" spans="1:11">
      <c r="A724" s="7">
        <v>722</v>
      </c>
      <c r="B724" s="7" t="s">
        <v>8983</v>
      </c>
      <c r="C724" s="7" t="s">
        <v>8998</v>
      </c>
      <c r="D724" s="7" t="s">
        <v>7542</v>
      </c>
      <c r="E724" s="7" t="s">
        <v>10154</v>
      </c>
      <c r="F724" s="8" t="s">
        <v>9881</v>
      </c>
      <c r="G724" s="7" t="s">
        <v>8987</v>
      </c>
      <c r="H724" s="7" t="s">
        <v>8987</v>
      </c>
      <c r="I724" s="7" t="s">
        <v>8987</v>
      </c>
      <c r="J724" s="7" t="s">
        <v>8987</v>
      </c>
      <c r="K724" s="9" t="s">
        <v>8987</v>
      </c>
    </row>
    <row r="725" spans="1:11">
      <c r="A725" s="7">
        <v>723</v>
      </c>
      <c r="B725" s="7" t="s">
        <v>8983</v>
      </c>
      <c r="C725" s="7" t="s">
        <v>8998</v>
      </c>
      <c r="D725" s="7" t="s">
        <v>7573</v>
      </c>
      <c r="E725" s="7" t="s">
        <v>10155</v>
      </c>
      <c r="F725" s="8" t="s">
        <v>10156</v>
      </c>
      <c r="G725" s="7" t="s">
        <v>8987</v>
      </c>
      <c r="H725" s="7" t="s">
        <v>8987</v>
      </c>
      <c r="I725" s="7" t="s">
        <v>8987</v>
      </c>
      <c r="J725" s="7" t="s">
        <v>8987</v>
      </c>
      <c r="K725" s="9" t="s">
        <v>8987</v>
      </c>
    </row>
    <row r="726" spans="1:11">
      <c r="A726" s="7">
        <v>724</v>
      </c>
      <c r="B726" s="7" t="s">
        <v>8983</v>
      </c>
      <c r="C726" s="7" t="s">
        <v>8998</v>
      </c>
      <c r="D726" s="7" t="s">
        <v>7551</v>
      </c>
      <c r="E726" s="7" t="s">
        <v>10157</v>
      </c>
      <c r="F726" s="8" t="s">
        <v>9192</v>
      </c>
      <c r="G726" s="7" t="s">
        <v>8987</v>
      </c>
      <c r="H726" s="7" t="s">
        <v>8987</v>
      </c>
      <c r="I726" s="7" t="s">
        <v>8987</v>
      </c>
      <c r="J726" s="7" t="s">
        <v>8987</v>
      </c>
      <c r="K726" s="9" t="s">
        <v>8987</v>
      </c>
    </row>
    <row r="727" spans="1:11">
      <c r="A727" s="7">
        <v>725</v>
      </c>
      <c r="B727" s="7" t="s">
        <v>8983</v>
      </c>
      <c r="C727" s="7" t="s">
        <v>8998</v>
      </c>
      <c r="D727" s="7" t="s">
        <v>7556</v>
      </c>
      <c r="E727" s="7" t="s">
        <v>10158</v>
      </c>
      <c r="F727" s="8" t="s">
        <v>9304</v>
      </c>
      <c r="G727" s="7" t="s">
        <v>8987</v>
      </c>
      <c r="H727" s="7" t="s">
        <v>8987</v>
      </c>
      <c r="I727" s="7" t="s">
        <v>8987</v>
      </c>
      <c r="J727" s="7" t="s">
        <v>8987</v>
      </c>
      <c r="K727" s="9" t="s">
        <v>8987</v>
      </c>
    </row>
    <row r="728" spans="1:11">
      <c r="A728" s="7">
        <v>726</v>
      </c>
      <c r="B728" s="7" t="s">
        <v>8983</v>
      </c>
      <c r="C728" s="7" t="s">
        <v>8998</v>
      </c>
      <c r="D728" s="7" t="s">
        <v>7556</v>
      </c>
      <c r="E728" s="7" t="s">
        <v>10159</v>
      </c>
      <c r="F728" s="8" t="s">
        <v>9306</v>
      </c>
      <c r="G728" s="7" t="s">
        <v>8987</v>
      </c>
      <c r="H728" s="7" t="s">
        <v>8987</v>
      </c>
      <c r="I728" s="7" t="s">
        <v>8987</v>
      </c>
      <c r="J728" s="7" t="s">
        <v>8987</v>
      </c>
      <c r="K728" s="9" t="s">
        <v>8987</v>
      </c>
    </row>
    <row r="729" spans="1:11">
      <c r="A729" s="7">
        <v>727</v>
      </c>
      <c r="B729" s="7" t="s">
        <v>8983</v>
      </c>
      <c r="C729" s="7" t="s">
        <v>8998</v>
      </c>
      <c r="D729" s="7" t="s">
        <v>7556</v>
      </c>
      <c r="E729" s="7" t="s">
        <v>10160</v>
      </c>
      <c r="F729" s="8" t="s">
        <v>10161</v>
      </c>
      <c r="G729" s="7" t="s">
        <v>8987</v>
      </c>
      <c r="H729" s="7" t="s">
        <v>8987</v>
      </c>
      <c r="I729" s="7" t="s">
        <v>8987</v>
      </c>
      <c r="J729" s="7" t="s">
        <v>8987</v>
      </c>
      <c r="K729" s="9" t="s">
        <v>8987</v>
      </c>
    </row>
    <row r="730" spans="1:11">
      <c r="A730" s="7">
        <v>728</v>
      </c>
      <c r="B730" s="7" t="s">
        <v>8983</v>
      </c>
      <c r="C730" s="7" t="s">
        <v>8998</v>
      </c>
      <c r="D730" s="7" t="s">
        <v>7547</v>
      </c>
      <c r="E730" s="7" t="s">
        <v>10162</v>
      </c>
      <c r="F730" s="8" t="s">
        <v>9275</v>
      </c>
      <c r="G730" s="7" t="s">
        <v>8987</v>
      </c>
      <c r="H730" s="7" t="s">
        <v>8987</v>
      </c>
      <c r="I730" s="7" t="s">
        <v>8987</v>
      </c>
      <c r="J730" s="7" t="s">
        <v>8987</v>
      </c>
      <c r="K730" s="9" t="s">
        <v>8987</v>
      </c>
    </row>
    <row r="731" spans="1:11">
      <c r="A731" s="7">
        <v>729</v>
      </c>
      <c r="B731" s="7" t="s">
        <v>8983</v>
      </c>
      <c r="C731" s="7" t="s">
        <v>8998</v>
      </c>
      <c r="D731" s="7" t="s">
        <v>7566</v>
      </c>
      <c r="E731" s="7" t="s">
        <v>10163</v>
      </c>
      <c r="F731" s="8" t="s">
        <v>7972</v>
      </c>
      <c r="G731" s="7" t="s">
        <v>8987</v>
      </c>
      <c r="H731" s="7" t="s">
        <v>8987</v>
      </c>
      <c r="I731" s="7" t="s">
        <v>8987</v>
      </c>
      <c r="J731" s="7" t="s">
        <v>8987</v>
      </c>
      <c r="K731" s="9" t="s">
        <v>8987</v>
      </c>
    </row>
    <row r="732" spans="1:11">
      <c r="A732" s="7">
        <v>730</v>
      </c>
      <c r="B732" s="7" t="s">
        <v>8983</v>
      </c>
      <c r="C732" s="7" t="s">
        <v>8998</v>
      </c>
      <c r="D732" s="7" t="s">
        <v>7566</v>
      </c>
      <c r="E732" s="7" t="s">
        <v>10164</v>
      </c>
      <c r="F732" s="8" t="s">
        <v>7973</v>
      </c>
      <c r="G732" s="7" t="s">
        <v>8987</v>
      </c>
      <c r="H732" s="7" t="s">
        <v>8987</v>
      </c>
      <c r="I732" s="7" t="s">
        <v>8987</v>
      </c>
      <c r="J732" s="7" t="s">
        <v>8987</v>
      </c>
      <c r="K732" s="9" t="s">
        <v>8987</v>
      </c>
    </row>
    <row r="733" spans="1:11">
      <c r="A733" s="7">
        <v>731</v>
      </c>
      <c r="B733" s="7" t="s">
        <v>8983</v>
      </c>
      <c r="C733" s="7" t="s">
        <v>8998</v>
      </c>
      <c r="D733" s="7" t="s">
        <v>7566</v>
      </c>
      <c r="E733" s="7" t="s">
        <v>10165</v>
      </c>
      <c r="F733" s="8" t="s">
        <v>7969</v>
      </c>
      <c r="G733" s="7" t="s">
        <v>8987</v>
      </c>
      <c r="H733" s="7" t="s">
        <v>8987</v>
      </c>
      <c r="I733" s="7" t="s">
        <v>8987</v>
      </c>
      <c r="J733" s="7" t="s">
        <v>8987</v>
      </c>
      <c r="K733" s="9" t="s">
        <v>8987</v>
      </c>
    </row>
    <row r="734" spans="1:11">
      <c r="A734" s="7">
        <v>732</v>
      </c>
      <c r="B734" s="7" t="s">
        <v>8983</v>
      </c>
      <c r="C734" s="7" t="s">
        <v>8998</v>
      </c>
      <c r="D734" s="7" t="s">
        <v>7546</v>
      </c>
      <c r="E734" s="7" t="s">
        <v>10166</v>
      </c>
      <c r="F734" s="8" t="s">
        <v>9226</v>
      </c>
      <c r="G734" s="7" t="s">
        <v>8987</v>
      </c>
      <c r="H734" s="7" t="s">
        <v>8987</v>
      </c>
      <c r="I734" s="7" t="s">
        <v>8987</v>
      </c>
      <c r="J734" s="7" t="s">
        <v>8987</v>
      </c>
      <c r="K734" s="9" t="s">
        <v>8987</v>
      </c>
    </row>
    <row r="735" spans="1:11">
      <c r="A735" s="7">
        <v>733</v>
      </c>
      <c r="B735" s="7" t="s">
        <v>8983</v>
      </c>
      <c r="C735" s="7" t="s">
        <v>8998</v>
      </c>
      <c r="D735" s="7" t="s">
        <v>7542</v>
      </c>
      <c r="E735" s="7" t="s">
        <v>10167</v>
      </c>
      <c r="F735" s="8" t="s">
        <v>9310</v>
      </c>
      <c r="G735" s="7" t="s">
        <v>8987</v>
      </c>
      <c r="H735" s="7" t="s">
        <v>8987</v>
      </c>
      <c r="I735" s="7" t="s">
        <v>8987</v>
      </c>
      <c r="J735" s="7" t="s">
        <v>8987</v>
      </c>
      <c r="K735" s="9" t="s">
        <v>8987</v>
      </c>
    </row>
    <row r="736" spans="1:11">
      <c r="A736" s="7">
        <v>734</v>
      </c>
      <c r="B736" s="7" t="s">
        <v>8983</v>
      </c>
      <c r="C736" s="7" t="s">
        <v>8998</v>
      </c>
      <c r="D736" s="7" t="s">
        <v>7566</v>
      </c>
      <c r="E736" s="7" t="s">
        <v>10168</v>
      </c>
      <c r="F736" s="8" t="s">
        <v>9628</v>
      </c>
      <c r="G736" s="7" t="s">
        <v>8987</v>
      </c>
      <c r="H736" s="7" t="s">
        <v>8987</v>
      </c>
      <c r="I736" s="7" t="s">
        <v>8987</v>
      </c>
      <c r="J736" s="7" t="s">
        <v>8987</v>
      </c>
      <c r="K736" s="9" t="s">
        <v>8987</v>
      </c>
    </row>
    <row r="737" spans="1:11">
      <c r="A737" s="7">
        <v>735</v>
      </c>
      <c r="B737" s="7" t="s">
        <v>8983</v>
      </c>
      <c r="C737" s="7" t="s">
        <v>8998</v>
      </c>
      <c r="D737" s="7" t="s">
        <v>7556</v>
      </c>
      <c r="E737" s="7" t="s">
        <v>10169</v>
      </c>
      <c r="F737" s="8" t="s">
        <v>9735</v>
      </c>
      <c r="G737" s="7" t="s">
        <v>8987</v>
      </c>
      <c r="H737" s="7" t="s">
        <v>8987</v>
      </c>
      <c r="I737" s="7" t="s">
        <v>8987</v>
      </c>
      <c r="J737" s="7" t="s">
        <v>8987</v>
      </c>
      <c r="K737" s="9" t="s">
        <v>8987</v>
      </c>
    </row>
    <row r="738" spans="1:11">
      <c r="A738" s="7">
        <v>736</v>
      </c>
      <c r="B738" s="7" t="s">
        <v>8983</v>
      </c>
      <c r="C738" s="7" t="s">
        <v>8998</v>
      </c>
      <c r="D738" s="7" t="s">
        <v>7556</v>
      </c>
      <c r="E738" s="7" t="s">
        <v>10170</v>
      </c>
      <c r="F738" s="8" t="s">
        <v>9735</v>
      </c>
      <c r="G738" s="7" t="s">
        <v>8987</v>
      </c>
      <c r="H738" s="7" t="s">
        <v>8987</v>
      </c>
      <c r="I738" s="7" t="s">
        <v>8987</v>
      </c>
      <c r="J738" s="7" t="s">
        <v>8987</v>
      </c>
      <c r="K738" s="9" t="s">
        <v>8987</v>
      </c>
    </row>
    <row r="739" spans="1:11">
      <c r="A739" s="7">
        <v>737</v>
      </c>
      <c r="B739" s="7" t="s">
        <v>8983</v>
      </c>
      <c r="C739" s="7" t="s">
        <v>8998</v>
      </c>
      <c r="D739" s="7" t="s">
        <v>7573</v>
      </c>
      <c r="E739" s="7" t="s">
        <v>10171</v>
      </c>
      <c r="F739" s="8" t="s">
        <v>10172</v>
      </c>
      <c r="G739" s="7" t="s">
        <v>8987</v>
      </c>
      <c r="H739" s="7" t="s">
        <v>8987</v>
      </c>
      <c r="I739" s="7" t="s">
        <v>8987</v>
      </c>
      <c r="J739" s="7" t="s">
        <v>8987</v>
      </c>
      <c r="K739" s="9" t="s">
        <v>8987</v>
      </c>
    </row>
    <row r="740" spans="1:11">
      <c r="A740" s="7">
        <v>738</v>
      </c>
      <c r="B740" s="7" t="s">
        <v>9124</v>
      </c>
      <c r="C740" s="7" t="s">
        <v>8984</v>
      </c>
      <c r="D740" s="7" t="s">
        <v>7542</v>
      </c>
      <c r="E740" s="7" t="s">
        <v>10173</v>
      </c>
      <c r="F740" s="8" t="s">
        <v>10174</v>
      </c>
      <c r="G740" s="7">
        <v>50</v>
      </c>
      <c r="H740" s="7" t="s">
        <v>9021</v>
      </c>
      <c r="I740" s="7">
        <v>9</v>
      </c>
      <c r="J740" s="7" t="s">
        <v>9639</v>
      </c>
      <c r="K740" s="9" t="s">
        <v>8987</v>
      </c>
    </row>
    <row r="741" spans="1:11">
      <c r="A741" s="7">
        <v>739</v>
      </c>
      <c r="B741" s="7" t="s">
        <v>9124</v>
      </c>
      <c r="C741" s="7" t="s">
        <v>8984</v>
      </c>
      <c r="D741" s="7" t="s">
        <v>7542</v>
      </c>
      <c r="E741" s="7" t="s">
        <v>10175</v>
      </c>
      <c r="F741" s="8" t="s">
        <v>10176</v>
      </c>
      <c r="G741" s="7">
        <v>50</v>
      </c>
      <c r="H741" s="7" t="s">
        <v>9021</v>
      </c>
      <c r="I741" s="7">
        <v>9</v>
      </c>
      <c r="J741" s="7" t="s">
        <v>9639</v>
      </c>
      <c r="K741" s="9" t="s">
        <v>8987</v>
      </c>
    </row>
    <row r="742" spans="1:11">
      <c r="A742" s="7">
        <v>740</v>
      </c>
      <c r="B742" s="7" t="s">
        <v>9124</v>
      </c>
      <c r="C742" s="7" t="s">
        <v>8984</v>
      </c>
      <c r="D742" s="7" t="s">
        <v>7542</v>
      </c>
      <c r="E742" s="7" t="s">
        <v>10177</v>
      </c>
      <c r="F742" s="8" t="s">
        <v>10178</v>
      </c>
      <c r="G742" s="7">
        <v>50</v>
      </c>
      <c r="H742" s="7" t="s">
        <v>9021</v>
      </c>
      <c r="I742" s="7">
        <v>9</v>
      </c>
      <c r="J742" s="7" t="s">
        <v>9639</v>
      </c>
      <c r="K742" s="9" t="s">
        <v>8987</v>
      </c>
    </row>
    <row r="743" spans="1:11">
      <c r="A743" s="7">
        <v>741</v>
      </c>
      <c r="B743" s="7" t="s">
        <v>9124</v>
      </c>
      <c r="C743" s="7" t="s">
        <v>8984</v>
      </c>
      <c r="D743" s="7" t="s">
        <v>7550</v>
      </c>
      <c r="E743" s="7" t="s">
        <v>10179</v>
      </c>
      <c r="F743" s="8" t="s">
        <v>10180</v>
      </c>
      <c r="G743" s="7">
        <v>50</v>
      </c>
      <c r="H743" s="7" t="s">
        <v>9021</v>
      </c>
      <c r="I743" s="7">
        <v>9</v>
      </c>
      <c r="J743" s="7" t="s">
        <v>9639</v>
      </c>
      <c r="K743" s="9" t="s">
        <v>8987</v>
      </c>
    </row>
    <row r="744" spans="1:11">
      <c r="A744" s="7">
        <v>742</v>
      </c>
      <c r="B744" s="7" t="s">
        <v>9124</v>
      </c>
      <c r="C744" s="7" t="s">
        <v>8984</v>
      </c>
      <c r="D744" s="7" t="s">
        <v>7550</v>
      </c>
      <c r="E744" s="7" t="s">
        <v>10181</v>
      </c>
      <c r="F744" s="8" t="s">
        <v>10182</v>
      </c>
      <c r="G744" s="7">
        <v>50</v>
      </c>
      <c r="H744" s="7" t="s">
        <v>9021</v>
      </c>
      <c r="I744" s="7">
        <v>9</v>
      </c>
      <c r="J744" s="7" t="s">
        <v>9639</v>
      </c>
      <c r="K744" s="9" t="s">
        <v>8987</v>
      </c>
    </row>
    <row r="745" spans="1:11">
      <c r="A745" s="7">
        <v>743</v>
      </c>
      <c r="B745" s="7" t="s">
        <v>9124</v>
      </c>
      <c r="C745" s="7" t="s">
        <v>8984</v>
      </c>
      <c r="D745" s="7" t="s">
        <v>7550</v>
      </c>
      <c r="E745" s="7" t="s">
        <v>10183</v>
      </c>
      <c r="F745" s="8" t="s">
        <v>10184</v>
      </c>
      <c r="G745" s="7">
        <v>50</v>
      </c>
      <c r="H745" s="7" t="s">
        <v>9021</v>
      </c>
      <c r="I745" s="7">
        <v>9</v>
      </c>
      <c r="J745" s="7" t="s">
        <v>9639</v>
      </c>
      <c r="K745" s="9" t="s">
        <v>8987</v>
      </c>
    </row>
    <row r="746" spans="1:11">
      <c r="A746" s="7">
        <v>744</v>
      </c>
      <c r="B746" s="7" t="s">
        <v>9124</v>
      </c>
      <c r="C746" s="7" t="s">
        <v>8984</v>
      </c>
      <c r="D746" s="7" t="s">
        <v>7546</v>
      </c>
      <c r="E746" s="7" t="s">
        <v>10185</v>
      </c>
      <c r="F746" s="8" t="s">
        <v>10186</v>
      </c>
      <c r="G746" s="7">
        <v>83</v>
      </c>
      <c r="H746" s="7" t="s">
        <v>9229</v>
      </c>
      <c r="I746" s="7">
        <v>5</v>
      </c>
      <c r="J746" s="7" t="s">
        <v>9230</v>
      </c>
      <c r="K746" s="9" t="s">
        <v>8987</v>
      </c>
    </row>
    <row r="747" spans="1:11">
      <c r="A747" s="7">
        <v>745</v>
      </c>
      <c r="B747" s="7" t="s">
        <v>9124</v>
      </c>
      <c r="C747" s="7" t="s">
        <v>8984</v>
      </c>
      <c r="D747" s="7" t="s">
        <v>7546</v>
      </c>
      <c r="E747" s="7" t="s">
        <v>10187</v>
      </c>
      <c r="F747" s="8" t="s">
        <v>10188</v>
      </c>
      <c r="G747" s="7">
        <v>83</v>
      </c>
      <c r="H747" s="7" t="s">
        <v>9229</v>
      </c>
      <c r="I747" s="7">
        <v>5</v>
      </c>
      <c r="J747" s="7" t="s">
        <v>9230</v>
      </c>
      <c r="K747" s="9" t="s">
        <v>8987</v>
      </c>
    </row>
    <row r="748" spans="1:11">
      <c r="A748" s="7">
        <v>746</v>
      </c>
      <c r="B748" s="7" t="s">
        <v>9124</v>
      </c>
      <c r="C748" s="7" t="s">
        <v>8984</v>
      </c>
      <c r="D748" s="7" t="s">
        <v>7546</v>
      </c>
      <c r="E748" s="7" t="s">
        <v>10189</v>
      </c>
      <c r="F748" s="8" t="s">
        <v>10190</v>
      </c>
      <c r="G748" s="7">
        <v>83</v>
      </c>
      <c r="H748" s="7" t="s">
        <v>9229</v>
      </c>
      <c r="I748" s="7">
        <v>5</v>
      </c>
      <c r="J748" s="7" t="s">
        <v>9230</v>
      </c>
      <c r="K748" s="9" t="s">
        <v>8987</v>
      </c>
    </row>
    <row r="749" spans="1:11">
      <c r="A749" s="7">
        <v>747</v>
      </c>
      <c r="B749" s="7" t="s">
        <v>8990</v>
      </c>
      <c r="C749" s="7" t="s">
        <v>8984</v>
      </c>
      <c r="D749" s="7" t="s">
        <v>7555</v>
      </c>
      <c r="E749" s="7" t="s">
        <v>10191</v>
      </c>
      <c r="F749" s="8" t="s">
        <v>10192</v>
      </c>
      <c r="G749" s="7">
        <v>0</v>
      </c>
      <c r="H749" s="7" t="s">
        <v>8984</v>
      </c>
      <c r="I749" s="7">
        <v>1</v>
      </c>
      <c r="J749" s="7" t="s">
        <v>7838</v>
      </c>
      <c r="K749" s="9" t="s">
        <v>8987</v>
      </c>
    </row>
    <row r="750" spans="1:11">
      <c r="A750" s="7">
        <v>748</v>
      </c>
      <c r="B750" s="7" t="s">
        <v>8983</v>
      </c>
      <c r="C750" s="7" t="s">
        <v>8998</v>
      </c>
      <c r="D750" s="7" t="s">
        <v>7542</v>
      </c>
      <c r="E750" s="7" t="s">
        <v>10193</v>
      </c>
      <c r="F750" s="8" t="s">
        <v>9864</v>
      </c>
      <c r="G750" s="7" t="s">
        <v>8987</v>
      </c>
      <c r="H750" s="7" t="s">
        <v>8987</v>
      </c>
      <c r="I750" s="7" t="s">
        <v>8987</v>
      </c>
      <c r="J750" s="7" t="s">
        <v>8987</v>
      </c>
      <c r="K750" s="9" t="s">
        <v>8987</v>
      </c>
    </row>
    <row r="751" spans="1:11">
      <c r="A751" s="7">
        <v>749</v>
      </c>
      <c r="B751" s="7" t="s">
        <v>8983</v>
      </c>
      <c r="C751" s="7" t="s">
        <v>8998</v>
      </c>
      <c r="D751" s="7" t="s">
        <v>7552</v>
      </c>
      <c r="E751" s="7" t="s">
        <v>10194</v>
      </c>
      <c r="F751" s="8" t="s">
        <v>9297</v>
      </c>
      <c r="G751" s="7" t="s">
        <v>8987</v>
      </c>
      <c r="H751" s="7" t="s">
        <v>8987</v>
      </c>
      <c r="I751" s="7" t="s">
        <v>8987</v>
      </c>
      <c r="J751" s="7" t="s">
        <v>8987</v>
      </c>
      <c r="K751" s="9" t="s">
        <v>8987</v>
      </c>
    </row>
    <row r="752" spans="1:11">
      <c r="A752" s="7">
        <v>750</v>
      </c>
      <c r="B752" s="7" t="s">
        <v>8983</v>
      </c>
      <c r="C752" s="7" t="s">
        <v>8998</v>
      </c>
      <c r="D752" s="7" t="s">
        <v>7551</v>
      </c>
      <c r="E752" s="7" t="s">
        <v>10195</v>
      </c>
      <c r="F752" s="8" t="s">
        <v>9288</v>
      </c>
      <c r="G752" s="7" t="s">
        <v>8987</v>
      </c>
      <c r="H752" s="7" t="s">
        <v>8987</v>
      </c>
      <c r="I752" s="7" t="s">
        <v>8987</v>
      </c>
      <c r="J752" s="7" t="s">
        <v>8987</v>
      </c>
      <c r="K752" s="9" t="s">
        <v>8987</v>
      </c>
    </row>
    <row r="753" spans="1:11">
      <c r="A753" s="7">
        <v>751</v>
      </c>
      <c r="B753" s="7" t="s">
        <v>9124</v>
      </c>
      <c r="C753" s="7" t="s">
        <v>8984</v>
      </c>
      <c r="D753" s="7" t="s">
        <v>7546</v>
      </c>
      <c r="E753" s="7" t="s">
        <v>10196</v>
      </c>
      <c r="F753" s="8" t="s">
        <v>10186</v>
      </c>
      <c r="G753" s="7">
        <v>100</v>
      </c>
      <c r="H753" s="7" t="s">
        <v>9046</v>
      </c>
      <c r="I753" s="7">
        <v>1</v>
      </c>
      <c r="J753" s="7" t="s">
        <v>7878</v>
      </c>
      <c r="K753" s="9" t="s">
        <v>8987</v>
      </c>
    </row>
    <row r="754" spans="1:11">
      <c r="A754" s="7">
        <v>752</v>
      </c>
      <c r="B754" s="7" t="s">
        <v>9124</v>
      </c>
      <c r="C754" s="7" t="s">
        <v>8984</v>
      </c>
      <c r="D754" s="7" t="s">
        <v>7546</v>
      </c>
      <c r="E754" s="7" t="s">
        <v>10197</v>
      </c>
      <c r="F754" s="8" t="s">
        <v>10190</v>
      </c>
      <c r="G754" s="7">
        <v>100</v>
      </c>
      <c r="H754" s="7" t="s">
        <v>9046</v>
      </c>
      <c r="I754" s="7">
        <v>1</v>
      </c>
      <c r="J754" s="7" t="s">
        <v>7878</v>
      </c>
      <c r="K754" s="9" t="s">
        <v>8987</v>
      </c>
    </row>
    <row r="755" spans="1:11">
      <c r="A755" s="7">
        <v>753</v>
      </c>
      <c r="B755" s="7" t="s">
        <v>8983</v>
      </c>
      <c r="C755" s="7" t="s">
        <v>8984</v>
      </c>
      <c r="D755" s="7" t="s">
        <v>7556</v>
      </c>
      <c r="E755" s="7" t="s">
        <v>10198</v>
      </c>
      <c r="F755" s="8" t="s">
        <v>9067</v>
      </c>
      <c r="G755" s="7">
        <v>8</v>
      </c>
      <c r="H755" s="7" t="s">
        <v>8991</v>
      </c>
      <c r="I755" s="7">
        <v>1</v>
      </c>
      <c r="J755" s="7" t="s">
        <v>7764</v>
      </c>
      <c r="K755" s="9" t="s">
        <v>8987</v>
      </c>
    </row>
    <row r="756" spans="1:11">
      <c r="A756" s="7">
        <v>754</v>
      </c>
      <c r="B756" s="7" t="s">
        <v>8983</v>
      </c>
      <c r="C756" s="7" t="s">
        <v>8984</v>
      </c>
      <c r="D756" s="7" t="s">
        <v>7556</v>
      </c>
      <c r="E756" s="7" t="s">
        <v>10199</v>
      </c>
      <c r="F756" s="8" t="s">
        <v>9073</v>
      </c>
      <c r="G756" s="7">
        <v>10</v>
      </c>
      <c r="H756" s="7" t="s">
        <v>9292</v>
      </c>
      <c r="I756" s="7">
        <v>1</v>
      </c>
      <c r="J756" s="7" t="s">
        <v>7768</v>
      </c>
      <c r="K756" s="9" t="s">
        <v>8987</v>
      </c>
    </row>
    <row r="757" spans="1:11">
      <c r="A757" s="7">
        <v>755</v>
      </c>
      <c r="B757" s="7" t="s">
        <v>8983</v>
      </c>
      <c r="C757" s="7" t="s">
        <v>8984</v>
      </c>
      <c r="D757" s="7" t="s">
        <v>7556</v>
      </c>
      <c r="E757" s="7" t="s">
        <v>10200</v>
      </c>
      <c r="F757" s="8" t="s">
        <v>9075</v>
      </c>
      <c r="G757" s="7">
        <v>10</v>
      </c>
      <c r="H757" s="7" t="s">
        <v>9292</v>
      </c>
      <c r="I757" s="7">
        <v>1</v>
      </c>
      <c r="J757" s="7" t="s">
        <v>7768</v>
      </c>
      <c r="K757" s="9" t="s">
        <v>8987</v>
      </c>
    </row>
    <row r="758" spans="1:11">
      <c r="A758" s="7">
        <v>756</v>
      </c>
      <c r="B758" s="7" t="s">
        <v>8983</v>
      </c>
      <c r="C758" s="7" t="s">
        <v>8984</v>
      </c>
      <c r="D758" s="7" t="s">
        <v>7542</v>
      </c>
      <c r="E758" s="7" t="s">
        <v>10201</v>
      </c>
      <c r="F758" s="8" t="s">
        <v>10202</v>
      </c>
      <c r="G758" s="7">
        <v>60</v>
      </c>
      <c r="H758" s="7" t="s">
        <v>9289</v>
      </c>
      <c r="I758" s="7">
        <v>1</v>
      </c>
      <c r="J758" s="7" t="s">
        <v>7870</v>
      </c>
      <c r="K758" s="9" t="s">
        <v>8987</v>
      </c>
    </row>
    <row r="759" spans="1:11">
      <c r="A759" s="7">
        <v>757</v>
      </c>
      <c r="B759" s="7" t="s">
        <v>8983</v>
      </c>
      <c r="C759" s="7" t="s">
        <v>8998</v>
      </c>
      <c r="D759" s="7" t="s">
        <v>7542</v>
      </c>
      <c r="E759" s="7" t="s">
        <v>6390</v>
      </c>
      <c r="F759" s="8" t="s">
        <v>10202</v>
      </c>
      <c r="G759" s="7" t="s">
        <v>8987</v>
      </c>
      <c r="H759" s="7" t="s">
        <v>8987</v>
      </c>
      <c r="I759" s="7" t="s">
        <v>8987</v>
      </c>
      <c r="J759" s="7" t="s">
        <v>8987</v>
      </c>
      <c r="K759" s="9" t="s">
        <v>8987</v>
      </c>
    </row>
    <row r="760" spans="1:11">
      <c r="A760" s="7">
        <v>758</v>
      </c>
      <c r="B760" s="7" t="s">
        <v>8983</v>
      </c>
      <c r="C760" s="7" t="s">
        <v>8984</v>
      </c>
      <c r="D760" s="7" t="s">
        <v>7550</v>
      </c>
      <c r="E760" s="7" t="s">
        <v>10203</v>
      </c>
      <c r="F760" s="8" t="s">
        <v>9436</v>
      </c>
      <c r="G760" s="7">
        <v>80</v>
      </c>
      <c r="H760" s="7" t="s">
        <v>9153</v>
      </c>
      <c r="I760" s="7">
        <v>1</v>
      </c>
      <c r="J760" s="7" t="s">
        <v>7867</v>
      </c>
      <c r="K760" s="9" t="s">
        <v>8987</v>
      </c>
    </row>
    <row r="761" spans="1:11">
      <c r="A761" s="7">
        <v>759</v>
      </c>
      <c r="B761" s="7" t="s">
        <v>8983</v>
      </c>
      <c r="C761" s="7" t="s">
        <v>8984</v>
      </c>
      <c r="D761" s="7" t="s">
        <v>7551</v>
      </c>
      <c r="E761" s="7" t="s">
        <v>10204</v>
      </c>
      <c r="F761" s="8" t="s">
        <v>10205</v>
      </c>
      <c r="G761" s="7">
        <v>0</v>
      </c>
      <c r="H761" s="7" t="s">
        <v>8984</v>
      </c>
      <c r="I761" s="7">
        <v>1</v>
      </c>
      <c r="J761" s="7" t="s">
        <v>7838</v>
      </c>
      <c r="K761" s="9" t="s">
        <v>8987</v>
      </c>
    </row>
    <row r="762" spans="1:11">
      <c r="A762" s="7">
        <v>760</v>
      </c>
      <c r="B762" s="7" t="s">
        <v>8983</v>
      </c>
      <c r="C762" s="7" t="s">
        <v>8984</v>
      </c>
      <c r="D762" s="7" t="s">
        <v>7551</v>
      </c>
      <c r="E762" s="7" t="s">
        <v>10206</v>
      </c>
      <c r="F762" s="8" t="s">
        <v>10205</v>
      </c>
      <c r="G762" s="7">
        <v>8</v>
      </c>
      <c r="H762" s="7" t="s">
        <v>8991</v>
      </c>
      <c r="I762" s="7">
        <v>1</v>
      </c>
      <c r="J762" s="7" t="s">
        <v>7764</v>
      </c>
      <c r="K762" s="9" t="s">
        <v>8987</v>
      </c>
    </row>
    <row r="763" spans="1:11">
      <c r="A763" s="7">
        <v>761</v>
      </c>
      <c r="B763" s="7" t="s">
        <v>8983</v>
      </c>
      <c r="C763" s="7" t="s">
        <v>8984</v>
      </c>
      <c r="D763" s="7" t="s">
        <v>7551</v>
      </c>
      <c r="E763" s="7" t="s">
        <v>10207</v>
      </c>
      <c r="F763" s="8" t="s">
        <v>10208</v>
      </c>
      <c r="G763" s="7">
        <v>0</v>
      </c>
      <c r="H763" s="7" t="s">
        <v>8984</v>
      </c>
      <c r="I763" s="7">
        <v>1</v>
      </c>
      <c r="J763" s="7" t="s">
        <v>7838</v>
      </c>
      <c r="K763" s="9" t="s">
        <v>8987</v>
      </c>
    </row>
    <row r="764" spans="1:11">
      <c r="A764" s="7">
        <v>762</v>
      </c>
      <c r="B764" s="7" t="s">
        <v>8983</v>
      </c>
      <c r="C764" s="7" t="s">
        <v>8998</v>
      </c>
      <c r="D764" s="7" t="s">
        <v>7551</v>
      </c>
      <c r="E764" s="7" t="s">
        <v>10209</v>
      </c>
      <c r="F764" s="8" t="s">
        <v>10208</v>
      </c>
      <c r="G764" s="7" t="s">
        <v>8987</v>
      </c>
      <c r="H764" s="7" t="s">
        <v>8987</v>
      </c>
      <c r="I764" s="7" t="s">
        <v>8987</v>
      </c>
      <c r="J764" s="7" t="s">
        <v>8987</v>
      </c>
      <c r="K764" s="9" t="s">
        <v>8987</v>
      </c>
    </row>
    <row r="765" spans="1:11">
      <c r="A765" s="7">
        <v>763</v>
      </c>
      <c r="B765" s="7" t="s">
        <v>8983</v>
      </c>
      <c r="C765" s="7" t="s">
        <v>8984</v>
      </c>
      <c r="D765" s="7" t="s">
        <v>7551</v>
      </c>
      <c r="E765" s="7" t="s">
        <v>10210</v>
      </c>
      <c r="F765" s="8" t="s">
        <v>10211</v>
      </c>
      <c r="G765" s="7">
        <v>0</v>
      </c>
      <c r="H765" s="7" t="s">
        <v>8984</v>
      </c>
      <c r="I765" s="7">
        <v>1</v>
      </c>
      <c r="J765" s="7" t="s">
        <v>7838</v>
      </c>
      <c r="K765" s="9" t="s">
        <v>8987</v>
      </c>
    </row>
    <row r="766" spans="1:11">
      <c r="A766" s="7">
        <v>764</v>
      </c>
      <c r="B766" s="7" t="s">
        <v>8983</v>
      </c>
      <c r="C766" s="7" t="s">
        <v>8984</v>
      </c>
      <c r="D766" s="7" t="s">
        <v>7551</v>
      </c>
      <c r="E766" s="7" t="s">
        <v>10212</v>
      </c>
      <c r="F766" s="8" t="s">
        <v>10213</v>
      </c>
      <c r="G766" s="7">
        <v>0</v>
      </c>
      <c r="H766" s="7" t="s">
        <v>8984</v>
      </c>
      <c r="I766" s="7">
        <v>1</v>
      </c>
      <c r="J766" s="7" t="s">
        <v>7838</v>
      </c>
      <c r="K766" s="9" t="s">
        <v>8987</v>
      </c>
    </row>
    <row r="767" spans="1:11">
      <c r="A767" s="7">
        <v>765</v>
      </c>
      <c r="B767" s="7" t="s">
        <v>8990</v>
      </c>
      <c r="C767" s="7" t="s">
        <v>8998</v>
      </c>
      <c r="D767" s="7" t="s">
        <v>7549</v>
      </c>
      <c r="E767" s="7" t="s">
        <v>10214</v>
      </c>
      <c r="F767" s="8" t="s">
        <v>10215</v>
      </c>
      <c r="G767" s="7" t="s">
        <v>8987</v>
      </c>
      <c r="H767" s="7" t="s">
        <v>8987</v>
      </c>
      <c r="I767" s="7" t="s">
        <v>8987</v>
      </c>
      <c r="J767" s="7" t="s">
        <v>8987</v>
      </c>
      <c r="K767" s="9" t="s">
        <v>8987</v>
      </c>
    </row>
    <row r="768" spans="1:11">
      <c r="A768" s="7">
        <v>766</v>
      </c>
      <c r="B768" s="7" t="s">
        <v>8983</v>
      </c>
      <c r="C768" s="7" t="s">
        <v>8998</v>
      </c>
      <c r="D768" s="7" t="s">
        <v>7581</v>
      </c>
      <c r="E768" s="7" t="s">
        <v>10216</v>
      </c>
      <c r="F768" s="8" t="s">
        <v>9812</v>
      </c>
      <c r="G768" s="7" t="s">
        <v>8987</v>
      </c>
      <c r="H768" s="7" t="s">
        <v>8987</v>
      </c>
      <c r="I768" s="7" t="s">
        <v>8987</v>
      </c>
      <c r="J768" s="7" t="s">
        <v>8987</v>
      </c>
      <c r="K768" s="9" t="s">
        <v>8987</v>
      </c>
    </row>
    <row r="769" spans="1:11">
      <c r="A769" s="7">
        <v>767</v>
      </c>
      <c r="B769" s="7" t="s">
        <v>8990</v>
      </c>
      <c r="C769" s="7" t="s">
        <v>8998</v>
      </c>
      <c r="D769" s="7" t="s">
        <v>7548</v>
      </c>
      <c r="E769" s="7" t="s">
        <v>10217</v>
      </c>
      <c r="F769" s="8" t="s">
        <v>7548</v>
      </c>
      <c r="G769" s="7" t="s">
        <v>8987</v>
      </c>
      <c r="H769" s="7" t="s">
        <v>8987</v>
      </c>
      <c r="I769" s="7" t="s">
        <v>8987</v>
      </c>
      <c r="J769" s="7" t="s">
        <v>8987</v>
      </c>
      <c r="K769" s="9" t="s">
        <v>8987</v>
      </c>
    </row>
    <row r="770" spans="1:11">
      <c r="A770" s="7">
        <v>768</v>
      </c>
      <c r="B770" s="7" t="s">
        <v>8983</v>
      </c>
      <c r="C770" s="7" t="s">
        <v>8998</v>
      </c>
      <c r="D770" s="7" t="s">
        <v>7548</v>
      </c>
      <c r="E770" s="7" t="s">
        <v>10218</v>
      </c>
      <c r="F770" s="8" t="s">
        <v>7548</v>
      </c>
      <c r="G770" s="7" t="s">
        <v>8987</v>
      </c>
      <c r="H770" s="7" t="s">
        <v>8987</v>
      </c>
      <c r="I770" s="7" t="s">
        <v>8987</v>
      </c>
      <c r="J770" s="7" t="s">
        <v>8987</v>
      </c>
      <c r="K770" s="9" t="s">
        <v>8987</v>
      </c>
    </row>
    <row r="771" spans="1:11">
      <c r="A771" s="7">
        <v>769</v>
      </c>
      <c r="B771" s="7" t="s">
        <v>8983</v>
      </c>
      <c r="C771" s="7" t="s">
        <v>8984</v>
      </c>
      <c r="D771" s="7" t="s">
        <v>7548</v>
      </c>
      <c r="E771" s="7" t="s">
        <v>10219</v>
      </c>
      <c r="F771" s="8" t="s">
        <v>7548</v>
      </c>
      <c r="G771" s="7">
        <v>8</v>
      </c>
      <c r="H771" s="7" t="s">
        <v>8991</v>
      </c>
      <c r="I771" s="7">
        <v>3</v>
      </c>
      <c r="J771" s="7" t="s">
        <v>7823</v>
      </c>
      <c r="K771" s="9" t="s">
        <v>8987</v>
      </c>
    </row>
    <row r="772" spans="1:11">
      <c r="A772" s="7">
        <v>770</v>
      </c>
      <c r="B772" s="7" t="s">
        <v>8983</v>
      </c>
      <c r="C772" s="7" t="s">
        <v>8984</v>
      </c>
      <c r="D772" s="7" t="s">
        <v>7548</v>
      </c>
      <c r="E772" s="7" t="s">
        <v>10220</v>
      </c>
      <c r="F772" s="8" t="s">
        <v>7548</v>
      </c>
      <c r="G772" s="7">
        <v>10</v>
      </c>
      <c r="H772" s="7" t="s">
        <v>9292</v>
      </c>
      <c r="I772" s="7">
        <v>3</v>
      </c>
      <c r="J772" s="7" t="s">
        <v>7718</v>
      </c>
      <c r="K772" s="9" t="s">
        <v>8987</v>
      </c>
    </row>
    <row r="773" spans="1:11">
      <c r="A773" s="7">
        <v>771</v>
      </c>
      <c r="B773" s="7" t="s">
        <v>8983</v>
      </c>
      <c r="C773" s="7" t="s">
        <v>8991</v>
      </c>
      <c r="D773" s="7" t="s">
        <v>7548</v>
      </c>
      <c r="E773" s="7" t="s">
        <v>10221</v>
      </c>
      <c r="F773" s="8" t="s">
        <v>7548</v>
      </c>
      <c r="G773" s="7">
        <v>15</v>
      </c>
      <c r="H773" s="7" t="s">
        <v>9053</v>
      </c>
      <c r="I773" s="7">
        <v>3</v>
      </c>
      <c r="J773" s="7" t="s">
        <v>9054</v>
      </c>
      <c r="K773" s="9" t="s">
        <v>8987</v>
      </c>
    </row>
    <row r="774" spans="1:11">
      <c r="A774" s="7">
        <v>772</v>
      </c>
      <c r="B774" s="7" t="s">
        <v>8990</v>
      </c>
      <c r="C774" s="7" t="s">
        <v>8998</v>
      </c>
      <c r="D774" s="7" t="s">
        <v>7548</v>
      </c>
      <c r="E774" s="7" t="s">
        <v>6593</v>
      </c>
      <c r="F774" s="8" t="s">
        <v>10222</v>
      </c>
      <c r="G774" s="7" t="s">
        <v>8987</v>
      </c>
      <c r="H774" s="7" t="s">
        <v>8987</v>
      </c>
      <c r="I774" s="7" t="s">
        <v>8987</v>
      </c>
      <c r="J774" s="7" t="s">
        <v>8987</v>
      </c>
      <c r="K774" s="9" t="s">
        <v>8987</v>
      </c>
    </row>
    <row r="775" spans="1:11">
      <c r="A775" s="7">
        <v>773</v>
      </c>
      <c r="B775" s="7" t="s">
        <v>8990</v>
      </c>
      <c r="C775" s="7" t="s">
        <v>8998</v>
      </c>
      <c r="D775" s="7" t="s">
        <v>7548</v>
      </c>
      <c r="E775" s="7" t="s">
        <v>10223</v>
      </c>
      <c r="F775" s="8" t="s">
        <v>10224</v>
      </c>
      <c r="G775" s="7" t="s">
        <v>8987</v>
      </c>
      <c r="H775" s="7" t="s">
        <v>8987</v>
      </c>
      <c r="I775" s="7" t="s">
        <v>8987</v>
      </c>
      <c r="J775" s="7" t="s">
        <v>8987</v>
      </c>
      <c r="K775" s="9" t="s">
        <v>8987</v>
      </c>
    </row>
    <row r="776" spans="1:11">
      <c r="A776" s="7">
        <v>774</v>
      </c>
      <c r="B776" s="7" t="s">
        <v>8990</v>
      </c>
      <c r="C776" s="7" t="s">
        <v>8998</v>
      </c>
      <c r="D776" s="7" t="s">
        <v>7548</v>
      </c>
      <c r="E776" s="7" t="s">
        <v>10225</v>
      </c>
      <c r="F776" s="8" t="s">
        <v>10226</v>
      </c>
      <c r="G776" s="7" t="s">
        <v>8987</v>
      </c>
      <c r="H776" s="7" t="s">
        <v>8987</v>
      </c>
      <c r="I776" s="7" t="s">
        <v>8987</v>
      </c>
      <c r="J776" s="7" t="s">
        <v>8987</v>
      </c>
      <c r="K776" s="9" t="s">
        <v>8987</v>
      </c>
    </row>
    <row r="777" spans="1:11">
      <c r="A777" s="7">
        <v>775</v>
      </c>
      <c r="B777" s="7" t="s">
        <v>8990</v>
      </c>
      <c r="C777" s="7" t="s">
        <v>8998</v>
      </c>
      <c r="D777" s="7" t="s">
        <v>7548</v>
      </c>
      <c r="E777" s="7" t="s">
        <v>4460</v>
      </c>
      <c r="F777" s="8" t="s">
        <v>10227</v>
      </c>
      <c r="G777" s="7" t="s">
        <v>8987</v>
      </c>
      <c r="H777" s="7" t="s">
        <v>8987</v>
      </c>
      <c r="I777" s="7" t="s">
        <v>8987</v>
      </c>
      <c r="J777" s="7" t="s">
        <v>8987</v>
      </c>
      <c r="K777" s="9" t="s">
        <v>8987</v>
      </c>
    </row>
    <row r="778" spans="1:11">
      <c r="A778" s="7">
        <v>776</v>
      </c>
      <c r="B778" s="7" t="s">
        <v>8990</v>
      </c>
      <c r="C778" s="7" t="s">
        <v>8998</v>
      </c>
      <c r="D778" s="7" t="s">
        <v>7548</v>
      </c>
      <c r="E778" s="7" t="s">
        <v>10228</v>
      </c>
      <c r="F778" s="8" t="s">
        <v>10227</v>
      </c>
      <c r="G778" s="7" t="s">
        <v>8987</v>
      </c>
      <c r="H778" s="7" t="s">
        <v>8987</v>
      </c>
      <c r="I778" s="7" t="s">
        <v>8987</v>
      </c>
      <c r="J778" s="7" t="s">
        <v>8987</v>
      </c>
      <c r="K778" s="9" t="s">
        <v>8987</v>
      </c>
    </row>
    <row r="779" spans="1:11">
      <c r="A779" s="7">
        <v>777</v>
      </c>
      <c r="B779" s="7" t="s">
        <v>8990</v>
      </c>
      <c r="C779" s="7" t="s">
        <v>8998</v>
      </c>
      <c r="D779" s="7" t="s">
        <v>7548</v>
      </c>
      <c r="E779" s="7" t="s">
        <v>10229</v>
      </c>
      <c r="F779" s="8" t="s">
        <v>10227</v>
      </c>
      <c r="G779" s="7" t="s">
        <v>8987</v>
      </c>
      <c r="H779" s="7" t="s">
        <v>8987</v>
      </c>
      <c r="I779" s="7" t="s">
        <v>8987</v>
      </c>
      <c r="J779" s="7" t="s">
        <v>8987</v>
      </c>
      <c r="K779" s="9" t="s">
        <v>8987</v>
      </c>
    </row>
    <row r="780" spans="1:11">
      <c r="A780" s="7">
        <v>778</v>
      </c>
      <c r="B780" s="7" t="s">
        <v>8990</v>
      </c>
      <c r="C780" s="7" t="s">
        <v>8998</v>
      </c>
      <c r="D780" s="7" t="s">
        <v>7548</v>
      </c>
      <c r="E780" s="7" t="s">
        <v>10230</v>
      </c>
      <c r="F780" s="8" t="s">
        <v>10227</v>
      </c>
      <c r="G780" s="7" t="s">
        <v>8987</v>
      </c>
      <c r="H780" s="7" t="s">
        <v>8987</v>
      </c>
      <c r="I780" s="7" t="s">
        <v>8987</v>
      </c>
      <c r="J780" s="7" t="s">
        <v>8987</v>
      </c>
      <c r="K780" s="9" t="s">
        <v>8987</v>
      </c>
    </row>
    <row r="781" spans="1:11">
      <c r="A781" s="7">
        <v>779</v>
      </c>
      <c r="B781" s="7" t="s">
        <v>8990</v>
      </c>
      <c r="C781" s="7" t="s">
        <v>8998</v>
      </c>
      <c r="D781" s="7" t="s">
        <v>7548</v>
      </c>
      <c r="E781" s="7" t="s">
        <v>10231</v>
      </c>
      <c r="F781" s="8" t="s">
        <v>10227</v>
      </c>
      <c r="G781" s="7" t="s">
        <v>8987</v>
      </c>
      <c r="H781" s="7" t="s">
        <v>8987</v>
      </c>
      <c r="I781" s="7" t="s">
        <v>8987</v>
      </c>
      <c r="J781" s="7" t="s">
        <v>8987</v>
      </c>
      <c r="K781" s="9" t="s">
        <v>8987</v>
      </c>
    </row>
    <row r="782" spans="1:11">
      <c r="A782" s="7">
        <v>780</v>
      </c>
      <c r="B782" s="7" t="s">
        <v>8990</v>
      </c>
      <c r="C782" s="7" t="s">
        <v>8998</v>
      </c>
      <c r="D782" s="7" t="s">
        <v>7548</v>
      </c>
      <c r="E782" s="7" t="s">
        <v>10232</v>
      </c>
      <c r="F782" s="8" t="s">
        <v>10227</v>
      </c>
      <c r="G782" s="7" t="s">
        <v>8987</v>
      </c>
      <c r="H782" s="7" t="s">
        <v>8987</v>
      </c>
      <c r="I782" s="7" t="s">
        <v>8987</v>
      </c>
      <c r="J782" s="7" t="s">
        <v>8987</v>
      </c>
      <c r="K782" s="9" t="s">
        <v>8987</v>
      </c>
    </row>
    <row r="783" spans="1:11">
      <c r="A783" s="7">
        <v>781</v>
      </c>
      <c r="B783" s="7" t="s">
        <v>8983</v>
      </c>
      <c r="C783" s="7" t="s">
        <v>8984</v>
      </c>
      <c r="D783" s="7" t="s">
        <v>7548</v>
      </c>
      <c r="E783" s="7" t="s">
        <v>10233</v>
      </c>
      <c r="F783" s="8" t="s">
        <v>10234</v>
      </c>
      <c r="G783" s="7">
        <v>7</v>
      </c>
      <c r="H783" s="7" t="s">
        <v>9182</v>
      </c>
      <c r="I783" s="7">
        <v>3</v>
      </c>
      <c r="J783" s="7" t="s">
        <v>7875</v>
      </c>
      <c r="K783" s="9" t="s">
        <v>8987</v>
      </c>
    </row>
    <row r="784" spans="1:11">
      <c r="A784" s="7">
        <v>782</v>
      </c>
      <c r="B784" s="7" t="s">
        <v>8990</v>
      </c>
      <c r="C784" s="7" t="s">
        <v>8998</v>
      </c>
      <c r="D784" s="7" t="s">
        <v>7548</v>
      </c>
      <c r="E784" s="7" t="s">
        <v>10235</v>
      </c>
      <c r="F784" s="8" t="s">
        <v>10234</v>
      </c>
      <c r="G784" s="7" t="s">
        <v>8987</v>
      </c>
      <c r="H784" s="7" t="s">
        <v>8987</v>
      </c>
      <c r="I784" s="7" t="s">
        <v>8987</v>
      </c>
      <c r="J784" s="7" t="s">
        <v>8987</v>
      </c>
      <c r="K784" s="9" t="s">
        <v>8987</v>
      </c>
    </row>
    <row r="785" spans="1:11">
      <c r="A785" s="7">
        <v>783</v>
      </c>
      <c r="B785" s="7" t="s">
        <v>8990</v>
      </c>
      <c r="C785" s="7" t="s">
        <v>8998</v>
      </c>
      <c r="D785" s="7" t="s">
        <v>7548</v>
      </c>
      <c r="E785" s="7" t="s">
        <v>10236</v>
      </c>
      <c r="F785" s="8" t="s">
        <v>10234</v>
      </c>
      <c r="G785" s="7" t="s">
        <v>8987</v>
      </c>
      <c r="H785" s="7" t="s">
        <v>8987</v>
      </c>
      <c r="I785" s="7" t="s">
        <v>8987</v>
      </c>
      <c r="J785" s="7" t="s">
        <v>8987</v>
      </c>
      <c r="K785" s="9" t="s">
        <v>8987</v>
      </c>
    </row>
    <row r="786" spans="1:11">
      <c r="A786" s="7">
        <v>784</v>
      </c>
      <c r="B786" s="7" t="s">
        <v>8990</v>
      </c>
      <c r="C786" s="7" t="s">
        <v>8998</v>
      </c>
      <c r="D786" s="7" t="s">
        <v>7548</v>
      </c>
      <c r="E786" s="7" t="s">
        <v>10237</v>
      </c>
      <c r="F786" s="8" t="s">
        <v>10234</v>
      </c>
      <c r="G786" s="7" t="s">
        <v>8987</v>
      </c>
      <c r="H786" s="7" t="s">
        <v>8987</v>
      </c>
      <c r="I786" s="7" t="s">
        <v>8987</v>
      </c>
      <c r="J786" s="7" t="s">
        <v>8987</v>
      </c>
      <c r="K786" s="9" t="s">
        <v>8987</v>
      </c>
    </row>
    <row r="787" spans="1:11">
      <c r="A787" s="7">
        <v>785</v>
      </c>
      <c r="B787" s="7" t="s">
        <v>8990</v>
      </c>
      <c r="C787" s="7" t="s">
        <v>8998</v>
      </c>
      <c r="D787" s="7" t="s">
        <v>7548</v>
      </c>
      <c r="E787" s="7" t="s">
        <v>10238</v>
      </c>
      <c r="F787" s="8" t="s">
        <v>10234</v>
      </c>
      <c r="G787" s="7" t="s">
        <v>8987</v>
      </c>
      <c r="H787" s="7" t="s">
        <v>8987</v>
      </c>
      <c r="I787" s="7" t="s">
        <v>8987</v>
      </c>
      <c r="J787" s="7" t="s">
        <v>8987</v>
      </c>
      <c r="K787" s="9" t="s">
        <v>8987</v>
      </c>
    </row>
    <row r="788" spans="1:11">
      <c r="A788" s="7">
        <v>786</v>
      </c>
      <c r="B788" s="7" t="s">
        <v>8990</v>
      </c>
      <c r="C788" s="7" t="s">
        <v>8998</v>
      </c>
      <c r="D788" s="7" t="s">
        <v>7548</v>
      </c>
      <c r="E788" s="7" t="s">
        <v>10239</v>
      </c>
      <c r="F788" s="8" t="s">
        <v>10234</v>
      </c>
      <c r="G788" s="7" t="s">
        <v>8987</v>
      </c>
      <c r="H788" s="7" t="s">
        <v>8987</v>
      </c>
      <c r="I788" s="7" t="s">
        <v>8987</v>
      </c>
      <c r="J788" s="7" t="s">
        <v>8987</v>
      </c>
      <c r="K788" s="9" t="s">
        <v>8987</v>
      </c>
    </row>
    <row r="789" spans="1:11">
      <c r="A789" s="7">
        <v>787</v>
      </c>
      <c r="B789" s="7" t="s">
        <v>8990</v>
      </c>
      <c r="C789" s="7" t="s">
        <v>8998</v>
      </c>
      <c r="D789" s="7" t="s">
        <v>7548</v>
      </c>
      <c r="E789" s="7" t="s">
        <v>10240</v>
      </c>
      <c r="F789" s="8" t="s">
        <v>10234</v>
      </c>
      <c r="G789" s="7" t="s">
        <v>8987</v>
      </c>
      <c r="H789" s="7" t="s">
        <v>8987</v>
      </c>
      <c r="I789" s="7" t="s">
        <v>8987</v>
      </c>
      <c r="J789" s="7" t="s">
        <v>8987</v>
      </c>
      <c r="K789" s="9" t="s">
        <v>8987</v>
      </c>
    </row>
    <row r="790" spans="1:11">
      <c r="A790" s="7">
        <v>788</v>
      </c>
      <c r="B790" s="7" t="s">
        <v>8990</v>
      </c>
      <c r="C790" s="7" t="s">
        <v>8998</v>
      </c>
      <c r="D790" s="7" t="s">
        <v>7548</v>
      </c>
      <c r="E790" s="7" t="s">
        <v>10241</v>
      </c>
      <c r="F790" s="8" t="s">
        <v>10242</v>
      </c>
      <c r="G790" s="7" t="s">
        <v>8987</v>
      </c>
      <c r="H790" s="7" t="s">
        <v>8987</v>
      </c>
      <c r="I790" s="7" t="s">
        <v>8987</v>
      </c>
      <c r="J790" s="7" t="s">
        <v>8987</v>
      </c>
      <c r="K790" s="9" t="s">
        <v>8987</v>
      </c>
    </row>
    <row r="791" spans="1:11">
      <c r="A791" s="7">
        <v>789</v>
      </c>
      <c r="B791" s="7" t="s">
        <v>8990</v>
      </c>
      <c r="C791" s="7" t="s">
        <v>8998</v>
      </c>
      <c r="D791" s="7" t="s">
        <v>7548</v>
      </c>
      <c r="E791" s="7" t="s">
        <v>10243</v>
      </c>
      <c r="F791" s="8" t="s">
        <v>10244</v>
      </c>
      <c r="G791" s="7" t="s">
        <v>8987</v>
      </c>
      <c r="H791" s="7" t="s">
        <v>8987</v>
      </c>
      <c r="I791" s="7" t="s">
        <v>8987</v>
      </c>
      <c r="J791" s="7" t="s">
        <v>8987</v>
      </c>
      <c r="K791" s="9" t="s">
        <v>8987</v>
      </c>
    </row>
    <row r="792" spans="1:11">
      <c r="A792" s="7">
        <v>790</v>
      </c>
      <c r="B792" s="7" t="s">
        <v>8983</v>
      </c>
      <c r="C792" s="7" t="s">
        <v>8984</v>
      </c>
      <c r="D792" s="7" t="s">
        <v>7548</v>
      </c>
      <c r="E792" s="7" t="s">
        <v>10245</v>
      </c>
      <c r="F792" s="8" t="s">
        <v>10244</v>
      </c>
      <c r="G792" s="7">
        <v>70</v>
      </c>
      <c r="H792" s="7" t="s">
        <v>9194</v>
      </c>
      <c r="I792" s="7">
        <v>9</v>
      </c>
      <c r="J792" s="7" t="s">
        <v>9195</v>
      </c>
      <c r="K792" s="9" t="s">
        <v>8987</v>
      </c>
    </row>
    <row r="793" spans="1:11">
      <c r="A793" s="7">
        <v>791</v>
      </c>
      <c r="B793" s="7" t="s">
        <v>8983</v>
      </c>
      <c r="C793" s="7" t="s">
        <v>8984</v>
      </c>
      <c r="D793" s="7" t="s">
        <v>7548</v>
      </c>
      <c r="E793" s="7" t="s">
        <v>5119</v>
      </c>
      <c r="F793" s="8" t="s">
        <v>10244</v>
      </c>
      <c r="G793" s="7">
        <v>50</v>
      </c>
      <c r="H793" s="7" t="s">
        <v>9021</v>
      </c>
      <c r="I793" s="7">
        <v>9</v>
      </c>
      <c r="J793" s="7" t="s">
        <v>9639</v>
      </c>
      <c r="K793" s="9" t="s">
        <v>8987</v>
      </c>
    </row>
    <row r="794" spans="1:11">
      <c r="A794" s="7">
        <v>792</v>
      </c>
      <c r="B794" s="7" t="s">
        <v>8983</v>
      </c>
      <c r="C794" s="7" t="s">
        <v>8984</v>
      </c>
      <c r="D794" s="7" t="s">
        <v>7548</v>
      </c>
      <c r="E794" s="7" t="s">
        <v>5776</v>
      </c>
      <c r="F794" s="8" t="s">
        <v>10244</v>
      </c>
      <c r="G794" s="7">
        <v>50</v>
      </c>
      <c r="H794" s="7" t="s">
        <v>9021</v>
      </c>
      <c r="I794" s="7">
        <v>9</v>
      </c>
      <c r="J794" s="7" t="s">
        <v>9639</v>
      </c>
      <c r="K794" s="9" t="s">
        <v>8987</v>
      </c>
    </row>
    <row r="795" spans="1:11">
      <c r="A795" s="7">
        <v>793</v>
      </c>
      <c r="B795" s="7" t="s">
        <v>8990</v>
      </c>
      <c r="C795" s="7" t="s">
        <v>8998</v>
      </c>
      <c r="D795" s="7" t="s">
        <v>7548</v>
      </c>
      <c r="E795" s="7" t="s">
        <v>10246</v>
      </c>
      <c r="F795" s="8" t="s">
        <v>10247</v>
      </c>
      <c r="G795" s="7" t="s">
        <v>8987</v>
      </c>
      <c r="H795" s="7" t="s">
        <v>8987</v>
      </c>
      <c r="I795" s="7" t="s">
        <v>8987</v>
      </c>
      <c r="J795" s="7" t="s">
        <v>8987</v>
      </c>
      <c r="K795" s="9" t="s">
        <v>8987</v>
      </c>
    </row>
    <row r="796" spans="1:11">
      <c r="A796" s="7">
        <v>794</v>
      </c>
      <c r="B796" s="7" t="s">
        <v>8983</v>
      </c>
      <c r="C796" s="7" t="s">
        <v>8984</v>
      </c>
      <c r="D796" s="7" t="s">
        <v>7548</v>
      </c>
      <c r="E796" s="7" t="s">
        <v>10248</v>
      </c>
      <c r="F796" s="8" t="s">
        <v>10247</v>
      </c>
      <c r="G796" s="7">
        <v>120</v>
      </c>
      <c r="H796" s="7" t="s">
        <v>9036</v>
      </c>
      <c r="I796" s="7">
        <v>9</v>
      </c>
      <c r="J796" s="7" t="s">
        <v>10249</v>
      </c>
      <c r="K796" s="9" t="s">
        <v>8987</v>
      </c>
    </row>
    <row r="797" spans="1:11">
      <c r="A797" s="7">
        <v>795</v>
      </c>
      <c r="B797" s="7" t="s">
        <v>8983</v>
      </c>
      <c r="C797" s="7" t="s">
        <v>8984</v>
      </c>
      <c r="D797" s="7" t="s">
        <v>7548</v>
      </c>
      <c r="E797" s="7" t="s">
        <v>10250</v>
      </c>
      <c r="F797" s="8" t="s">
        <v>10247</v>
      </c>
      <c r="G797" s="7">
        <v>100</v>
      </c>
      <c r="H797" s="7" t="s">
        <v>9046</v>
      </c>
      <c r="I797" s="7">
        <v>9</v>
      </c>
      <c r="J797" s="7" t="s">
        <v>9355</v>
      </c>
      <c r="K797" s="9" t="s">
        <v>8987</v>
      </c>
    </row>
    <row r="798" spans="1:11">
      <c r="A798" s="7">
        <v>796</v>
      </c>
      <c r="B798" s="7" t="s">
        <v>8990</v>
      </c>
      <c r="C798" s="7" t="s">
        <v>8998</v>
      </c>
      <c r="D798" s="7" t="s">
        <v>7548</v>
      </c>
      <c r="E798" s="7" t="s">
        <v>10251</v>
      </c>
      <c r="F798" s="8" t="s">
        <v>10252</v>
      </c>
      <c r="G798" s="7" t="s">
        <v>8987</v>
      </c>
      <c r="H798" s="7" t="s">
        <v>8987</v>
      </c>
      <c r="I798" s="7" t="s">
        <v>8987</v>
      </c>
      <c r="J798" s="7" t="s">
        <v>8987</v>
      </c>
      <c r="K798" s="9" t="s">
        <v>8987</v>
      </c>
    </row>
    <row r="799" spans="1:11">
      <c r="A799" s="7">
        <v>797</v>
      </c>
      <c r="B799" s="7" t="s">
        <v>8983</v>
      </c>
      <c r="C799" s="7" t="s">
        <v>8984</v>
      </c>
      <c r="D799" s="7" t="s">
        <v>7548</v>
      </c>
      <c r="E799" s="7" t="s">
        <v>10253</v>
      </c>
      <c r="F799" s="8" t="s">
        <v>10252</v>
      </c>
      <c r="G799" s="7">
        <v>60</v>
      </c>
      <c r="H799" s="7" t="s">
        <v>9289</v>
      </c>
      <c r="I799" s="7">
        <v>7</v>
      </c>
      <c r="J799" s="7" t="s">
        <v>10254</v>
      </c>
      <c r="K799" s="9" t="s">
        <v>8987</v>
      </c>
    </row>
    <row r="800" spans="1:11">
      <c r="A800" s="7">
        <v>798</v>
      </c>
      <c r="B800" s="7" t="s">
        <v>8983</v>
      </c>
      <c r="C800" s="7" t="s">
        <v>8984</v>
      </c>
      <c r="D800" s="7" t="s">
        <v>7548</v>
      </c>
      <c r="E800" s="7" t="s">
        <v>10255</v>
      </c>
      <c r="F800" s="8" t="s">
        <v>10252</v>
      </c>
      <c r="G800" s="7">
        <v>50</v>
      </c>
      <c r="H800" s="7" t="s">
        <v>9021</v>
      </c>
      <c r="I800" s="7">
        <v>7</v>
      </c>
      <c r="J800" s="7" t="s">
        <v>10256</v>
      </c>
      <c r="K800" s="9" t="s">
        <v>8987</v>
      </c>
    </row>
    <row r="801" spans="1:11">
      <c r="A801" s="7">
        <v>799</v>
      </c>
      <c r="B801" s="7" t="s">
        <v>8990</v>
      </c>
      <c r="C801" s="7" t="s">
        <v>8998</v>
      </c>
      <c r="D801" s="7" t="s">
        <v>7548</v>
      </c>
      <c r="E801" s="7" t="s">
        <v>10257</v>
      </c>
      <c r="F801" s="8" t="s">
        <v>10258</v>
      </c>
      <c r="G801" s="7" t="s">
        <v>8987</v>
      </c>
      <c r="H801" s="7" t="s">
        <v>8987</v>
      </c>
      <c r="I801" s="7" t="s">
        <v>8987</v>
      </c>
      <c r="J801" s="7" t="s">
        <v>8987</v>
      </c>
      <c r="K801" s="9" t="s">
        <v>8987</v>
      </c>
    </row>
    <row r="802" spans="1:11">
      <c r="A802" s="7">
        <v>800</v>
      </c>
      <c r="B802" s="7" t="s">
        <v>8990</v>
      </c>
      <c r="C802" s="7" t="s">
        <v>8998</v>
      </c>
      <c r="D802" s="7" t="s">
        <v>7548</v>
      </c>
      <c r="E802" s="7" t="s">
        <v>10259</v>
      </c>
      <c r="F802" s="8" t="s">
        <v>10260</v>
      </c>
      <c r="G802" s="7" t="s">
        <v>8987</v>
      </c>
      <c r="H802" s="7" t="s">
        <v>8987</v>
      </c>
      <c r="I802" s="7" t="s">
        <v>8987</v>
      </c>
      <c r="J802" s="7" t="s">
        <v>8987</v>
      </c>
      <c r="K802" s="9" t="s">
        <v>8987</v>
      </c>
    </row>
    <row r="803" spans="1:11">
      <c r="A803" s="7">
        <v>801</v>
      </c>
      <c r="B803" s="7" t="s">
        <v>8983</v>
      </c>
      <c r="C803" s="7" t="s">
        <v>8998</v>
      </c>
      <c r="D803" s="7" t="s">
        <v>7548</v>
      </c>
      <c r="E803" s="7" t="s">
        <v>10261</v>
      </c>
      <c r="F803" s="8" t="s">
        <v>10260</v>
      </c>
      <c r="G803" s="7" t="s">
        <v>8987</v>
      </c>
      <c r="H803" s="7" t="s">
        <v>8987</v>
      </c>
      <c r="I803" s="7" t="s">
        <v>8987</v>
      </c>
      <c r="J803" s="7" t="s">
        <v>8987</v>
      </c>
      <c r="K803" s="9" t="s">
        <v>8987</v>
      </c>
    </row>
    <row r="804" spans="1:11">
      <c r="A804" s="7">
        <v>802</v>
      </c>
      <c r="B804" s="7" t="s">
        <v>9764</v>
      </c>
      <c r="C804" s="7" t="s">
        <v>8998</v>
      </c>
      <c r="D804" s="7" t="s">
        <v>7556</v>
      </c>
      <c r="E804" s="7" t="s">
        <v>10262</v>
      </c>
      <c r="F804" s="8" t="s">
        <v>9595</v>
      </c>
      <c r="G804" s="7" t="s">
        <v>8987</v>
      </c>
      <c r="H804" s="7" t="s">
        <v>8987</v>
      </c>
      <c r="I804" s="7" t="s">
        <v>8987</v>
      </c>
      <c r="J804" s="7" t="s">
        <v>8987</v>
      </c>
      <c r="K804" s="9" t="s">
        <v>8987</v>
      </c>
    </row>
    <row r="805" spans="1:11">
      <c r="A805" s="7">
        <v>803</v>
      </c>
      <c r="B805" s="7" t="s">
        <v>9764</v>
      </c>
      <c r="C805" s="7" t="s">
        <v>8998</v>
      </c>
      <c r="D805" s="7" t="s">
        <v>7556</v>
      </c>
      <c r="E805" s="7" t="s">
        <v>10263</v>
      </c>
      <c r="F805" s="8" t="s">
        <v>9595</v>
      </c>
      <c r="G805" s="7" t="s">
        <v>8987</v>
      </c>
      <c r="H805" s="7" t="s">
        <v>8987</v>
      </c>
      <c r="I805" s="7" t="s">
        <v>8987</v>
      </c>
      <c r="J805" s="7" t="s">
        <v>8987</v>
      </c>
      <c r="K805" s="9" t="s">
        <v>8987</v>
      </c>
    </row>
    <row r="806" spans="1:11">
      <c r="A806" s="7">
        <v>804</v>
      </c>
      <c r="B806" s="7" t="s">
        <v>9764</v>
      </c>
      <c r="C806" s="7" t="s">
        <v>8998</v>
      </c>
      <c r="D806" s="7" t="s">
        <v>7556</v>
      </c>
      <c r="E806" s="7" t="s">
        <v>4713</v>
      </c>
      <c r="F806" s="8" t="s">
        <v>9595</v>
      </c>
      <c r="G806" s="7" t="s">
        <v>8987</v>
      </c>
      <c r="H806" s="7" t="s">
        <v>8987</v>
      </c>
      <c r="I806" s="7" t="s">
        <v>8987</v>
      </c>
      <c r="J806" s="7" t="s">
        <v>8987</v>
      </c>
      <c r="K806" s="9" t="s">
        <v>8987</v>
      </c>
    </row>
    <row r="807" spans="1:11">
      <c r="A807" s="7">
        <v>805</v>
      </c>
      <c r="B807" s="7" t="s">
        <v>9764</v>
      </c>
      <c r="C807" s="7" t="s">
        <v>8998</v>
      </c>
      <c r="D807" s="7" t="s">
        <v>7556</v>
      </c>
      <c r="E807" s="7" t="s">
        <v>10264</v>
      </c>
      <c r="F807" s="8" t="s">
        <v>9595</v>
      </c>
      <c r="G807" s="7" t="s">
        <v>8987</v>
      </c>
      <c r="H807" s="7" t="s">
        <v>8987</v>
      </c>
      <c r="I807" s="7" t="s">
        <v>8987</v>
      </c>
      <c r="J807" s="7" t="s">
        <v>8987</v>
      </c>
      <c r="K807" s="9" t="s">
        <v>8987</v>
      </c>
    </row>
    <row r="808" spans="1:11">
      <c r="A808" s="7">
        <v>806</v>
      </c>
      <c r="B808" s="7" t="s">
        <v>9764</v>
      </c>
      <c r="C808" s="7" t="s">
        <v>8998</v>
      </c>
      <c r="D808" s="7" t="s">
        <v>7556</v>
      </c>
      <c r="E808" s="7" t="s">
        <v>10265</v>
      </c>
      <c r="F808" s="8" t="s">
        <v>9595</v>
      </c>
      <c r="G808" s="7" t="s">
        <v>8987</v>
      </c>
      <c r="H808" s="7" t="s">
        <v>8987</v>
      </c>
      <c r="I808" s="7" t="s">
        <v>8987</v>
      </c>
      <c r="J808" s="7" t="s">
        <v>8987</v>
      </c>
      <c r="K808" s="9" t="s">
        <v>8987</v>
      </c>
    </row>
    <row r="809" spans="1:11">
      <c r="A809" s="7">
        <v>807</v>
      </c>
      <c r="B809" s="7" t="s">
        <v>8983</v>
      </c>
      <c r="C809" s="7" t="s">
        <v>8984</v>
      </c>
      <c r="D809" s="7" t="s">
        <v>7548</v>
      </c>
      <c r="E809" s="7" t="s">
        <v>10266</v>
      </c>
      <c r="F809" s="8" t="s">
        <v>10267</v>
      </c>
      <c r="G809" s="7">
        <v>100</v>
      </c>
      <c r="H809" s="7" t="s">
        <v>9046</v>
      </c>
      <c r="I809" s="7">
        <v>17</v>
      </c>
      <c r="J809" s="7" t="s">
        <v>9318</v>
      </c>
      <c r="K809" s="9" t="s">
        <v>8987</v>
      </c>
    </row>
    <row r="810" spans="1:11">
      <c r="A810" s="7">
        <v>808</v>
      </c>
      <c r="B810" s="7" t="s">
        <v>9725</v>
      </c>
      <c r="C810" s="7" t="s">
        <v>8998</v>
      </c>
      <c r="D810" s="7" t="s">
        <v>7548</v>
      </c>
      <c r="E810" s="7" t="s">
        <v>10268</v>
      </c>
      <c r="F810" s="8" t="s">
        <v>10269</v>
      </c>
      <c r="G810" s="7" t="s">
        <v>8987</v>
      </c>
      <c r="H810" s="7" t="s">
        <v>8987</v>
      </c>
      <c r="I810" s="7" t="s">
        <v>8987</v>
      </c>
      <c r="J810" s="7" t="s">
        <v>8987</v>
      </c>
      <c r="K810" s="9" t="s">
        <v>8987</v>
      </c>
    </row>
    <row r="811" spans="1:11">
      <c r="A811" s="7">
        <v>809</v>
      </c>
      <c r="B811" s="7" t="s">
        <v>9216</v>
      </c>
      <c r="C811" s="7" t="s">
        <v>8998</v>
      </c>
      <c r="D811" s="7" t="s">
        <v>7548</v>
      </c>
      <c r="E811" s="7" t="s">
        <v>10270</v>
      </c>
      <c r="F811" s="8" t="s">
        <v>10271</v>
      </c>
      <c r="G811" s="7" t="s">
        <v>8987</v>
      </c>
      <c r="H811" s="7" t="s">
        <v>8987</v>
      </c>
      <c r="I811" s="7" t="s">
        <v>8987</v>
      </c>
      <c r="J811" s="7" t="s">
        <v>8987</v>
      </c>
      <c r="K811" s="9" t="s">
        <v>8987</v>
      </c>
    </row>
    <row r="812" spans="1:11">
      <c r="A812" s="7">
        <v>810</v>
      </c>
      <c r="B812" s="7" t="s">
        <v>9208</v>
      </c>
      <c r="C812" s="7" t="s">
        <v>9030</v>
      </c>
      <c r="D812" s="7" t="s">
        <v>7548</v>
      </c>
      <c r="E812" s="7" t="s">
        <v>10272</v>
      </c>
      <c r="F812" s="8" t="s">
        <v>10271</v>
      </c>
      <c r="G812" s="7" t="s">
        <v>8987</v>
      </c>
      <c r="H812" s="7" t="s">
        <v>8987</v>
      </c>
      <c r="I812" s="7" t="s">
        <v>8987</v>
      </c>
      <c r="J812" s="7" t="s">
        <v>8987</v>
      </c>
      <c r="K812" s="9" t="s">
        <v>8987</v>
      </c>
    </row>
    <row r="813" spans="1:11">
      <c r="A813" s="7">
        <v>811</v>
      </c>
      <c r="B813" s="7" t="s">
        <v>9725</v>
      </c>
      <c r="C813" s="7" t="s">
        <v>8998</v>
      </c>
      <c r="D813" s="7" t="s">
        <v>7548</v>
      </c>
      <c r="E813" s="7" t="s">
        <v>10273</v>
      </c>
      <c r="F813" s="8" t="s">
        <v>10274</v>
      </c>
      <c r="G813" s="7" t="s">
        <v>8987</v>
      </c>
      <c r="H813" s="7" t="s">
        <v>8987</v>
      </c>
      <c r="I813" s="7" t="s">
        <v>8987</v>
      </c>
      <c r="J813" s="7" t="s">
        <v>8987</v>
      </c>
      <c r="K813" s="9" t="s">
        <v>8987</v>
      </c>
    </row>
    <row r="814" spans="1:11">
      <c r="A814" s="7">
        <v>812</v>
      </c>
      <c r="B814" s="7" t="s">
        <v>8990</v>
      </c>
      <c r="C814" s="7" t="s">
        <v>8998</v>
      </c>
      <c r="D814" s="7" t="s">
        <v>7548</v>
      </c>
      <c r="E814" s="7" t="s">
        <v>10275</v>
      </c>
      <c r="F814" s="8" t="s">
        <v>10276</v>
      </c>
      <c r="G814" s="7" t="s">
        <v>8987</v>
      </c>
      <c r="H814" s="7" t="s">
        <v>8987</v>
      </c>
      <c r="I814" s="7" t="s">
        <v>8987</v>
      </c>
      <c r="J814" s="7" t="s">
        <v>8987</v>
      </c>
      <c r="K814" s="9" t="s">
        <v>8987</v>
      </c>
    </row>
    <row r="815" spans="1:11">
      <c r="A815" s="7">
        <v>813</v>
      </c>
      <c r="B815" s="7" t="s">
        <v>8983</v>
      </c>
      <c r="C815" s="7" t="s">
        <v>8998</v>
      </c>
      <c r="D815" s="7" t="s">
        <v>7548</v>
      </c>
      <c r="E815" s="7" t="s">
        <v>10277</v>
      </c>
      <c r="F815" s="8" t="s">
        <v>10276</v>
      </c>
      <c r="G815" s="7" t="s">
        <v>8987</v>
      </c>
      <c r="H815" s="7" t="s">
        <v>8987</v>
      </c>
      <c r="I815" s="7" t="s">
        <v>8987</v>
      </c>
      <c r="J815" s="7" t="s">
        <v>8987</v>
      </c>
      <c r="K815" s="9" t="s">
        <v>8987</v>
      </c>
    </row>
    <row r="816" spans="1:11">
      <c r="A816" s="7">
        <v>814</v>
      </c>
      <c r="B816" s="7" t="s">
        <v>8990</v>
      </c>
      <c r="C816" s="7" t="s">
        <v>8998</v>
      </c>
      <c r="D816" s="7" t="s">
        <v>7548</v>
      </c>
      <c r="E816" s="7" t="s">
        <v>4807</v>
      </c>
      <c r="F816" s="8" t="s">
        <v>10278</v>
      </c>
      <c r="G816" s="7" t="s">
        <v>8987</v>
      </c>
      <c r="H816" s="7" t="s">
        <v>8987</v>
      </c>
      <c r="I816" s="7" t="s">
        <v>8987</v>
      </c>
      <c r="J816" s="7" t="s">
        <v>8987</v>
      </c>
      <c r="K816" s="9" t="s">
        <v>8987</v>
      </c>
    </row>
    <row r="817" spans="1:11">
      <c r="A817" s="7">
        <v>815</v>
      </c>
      <c r="B817" s="7" t="s">
        <v>8983</v>
      </c>
      <c r="C817" s="7" t="s">
        <v>8998</v>
      </c>
      <c r="D817" s="7" t="s">
        <v>7548</v>
      </c>
      <c r="E817" s="7" t="s">
        <v>10279</v>
      </c>
      <c r="F817" s="8" t="s">
        <v>10278</v>
      </c>
      <c r="G817" s="7" t="s">
        <v>8987</v>
      </c>
      <c r="H817" s="7" t="s">
        <v>8987</v>
      </c>
      <c r="I817" s="7" t="s">
        <v>8987</v>
      </c>
      <c r="J817" s="7" t="s">
        <v>8987</v>
      </c>
      <c r="K817" s="9" t="s">
        <v>8987</v>
      </c>
    </row>
    <row r="818" spans="1:11">
      <c r="A818" s="7">
        <v>816</v>
      </c>
      <c r="B818" s="7" t="s">
        <v>8990</v>
      </c>
      <c r="C818" s="7" t="s">
        <v>8998</v>
      </c>
      <c r="D818" s="7" t="s">
        <v>7548</v>
      </c>
      <c r="E818" s="7" t="s">
        <v>10280</v>
      </c>
      <c r="F818" s="8" t="s">
        <v>10281</v>
      </c>
      <c r="G818" s="7" t="s">
        <v>8987</v>
      </c>
      <c r="H818" s="7" t="s">
        <v>8987</v>
      </c>
      <c r="I818" s="7" t="s">
        <v>8987</v>
      </c>
      <c r="J818" s="7" t="s">
        <v>8987</v>
      </c>
      <c r="K818" s="9" t="s">
        <v>8987</v>
      </c>
    </row>
    <row r="819" spans="1:11">
      <c r="A819" s="7">
        <v>817</v>
      </c>
      <c r="B819" s="7" t="s">
        <v>8990</v>
      </c>
      <c r="C819" s="7" t="s">
        <v>8998</v>
      </c>
      <c r="D819" s="7" t="s">
        <v>7548</v>
      </c>
      <c r="E819" s="7" t="s">
        <v>10282</v>
      </c>
      <c r="F819" s="8" t="s">
        <v>10283</v>
      </c>
      <c r="G819" s="7" t="s">
        <v>8987</v>
      </c>
      <c r="H819" s="7" t="s">
        <v>8987</v>
      </c>
      <c r="I819" s="7" t="s">
        <v>8987</v>
      </c>
      <c r="J819" s="7" t="s">
        <v>8987</v>
      </c>
      <c r="K819" s="9" t="s">
        <v>8987</v>
      </c>
    </row>
    <row r="820" spans="1:11">
      <c r="A820" s="7">
        <v>818</v>
      </c>
      <c r="B820" s="7" t="s">
        <v>8983</v>
      </c>
      <c r="C820" s="7" t="s">
        <v>8998</v>
      </c>
      <c r="D820" s="7" t="s">
        <v>7548</v>
      </c>
      <c r="E820" s="7" t="s">
        <v>10284</v>
      </c>
      <c r="F820" s="8" t="s">
        <v>10283</v>
      </c>
      <c r="G820" s="7" t="s">
        <v>8987</v>
      </c>
      <c r="H820" s="7" t="s">
        <v>8987</v>
      </c>
      <c r="I820" s="7" t="s">
        <v>8987</v>
      </c>
      <c r="J820" s="7" t="s">
        <v>8987</v>
      </c>
      <c r="K820" s="9" t="s">
        <v>8987</v>
      </c>
    </row>
    <row r="821" spans="1:11">
      <c r="A821" s="7">
        <v>819</v>
      </c>
      <c r="B821" s="7" t="s">
        <v>8983</v>
      </c>
      <c r="C821" s="7" t="s">
        <v>8984</v>
      </c>
      <c r="D821" s="7" t="s">
        <v>7548</v>
      </c>
      <c r="E821" s="7" t="s">
        <v>10285</v>
      </c>
      <c r="F821" s="8" t="s">
        <v>10283</v>
      </c>
      <c r="G821" s="7">
        <v>3</v>
      </c>
      <c r="H821" s="7" t="s">
        <v>9187</v>
      </c>
      <c r="I821" s="7">
        <v>3</v>
      </c>
      <c r="J821" s="7" t="s">
        <v>10286</v>
      </c>
      <c r="K821" s="9" t="s">
        <v>8987</v>
      </c>
    </row>
    <row r="822" spans="1:11">
      <c r="A822" s="7">
        <v>820</v>
      </c>
      <c r="B822" s="7" t="s">
        <v>8983</v>
      </c>
      <c r="C822" s="7" t="s">
        <v>8984</v>
      </c>
      <c r="D822" s="7" t="s">
        <v>7573</v>
      </c>
      <c r="E822" s="7" t="s">
        <v>10287</v>
      </c>
      <c r="F822" s="8" t="s">
        <v>9264</v>
      </c>
      <c r="G822" s="7">
        <v>40</v>
      </c>
      <c r="H822" s="7" t="s">
        <v>9003</v>
      </c>
      <c r="I822" s="7">
        <v>6</v>
      </c>
      <c r="J822" s="7" t="s">
        <v>7707</v>
      </c>
      <c r="K822" s="9" t="s">
        <v>8987</v>
      </c>
    </row>
    <row r="823" spans="1:11">
      <c r="A823" s="7">
        <v>821</v>
      </c>
      <c r="B823" s="7" t="s">
        <v>8983</v>
      </c>
      <c r="C823" s="7" t="s">
        <v>8984</v>
      </c>
      <c r="D823" s="7" t="s">
        <v>7573</v>
      </c>
      <c r="E823" s="7" t="s">
        <v>10288</v>
      </c>
      <c r="F823" s="8" t="s">
        <v>9264</v>
      </c>
      <c r="G823" s="7">
        <v>60</v>
      </c>
      <c r="H823" s="7" t="s">
        <v>9289</v>
      </c>
      <c r="I823" s="7">
        <v>9</v>
      </c>
      <c r="J823" s="7" t="s">
        <v>10289</v>
      </c>
      <c r="K823" s="9" t="s">
        <v>8987</v>
      </c>
    </row>
    <row r="824" spans="1:11">
      <c r="A824" s="7">
        <v>822</v>
      </c>
      <c r="B824" s="7" t="s">
        <v>8983</v>
      </c>
      <c r="C824" s="7" t="s">
        <v>8984</v>
      </c>
      <c r="D824" s="7" t="s">
        <v>7573</v>
      </c>
      <c r="E824" s="7" t="s">
        <v>10290</v>
      </c>
      <c r="F824" s="8" t="s">
        <v>9264</v>
      </c>
      <c r="G824" s="7">
        <v>80</v>
      </c>
      <c r="H824" s="7" t="s">
        <v>9153</v>
      </c>
      <c r="I824" s="7">
        <v>11</v>
      </c>
      <c r="J824" s="7" t="s">
        <v>7668</v>
      </c>
      <c r="K824" s="9" t="s">
        <v>8987</v>
      </c>
    </row>
    <row r="825" spans="1:11">
      <c r="A825" s="7">
        <v>823</v>
      </c>
      <c r="B825" s="7" t="s">
        <v>8983</v>
      </c>
      <c r="C825" s="7" t="s">
        <v>8998</v>
      </c>
      <c r="D825" s="7" t="s">
        <v>7573</v>
      </c>
      <c r="E825" s="7" t="s">
        <v>10291</v>
      </c>
      <c r="F825" s="8" t="s">
        <v>9264</v>
      </c>
      <c r="G825" s="7" t="s">
        <v>8987</v>
      </c>
      <c r="H825" s="7" t="s">
        <v>8987</v>
      </c>
      <c r="I825" s="7" t="s">
        <v>8987</v>
      </c>
      <c r="J825" s="7" t="s">
        <v>8987</v>
      </c>
      <c r="K825" s="9" t="s">
        <v>8987</v>
      </c>
    </row>
    <row r="826" spans="1:11">
      <c r="A826" s="7">
        <v>824</v>
      </c>
      <c r="B826" s="7" t="s">
        <v>8983</v>
      </c>
      <c r="C826" s="7" t="s">
        <v>8984</v>
      </c>
      <c r="D826" s="7" t="s">
        <v>7546</v>
      </c>
      <c r="E826" s="7" t="s">
        <v>10292</v>
      </c>
      <c r="F826" s="8" t="s">
        <v>10293</v>
      </c>
      <c r="G826" s="7">
        <v>22</v>
      </c>
      <c r="H826" s="7" t="s">
        <v>8994</v>
      </c>
      <c r="I826" s="7">
        <v>6</v>
      </c>
      <c r="J826" s="7" t="s">
        <v>10294</v>
      </c>
      <c r="K826" s="9" t="s">
        <v>8987</v>
      </c>
    </row>
    <row r="827" spans="1:11">
      <c r="A827" s="7">
        <v>825</v>
      </c>
      <c r="B827" s="7" t="s">
        <v>8983</v>
      </c>
      <c r="C827" s="7" t="s">
        <v>8984</v>
      </c>
      <c r="D827" s="7" t="s">
        <v>7550</v>
      </c>
      <c r="E827" s="7" t="s">
        <v>10295</v>
      </c>
      <c r="F827" s="8" t="s">
        <v>10296</v>
      </c>
      <c r="G827" s="7">
        <v>22</v>
      </c>
      <c r="H827" s="7" t="s">
        <v>8994</v>
      </c>
      <c r="I827" s="7">
        <v>6</v>
      </c>
      <c r="J827" s="7" t="s">
        <v>10294</v>
      </c>
      <c r="K827" s="9" t="s">
        <v>8987</v>
      </c>
    </row>
    <row r="828" spans="1:11">
      <c r="A828" s="7">
        <v>826</v>
      </c>
      <c r="B828" s="7" t="s">
        <v>8983</v>
      </c>
      <c r="C828" s="7" t="s">
        <v>8984</v>
      </c>
      <c r="D828" s="7" t="s">
        <v>7549</v>
      </c>
      <c r="E828" s="7" t="s">
        <v>10297</v>
      </c>
      <c r="F828" s="8" t="s">
        <v>9979</v>
      </c>
      <c r="G828" s="7">
        <v>22</v>
      </c>
      <c r="H828" s="7" t="s">
        <v>8994</v>
      </c>
      <c r="I828" s="7">
        <v>6</v>
      </c>
      <c r="J828" s="7" t="s">
        <v>10294</v>
      </c>
      <c r="K828" s="9" t="s">
        <v>8987</v>
      </c>
    </row>
    <row r="829" spans="1:11">
      <c r="A829" s="7">
        <v>827</v>
      </c>
      <c r="B829" s="7" t="s">
        <v>8983</v>
      </c>
      <c r="C829" s="7" t="s">
        <v>8984</v>
      </c>
      <c r="D829" s="7" t="s">
        <v>7573</v>
      </c>
      <c r="E829" s="7" t="s">
        <v>10298</v>
      </c>
      <c r="F829" s="8" t="s">
        <v>9268</v>
      </c>
      <c r="G829" s="7">
        <v>40</v>
      </c>
      <c r="H829" s="7" t="s">
        <v>9003</v>
      </c>
      <c r="I829" s="7">
        <v>6</v>
      </c>
      <c r="J829" s="7" t="s">
        <v>7707</v>
      </c>
      <c r="K829" s="9" t="s">
        <v>8987</v>
      </c>
    </row>
    <row r="830" spans="1:11">
      <c r="A830" s="7">
        <v>828</v>
      </c>
      <c r="B830" s="7" t="s">
        <v>8983</v>
      </c>
      <c r="C830" s="7" t="s">
        <v>8984</v>
      </c>
      <c r="D830" s="7" t="s">
        <v>7573</v>
      </c>
      <c r="E830" s="7" t="s">
        <v>10299</v>
      </c>
      <c r="F830" s="8" t="s">
        <v>9268</v>
      </c>
      <c r="G830" s="7">
        <v>60</v>
      </c>
      <c r="H830" s="7" t="s">
        <v>9289</v>
      </c>
      <c r="I830" s="7">
        <v>9</v>
      </c>
      <c r="J830" s="7" t="s">
        <v>10289</v>
      </c>
      <c r="K830" s="9" t="s">
        <v>8987</v>
      </c>
    </row>
    <row r="831" spans="1:11">
      <c r="A831" s="7">
        <v>829</v>
      </c>
      <c r="B831" s="7" t="s">
        <v>8983</v>
      </c>
      <c r="C831" s="7" t="s">
        <v>8984</v>
      </c>
      <c r="D831" s="7" t="s">
        <v>7573</v>
      </c>
      <c r="E831" s="7" t="s">
        <v>10300</v>
      </c>
      <c r="F831" s="8" t="s">
        <v>9268</v>
      </c>
      <c r="G831" s="7">
        <v>80</v>
      </c>
      <c r="H831" s="7" t="s">
        <v>9153</v>
      </c>
      <c r="I831" s="7">
        <v>11</v>
      </c>
      <c r="J831" s="7" t="s">
        <v>7668</v>
      </c>
      <c r="K831" s="9" t="s">
        <v>8987</v>
      </c>
    </row>
    <row r="832" spans="1:11">
      <c r="A832" s="7">
        <v>830</v>
      </c>
      <c r="B832" s="7" t="s">
        <v>8983</v>
      </c>
      <c r="C832" s="7" t="s">
        <v>8984</v>
      </c>
      <c r="D832" s="7" t="s">
        <v>7581</v>
      </c>
      <c r="E832" s="7" t="s">
        <v>10301</v>
      </c>
      <c r="F832" s="8" t="s">
        <v>9453</v>
      </c>
      <c r="G832" s="7">
        <v>18</v>
      </c>
      <c r="H832" s="7" t="s">
        <v>9422</v>
      </c>
      <c r="I832" s="7">
        <v>4</v>
      </c>
      <c r="J832" s="7" t="s">
        <v>9423</v>
      </c>
      <c r="K832" s="9" t="s">
        <v>8987</v>
      </c>
    </row>
    <row r="833" spans="1:11">
      <c r="A833" s="7">
        <v>831</v>
      </c>
      <c r="B833" s="7" t="s">
        <v>8983</v>
      </c>
      <c r="C833" s="7" t="s">
        <v>8984</v>
      </c>
      <c r="D833" s="7" t="s">
        <v>7581</v>
      </c>
      <c r="E833" s="7" t="s">
        <v>10302</v>
      </c>
      <c r="F833" s="8" t="s">
        <v>9453</v>
      </c>
      <c r="G833" s="7">
        <v>27</v>
      </c>
      <c r="H833" s="7" t="s">
        <v>9130</v>
      </c>
      <c r="I833" s="7">
        <v>5</v>
      </c>
      <c r="J833" s="7" t="s">
        <v>10303</v>
      </c>
      <c r="K833" s="9" t="s">
        <v>8987</v>
      </c>
    </row>
    <row r="834" spans="1:11">
      <c r="A834" s="7">
        <v>832</v>
      </c>
      <c r="B834" s="7" t="s">
        <v>8983</v>
      </c>
      <c r="C834" s="7" t="s">
        <v>8984</v>
      </c>
      <c r="D834" s="7" t="s">
        <v>7581</v>
      </c>
      <c r="E834" s="7" t="s">
        <v>10304</v>
      </c>
      <c r="F834" s="8" t="s">
        <v>9453</v>
      </c>
      <c r="G834" s="7">
        <v>36</v>
      </c>
      <c r="H834" s="7" t="s">
        <v>10305</v>
      </c>
      <c r="I834" s="7">
        <v>6</v>
      </c>
      <c r="J834" s="7" t="s">
        <v>10306</v>
      </c>
      <c r="K834" s="9" t="s">
        <v>8987</v>
      </c>
    </row>
    <row r="835" spans="1:11">
      <c r="A835" s="7">
        <v>833</v>
      </c>
      <c r="B835" s="7" t="s">
        <v>8983</v>
      </c>
      <c r="C835" s="7" t="s">
        <v>8984</v>
      </c>
      <c r="D835" s="7" t="s">
        <v>7550</v>
      </c>
      <c r="E835" s="7" t="s">
        <v>10307</v>
      </c>
      <c r="F835" s="8" t="s">
        <v>10308</v>
      </c>
      <c r="G835" s="7">
        <v>60</v>
      </c>
      <c r="H835" s="7" t="s">
        <v>9289</v>
      </c>
      <c r="I835" s="7">
        <v>13</v>
      </c>
      <c r="J835" s="7" t="s">
        <v>7827</v>
      </c>
      <c r="K835" s="9" t="s">
        <v>8987</v>
      </c>
    </row>
    <row r="836" spans="1:11">
      <c r="A836" s="7">
        <v>834</v>
      </c>
      <c r="B836" s="7" t="s">
        <v>8983</v>
      </c>
      <c r="C836" s="7" t="s">
        <v>8984</v>
      </c>
      <c r="D836" s="7" t="s">
        <v>7546</v>
      </c>
      <c r="E836" s="7" t="s">
        <v>10309</v>
      </c>
      <c r="F836" s="8" t="s">
        <v>9226</v>
      </c>
      <c r="G836" s="7">
        <v>20</v>
      </c>
      <c r="H836" s="7" t="s">
        <v>9394</v>
      </c>
      <c r="I836" s="7">
        <v>4</v>
      </c>
      <c r="J836" s="7" t="s">
        <v>10310</v>
      </c>
      <c r="K836" s="9" t="s">
        <v>8987</v>
      </c>
    </row>
    <row r="837" spans="1:11">
      <c r="A837" s="7">
        <v>835</v>
      </c>
      <c r="B837" s="7" t="s">
        <v>8983</v>
      </c>
      <c r="C837" s="7" t="s">
        <v>8984</v>
      </c>
      <c r="D837" s="7" t="s">
        <v>7546</v>
      </c>
      <c r="E837" s="7" t="s">
        <v>10311</v>
      </c>
      <c r="F837" s="8" t="s">
        <v>9226</v>
      </c>
      <c r="G837" s="7">
        <v>30</v>
      </c>
      <c r="H837" s="7" t="s">
        <v>9015</v>
      </c>
      <c r="I837" s="7">
        <v>5</v>
      </c>
      <c r="J837" s="7" t="s">
        <v>7732</v>
      </c>
      <c r="K837" s="9" t="s">
        <v>8987</v>
      </c>
    </row>
    <row r="838" spans="1:11">
      <c r="A838" s="7">
        <v>836</v>
      </c>
      <c r="B838" s="7" t="s">
        <v>8983</v>
      </c>
      <c r="C838" s="7" t="s">
        <v>8984</v>
      </c>
      <c r="D838" s="7" t="s">
        <v>7546</v>
      </c>
      <c r="E838" s="7" t="s">
        <v>10312</v>
      </c>
      <c r="F838" s="8" t="s">
        <v>9226</v>
      </c>
      <c r="G838" s="7">
        <v>40</v>
      </c>
      <c r="H838" s="7" t="s">
        <v>9003</v>
      </c>
      <c r="I838" s="7">
        <v>6</v>
      </c>
      <c r="J838" s="7" t="s">
        <v>7707</v>
      </c>
      <c r="K838" s="9" t="s">
        <v>8987</v>
      </c>
    </row>
    <row r="839" spans="1:11">
      <c r="A839" s="7">
        <v>837</v>
      </c>
      <c r="B839" s="7" t="s">
        <v>8983</v>
      </c>
      <c r="C839" s="7" t="s">
        <v>8984</v>
      </c>
      <c r="D839" s="7" t="s">
        <v>7581</v>
      </c>
      <c r="E839" s="7" t="s">
        <v>10313</v>
      </c>
      <c r="F839" s="8" t="s">
        <v>9657</v>
      </c>
      <c r="G839" s="7">
        <v>30</v>
      </c>
      <c r="H839" s="7" t="s">
        <v>9015</v>
      </c>
      <c r="I839" s="7">
        <v>5</v>
      </c>
      <c r="J839" s="7" t="s">
        <v>7732</v>
      </c>
      <c r="K839" s="9" t="s">
        <v>8987</v>
      </c>
    </row>
    <row r="840" spans="1:11">
      <c r="A840" s="7">
        <v>838</v>
      </c>
      <c r="B840" s="7" t="s">
        <v>8983</v>
      </c>
      <c r="C840" s="7" t="s">
        <v>8984</v>
      </c>
      <c r="D840" s="7" t="s">
        <v>7581</v>
      </c>
      <c r="E840" s="7" t="s">
        <v>10314</v>
      </c>
      <c r="F840" s="8" t="s">
        <v>9657</v>
      </c>
      <c r="G840" s="7">
        <v>43</v>
      </c>
      <c r="H840" s="7" t="s">
        <v>10315</v>
      </c>
      <c r="I840" s="7">
        <v>7</v>
      </c>
      <c r="J840" s="7" t="s">
        <v>10316</v>
      </c>
      <c r="K840" s="9" t="s">
        <v>8987</v>
      </c>
    </row>
    <row r="841" spans="1:11">
      <c r="A841" s="7">
        <v>839</v>
      </c>
      <c r="B841" s="7" t="s">
        <v>8983</v>
      </c>
      <c r="C841" s="7" t="s">
        <v>8984</v>
      </c>
      <c r="D841" s="7" t="s">
        <v>7581</v>
      </c>
      <c r="E841" s="7" t="s">
        <v>10317</v>
      </c>
      <c r="F841" s="8" t="s">
        <v>9657</v>
      </c>
      <c r="G841" s="7">
        <v>60</v>
      </c>
      <c r="H841" s="7" t="s">
        <v>9289</v>
      </c>
      <c r="I841" s="7">
        <v>9</v>
      </c>
      <c r="J841" s="7" t="s">
        <v>10289</v>
      </c>
      <c r="K841" s="9" t="s">
        <v>8987</v>
      </c>
    </row>
    <row r="842" spans="1:11">
      <c r="A842" s="7">
        <v>840</v>
      </c>
      <c r="B842" s="7" t="s">
        <v>8983</v>
      </c>
      <c r="C842" s="7" t="s">
        <v>8984</v>
      </c>
      <c r="D842" s="7" t="s">
        <v>7550</v>
      </c>
      <c r="E842" s="7" t="s">
        <v>10318</v>
      </c>
      <c r="F842" s="8" t="s">
        <v>9436</v>
      </c>
      <c r="G842" s="7">
        <v>20</v>
      </c>
      <c r="H842" s="7" t="s">
        <v>9394</v>
      </c>
      <c r="I842" s="7">
        <v>4</v>
      </c>
      <c r="J842" s="7" t="s">
        <v>10310</v>
      </c>
      <c r="K842" s="9" t="s">
        <v>8987</v>
      </c>
    </row>
    <row r="843" spans="1:11">
      <c r="A843" s="7">
        <v>841</v>
      </c>
      <c r="B843" s="7" t="s">
        <v>8983</v>
      </c>
      <c r="C843" s="7" t="s">
        <v>8984</v>
      </c>
      <c r="D843" s="7" t="s">
        <v>7550</v>
      </c>
      <c r="E843" s="7" t="s">
        <v>10319</v>
      </c>
      <c r="F843" s="8" t="s">
        <v>9436</v>
      </c>
      <c r="G843" s="7">
        <v>30</v>
      </c>
      <c r="H843" s="7" t="s">
        <v>9015</v>
      </c>
      <c r="I843" s="7">
        <v>5</v>
      </c>
      <c r="J843" s="7" t="s">
        <v>7732</v>
      </c>
      <c r="K843" s="9" t="s">
        <v>8987</v>
      </c>
    </row>
    <row r="844" spans="1:11">
      <c r="A844" s="7">
        <v>842</v>
      </c>
      <c r="B844" s="7" t="s">
        <v>8983</v>
      </c>
      <c r="C844" s="7" t="s">
        <v>8984</v>
      </c>
      <c r="D844" s="7" t="s">
        <v>7550</v>
      </c>
      <c r="E844" s="7" t="s">
        <v>10320</v>
      </c>
      <c r="F844" s="8" t="s">
        <v>9436</v>
      </c>
      <c r="G844" s="7">
        <v>40</v>
      </c>
      <c r="H844" s="7" t="s">
        <v>9003</v>
      </c>
      <c r="I844" s="7">
        <v>6</v>
      </c>
      <c r="J844" s="7" t="s">
        <v>7707</v>
      </c>
      <c r="K844" s="9" t="s">
        <v>8987</v>
      </c>
    </row>
    <row r="845" spans="1:11">
      <c r="A845" s="7">
        <v>843</v>
      </c>
      <c r="B845" s="7" t="s">
        <v>8983</v>
      </c>
      <c r="C845" s="7" t="s">
        <v>8984</v>
      </c>
      <c r="D845" s="7" t="s">
        <v>7542</v>
      </c>
      <c r="E845" s="7" t="s">
        <v>10321</v>
      </c>
      <c r="F845" s="8" t="s">
        <v>9314</v>
      </c>
      <c r="G845" s="7" t="s">
        <v>8987</v>
      </c>
      <c r="H845" s="7" t="s">
        <v>8987</v>
      </c>
      <c r="I845" s="7" t="s">
        <v>8987</v>
      </c>
      <c r="J845" s="7" t="s">
        <v>8987</v>
      </c>
      <c r="K845" s="9" t="s">
        <v>8987</v>
      </c>
    </row>
    <row r="846" spans="1:11">
      <c r="A846" s="7">
        <v>844</v>
      </c>
      <c r="B846" s="7" t="s">
        <v>8983</v>
      </c>
      <c r="C846" s="7" t="s">
        <v>8984</v>
      </c>
      <c r="D846" s="7" t="s">
        <v>7542</v>
      </c>
      <c r="E846" s="7" t="s">
        <v>10322</v>
      </c>
      <c r="F846" s="8" t="s">
        <v>9314</v>
      </c>
      <c r="G846" s="7" t="s">
        <v>8987</v>
      </c>
      <c r="H846" s="7" t="s">
        <v>8987</v>
      </c>
      <c r="I846" s="7" t="s">
        <v>8987</v>
      </c>
      <c r="J846" s="7" t="s">
        <v>8987</v>
      </c>
      <c r="K846" s="9" t="s">
        <v>8987</v>
      </c>
    </row>
    <row r="847" spans="1:11">
      <c r="A847" s="7">
        <v>845</v>
      </c>
      <c r="B847" s="7" t="s">
        <v>8983</v>
      </c>
      <c r="C847" s="7" t="s">
        <v>8984</v>
      </c>
      <c r="D847" s="7" t="s">
        <v>7542</v>
      </c>
      <c r="E847" s="7" t="s">
        <v>10323</v>
      </c>
      <c r="F847" s="8" t="s">
        <v>9314</v>
      </c>
      <c r="G847" s="7" t="s">
        <v>8987</v>
      </c>
      <c r="H847" s="7" t="s">
        <v>8987</v>
      </c>
      <c r="I847" s="7" t="s">
        <v>8987</v>
      </c>
      <c r="J847" s="7" t="s">
        <v>8987</v>
      </c>
      <c r="K847" s="9" t="s">
        <v>8987</v>
      </c>
    </row>
    <row r="848" spans="1:11">
      <c r="A848" s="7">
        <v>846</v>
      </c>
      <c r="B848" s="7" t="s">
        <v>8983</v>
      </c>
      <c r="C848" s="7" t="s">
        <v>8984</v>
      </c>
      <c r="D848" s="7" t="s">
        <v>7556</v>
      </c>
      <c r="E848" s="7" t="s">
        <v>10324</v>
      </c>
      <c r="F848" s="8" t="s">
        <v>9304</v>
      </c>
      <c r="G848" s="7">
        <v>20</v>
      </c>
      <c r="H848" s="7" t="s">
        <v>9394</v>
      </c>
      <c r="I848" s="7">
        <v>4</v>
      </c>
      <c r="J848" s="7" t="s">
        <v>10310</v>
      </c>
      <c r="K848" s="9" t="s">
        <v>8987</v>
      </c>
    </row>
    <row r="849" spans="1:11">
      <c r="A849" s="7">
        <v>847</v>
      </c>
      <c r="B849" s="7" t="s">
        <v>8983</v>
      </c>
      <c r="C849" s="7" t="s">
        <v>8984</v>
      </c>
      <c r="D849" s="7" t="s">
        <v>7556</v>
      </c>
      <c r="E849" s="7" t="s">
        <v>10325</v>
      </c>
      <c r="F849" s="8" t="s">
        <v>9304</v>
      </c>
      <c r="G849" s="7">
        <v>30</v>
      </c>
      <c r="H849" s="7" t="s">
        <v>9015</v>
      </c>
      <c r="I849" s="7">
        <v>5</v>
      </c>
      <c r="J849" s="7" t="s">
        <v>7732</v>
      </c>
      <c r="K849" s="9" t="s">
        <v>8987</v>
      </c>
    </row>
    <row r="850" spans="1:11">
      <c r="A850" s="7">
        <v>848</v>
      </c>
      <c r="B850" s="7" t="s">
        <v>8983</v>
      </c>
      <c r="C850" s="7" t="s">
        <v>8984</v>
      </c>
      <c r="D850" s="7" t="s">
        <v>7556</v>
      </c>
      <c r="E850" s="7" t="s">
        <v>10326</v>
      </c>
      <c r="F850" s="8" t="s">
        <v>9304</v>
      </c>
      <c r="G850" s="7">
        <v>40</v>
      </c>
      <c r="H850" s="7" t="s">
        <v>9003</v>
      </c>
      <c r="I850" s="7">
        <v>6</v>
      </c>
      <c r="J850" s="7" t="s">
        <v>7707</v>
      </c>
      <c r="K850" s="9" t="s">
        <v>8987</v>
      </c>
    </row>
    <row r="851" spans="1:11">
      <c r="A851" s="7">
        <v>849</v>
      </c>
      <c r="B851" s="7" t="s">
        <v>8983</v>
      </c>
      <c r="C851" s="7" t="s">
        <v>8984</v>
      </c>
      <c r="D851" s="7" t="s">
        <v>7555</v>
      </c>
      <c r="E851" s="7" t="s">
        <v>10327</v>
      </c>
      <c r="F851" s="8" t="s">
        <v>9244</v>
      </c>
      <c r="G851" s="7">
        <v>20</v>
      </c>
      <c r="H851" s="7" t="s">
        <v>9394</v>
      </c>
      <c r="I851" s="7">
        <v>4</v>
      </c>
      <c r="J851" s="7" t="s">
        <v>10310</v>
      </c>
      <c r="K851" s="9" t="s">
        <v>8987</v>
      </c>
    </row>
    <row r="852" spans="1:11">
      <c r="A852" s="7">
        <v>850</v>
      </c>
      <c r="B852" s="7" t="s">
        <v>8983</v>
      </c>
      <c r="C852" s="7" t="s">
        <v>8984</v>
      </c>
      <c r="D852" s="7" t="s">
        <v>7555</v>
      </c>
      <c r="E852" s="7" t="s">
        <v>10328</v>
      </c>
      <c r="F852" s="8" t="s">
        <v>9244</v>
      </c>
      <c r="G852" s="7">
        <v>30</v>
      </c>
      <c r="H852" s="7" t="s">
        <v>9015</v>
      </c>
      <c r="I852" s="7">
        <v>5</v>
      </c>
      <c r="J852" s="7" t="s">
        <v>7732</v>
      </c>
      <c r="K852" s="9" t="s">
        <v>8987</v>
      </c>
    </row>
    <row r="853" spans="1:11">
      <c r="A853" s="7">
        <v>851</v>
      </c>
      <c r="B853" s="7" t="s">
        <v>8983</v>
      </c>
      <c r="C853" s="7" t="s">
        <v>8984</v>
      </c>
      <c r="D853" s="7" t="s">
        <v>7555</v>
      </c>
      <c r="E853" s="7" t="s">
        <v>10329</v>
      </c>
      <c r="F853" s="8" t="s">
        <v>9244</v>
      </c>
      <c r="G853" s="7">
        <v>40</v>
      </c>
      <c r="H853" s="7" t="s">
        <v>9003</v>
      </c>
      <c r="I853" s="7">
        <v>6</v>
      </c>
      <c r="J853" s="7" t="s">
        <v>7707</v>
      </c>
      <c r="K853" s="9" t="s">
        <v>8987</v>
      </c>
    </row>
    <row r="854" spans="1:11">
      <c r="A854" s="7">
        <v>852</v>
      </c>
      <c r="B854" s="7" t="s">
        <v>9208</v>
      </c>
      <c r="C854" s="7" t="s">
        <v>8984</v>
      </c>
      <c r="D854" s="7" t="s">
        <v>7555</v>
      </c>
      <c r="E854" s="7" t="s">
        <v>10330</v>
      </c>
      <c r="F854" s="8" t="s">
        <v>9246</v>
      </c>
      <c r="G854" s="7">
        <v>20</v>
      </c>
      <c r="H854" s="7" t="s">
        <v>9394</v>
      </c>
      <c r="I854" s="7">
        <v>4</v>
      </c>
      <c r="J854" s="7" t="s">
        <v>10310</v>
      </c>
      <c r="K854" s="9" t="s">
        <v>8987</v>
      </c>
    </row>
    <row r="855" spans="1:11">
      <c r="A855" s="7">
        <v>853</v>
      </c>
      <c r="B855" s="7" t="s">
        <v>9208</v>
      </c>
      <c r="C855" s="7" t="s">
        <v>8984</v>
      </c>
      <c r="D855" s="7" t="s">
        <v>7555</v>
      </c>
      <c r="E855" s="7" t="s">
        <v>10331</v>
      </c>
      <c r="F855" s="8" t="s">
        <v>9246</v>
      </c>
      <c r="G855" s="7">
        <v>30</v>
      </c>
      <c r="H855" s="7" t="s">
        <v>9015</v>
      </c>
      <c r="I855" s="7">
        <v>5</v>
      </c>
      <c r="J855" s="7" t="s">
        <v>7732</v>
      </c>
      <c r="K855" s="9" t="s">
        <v>8987</v>
      </c>
    </row>
    <row r="856" spans="1:11">
      <c r="A856" s="7">
        <v>854</v>
      </c>
      <c r="B856" s="7" t="s">
        <v>9208</v>
      </c>
      <c r="C856" s="7" t="s">
        <v>8984</v>
      </c>
      <c r="D856" s="7" t="s">
        <v>7555</v>
      </c>
      <c r="E856" s="7" t="s">
        <v>10332</v>
      </c>
      <c r="F856" s="8" t="s">
        <v>9246</v>
      </c>
      <c r="G856" s="7">
        <v>40</v>
      </c>
      <c r="H856" s="7" t="s">
        <v>9003</v>
      </c>
      <c r="I856" s="7">
        <v>6</v>
      </c>
      <c r="J856" s="7" t="s">
        <v>7707</v>
      </c>
      <c r="K856" s="9" t="s">
        <v>8987</v>
      </c>
    </row>
    <row r="857" spans="1:11">
      <c r="A857" s="7">
        <v>855</v>
      </c>
      <c r="B857" s="7" t="s">
        <v>8983</v>
      </c>
      <c r="C857" s="7" t="s">
        <v>8984</v>
      </c>
      <c r="D857" s="7" t="s">
        <v>7555</v>
      </c>
      <c r="E857" s="7" t="s">
        <v>10333</v>
      </c>
      <c r="F857" s="8" t="s">
        <v>9708</v>
      </c>
      <c r="G857" s="7">
        <v>40</v>
      </c>
      <c r="H857" s="7" t="s">
        <v>9003</v>
      </c>
      <c r="I857" s="7">
        <v>6</v>
      </c>
      <c r="J857" s="7" t="s">
        <v>7707</v>
      </c>
      <c r="K857" s="9" t="s">
        <v>8987</v>
      </c>
    </row>
    <row r="858" spans="1:11">
      <c r="A858" s="7">
        <v>856</v>
      </c>
      <c r="B858" s="7" t="s">
        <v>8983</v>
      </c>
      <c r="C858" s="7" t="s">
        <v>8984</v>
      </c>
      <c r="D858" s="7" t="s">
        <v>7555</v>
      </c>
      <c r="E858" s="7" t="s">
        <v>10334</v>
      </c>
      <c r="F858" s="8" t="s">
        <v>9708</v>
      </c>
      <c r="G858" s="7">
        <v>60</v>
      </c>
      <c r="H858" s="7" t="s">
        <v>9289</v>
      </c>
      <c r="I858" s="7">
        <v>9</v>
      </c>
      <c r="J858" s="7" t="s">
        <v>10289</v>
      </c>
      <c r="K858" s="9" t="s">
        <v>8987</v>
      </c>
    </row>
    <row r="859" spans="1:11">
      <c r="A859" s="7">
        <v>857</v>
      </c>
      <c r="B859" s="7" t="s">
        <v>8983</v>
      </c>
      <c r="C859" s="7" t="s">
        <v>8984</v>
      </c>
      <c r="D859" s="7" t="s">
        <v>7555</v>
      </c>
      <c r="E859" s="7" t="s">
        <v>5820</v>
      </c>
      <c r="F859" s="8" t="s">
        <v>9708</v>
      </c>
      <c r="G859" s="7">
        <v>80</v>
      </c>
      <c r="H859" s="7" t="s">
        <v>9153</v>
      </c>
      <c r="I859" s="7">
        <v>11</v>
      </c>
      <c r="J859" s="7" t="s">
        <v>7668</v>
      </c>
      <c r="K859" s="9" t="s">
        <v>8987</v>
      </c>
    </row>
    <row r="860" spans="1:11">
      <c r="A860" s="7">
        <v>858</v>
      </c>
      <c r="B860" s="7" t="s">
        <v>8983</v>
      </c>
      <c r="C860" s="7" t="s">
        <v>8984</v>
      </c>
      <c r="D860" s="7" t="s">
        <v>7555</v>
      </c>
      <c r="E860" s="7" t="s">
        <v>10335</v>
      </c>
      <c r="F860" s="8" t="s">
        <v>9708</v>
      </c>
      <c r="G860" s="7">
        <v>200</v>
      </c>
      <c r="H860" s="7" t="s">
        <v>9447</v>
      </c>
      <c r="I860" s="7">
        <v>25</v>
      </c>
      <c r="J860" s="7" t="s">
        <v>9789</v>
      </c>
      <c r="K860" s="9" t="s">
        <v>8987</v>
      </c>
    </row>
    <row r="861" spans="1:11">
      <c r="A861" s="7">
        <v>859</v>
      </c>
      <c r="B861" s="7" t="s">
        <v>9208</v>
      </c>
      <c r="C861" s="7" t="s">
        <v>8991</v>
      </c>
      <c r="D861" s="7" t="s">
        <v>7555</v>
      </c>
      <c r="E861" s="7" t="s">
        <v>10336</v>
      </c>
      <c r="F861" s="8" t="s">
        <v>9712</v>
      </c>
      <c r="G861" s="7">
        <v>200</v>
      </c>
      <c r="H861" s="7" t="s">
        <v>9447</v>
      </c>
      <c r="I861" s="7">
        <v>25</v>
      </c>
      <c r="J861" s="7" t="s">
        <v>9789</v>
      </c>
      <c r="K861" s="9" t="s">
        <v>8987</v>
      </c>
    </row>
    <row r="862" spans="1:11">
      <c r="A862" s="7">
        <v>860</v>
      </c>
      <c r="B862" s="7" t="s">
        <v>8983</v>
      </c>
      <c r="C862" s="7" t="s">
        <v>8984</v>
      </c>
      <c r="D862" s="7" t="s">
        <v>7555</v>
      </c>
      <c r="E862" s="7" t="s">
        <v>10337</v>
      </c>
      <c r="F862" s="8" t="s">
        <v>9244</v>
      </c>
      <c r="G862" s="7">
        <v>150</v>
      </c>
      <c r="H862" s="7" t="s">
        <v>9253</v>
      </c>
      <c r="I862" s="7">
        <v>19</v>
      </c>
      <c r="J862" s="7" t="s">
        <v>9977</v>
      </c>
      <c r="K862" s="9" t="s">
        <v>8987</v>
      </c>
    </row>
    <row r="863" spans="1:11">
      <c r="A863" s="7">
        <v>861</v>
      </c>
      <c r="B863" s="7" t="s">
        <v>9208</v>
      </c>
      <c r="C863" s="7" t="s">
        <v>8984</v>
      </c>
      <c r="D863" s="7" t="s">
        <v>7555</v>
      </c>
      <c r="E863" s="7" t="s">
        <v>10338</v>
      </c>
      <c r="F863" s="8" t="s">
        <v>9246</v>
      </c>
      <c r="G863" s="7">
        <v>70</v>
      </c>
      <c r="H863" s="7" t="s">
        <v>9194</v>
      </c>
      <c r="I863" s="7">
        <v>10</v>
      </c>
      <c r="J863" s="7" t="s">
        <v>10339</v>
      </c>
      <c r="K863" s="9" t="s">
        <v>8987</v>
      </c>
    </row>
    <row r="864" spans="1:11">
      <c r="A864" s="7">
        <v>862</v>
      </c>
      <c r="B864" s="7" t="s">
        <v>9208</v>
      </c>
      <c r="C864" s="7" t="s">
        <v>8991</v>
      </c>
      <c r="D864" s="7" t="s">
        <v>7555</v>
      </c>
      <c r="E864" s="7" t="s">
        <v>10340</v>
      </c>
      <c r="F864" s="8" t="s">
        <v>9249</v>
      </c>
      <c r="G864" s="7">
        <v>70</v>
      </c>
      <c r="H864" s="7" t="s">
        <v>9194</v>
      </c>
      <c r="I864" s="7">
        <v>10</v>
      </c>
      <c r="J864" s="7" t="s">
        <v>10339</v>
      </c>
      <c r="K864" s="9" t="s">
        <v>8987</v>
      </c>
    </row>
    <row r="865" spans="1:11">
      <c r="A865" s="7">
        <v>863</v>
      </c>
      <c r="B865" s="7" t="s">
        <v>8983</v>
      </c>
      <c r="C865" s="7" t="s">
        <v>8984</v>
      </c>
      <c r="D865" s="7" t="s">
        <v>7581</v>
      </c>
      <c r="E865" s="7" t="s">
        <v>10341</v>
      </c>
      <c r="F865" s="8" t="s">
        <v>9648</v>
      </c>
      <c r="G865" s="7">
        <v>20</v>
      </c>
      <c r="H865" s="7" t="s">
        <v>9394</v>
      </c>
      <c r="I865" s="7">
        <v>4</v>
      </c>
      <c r="J865" s="7" t="s">
        <v>10310</v>
      </c>
      <c r="K865" s="9" t="s">
        <v>8987</v>
      </c>
    </row>
    <row r="866" spans="1:11">
      <c r="A866" s="7">
        <v>864</v>
      </c>
      <c r="B866" s="7" t="s">
        <v>8983</v>
      </c>
      <c r="C866" s="7" t="s">
        <v>8984</v>
      </c>
      <c r="D866" s="7" t="s">
        <v>7581</v>
      </c>
      <c r="E866" s="7" t="s">
        <v>10342</v>
      </c>
      <c r="F866" s="8" t="s">
        <v>9648</v>
      </c>
      <c r="G866" s="7">
        <v>30</v>
      </c>
      <c r="H866" s="7" t="s">
        <v>9015</v>
      </c>
      <c r="I866" s="7">
        <v>5</v>
      </c>
      <c r="J866" s="7" t="s">
        <v>7732</v>
      </c>
      <c r="K866" s="9" t="s">
        <v>8987</v>
      </c>
    </row>
    <row r="867" spans="1:11">
      <c r="A867" s="7">
        <v>865</v>
      </c>
      <c r="B867" s="7" t="s">
        <v>8983</v>
      </c>
      <c r="C867" s="7" t="s">
        <v>8984</v>
      </c>
      <c r="D867" s="7" t="s">
        <v>7581</v>
      </c>
      <c r="E867" s="7" t="s">
        <v>10343</v>
      </c>
      <c r="F867" s="8" t="s">
        <v>9648</v>
      </c>
      <c r="G867" s="7">
        <v>40</v>
      </c>
      <c r="H867" s="7" t="s">
        <v>9003</v>
      </c>
      <c r="I867" s="7">
        <v>6</v>
      </c>
      <c r="J867" s="7" t="s">
        <v>7707</v>
      </c>
      <c r="K867" s="9" t="s">
        <v>8987</v>
      </c>
    </row>
    <row r="868" spans="1:11">
      <c r="A868" s="7">
        <v>866</v>
      </c>
      <c r="B868" s="7" t="s">
        <v>8983</v>
      </c>
      <c r="C868" s="7" t="s">
        <v>8984</v>
      </c>
      <c r="D868" s="7" t="s">
        <v>7542</v>
      </c>
      <c r="E868" s="7" t="s">
        <v>10344</v>
      </c>
      <c r="F868" s="8" t="s">
        <v>10059</v>
      </c>
      <c r="G868" s="7">
        <v>390</v>
      </c>
      <c r="H868" s="7" t="s">
        <v>10345</v>
      </c>
      <c r="I868" s="7">
        <v>37</v>
      </c>
      <c r="J868" s="7" t="s">
        <v>10346</v>
      </c>
      <c r="K868" s="9" t="s">
        <v>8987</v>
      </c>
    </row>
    <row r="869" spans="1:11">
      <c r="A869" s="7">
        <v>867</v>
      </c>
      <c r="B869" s="7" t="s">
        <v>8983</v>
      </c>
      <c r="C869" s="7" t="s">
        <v>8984</v>
      </c>
      <c r="D869" s="7" t="s">
        <v>7542</v>
      </c>
      <c r="E869" s="7" t="s">
        <v>10347</v>
      </c>
      <c r="F869" s="8" t="s">
        <v>10059</v>
      </c>
      <c r="G869" s="7">
        <v>130</v>
      </c>
      <c r="H869" s="7" t="s">
        <v>9062</v>
      </c>
      <c r="I869" s="7">
        <v>13</v>
      </c>
      <c r="J869" s="7" t="s">
        <v>10348</v>
      </c>
      <c r="K869" s="9" t="s">
        <v>8987</v>
      </c>
    </row>
    <row r="870" spans="1:11">
      <c r="A870" s="7">
        <v>868</v>
      </c>
      <c r="B870" s="7" t="s">
        <v>8983</v>
      </c>
      <c r="C870" s="7" t="s">
        <v>8984</v>
      </c>
      <c r="D870" s="7" t="s">
        <v>7542</v>
      </c>
      <c r="E870" s="7" t="s">
        <v>10349</v>
      </c>
      <c r="F870" s="8" t="s">
        <v>10059</v>
      </c>
      <c r="G870" s="7">
        <v>195</v>
      </c>
      <c r="H870" s="7" t="s">
        <v>10350</v>
      </c>
      <c r="I870" s="7">
        <v>19</v>
      </c>
      <c r="J870" s="7" t="s">
        <v>10351</v>
      </c>
      <c r="K870" s="9" t="s">
        <v>8987</v>
      </c>
    </row>
    <row r="871" spans="1:11">
      <c r="A871" s="7">
        <v>869</v>
      </c>
      <c r="B871" s="7" t="s">
        <v>8983</v>
      </c>
      <c r="C871" s="7" t="s">
        <v>8984</v>
      </c>
      <c r="D871" s="7" t="s">
        <v>7542</v>
      </c>
      <c r="E871" s="7" t="s">
        <v>10352</v>
      </c>
      <c r="F871" s="8" t="s">
        <v>10059</v>
      </c>
      <c r="G871" s="7">
        <v>260</v>
      </c>
      <c r="H871" s="7" t="s">
        <v>10353</v>
      </c>
      <c r="I871" s="7">
        <v>25</v>
      </c>
      <c r="J871" s="7" t="s">
        <v>10354</v>
      </c>
      <c r="K871" s="9" t="s">
        <v>8987</v>
      </c>
    </row>
    <row r="872" spans="1:11">
      <c r="A872" s="7">
        <v>870</v>
      </c>
      <c r="B872" s="7" t="s">
        <v>8983</v>
      </c>
      <c r="C872" s="7" t="s">
        <v>8984</v>
      </c>
      <c r="D872" s="7" t="s">
        <v>7551</v>
      </c>
      <c r="E872" s="7" t="s">
        <v>10355</v>
      </c>
      <c r="F872" s="8" t="s">
        <v>10059</v>
      </c>
      <c r="G872" s="7">
        <v>130</v>
      </c>
      <c r="H872" s="7" t="s">
        <v>9062</v>
      </c>
      <c r="I872" s="7">
        <v>13</v>
      </c>
      <c r="J872" s="7" t="s">
        <v>10348</v>
      </c>
      <c r="K872" s="9" t="s">
        <v>8987</v>
      </c>
    </row>
    <row r="873" spans="1:11">
      <c r="A873" s="7">
        <v>871</v>
      </c>
      <c r="B873" s="7" t="s">
        <v>8983</v>
      </c>
      <c r="C873" s="7" t="s">
        <v>8984</v>
      </c>
      <c r="D873" s="7" t="s">
        <v>7551</v>
      </c>
      <c r="E873" s="7" t="s">
        <v>10356</v>
      </c>
      <c r="F873" s="8" t="s">
        <v>10059</v>
      </c>
      <c r="G873" s="7">
        <v>195</v>
      </c>
      <c r="H873" s="7" t="s">
        <v>10350</v>
      </c>
      <c r="I873" s="7">
        <v>19</v>
      </c>
      <c r="J873" s="7" t="s">
        <v>10351</v>
      </c>
      <c r="K873" s="9" t="s">
        <v>8987</v>
      </c>
    </row>
    <row r="874" spans="1:11">
      <c r="A874" s="7">
        <v>872</v>
      </c>
      <c r="B874" s="7" t="s">
        <v>8983</v>
      </c>
      <c r="C874" s="7" t="s">
        <v>8984</v>
      </c>
      <c r="D874" s="7" t="s">
        <v>7551</v>
      </c>
      <c r="E874" s="7" t="s">
        <v>10357</v>
      </c>
      <c r="F874" s="8" t="s">
        <v>10059</v>
      </c>
      <c r="G874" s="7">
        <v>260</v>
      </c>
      <c r="H874" s="7" t="s">
        <v>10353</v>
      </c>
      <c r="I874" s="7">
        <v>25</v>
      </c>
      <c r="J874" s="7" t="s">
        <v>10354</v>
      </c>
      <c r="K874" s="9" t="s">
        <v>8987</v>
      </c>
    </row>
    <row r="875" spans="1:11">
      <c r="A875" s="7">
        <v>873</v>
      </c>
      <c r="B875" s="7" t="s">
        <v>8983</v>
      </c>
      <c r="C875" s="7" t="s">
        <v>8984</v>
      </c>
      <c r="D875" s="7" t="s">
        <v>7555</v>
      </c>
      <c r="E875" s="7" t="s">
        <v>10358</v>
      </c>
      <c r="F875" s="8" t="s">
        <v>9782</v>
      </c>
      <c r="G875" s="7">
        <v>130</v>
      </c>
      <c r="H875" s="7" t="s">
        <v>9062</v>
      </c>
      <c r="I875" s="7">
        <v>13</v>
      </c>
      <c r="J875" s="7" t="s">
        <v>10348</v>
      </c>
      <c r="K875" s="9" t="s">
        <v>8987</v>
      </c>
    </row>
    <row r="876" spans="1:11">
      <c r="A876" s="7">
        <v>874</v>
      </c>
      <c r="B876" s="7" t="s">
        <v>8983</v>
      </c>
      <c r="C876" s="7" t="s">
        <v>8984</v>
      </c>
      <c r="D876" s="7" t="s">
        <v>7555</v>
      </c>
      <c r="E876" s="7" t="s">
        <v>10359</v>
      </c>
      <c r="F876" s="8" t="s">
        <v>9782</v>
      </c>
      <c r="G876" s="7">
        <v>195</v>
      </c>
      <c r="H876" s="7" t="s">
        <v>10350</v>
      </c>
      <c r="I876" s="7">
        <v>19</v>
      </c>
      <c r="J876" s="7" t="s">
        <v>10351</v>
      </c>
      <c r="K876" s="9" t="s">
        <v>8987</v>
      </c>
    </row>
    <row r="877" spans="1:11">
      <c r="A877" s="7">
        <v>875</v>
      </c>
      <c r="B877" s="7" t="s">
        <v>8983</v>
      </c>
      <c r="C877" s="7" t="s">
        <v>8984</v>
      </c>
      <c r="D877" s="7" t="s">
        <v>7555</v>
      </c>
      <c r="E877" s="7" t="s">
        <v>10360</v>
      </c>
      <c r="F877" s="8" t="s">
        <v>9782</v>
      </c>
      <c r="G877" s="7">
        <v>260</v>
      </c>
      <c r="H877" s="7" t="s">
        <v>10353</v>
      </c>
      <c r="I877" s="7">
        <v>25</v>
      </c>
      <c r="J877" s="7" t="s">
        <v>10354</v>
      </c>
      <c r="K877" s="9" t="s">
        <v>8987</v>
      </c>
    </row>
    <row r="878" spans="1:11">
      <c r="A878" s="7">
        <v>876</v>
      </c>
      <c r="B878" s="7" t="s">
        <v>8983</v>
      </c>
      <c r="C878" s="7" t="s">
        <v>8998</v>
      </c>
      <c r="D878" s="7" t="s">
        <v>7555</v>
      </c>
      <c r="E878" s="7" t="s">
        <v>10361</v>
      </c>
      <c r="F878" s="8" t="s">
        <v>9782</v>
      </c>
      <c r="G878" s="7" t="s">
        <v>8987</v>
      </c>
      <c r="H878" s="7" t="s">
        <v>8987</v>
      </c>
      <c r="I878" s="7" t="s">
        <v>8987</v>
      </c>
      <c r="J878" s="7" t="s">
        <v>8987</v>
      </c>
      <c r="K878" s="9" t="s">
        <v>8987</v>
      </c>
    </row>
    <row r="879" spans="1:11">
      <c r="A879" s="7">
        <v>877</v>
      </c>
      <c r="B879" s="7" t="s">
        <v>8983</v>
      </c>
      <c r="C879" s="7" t="s">
        <v>8984</v>
      </c>
      <c r="D879" s="7" t="s">
        <v>7549</v>
      </c>
      <c r="E879" s="7" t="s">
        <v>10362</v>
      </c>
      <c r="F879" s="8" t="s">
        <v>9717</v>
      </c>
      <c r="G879" s="7">
        <v>40</v>
      </c>
      <c r="H879" s="7" t="s">
        <v>9003</v>
      </c>
      <c r="I879" s="7">
        <v>6</v>
      </c>
      <c r="J879" s="7" t="s">
        <v>7707</v>
      </c>
      <c r="K879" s="9" t="s">
        <v>8987</v>
      </c>
    </row>
    <row r="880" spans="1:11">
      <c r="A880" s="7">
        <v>878</v>
      </c>
      <c r="B880" s="7" t="s">
        <v>8983</v>
      </c>
      <c r="C880" s="7" t="s">
        <v>8984</v>
      </c>
      <c r="D880" s="7" t="s">
        <v>7549</v>
      </c>
      <c r="E880" s="7" t="s">
        <v>10363</v>
      </c>
      <c r="F880" s="8" t="s">
        <v>9717</v>
      </c>
      <c r="G880" s="7">
        <v>60</v>
      </c>
      <c r="H880" s="7" t="s">
        <v>9289</v>
      </c>
      <c r="I880" s="7">
        <v>9</v>
      </c>
      <c r="J880" s="7" t="s">
        <v>10289</v>
      </c>
      <c r="K880" s="9" t="s">
        <v>8987</v>
      </c>
    </row>
    <row r="881" spans="1:11">
      <c r="A881" s="7">
        <v>879</v>
      </c>
      <c r="B881" s="7" t="s">
        <v>8983</v>
      </c>
      <c r="C881" s="7" t="s">
        <v>8984</v>
      </c>
      <c r="D881" s="7" t="s">
        <v>7549</v>
      </c>
      <c r="E881" s="7" t="s">
        <v>10364</v>
      </c>
      <c r="F881" s="8" t="s">
        <v>9717</v>
      </c>
      <c r="G881" s="7">
        <v>80</v>
      </c>
      <c r="H881" s="7" t="s">
        <v>9153</v>
      </c>
      <c r="I881" s="7">
        <v>11</v>
      </c>
      <c r="J881" s="7" t="s">
        <v>7668</v>
      </c>
      <c r="K881" s="9" t="s">
        <v>8987</v>
      </c>
    </row>
    <row r="882" spans="1:11">
      <c r="A882" s="7">
        <v>880</v>
      </c>
      <c r="B882" s="7" t="s">
        <v>8983</v>
      </c>
      <c r="C882" s="7" t="s">
        <v>8998</v>
      </c>
      <c r="D882" s="7" t="s">
        <v>7549</v>
      </c>
      <c r="E882" s="7" t="s">
        <v>10365</v>
      </c>
      <c r="F882" s="8" t="s">
        <v>9717</v>
      </c>
      <c r="G882" s="7" t="s">
        <v>8987</v>
      </c>
      <c r="H882" s="7" t="s">
        <v>8987</v>
      </c>
      <c r="I882" s="7" t="s">
        <v>8987</v>
      </c>
      <c r="J882" s="7" t="s">
        <v>8987</v>
      </c>
      <c r="K882" s="9" t="s">
        <v>8987</v>
      </c>
    </row>
    <row r="883" spans="1:11">
      <c r="A883" s="7">
        <v>881</v>
      </c>
      <c r="B883" s="7" t="s">
        <v>8983</v>
      </c>
      <c r="C883" s="7" t="s">
        <v>8984</v>
      </c>
      <c r="D883" s="7" t="s">
        <v>7566</v>
      </c>
      <c r="E883" s="7" t="s">
        <v>10366</v>
      </c>
      <c r="F883" s="8" t="s">
        <v>9628</v>
      </c>
      <c r="G883" s="7">
        <v>12</v>
      </c>
      <c r="H883" s="7" t="s">
        <v>9213</v>
      </c>
      <c r="I883" s="7">
        <v>4</v>
      </c>
      <c r="J883" s="7" t="s">
        <v>9280</v>
      </c>
      <c r="K883" s="9" t="s">
        <v>8987</v>
      </c>
    </row>
    <row r="884" spans="1:11">
      <c r="A884" s="7">
        <v>882</v>
      </c>
      <c r="B884" s="7" t="s">
        <v>8983</v>
      </c>
      <c r="C884" s="7" t="s">
        <v>8984</v>
      </c>
      <c r="D884" s="7" t="s">
        <v>7566</v>
      </c>
      <c r="E884" s="7" t="s">
        <v>10367</v>
      </c>
      <c r="F884" s="8" t="s">
        <v>9628</v>
      </c>
      <c r="G884" s="7">
        <v>16</v>
      </c>
      <c r="H884" s="7" t="s">
        <v>9215</v>
      </c>
      <c r="I884" s="7">
        <v>5</v>
      </c>
      <c r="J884" s="7" t="s">
        <v>10368</v>
      </c>
      <c r="K884" s="9" t="s">
        <v>8987</v>
      </c>
    </row>
    <row r="885" spans="1:11">
      <c r="A885" s="7">
        <v>883</v>
      </c>
      <c r="B885" s="7" t="s">
        <v>8983</v>
      </c>
      <c r="C885" s="7" t="s">
        <v>8984</v>
      </c>
      <c r="D885" s="7" t="s">
        <v>7566</v>
      </c>
      <c r="E885" s="7" t="s">
        <v>10369</v>
      </c>
      <c r="F885" s="8" t="s">
        <v>9628</v>
      </c>
      <c r="G885" s="7">
        <v>24</v>
      </c>
      <c r="H885" s="7" t="s">
        <v>9418</v>
      </c>
      <c r="I885" s="7">
        <v>6</v>
      </c>
      <c r="J885" s="7" t="s">
        <v>10370</v>
      </c>
      <c r="K885" s="9" t="s">
        <v>8987</v>
      </c>
    </row>
    <row r="886" spans="1:11">
      <c r="A886" s="7">
        <v>884</v>
      </c>
      <c r="B886" s="7" t="s">
        <v>8983</v>
      </c>
      <c r="C886" s="7" t="s">
        <v>8984</v>
      </c>
      <c r="D886" s="7" t="s">
        <v>7573</v>
      </c>
      <c r="E886" s="7" t="s">
        <v>10371</v>
      </c>
      <c r="F886" s="8" t="s">
        <v>9260</v>
      </c>
      <c r="G886" s="7">
        <v>40</v>
      </c>
      <c r="H886" s="7" t="s">
        <v>9003</v>
      </c>
      <c r="I886" s="7">
        <v>6</v>
      </c>
      <c r="J886" s="7" t="s">
        <v>7707</v>
      </c>
      <c r="K886" s="9" t="s">
        <v>8987</v>
      </c>
    </row>
    <row r="887" spans="1:11">
      <c r="A887" s="7">
        <v>885</v>
      </c>
      <c r="B887" s="7" t="s">
        <v>8983</v>
      </c>
      <c r="C887" s="7" t="s">
        <v>8984</v>
      </c>
      <c r="D887" s="7" t="s">
        <v>7573</v>
      </c>
      <c r="E887" s="7" t="s">
        <v>10372</v>
      </c>
      <c r="F887" s="8" t="s">
        <v>9260</v>
      </c>
      <c r="G887" s="7">
        <v>60</v>
      </c>
      <c r="H887" s="7" t="s">
        <v>9289</v>
      </c>
      <c r="I887" s="7">
        <v>9</v>
      </c>
      <c r="J887" s="7" t="s">
        <v>10289</v>
      </c>
      <c r="K887" s="9" t="s">
        <v>8987</v>
      </c>
    </row>
    <row r="888" spans="1:11">
      <c r="A888" s="7">
        <v>886</v>
      </c>
      <c r="B888" s="7" t="s">
        <v>8983</v>
      </c>
      <c r="C888" s="7" t="s">
        <v>8984</v>
      </c>
      <c r="D888" s="7" t="s">
        <v>7573</v>
      </c>
      <c r="E888" s="7" t="s">
        <v>10373</v>
      </c>
      <c r="F888" s="8" t="s">
        <v>9260</v>
      </c>
      <c r="G888" s="7">
        <v>80</v>
      </c>
      <c r="H888" s="7" t="s">
        <v>9153</v>
      </c>
      <c r="I888" s="7">
        <v>11</v>
      </c>
      <c r="J888" s="7" t="s">
        <v>7668</v>
      </c>
      <c r="K888" s="9" t="s">
        <v>8987</v>
      </c>
    </row>
    <row r="889" spans="1:11">
      <c r="A889" s="7">
        <v>887</v>
      </c>
      <c r="B889" s="7" t="s">
        <v>8983</v>
      </c>
      <c r="C889" s="7" t="s">
        <v>8984</v>
      </c>
      <c r="D889" s="7" t="s">
        <v>7547</v>
      </c>
      <c r="E889" s="7" t="s">
        <v>10374</v>
      </c>
      <c r="F889" s="8" t="s">
        <v>9593</v>
      </c>
      <c r="G889" s="7">
        <v>10</v>
      </c>
      <c r="H889" s="7" t="s">
        <v>9292</v>
      </c>
      <c r="I889" s="7">
        <v>3</v>
      </c>
      <c r="J889" s="7" t="s">
        <v>7718</v>
      </c>
      <c r="K889" s="9" t="s">
        <v>8987</v>
      </c>
    </row>
    <row r="890" spans="1:11">
      <c r="A890" s="7">
        <v>888</v>
      </c>
      <c r="B890" s="7" t="s">
        <v>8983</v>
      </c>
      <c r="C890" s="7" t="s">
        <v>8984</v>
      </c>
      <c r="D890" s="7" t="s">
        <v>7547</v>
      </c>
      <c r="E890" s="7" t="s">
        <v>10375</v>
      </c>
      <c r="F890" s="8" t="s">
        <v>9593</v>
      </c>
      <c r="G890" s="7">
        <v>15</v>
      </c>
      <c r="H890" s="7" t="s">
        <v>9053</v>
      </c>
      <c r="I890" s="7">
        <v>3</v>
      </c>
      <c r="J890" s="7" t="s">
        <v>9054</v>
      </c>
      <c r="K890" s="9" t="s">
        <v>8987</v>
      </c>
    </row>
    <row r="891" spans="1:11">
      <c r="A891" s="7">
        <v>889</v>
      </c>
      <c r="B891" s="7" t="s">
        <v>8983</v>
      </c>
      <c r="C891" s="7" t="s">
        <v>8984</v>
      </c>
      <c r="D891" s="7" t="s">
        <v>7547</v>
      </c>
      <c r="E891" s="7" t="s">
        <v>7494</v>
      </c>
      <c r="F891" s="8" t="s">
        <v>9593</v>
      </c>
      <c r="G891" s="7">
        <v>20</v>
      </c>
      <c r="H891" s="7" t="s">
        <v>9394</v>
      </c>
      <c r="I891" s="7">
        <v>4</v>
      </c>
      <c r="J891" s="7" t="s">
        <v>10310</v>
      </c>
      <c r="K891" s="9" t="s">
        <v>8987</v>
      </c>
    </row>
    <row r="892" spans="1:11">
      <c r="A892" s="7">
        <v>890</v>
      </c>
      <c r="B892" s="7" t="s">
        <v>8983</v>
      </c>
      <c r="C892" s="7" t="s">
        <v>8984</v>
      </c>
      <c r="D892" s="7" t="s">
        <v>7547</v>
      </c>
      <c r="E892" s="7" t="s">
        <v>10376</v>
      </c>
      <c r="F892" s="8" t="s">
        <v>9593</v>
      </c>
      <c r="G892" s="7">
        <v>20</v>
      </c>
      <c r="H892" s="7" t="s">
        <v>9394</v>
      </c>
      <c r="I892" s="7">
        <v>1</v>
      </c>
      <c r="J892" s="7" t="s">
        <v>7851</v>
      </c>
      <c r="K892" s="9" t="s">
        <v>8987</v>
      </c>
    </row>
    <row r="893" spans="1:11">
      <c r="A893" s="7">
        <v>891</v>
      </c>
      <c r="B893" s="7" t="s">
        <v>8990</v>
      </c>
      <c r="C893" s="7" t="s">
        <v>8998</v>
      </c>
      <c r="D893" s="7" t="s">
        <v>7547</v>
      </c>
      <c r="E893" s="7" t="s">
        <v>10377</v>
      </c>
      <c r="F893" s="8" t="s">
        <v>9593</v>
      </c>
      <c r="G893" s="7" t="s">
        <v>8987</v>
      </c>
      <c r="H893" s="7" t="s">
        <v>8987</v>
      </c>
      <c r="I893" s="7" t="s">
        <v>8987</v>
      </c>
      <c r="J893" s="7" t="s">
        <v>8987</v>
      </c>
      <c r="K893" s="9" t="s">
        <v>8987</v>
      </c>
    </row>
    <row r="894" spans="1:11">
      <c r="A894" s="7">
        <v>892</v>
      </c>
      <c r="B894" s="7" t="s">
        <v>8990</v>
      </c>
      <c r="C894" s="7" t="s">
        <v>8984</v>
      </c>
      <c r="D894" s="7" t="s">
        <v>7547</v>
      </c>
      <c r="E894" s="7" t="s">
        <v>10378</v>
      </c>
      <c r="F894" s="8" t="s">
        <v>9593</v>
      </c>
      <c r="G894" s="7">
        <v>8</v>
      </c>
      <c r="H894" s="7" t="s">
        <v>8991</v>
      </c>
      <c r="I894" s="7">
        <v>2</v>
      </c>
      <c r="J894" s="7" t="s">
        <v>9211</v>
      </c>
      <c r="K894" s="9" t="s">
        <v>8987</v>
      </c>
    </row>
    <row r="895" spans="1:11">
      <c r="A895" s="7">
        <v>893</v>
      </c>
      <c r="B895" s="7" t="s">
        <v>8983</v>
      </c>
      <c r="C895" s="7" t="s">
        <v>8984</v>
      </c>
      <c r="D895" s="7" t="s">
        <v>7547</v>
      </c>
      <c r="E895" s="7" t="s">
        <v>10379</v>
      </c>
      <c r="F895" s="8" t="s">
        <v>9593</v>
      </c>
      <c r="G895" s="7">
        <v>12</v>
      </c>
      <c r="H895" s="7" t="s">
        <v>9213</v>
      </c>
      <c r="I895" s="7">
        <v>3</v>
      </c>
      <c r="J895" s="7" t="s">
        <v>7720</v>
      </c>
      <c r="K895" s="9" t="s">
        <v>8987</v>
      </c>
    </row>
    <row r="896" spans="1:11">
      <c r="A896" s="7">
        <v>894</v>
      </c>
      <c r="B896" s="7" t="s">
        <v>8983</v>
      </c>
      <c r="C896" s="7" t="s">
        <v>8984</v>
      </c>
      <c r="D896" s="7" t="s">
        <v>7547</v>
      </c>
      <c r="E896" s="7" t="s">
        <v>10380</v>
      </c>
      <c r="F896" s="8" t="s">
        <v>9593</v>
      </c>
      <c r="G896" s="7">
        <v>16</v>
      </c>
      <c r="H896" s="7" t="s">
        <v>9215</v>
      </c>
      <c r="I896" s="7">
        <v>3</v>
      </c>
      <c r="J896" s="7" t="s">
        <v>7769</v>
      </c>
      <c r="K896" s="9" t="s">
        <v>8987</v>
      </c>
    </row>
    <row r="897" spans="1:11">
      <c r="A897" s="7">
        <v>895</v>
      </c>
      <c r="B897" s="7" t="s">
        <v>8983</v>
      </c>
      <c r="C897" s="7" t="s">
        <v>8984</v>
      </c>
      <c r="D897" s="7" t="s">
        <v>7547</v>
      </c>
      <c r="E897" s="7" t="s">
        <v>10381</v>
      </c>
      <c r="F897" s="8" t="s">
        <v>9593</v>
      </c>
      <c r="G897" s="7">
        <v>16</v>
      </c>
      <c r="H897" s="7" t="s">
        <v>9215</v>
      </c>
      <c r="I897" s="7">
        <v>3</v>
      </c>
      <c r="J897" s="7" t="s">
        <v>7769</v>
      </c>
      <c r="K897" s="9" t="s">
        <v>8987</v>
      </c>
    </row>
    <row r="898" spans="1:11">
      <c r="A898" s="7">
        <v>896</v>
      </c>
      <c r="B898" s="7" t="s">
        <v>8990</v>
      </c>
      <c r="C898" s="7" t="s">
        <v>8984</v>
      </c>
      <c r="D898" s="7" t="s">
        <v>7547</v>
      </c>
      <c r="E898" s="7" t="s">
        <v>10382</v>
      </c>
      <c r="F898" s="8" t="s">
        <v>9593</v>
      </c>
      <c r="G898" s="7">
        <v>15</v>
      </c>
      <c r="H898" s="7" t="s">
        <v>9053</v>
      </c>
      <c r="I898" s="7">
        <v>1</v>
      </c>
      <c r="J898" s="7" t="s">
        <v>7862</v>
      </c>
      <c r="K898" s="9" t="s">
        <v>8987</v>
      </c>
    </row>
    <row r="899" spans="1:11">
      <c r="A899" s="7">
        <v>897</v>
      </c>
      <c r="B899" s="7" t="s">
        <v>8983</v>
      </c>
      <c r="C899" s="7" t="s">
        <v>8984</v>
      </c>
      <c r="D899" s="7" t="s">
        <v>7547</v>
      </c>
      <c r="E899" s="7" t="s">
        <v>10383</v>
      </c>
      <c r="F899" s="8" t="s">
        <v>10384</v>
      </c>
      <c r="G899" s="7">
        <v>20</v>
      </c>
      <c r="H899" s="7" t="s">
        <v>9394</v>
      </c>
      <c r="I899" s="7">
        <v>4</v>
      </c>
      <c r="J899" s="7" t="s">
        <v>10310</v>
      </c>
      <c r="K899" s="9" t="s">
        <v>8987</v>
      </c>
    </row>
    <row r="900" spans="1:11">
      <c r="A900" s="7">
        <v>898</v>
      </c>
      <c r="B900" s="7" t="s">
        <v>8983</v>
      </c>
      <c r="C900" s="7" t="s">
        <v>8984</v>
      </c>
      <c r="D900" s="7" t="s">
        <v>7547</v>
      </c>
      <c r="E900" s="7" t="s">
        <v>10385</v>
      </c>
      <c r="F900" s="8" t="s">
        <v>10384</v>
      </c>
      <c r="G900" s="7">
        <v>30</v>
      </c>
      <c r="H900" s="7" t="s">
        <v>9015</v>
      </c>
      <c r="I900" s="7">
        <v>5</v>
      </c>
      <c r="J900" s="7" t="s">
        <v>7732</v>
      </c>
      <c r="K900" s="9" t="s">
        <v>8987</v>
      </c>
    </row>
    <row r="901" spans="1:11">
      <c r="A901" s="7">
        <v>899</v>
      </c>
      <c r="B901" s="7" t="s">
        <v>8983</v>
      </c>
      <c r="C901" s="7" t="s">
        <v>8984</v>
      </c>
      <c r="D901" s="7" t="s">
        <v>7547</v>
      </c>
      <c r="E901" s="7" t="s">
        <v>10386</v>
      </c>
      <c r="F901" s="8" t="s">
        <v>10384</v>
      </c>
      <c r="G901" s="7">
        <v>40</v>
      </c>
      <c r="H901" s="7" t="s">
        <v>9003</v>
      </c>
      <c r="I901" s="7">
        <v>6</v>
      </c>
      <c r="J901" s="7" t="s">
        <v>7707</v>
      </c>
      <c r="K901" s="9" t="s">
        <v>8987</v>
      </c>
    </row>
    <row r="902" spans="1:11">
      <c r="A902" s="7">
        <v>900</v>
      </c>
      <c r="B902" s="7" t="s">
        <v>8983</v>
      </c>
      <c r="C902" s="7" t="s">
        <v>8984</v>
      </c>
      <c r="D902" s="7" t="s">
        <v>7547</v>
      </c>
      <c r="E902" s="7" t="s">
        <v>10387</v>
      </c>
      <c r="F902" s="8" t="s">
        <v>10384</v>
      </c>
      <c r="G902" s="7">
        <v>40</v>
      </c>
      <c r="H902" s="7" t="s">
        <v>9003</v>
      </c>
      <c r="I902" s="7">
        <v>6</v>
      </c>
      <c r="J902" s="7" t="s">
        <v>7707</v>
      </c>
      <c r="K902" s="9" t="s">
        <v>8987</v>
      </c>
    </row>
    <row r="903" spans="1:11">
      <c r="A903" s="7">
        <v>901</v>
      </c>
      <c r="B903" s="7" t="s">
        <v>8990</v>
      </c>
      <c r="C903" s="7" t="s">
        <v>8998</v>
      </c>
      <c r="D903" s="7" t="s">
        <v>7547</v>
      </c>
      <c r="E903" s="7" t="s">
        <v>10388</v>
      </c>
      <c r="F903" s="8" t="s">
        <v>10384</v>
      </c>
      <c r="G903" s="7" t="s">
        <v>8987</v>
      </c>
      <c r="H903" s="7" t="s">
        <v>8987</v>
      </c>
      <c r="I903" s="7" t="s">
        <v>8987</v>
      </c>
      <c r="J903" s="7" t="s">
        <v>8987</v>
      </c>
      <c r="K903" s="9" t="s">
        <v>8987</v>
      </c>
    </row>
    <row r="904" spans="1:11">
      <c r="A904" s="7">
        <v>902</v>
      </c>
      <c r="B904" s="7" t="s">
        <v>8990</v>
      </c>
      <c r="C904" s="7" t="s">
        <v>8984</v>
      </c>
      <c r="D904" s="7" t="s">
        <v>7547</v>
      </c>
      <c r="E904" s="7" t="s">
        <v>10389</v>
      </c>
      <c r="F904" s="8" t="s">
        <v>10384</v>
      </c>
      <c r="G904" s="7">
        <v>16</v>
      </c>
      <c r="H904" s="7" t="s">
        <v>9215</v>
      </c>
      <c r="I904" s="7">
        <v>3</v>
      </c>
      <c r="J904" s="7" t="s">
        <v>7769</v>
      </c>
      <c r="K904" s="9" t="s">
        <v>8987</v>
      </c>
    </row>
    <row r="905" spans="1:11">
      <c r="A905" s="7">
        <v>903</v>
      </c>
      <c r="B905" s="7" t="s">
        <v>8983</v>
      </c>
      <c r="C905" s="7" t="s">
        <v>8984</v>
      </c>
      <c r="D905" s="7" t="s">
        <v>7547</v>
      </c>
      <c r="E905" s="7" t="s">
        <v>10390</v>
      </c>
      <c r="F905" s="8" t="s">
        <v>10384</v>
      </c>
      <c r="G905" s="7">
        <v>24</v>
      </c>
      <c r="H905" s="7" t="s">
        <v>9418</v>
      </c>
      <c r="I905" s="7">
        <v>4</v>
      </c>
      <c r="J905" s="7" t="s">
        <v>7696</v>
      </c>
      <c r="K905" s="9" t="s">
        <v>8987</v>
      </c>
    </row>
    <row r="906" spans="1:11">
      <c r="A906" s="7">
        <v>904</v>
      </c>
      <c r="B906" s="7" t="s">
        <v>8983</v>
      </c>
      <c r="C906" s="7" t="s">
        <v>8984</v>
      </c>
      <c r="D906" s="7" t="s">
        <v>7547</v>
      </c>
      <c r="E906" s="7" t="s">
        <v>10391</v>
      </c>
      <c r="F906" s="8" t="s">
        <v>10384</v>
      </c>
      <c r="G906" s="7">
        <v>32</v>
      </c>
      <c r="H906" s="7" t="s">
        <v>10392</v>
      </c>
      <c r="I906" s="7">
        <v>5</v>
      </c>
      <c r="J906" s="7" t="s">
        <v>10393</v>
      </c>
      <c r="K906" s="9" t="s">
        <v>8987</v>
      </c>
    </row>
    <row r="907" spans="1:11">
      <c r="A907" s="7">
        <v>905</v>
      </c>
      <c r="B907" s="7" t="s">
        <v>8983</v>
      </c>
      <c r="C907" s="7" t="s">
        <v>8984</v>
      </c>
      <c r="D907" s="7" t="s">
        <v>7547</v>
      </c>
      <c r="E907" s="7" t="s">
        <v>10394</v>
      </c>
      <c r="F907" s="8" t="s">
        <v>10384</v>
      </c>
      <c r="G907" s="7">
        <v>32</v>
      </c>
      <c r="H907" s="7" t="s">
        <v>10392</v>
      </c>
      <c r="I907" s="7">
        <v>5</v>
      </c>
      <c r="J907" s="7" t="s">
        <v>10393</v>
      </c>
      <c r="K907" s="9" t="s">
        <v>8987</v>
      </c>
    </row>
    <row r="908" spans="1:11">
      <c r="A908" s="7">
        <v>906</v>
      </c>
      <c r="B908" s="7" t="s">
        <v>8983</v>
      </c>
      <c r="C908" s="7" t="s">
        <v>8984</v>
      </c>
      <c r="D908" s="7" t="s">
        <v>7547</v>
      </c>
      <c r="E908" s="7" t="s">
        <v>10395</v>
      </c>
      <c r="F908" s="8" t="s">
        <v>10384</v>
      </c>
      <c r="G908" s="7">
        <v>50</v>
      </c>
      <c r="H908" s="7" t="s">
        <v>9021</v>
      </c>
      <c r="I908" s="7">
        <v>15</v>
      </c>
      <c r="J908" s="7" t="s">
        <v>9594</v>
      </c>
      <c r="K908" s="9" t="s">
        <v>8987</v>
      </c>
    </row>
    <row r="909" spans="1:11">
      <c r="A909" s="7">
        <v>907</v>
      </c>
      <c r="B909" s="7" t="s">
        <v>8983</v>
      </c>
      <c r="C909" s="7" t="s">
        <v>8984</v>
      </c>
      <c r="D909" s="7" t="s">
        <v>7547</v>
      </c>
      <c r="E909" s="7" t="s">
        <v>10396</v>
      </c>
      <c r="F909" s="8" t="s">
        <v>10384</v>
      </c>
      <c r="G909" s="7">
        <v>150</v>
      </c>
      <c r="H909" s="7" t="s">
        <v>9253</v>
      </c>
      <c r="I909" s="7">
        <v>1</v>
      </c>
      <c r="J909" s="7" t="s">
        <v>7846</v>
      </c>
      <c r="K909" s="9" t="s">
        <v>8987</v>
      </c>
    </row>
    <row r="910" spans="1:11">
      <c r="A910" s="7">
        <v>908</v>
      </c>
      <c r="B910" s="7" t="s">
        <v>8983</v>
      </c>
      <c r="C910" s="7" t="s">
        <v>8984</v>
      </c>
      <c r="D910" s="7" t="s">
        <v>7547</v>
      </c>
      <c r="E910" s="7" t="s">
        <v>10397</v>
      </c>
      <c r="F910" s="8" t="s">
        <v>10384</v>
      </c>
      <c r="G910" s="7">
        <v>200</v>
      </c>
      <c r="H910" s="7" t="s">
        <v>9447</v>
      </c>
      <c r="I910" s="7">
        <v>1</v>
      </c>
      <c r="J910" s="7" t="s">
        <v>9448</v>
      </c>
      <c r="K910" s="9" t="s">
        <v>8987</v>
      </c>
    </row>
    <row r="911" spans="1:11">
      <c r="A911" s="7">
        <v>909</v>
      </c>
      <c r="B911" s="7" t="s">
        <v>8983</v>
      </c>
      <c r="C911" s="7" t="s">
        <v>8984</v>
      </c>
      <c r="D911" s="7" t="s">
        <v>7542</v>
      </c>
      <c r="E911" s="7" t="s">
        <v>10398</v>
      </c>
      <c r="F911" s="8" t="s">
        <v>9864</v>
      </c>
      <c r="G911" s="7" t="s">
        <v>8987</v>
      </c>
      <c r="H911" s="7" t="s">
        <v>8987</v>
      </c>
      <c r="I911" s="7" t="s">
        <v>8987</v>
      </c>
      <c r="J911" s="7" t="s">
        <v>8987</v>
      </c>
      <c r="K911" s="9" t="s">
        <v>8987</v>
      </c>
    </row>
    <row r="912" spans="1:11">
      <c r="A912" s="7">
        <v>910</v>
      </c>
      <c r="B912" s="7" t="s">
        <v>8983</v>
      </c>
      <c r="C912" s="7" t="s">
        <v>8984</v>
      </c>
      <c r="D912" s="7" t="s">
        <v>7542</v>
      </c>
      <c r="E912" s="7" t="s">
        <v>10399</v>
      </c>
      <c r="F912" s="8" t="s">
        <v>9864</v>
      </c>
      <c r="G912" s="7" t="s">
        <v>8987</v>
      </c>
      <c r="H912" s="7" t="s">
        <v>8987</v>
      </c>
      <c r="I912" s="7" t="s">
        <v>8987</v>
      </c>
      <c r="J912" s="7" t="s">
        <v>8987</v>
      </c>
      <c r="K912" s="9" t="s">
        <v>8987</v>
      </c>
    </row>
    <row r="913" spans="1:11">
      <c r="A913" s="7">
        <v>911</v>
      </c>
      <c r="B913" s="7" t="s">
        <v>8983</v>
      </c>
      <c r="C913" s="7" t="s">
        <v>8984</v>
      </c>
      <c r="D913" s="7" t="s">
        <v>7542</v>
      </c>
      <c r="E913" s="7" t="s">
        <v>10400</v>
      </c>
      <c r="F913" s="8" t="s">
        <v>9864</v>
      </c>
      <c r="G913" s="7" t="s">
        <v>8987</v>
      </c>
      <c r="H913" s="7" t="s">
        <v>8987</v>
      </c>
      <c r="I913" s="7" t="s">
        <v>8987</v>
      </c>
      <c r="J913" s="7" t="s">
        <v>8987</v>
      </c>
      <c r="K913" s="9" t="s">
        <v>8987</v>
      </c>
    </row>
    <row r="914" spans="1:11">
      <c r="A914" s="7">
        <v>912</v>
      </c>
      <c r="B914" s="7" t="s">
        <v>9208</v>
      </c>
      <c r="C914" s="7" t="s">
        <v>8984</v>
      </c>
      <c r="D914" s="7" t="s">
        <v>7549</v>
      </c>
      <c r="E914" s="7" t="s">
        <v>10401</v>
      </c>
      <c r="F914" s="8" t="s">
        <v>3122</v>
      </c>
      <c r="G914" s="7">
        <v>0</v>
      </c>
      <c r="H914" s="7" t="s">
        <v>8984</v>
      </c>
      <c r="I914" s="7">
        <v>1</v>
      </c>
      <c r="J914" s="7" t="s">
        <v>7838</v>
      </c>
      <c r="K914" s="9" t="s">
        <v>8987</v>
      </c>
    </row>
    <row r="915" spans="1:11">
      <c r="A915" s="7">
        <v>913</v>
      </c>
      <c r="B915" s="7" t="s">
        <v>9208</v>
      </c>
      <c r="C915" s="7" t="s">
        <v>8984</v>
      </c>
      <c r="D915" s="7" t="s">
        <v>7549</v>
      </c>
      <c r="E915" s="7" t="s">
        <v>10402</v>
      </c>
      <c r="F915" s="8" t="s">
        <v>10403</v>
      </c>
      <c r="G915" s="7">
        <v>0</v>
      </c>
      <c r="H915" s="7" t="s">
        <v>8984</v>
      </c>
      <c r="I915" s="7">
        <v>1</v>
      </c>
      <c r="J915" s="7" t="s">
        <v>7838</v>
      </c>
      <c r="K915" s="9" t="s">
        <v>8987</v>
      </c>
    </row>
    <row r="916" spans="1:11">
      <c r="A916" s="7">
        <v>914</v>
      </c>
      <c r="B916" s="7" t="s">
        <v>9208</v>
      </c>
      <c r="C916" s="7" t="s">
        <v>8984</v>
      </c>
      <c r="D916" s="7" t="s">
        <v>7549</v>
      </c>
      <c r="E916" s="7" t="s">
        <v>10404</v>
      </c>
      <c r="F916" s="8" t="s">
        <v>10405</v>
      </c>
      <c r="G916" s="7">
        <v>0</v>
      </c>
      <c r="H916" s="7" t="s">
        <v>8984</v>
      </c>
      <c r="I916" s="7">
        <v>1</v>
      </c>
      <c r="J916" s="7" t="s">
        <v>7838</v>
      </c>
      <c r="K916" s="9" t="s">
        <v>8987</v>
      </c>
    </row>
    <row r="917" spans="1:11">
      <c r="A917" s="7">
        <v>915</v>
      </c>
      <c r="B917" s="7" t="s">
        <v>9208</v>
      </c>
      <c r="C917" s="7" t="s">
        <v>8984</v>
      </c>
      <c r="D917" s="7" t="s">
        <v>7549</v>
      </c>
      <c r="E917" s="7" t="s">
        <v>10406</v>
      </c>
      <c r="F917" s="8" t="s">
        <v>3191</v>
      </c>
      <c r="G917" s="7">
        <v>0</v>
      </c>
      <c r="H917" s="7" t="s">
        <v>8984</v>
      </c>
      <c r="I917" s="7">
        <v>1</v>
      </c>
      <c r="J917" s="7" t="s">
        <v>7838</v>
      </c>
      <c r="K917" s="9" t="s">
        <v>8987</v>
      </c>
    </row>
    <row r="918" spans="1:11">
      <c r="A918" s="7">
        <v>916</v>
      </c>
      <c r="B918" s="7" t="s">
        <v>9208</v>
      </c>
      <c r="C918" s="7" t="s">
        <v>8984</v>
      </c>
      <c r="D918" s="7" t="s">
        <v>7549</v>
      </c>
      <c r="E918" s="7" t="s">
        <v>10407</v>
      </c>
      <c r="F918" s="8" t="s">
        <v>3194</v>
      </c>
      <c r="G918" s="7">
        <v>0</v>
      </c>
      <c r="H918" s="7" t="s">
        <v>8984</v>
      </c>
      <c r="I918" s="7">
        <v>1</v>
      </c>
      <c r="J918" s="7" t="s">
        <v>7838</v>
      </c>
      <c r="K918" s="9" t="s">
        <v>8987</v>
      </c>
    </row>
    <row r="919" spans="1:11">
      <c r="A919" s="7">
        <v>917</v>
      </c>
      <c r="B919" s="7" t="s">
        <v>9208</v>
      </c>
      <c r="C919" s="7" t="s">
        <v>8984</v>
      </c>
      <c r="D919" s="7" t="s">
        <v>7549</v>
      </c>
      <c r="E919" s="7" t="s">
        <v>10408</v>
      </c>
      <c r="F919" s="8" t="s">
        <v>3196</v>
      </c>
      <c r="G919" s="7">
        <v>0</v>
      </c>
      <c r="H919" s="7" t="s">
        <v>8984</v>
      </c>
      <c r="I919" s="7">
        <v>1</v>
      </c>
      <c r="J919" s="7" t="s">
        <v>7838</v>
      </c>
      <c r="K919" s="9" t="s">
        <v>8987</v>
      </c>
    </row>
    <row r="920" spans="1:11">
      <c r="A920" s="7">
        <v>918</v>
      </c>
      <c r="B920" s="7" t="s">
        <v>8983</v>
      </c>
      <c r="C920" s="7" t="s">
        <v>8984</v>
      </c>
      <c r="D920" s="7" t="s">
        <v>7542</v>
      </c>
      <c r="E920" s="7" t="s">
        <v>10409</v>
      </c>
      <c r="F920" s="8" t="s">
        <v>9145</v>
      </c>
      <c r="G920" s="7">
        <v>40</v>
      </c>
      <c r="H920" s="7" t="s">
        <v>9003</v>
      </c>
      <c r="I920" s="7">
        <v>1</v>
      </c>
      <c r="J920" s="7" t="s">
        <v>7860</v>
      </c>
      <c r="K920" s="9" t="s">
        <v>8987</v>
      </c>
    </row>
    <row r="921" spans="1:11">
      <c r="A921" s="7">
        <v>919</v>
      </c>
      <c r="B921" s="7" t="s">
        <v>8983</v>
      </c>
      <c r="C921" s="7" t="s">
        <v>8984</v>
      </c>
      <c r="D921" s="7" t="s">
        <v>7542</v>
      </c>
      <c r="E921" s="7" t="s">
        <v>10410</v>
      </c>
      <c r="F921" s="8" t="s">
        <v>9010</v>
      </c>
      <c r="G921" s="7">
        <v>45</v>
      </c>
      <c r="H921" s="7" t="s">
        <v>9750</v>
      </c>
      <c r="I921" s="7">
        <v>1</v>
      </c>
      <c r="J921" s="7" t="s">
        <v>7880</v>
      </c>
      <c r="K921" s="9" t="s">
        <v>8987</v>
      </c>
    </row>
    <row r="922" spans="1:11">
      <c r="A922" s="7">
        <v>920</v>
      </c>
      <c r="B922" s="7" t="s">
        <v>8983</v>
      </c>
      <c r="C922" s="7" t="s">
        <v>8984</v>
      </c>
      <c r="D922" s="7" t="s">
        <v>7542</v>
      </c>
      <c r="E922" s="7" t="s">
        <v>10411</v>
      </c>
      <c r="F922" s="8" t="s">
        <v>9014</v>
      </c>
      <c r="G922" s="7">
        <v>60</v>
      </c>
      <c r="H922" s="7" t="s">
        <v>9289</v>
      </c>
      <c r="I922" s="7">
        <v>1</v>
      </c>
      <c r="J922" s="7" t="s">
        <v>7870</v>
      </c>
      <c r="K922" s="9" t="s">
        <v>8987</v>
      </c>
    </row>
    <row r="923" spans="1:11">
      <c r="A923" s="7">
        <v>921</v>
      </c>
      <c r="B923" s="7" t="s">
        <v>9124</v>
      </c>
      <c r="C923" s="7" t="s">
        <v>8984</v>
      </c>
      <c r="D923" s="7" t="s">
        <v>7542</v>
      </c>
      <c r="E923" s="7" t="s">
        <v>10412</v>
      </c>
      <c r="F923" s="8" t="s">
        <v>9002</v>
      </c>
      <c r="G923" s="7">
        <v>50</v>
      </c>
      <c r="H923" s="7" t="s">
        <v>9021</v>
      </c>
      <c r="I923" s="7">
        <v>1</v>
      </c>
      <c r="J923" s="7" t="s">
        <v>7881</v>
      </c>
      <c r="K923" s="9" t="s">
        <v>8987</v>
      </c>
    </row>
    <row r="924" spans="1:11">
      <c r="A924" s="7">
        <v>922</v>
      </c>
      <c r="B924" s="7" t="s">
        <v>9124</v>
      </c>
      <c r="C924" s="7" t="s">
        <v>8984</v>
      </c>
      <c r="D924" s="7" t="s">
        <v>7542</v>
      </c>
      <c r="E924" s="7" t="s">
        <v>10413</v>
      </c>
      <c r="F924" s="8" t="s">
        <v>9006</v>
      </c>
      <c r="G924" s="7">
        <v>50</v>
      </c>
      <c r="H924" s="7" t="s">
        <v>9021</v>
      </c>
      <c r="I924" s="7">
        <v>1</v>
      </c>
      <c r="J924" s="7" t="s">
        <v>7881</v>
      </c>
      <c r="K924" s="9" t="s">
        <v>8987</v>
      </c>
    </row>
    <row r="925" spans="1:11">
      <c r="A925" s="7">
        <v>923</v>
      </c>
      <c r="B925" s="7" t="s">
        <v>9124</v>
      </c>
      <c r="C925" s="7" t="s">
        <v>8984</v>
      </c>
      <c r="D925" s="7" t="s">
        <v>7542</v>
      </c>
      <c r="E925" s="7" t="s">
        <v>10414</v>
      </c>
      <c r="F925" s="8" t="s">
        <v>9008</v>
      </c>
      <c r="G925" s="7">
        <v>50</v>
      </c>
      <c r="H925" s="7" t="s">
        <v>9021</v>
      </c>
      <c r="I925" s="7">
        <v>1</v>
      </c>
      <c r="J925" s="7" t="s">
        <v>7881</v>
      </c>
      <c r="K925" s="9" t="s">
        <v>8987</v>
      </c>
    </row>
    <row r="926" spans="1:11">
      <c r="A926" s="7">
        <v>924</v>
      </c>
      <c r="B926" s="7" t="s">
        <v>9124</v>
      </c>
      <c r="C926" s="7" t="s">
        <v>8984</v>
      </c>
      <c r="D926" s="7" t="s">
        <v>7542</v>
      </c>
      <c r="E926" s="7" t="s">
        <v>10415</v>
      </c>
      <c r="F926" s="8" t="s">
        <v>10416</v>
      </c>
      <c r="G926" s="7">
        <v>55</v>
      </c>
      <c r="H926" s="7" t="s">
        <v>9548</v>
      </c>
      <c r="I926" s="7">
        <v>1</v>
      </c>
      <c r="J926" s="7" t="s">
        <v>7858</v>
      </c>
      <c r="K926" s="9" t="s">
        <v>8987</v>
      </c>
    </row>
    <row r="927" spans="1:11">
      <c r="A927" s="7">
        <v>925</v>
      </c>
      <c r="B927" s="7" t="s">
        <v>9124</v>
      </c>
      <c r="C927" s="7" t="s">
        <v>8984</v>
      </c>
      <c r="D927" s="7" t="s">
        <v>7542</v>
      </c>
      <c r="E927" s="7" t="s">
        <v>10417</v>
      </c>
      <c r="F927" s="8" t="s">
        <v>10174</v>
      </c>
      <c r="G927" s="7">
        <v>70</v>
      </c>
      <c r="H927" s="7" t="s">
        <v>9194</v>
      </c>
      <c r="I927" s="7">
        <v>1</v>
      </c>
      <c r="J927" s="7" t="s">
        <v>7863</v>
      </c>
      <c r="K927" s="9" t="s">
        <v>8987</v>
      </c>
    </row>
    <row r="928" spans="1:11">
      <c r="A928" s="7">
        <v>926</v>
      </c>
      <c r="B928" s="7" t="s">
        <v>9124</v>
      </c>
      <c r="C928" s="7" t="s">
        <v>8984</v>
      </c>
      <c r="D928" s="7" t="s">
        <v>7542</v>
      </c>
      <c r="E928" s="7" t="s">
        <v>10418</v>
      </c>
      <c r="F928" s="8" t="s">
        <v>10176</v>
      </c>
      <c r="G928" s="7">
        <v>70</v>
      </c>
      <c r="H928" s="7" t="s">
        <v>9194</v>
      </c>
      <c r="I928" s="7">
        <v>1</v>
      </c>
      <c r="J928" s="7" t="s">
        <v>7863</v>
      </c>
      <c r="K928" s="9" t="s">
        <v>8987</v>
      </c>
    </row>
    <row r="929" spans="1:11">
      <c r="A929" s="7">
        <v>927</v>
      </c>
      <c r="B929" s="7" t="s">
        <v>9124</v>
      </c>
      <c r="C929" s="7" t="s">
        <v>8984</v>
      </c>
      <c r="D929" s="7" t="s">
        <v>7542</v>
      </c>
      <c r="E929" s="7" t="s">
        <v>10419</v>
      </c>
      <c r="F929" s="8" t="s">
        <v>10178</v>
      </c>
      <c r="G929" s="7">
        <v>70</v>
      </c>
      <c r="H929" s="7" t="s">
        <v>9194</v>
      </c>
      <c r="I929" s="7">
        <v>1</v>
      </c>
      <c r="J929" s="7" t="s">
        <v>7863</v>
      </c>
      <c r="K929" s="9" t="s">
        <v>8987</v>
      </c>
    </row>
    <row r="930" spans="1:11">
      <c r="A930" s="7">
        <v>928</v>
      </c>
      <c r="B930" s="7" t="s">
        <v>8983</v>
      </c>
      <c r="C930" s="7" t="s">
        <v>8984</v>
      </c>
      <c r="D930" s="7" t="s">
        <v>7542</v>
      </c>
      <c r="E930" s="7" t="s">
        <v>10420</v>
      </c>
      <c r="F930" s="8" t="s">
        <v>10202</v>
      </c>
      <c r="G930" s="7">
        <v>60</v>
      </c>
      <c r="H930" s="7" t="s">
        <v>9289</v>
      </c>
      <c r="I930" s="7">
        <v>1</v>
      </c>
      <c r="J930" s="7" t="s">
        <v>7870</v>
      </c>
      <c r="K930" s="9" t="s">
        <v>8987</v>
      </c>
    </row>
    <row r="931" spans="1:11">
      <c r="A931" s="7">
        <v>929</v>
      </c>
      <c r="B931" s="7" t="s">
        <v>8983</v>
      </c>
      <c r="C931" s="7" t="s">
        <v>8984</v>
      </c>
      <c r="D931" s="7" t="s">
        <v>7550</v>
      </c>
      <c r="E931" s="7" t="s">
        <v>10421</v>
      </c>
      <c r="F931" s="8" t="s">
        <v>9669</v>
      </c>
      <c r="G931" s="7">
        <v>50</v>
      </c>
      <c r="H931" s="7" t="s">
        <v>9021</v>
      </c>
      <c r="I931" s="7">
        <v>1</v>
      </c>
      <c r="J931" s="7" t="s">
        <v>7881</v>
      </c>
      <c r="K931" s="9" t="s">
        <v>8987</v>
      </c>
    </row>
    <row r="932" spans="1:11">
      <c r="A932" s="7">
        <v>930</v>
      </c>
      <c r="B932" s="7" t="s">
        <v>8983</v>
      </c>
      <c r="C932" s="7" t="s">
        <v>8984</v>
      </c>
      <c r="D932" s="7" t="s">
        <v>7550</v>
      </c>
      <c r="E932" s="7" t="s">
        <v>10422</v>
      </c>
      <c r="F932" s="8" t="s">
        <v>9436</v>
      </c>
      <c r="G932" s="7">
        <v>70</v>
      </c>
      <c r="H932" s="7" t="s">
        <v>9194</v>
      </c>
      <c r="I932" s="7">
        <v>1</v>
      </c>
      <c r="J932" s="7" t="s">
        <v>7863</v>
      </c>
      <c r="K932" s="9" t="s">
        <v>8987</v>
      </c>
    </row>
    <row r="933" spans="1:11">
      <c r="A933" s="7">
        <v>931</v>
      </c>
      <c r="B933" s="7" t="s">
        <v>9124</v>
      </c>
      <c r="C933" s="7" t="s">
        <v>8984</v>
      </c>
      <c r="D933" s="7" t="s">
        <v>7550</v>
      </c>
      <c r="E933" s="7" t="s">
        <v>10423</v>
      </c>
      <c r="F933" s="8" t="s">
        <v>10180</v>
      </c>
      <c r="G933" s="7">
        <v>80</v>
      </c>
      <c r="H933" s="7" t="s">
        <v>9153</v>
      </c>
      <c r="I933" s="7">
        <v>1</v>
      </c>
      <c r="J933" s="7" t="s">
        <v>7867</v>
      </c>
      <c r="K933" s="9" t="s">
        <v>8987</v>
      </c>
    </row>
    <row r="934" spans="1:11">
      <c r="A934" s="7">
        <v>932</v>
      </c>
      <c r="B934" s="7" t="s">
        <v>9124</v>
      </c>
      <c r="C934" s="7" t="s">
        <v>8984</v>
      </c>
      <c r="D934" s="7" t="s">
        <v>7550</v>
      </c>
      <c r="E934" s="7" t="s">
        <v>10424</v>
      </c>
      <c r="F934" s="8" t="s">
        <v>10182</v>
      </c>
      <c r="G934" s="7">
        <v>80</v>
      </c>
      <c r="H934" s="7" t="s">
        <v>9153</v>
      </c>
      <c r="I934" s="7">
        <v>1</v>
      </c>
      <c r="J934" s="7" t="s">
        <v>7867</v>
      </c>
      <c r="K934" s="9" t="s">
        <v>8987</v>
      </c>
    </row>
    <row r="935" spans="1:11">
      <c r="A935" s="7">
        <v>933</v>
      </c>
      <c r="B935" s="7" t="s">
        <v>9124</v>
      </c>
      <c r="C935" s="7" t="s">
        <v>8984</v>
      </c>
      <c r="D935" s="7" t="s">
        <v>7550</v>
      </c>
      <c r="E935" s="7" t="s">
        <v>10425</v>
      </c>
      <c r="F935" s="8" t="s">
        <v>10184</v>
      </c>
      <c r="G935" s="7">
        <v>80</v>
      </c>
      <c r="H935" s="7" t="s">
        <v>9153</v>
      </c>
      <c r="I935" s="7">
        <v>1</v>
      </c>
      <c r="J935" s="7" t="s">
        <v>7867</v>
      </c>
      <c r="K935" s="9" t="s">
        <v>8987</v>
      </c>
    </row>
    <row r="936" spans="1:11">
      <c r="A936" s="7">
        <v>934</v>
      </c>
      <c r="B936" s="7" t="s">
        <v>8983</v>
      </c>
      <c r="C936" s="7" t="s">
        <v>8984</v>
      </c>
      <c r="D936" s="7" t="s">
        <v>7546</v>
      </c>
      <c r="E936" s="7" t="s">
        <v>10426</v>
      </c>
      <c r="F936" s="8" t="s">
        <v>9083</v>
      </c>
      <c r="G936" s="7">
        <v>60</v>
      </c>
      <c r="H936" s="7" t="s">
        <v>9289</v>
      </c>
      <c r="I936" s="7">
        <v>1</v>
      </c>
      <c r="J936" s="7" t="s">
        <v>7870</v>
      </c>
      <c r="K936" s="9" t="s">
        <v>8987</v>
      </c>
    </row>
    <row r="937" spans="1:11">
      <c r="A937" s="7">
        <v>935</v>
      </c>
      <c r="B937" s="7" t="s">
        <v>8983</v>
      </c>
      <c r="C937" s="7" t="s">
        <v>8984</v>
      </c>
      <c r="D937" s="7" t="s">
        <v>7546</v>
      </c>
      <c r="E937" s="7" t="s">
        <v>10427</v>
      </c>
      <c r="F937" s="8" t="s">
        <v>9094</v>
      </c>
      <c r="G937" s="7">
        <v>80</v>
      </c>
      <c r="H937" s="7" t="s">
        <v>9153</v>
      </c>
      <c r="I937" s="7">
        <v>1</v>
      </c>
      <c r="J937" s="7" t="s">
        <v>7867</v>
      </c>
      <c r="K937" s="9" t="s">
        <v>8987</v>
      </c>
    </row>
    <row r="938" spans="1:11">
      <c r="A938" s="7">
        <v>936</v>
      </c>
      <c r="B938" s="7" t="s">
        <v>8983</v>
      </c>
      <c r="C938" s="7" t="s">
        <v>8984</v>
      </c>
      <c r="D938" s="7" t="s">
        <v>7546</v>
      </c>
      <c r="E938" s="7" t="s">
        <v>10428</v>
      </c>
      <c r="F938" s="8" t="s">
        <v>9096</v>
      </c>
      <c r="G938" s="7">
        <v>65</v>
      </c>
      <c r="H938" s="7" t="s">
        <v>10429</v>
      </c>
      <c r="I938" s="7">
        <v>1</v>
      </c>
      <c r="J938" s="7" t="s">
        <v>10430</v>
      </c>
      <c r="K938" s="9" t="s">
        <v>8987</v>
      </c>
    </row>
    <row r="939" spans="1:11">
      <c r="A939" s="7">
        <v>937</v>
      </c>
      <c r="B939" s="7" t="s">
        <v>8983</v>
      </c>
      <c r="C939" s="7" t="s">
        <v>8984</v>
      </c>
      <c r="D939" s="7" t="s">
        <v>7546</v>
      </c>
      <c r="E939" s="7" t="s">
        <v>10431</v>
      </c>
      <c r="F939" s="8" t="s">
        <v>9098</v>
      </c>
      <c r="G939" s="7">
        <v>80</v>
      </c>
      <c r="H939" s="7" t="s">
        <v>9153</v>
      </c>
      <c r="I939" s="7">
        <v>1</v>
      </c>
      <c r="J939" s="7" t="s">
        <v>7867</v>
      </c>
      <c r="K939" s="9" t="s">
        <v>8987</v>
      </c>
    </row>
    <row r="940" spans="1:11">
      <c r="A940" s="7">
        <v>938</v>
      </c>
      <c r="B940" s="7" t="s">
        <v>9124</v>
      </c>
      <c r="C940" s="7" t="s">
        <v>8984</v>
      </c>
      <c r="D940" s="7" t="s">
        <v>7546</v>
      </c>
      <c r="E940" s="7" t="s">
        <v>10432</v>
      </c>
      <c r="F940" s="8" t="s">
        <v>9093</v>
      </c>
      <c r="G940" s="7">
        <v>70</v>
      </c>
      <c r="H940" s="7" t="s">
        <v>9194</v>
      </c>
      <c r="I940" s="7">
        <v>1</v>
      </c>
      <c r="J940" s="7" t="s">
        <v>7863</v>
      </c>
      <c r="K940" s="9" t="s">
        <v>8987</v>
      </c>
    </row>
    <row r="941" spans="1:11">
      <c r="A941" s="7">
        <v>939</v>
      </c>
      <c r="B941" s="7" t="s">
        <v>9124</v>
      </c>
      <c r="C941" s="7" t="s">
        <v>8984</v>
      </c>
      <c r="D941" s="7" t="s">
        <v>7546</v>
      </c>
      <c r="E941" s="7" t="s">
        <v>10433</v>
      </c>
      <c r="F941" s="8" t="s">
        <v>9091</v>
      </c>
      <c r="G941" s="7">
        <v>70</v>
      </c>
      <c r="H941" s="7" t="s">
        <v>9194</v>
      </c>
      <c r="I941" s="7">
        <v>1</v>
      </c>
      <c r="J941" s="7" t="s">
        <v>7863</v>
      </c>
      <c r="K941" s="9" t="s">
        <v>8987</v>
      </c>
    </row>
    <row r="942" spans="1:11">
      <c r="A942" s="7">
        <v>940</v>
      </c>
      <c r="B942" s="7" t="s">
        <v>9124</v>
      </c>
      <c r="C942" s="7" t="s">
        <v>8984</v>
      </c>
      <c r="D942" s="7" t="s">
        <v>7546</v>
      </c>
      <c r="E942" s="7" t="s">
        <v>10434</v>
      </c>
      <c r="F942" s="8" t="s">
        <v>9087</v>
      </c>
      <c r="G942" s="7">
        <v>70</v>
      </c>
      <c r="H942" s="7" t="s">
        <v>9194</v>
      </c>
      <c r="I942" s="7">
        <v>1</v>
      </c>
      <c r="J942" s="7" t="s">
        <v>7863</v>
      </c>
      <c r="K942" s="9" t="s">
        <v>8987</v>
      </c>
    </row>
    <row r="943" spans="1:11">
      <c r="A943" s="7">
        <v>941</v>
      </c>
      <c r="B943" s="7" t="s">
        <v>9124</v>
      </c>
      <c r="C943" s="7" t="s">
        <v>8984</v>
      </c>
      <c r="D943" s="7" t="s">
        <v>7546</v>
      </c>
      <c r="E943" s="7" t="s">
        <v>10435</v>
      </c>
      <c r="F943" s="8" t="s">
        <v>10186</v>
      </c>
      <c r="G943" s="7">
        <v>90</v>
      </c>
      <c r="H943" s="7" t="s">
        <v>9642</v>
      </c>
      <c r="I943" s="7">
        <v>1</v>
      </c>
      <c r="J943" s="7" t="s">
        <v>7869</v>
      </c>
      <c r="K943" s="9" t="s">
        <v>8987</v>
      </c>
    </row>
    <row r="944" spans="1:11">
      <c r="A944" s="7">
        <v>942</v>
      </c>
      <c r="B944" s="7" t="s">
        <v>9124</v>
      </c>
      <c r="C944" s="7" t="s">
        <v>8984</v>
      </c>
      <c r="D944" s="7" t="s">
        <v>7546</v>
      </c>
      <c r="E944" s="7" t="s">
        <v>3799</v>
      </c>
      <c r="F944" s="8" t="s">
        <v>10188</v>
      </c>
      <c r="G944" s="7">
        <v>90</v>
      </c>
      <c r="H944" s="7" t="s">
        <v>9642</v>
      </c>
      <c r="I944" s="7">
        <v>1</v>
      </c>
      <c r="J944" s="7" t="s">
        <v>7869</v>
      </c>
      <c r="K944" s="9" t="s">
        <v>8987</v>
      </c>
    </row>
    <row r="945" spans="1:11">
      <c r="A945" s="7">
        <v>943</v>
      </c>
      <c r="B945" s="7" t="s">
        <v>9124</v>
      </c>
      <c r="C945" s="7" t="s">
        <v>8984</v>
      </c>
      <c r="D945" s="7" t="s">
        <v>7546</v>
      </c>
      <c r="E945" s="7" t="s">
        <v>10436</v>
      </c>
      <c r="F945" s="8" t="s">
        <v>10190</v>
      </c>
      <c r="G945" s="7">
        <v>90</v>
      </c>
      <c r="H945" s="7" t="s">
        <v>9642</v>
      </c>
      <c r="I945" s="7">
        <v>1</v>
      </c>
      <c r="J945" s="7" t="s">
        <v>7869</v>
      </c>
      <c r="K945" s="9" t="s">
        <v>8987</v>
      </c>
    </row>
    <row r="946" spans="1:11">
      <c r="A946" s="7">
        <v>944</v>
      </c>
      <c r="B946" s="7" t="s">
        <v>8983</v>
      </c>
      <c r="C946" s="7" t="s">
        <v>8984</v>
      </c>
      <c r="D946" s="7" t="s">
        <v>7546</v>
      </c>
      <c r="E946" s="7" t="s">
        <v>10437</v>
      </c>
      <c r="F946" s="8" t="s">
        <v>9226</v>
      </c>
      <c r="G946" s="7">
        <v>90</v>
      </c>
      <c r="H946" s="7" t="s">
        <v>9642</v>
      </c>
      <c r="I946" s="7">
        <v>1</v>
      </c>
      <c r="J946" s="7" t="s">
        <v>7869</v>
      </c>
      <c r="K946" s="9" t="s">
        <v>8987</v>
      </c>
    </row>
    <row r="947" spans="1:11">
      <c r="A947" s="7">
        <v>945</v>
      </c>
      <c r="B947" s="7" t="s">
        <v>9124</v>
      </c>
      <c r="C947" s="7" t="s">
        <v>8984</v>
      </c>
      <c r="D947" s="7" t="s">
        <v>7546</v>
      </c>
      <c r="E947" s="7" t="s">
        <v>10438</v>
      </c>
      <c r="F947" s="8" t="s">
        <v>9228</v>
      </c>
      <c r="G947" s="7">
        <v>100</v>
      </c>
      <c r="H947" s="7" t="s">
        <v>9046</v>
      </c>
      <c r="I947" s="7">
        <v>1</v>
      </c>
      <c r="J947" s="7" t="s">
        <v>7878</v>
      </c>
      <c r="K947" s="9" t="s">
        <v>8987</v>
      </c>
    </row>
    <row r="948" spans="1:11">
      <c r="A948" s="7">
        <v>946</v>
      </c>
      <c r="B948" s="7" t="s">
        <v>9124</v>
      </c>
      <c r="C948" s="7" t="s">
        <v>8984</v>
      </c>
      <c r="D948" s="7" t="s">
        <v>7546</v>
      </c>
      <c r="E948" s="7" t="s">
        <v>10439</v>
      </c>
      <c r="F948" s="8" t="s">
        <v>9232</v>
      </c>
      <c r="G948" s="7">
        <v>100</v>
      </c>
      <c r="H948" s="7" t="s">
        <v>9046</v>
      </c>
      <c r="I948" s="7">
        <v>1</v>
      </c>
      <c r="J948" s="7" t="s">
        <v>7878</v>
      </c>
      <c r="K948" s="9" t="s">
        <v>8987</v>
      </c>
    </row>
    <row r="949" spans="1:11">
      <c r="A949" s="7">
        <v>947</v>
      </c>
      <c r="B949" s="7" t="s">
        <v>9124</v>
      </c>
      <c r="C949" s="7" t="s">
        <v>8984</v>
      </c>
      <c r="D949" s="7" t="s">
        <v>7546</v>
      </c>
      <c r="E949" s="7" t="s">
        <v>10440</v>
      </c>
      <c r="F949" s="8" t="s">
        <v>9234</v>
      </c>
      <c r="G949" s="7">
        <v>100</v>
      </c>
      <c r="H949" s="7" t="s">
        <v>9046</v>
      </c>
      <c r="I949" s="7">
        <v>1</v>
      </c>
      <c r="J949" s="7" t="s">
        <v>7878</v>
      </c>
      <c r="K949" s="9" t="s">
        <v>8987</v>
      </c>
    </row>
    <row r="950" spans="1:11">
      <c r="A950" s="7">
        <v>948</v>
      </c>
      <c r="B950" s="7" t="s">
        <v>8983</v>
      </c>
      <c r="C950" s="7" t="s">
        <v>8984</v>
      </c>
      <c r="D950" s="7" t="s">
        <v>7546</v>
      </c>
      <c r="E950" s="7" t="s">
        <v>10441</v>
      </c>
      <c r="F950" s="8" t="s">
        <v>9163</v>
      </c>
      <c r="G950" s="7">
        <v>20</v>
      </c>
      <c r="H950" s="7" t="s">
        <v>9394</v>
      </c>
      <c r="I950" s="7">
        <v>4</v>
      </c>
      <c r="J950" s="7" t="s">
        <v>10310</v>
      </c>
      <c r="K950" s="9" t="s">
        <v>8987</v>
      </c>
    </row>
    <row r="951" spans="1:11">
      <c r="A951" s="7">
        <v>949</v>
      </c>
      <c r="B951" s="7" t="s">
        <v>8983</v>
      </c>
      <c r="C951" s="7" t="s">
        <v>8984</v>
      </c>
      <c r="D951" s="7" t="s">
        <v>7546</v>
      </c>
      <c r="E951" s="7" t="s">
        <v>10442</v>
      </c>
      <c r="F951" s="8" t="s">
        <v>9163</v>
      </c>
      <c r="G951" s="7">
        <v>30</v>
      </c>
      <c r="H951" s="7" t="s">
        <v>9015</v>
      </c>
      <c r="I951" s="7">
        <v>5</v>
      </c>
      <c r="J951" s="7" t="s">
        <v>7732</v>
      </c>
      <c r="K951" s="9" t="s">
        <v>8987</v>
      </c>
    </row>
    <row r="952" spans="1:11">
      <c r="A952" s="7">
        <v>950</v>
      </c>
      <c r="B952" s="7" t="s">
        <v>8983</v>
      </c>
      <c r="C952" s="7" t="s">
        <v>8984</v>
      </c>
      <c r="D952" s="7" t="s">
        <v>7546</v>
      </c>
      <c r="E952" s="7" t="s">
        <v>10443</v>
      </c>
      <c r="F952" s="8" t="s">
        <v>9163</v>
      </c>
      <c r="G952" s="7">
        <v>40</v>
      </c>
      <c r="H952" s="7" t="s">
        <v>9003</v>
      </c>
      <c r="I952" s="7">
        <v>6</v>
      </c>
      <c r="J952" s="7" t="s">
        <v>7707</v>
      </c>
      <c r="K952" s="9" t="s">
        <v>8987</v>
      </c>
    </row>
    <row r="953" spans="1:11">
      <c r="A953" s="7">
        <v>951</v>
      </c>
      <c r="B953" s="7" t="s">
        <v>8983</v>
      </c>
      <c r="C953" s="7" t="s">
        <v>8984</v>
      </c>
      <c r="D953" s="7" t="s">
        <v>7546</v>
      </c>
      <c r="E953" s="7" t="s">
        <v>10444</v>
      </c>
      <c r="F953" s="8" t="s">
        <v>9098</v>
      </c>
      <c r="G953" s="7">
        <v>20</v>
      </c>
      <c r="H953" s="7" t="s">
        <v>9394</v>
      </c>
      <c r="I953" s="7">
        <v>4</v>
      </c>
      <c r="J953" s="7" t="s">
        <v>10310</v>
      </c>
      <c r="K953" s="9" t="s">
        <v>8987</v>
      </c>
    </row>
    <row r="954" spans="1:11">
      <c r="A954" s="7">
        <v>952</v>
      </c>
      <c r="B954" s="7" t="s">
        <v>8983</v>
      </c>
      <c r="C954" s="7" t="s">
        <v>8984</v>
      </c>
      <c r="D954" s="7" t="s">
        <v>7546</v>
      </c>
      <c r="E954" s="7" t="s">
        <v>6548</v>
      </c>
      <c r="F954" s="8" t="s">
        <v>9098</v>
      </c>
      <c r="G954" s="7">
        <v>30</v>
      </c>
      <c r="H954" s="7" t="s">
        <v>9015</v>
      </c>
      <c r="I954" s="7">
        <v>5</v>
      </c>
      <c r="J954" s="7" t="s">
        <v>7732</v>
      </c>
      <c r="K954" s="9" t="s">
        <v>8987</v>
      </c>
    </row>
    <row r="955" spans="1:11">
      <c r="A955" s="7">
        <v>953</v>
      </c>
      <c r="B955" s="7" t="s">
        <v>8983</v>
      </c>
      <c r="C955" s="7" t="s">
        <v>8984</v>
      </c>
      <c r="D955" s="7" t="s">
        <v>7546</v>
      </c>
      <c r="E955" s="7" t="s">
        <v>10445</v>
      </c>
      <c r="F955" s="8" t="s">
        <v>9098</v>
      </c>
      <c r="G955" s="7">
        <v>40</v>
      </c>
      <c r="H955" s="7" t="s">
        <v>9003</v>
      </c>
      <c r="I955" s="7">
        <v>6</v>
      </c>
      <c r="J955" s="7" t="s">
        <v>7707</v>
      </c>
      <c r="K955" s="9" t="s">
        <v>8987</v>
      </c>
    </row>
    <row r="956" spans="1:11">
      <c r="A956" s="7">
        <v>954</v>
      </c>
      <c r="B956" s="7" t="s">
        <v>8983</v>
      </c>
      <c r="C956" s="7" t="s">
        <v>8984</v>
      </c>
      <c r="D956" s="7" t="s">
        <v>7546</v>
      </c>
      <c r="E956" s="7" t="s">
        <v>10446</v>
      </c>
      <c r="F956" s="8" t="s">
        <v>9457</v>
      </c>
      <c r="G956" s="7">
        <v>20</v>
      </c>
      <c r="H956" s="7" t="s">
        <v>9394</v>
      </c>
      <c r="I956" s="7">
        <v>4</v>
      </c>
      <c r="J956" s="7" t="s">
        <v>10310</v>
      </c>
      <c r="K956" s="9" t="s">
        <v>8987</v>
      </c>
    </row>
    <row r="957" spans="1:11">
      <c r="A957" s="7">
        <v>955</v>
      </c>
      <c r="B957" s="7" t="s">
        <v>8983</v>
      </c>
      <c r="C957" s="7" t="s">
        <v>8984</v>
      </c>
      <c r="D957" s="7" t="s">
        <v>7546</v>
      </c>
      <c r="E957" s="7" t="s">
        <v>10447</v>
      </c>
      <c r="F957" s="8" t="s">
        <v>9457</v>
      </c>
      <c r="G957" s="7">
        <v>30</v>
      </c>
      <c r="H957" s="7" t="s">
        <v>9015</v>
      </c>
      <c r="I957" s="7">
        <v>5</v>
      </c>
      <c r="J957" s="7" t="s">
        <v>7732</v>
      </c>
      <c r="K957" s="9" t="s">
        <v>8987</v>
      </c>
    </row>
    <row r="958" spans="1:11">
      <c r="A958" s="7">
        <v>956</v>
      </c>
      <c r="B958" s="7" t="s">
        <v>8983</v>
      </c>
      <c r="C958" s="7" t="s">
        <v>8984</v>
      </c>
      <c r="D958" s="7" t="s">
        <v>7546</v>
      </c>
      <c r="E958" s="7" t="s">
        <v>10448</v>
      </c>
      <c r="F958" s="8" t="s">
        <v>9457</v>
      </c>
      <c r="G958" s="7">
        <v>40</v>
      </c>
      <c r="H958" s="7" t="s">
        <v>9003</v>
      </c>
      <c r="I958" s="7">
        <v>6</v>
      </c>
      <c r="J958" s="7" t="s">
        <v>7707</v>
      </c>
      <c r="K958" s="9" t="s">
        <v>8987</v>
      </c>
    </row>
    <row r="959" spans="1:11">
      <c r="A959" s="7">
        <v>957</v>
      </c>
      <c r="B959" s="7" t="s">
        <v>8983</v>
      </c>
      <c r="C959" s="7" t="s">
        <v>8984</v>
      </c>
      <c r="D959" s="7" t="s">
        <v>7546</v>
      </c>
      <c r="E959" s="7" t="s">
        <v>10449</v>
      </c>
      <c r="F959" s="8" t="s">
        <v>9457</v>
      </c>
      <c r="G959" s="7">
        <v>35</v>
      </c>
      <c r="H959" s="7" t="s">
        <v>9026</v>
      </c>
      <c r="I959" s="7">
        <v>6</v>
      </c>
      <c r="J959" s="7" t="s">
        <v>7816</v>
      </c>
      <c r="K959" s="9" t="s">
        <v>8987</v>
      </c>
    </row>
    <row r="960" spans="1:11">
      <c r="A960" s="7">
        <v>958</v>
      </c>
      <c r="B960" s="7" t="s">
        <v>8983</v>
      </c>
      <c r="C960" s="7" t="s">
        <v>8984</v>
      </c>
      <c r="D960" s="7" t="s">
        <v>7546</v>
      </c>
      <c r="E960" s="7" t="s">
        <v>10450</v>
      </c>
      <c r="F960" s="8" t="s">
        <v>9457</v>
      </c>
      <c r="G960" s="7">
        <v>40</v>
      </c>
      <c r="H960" s="7" t="s">
        <v>9003</v>
      </c>
      <c r="I960" s="7">
        <v>6</v>
      </c>
      <c r="J960" s="7" t="s">
        <v>7707</v>
      </c>
      <c r="K960" s="9" t="s">
        <v>8987</v>
      </c>
    </row>
    <row r="961" spans="1:11">
      <c r="A961" s="7">
        <v>959</v>
      </c>
      <c r="B961" s="7" t="s">
        <v>8983</v>
      </c>
      <c r="C961" s="7" t="s">
        <v>8984</v>
      </c>
      <c r="D961" s="7" t="s">
        <v>7546</v>
      </c>
      <c r="E961" s="7" t="s">
        <v>10451</v>
      </c>
      <c r="F961" s="8" t="s">
        <v>9457</v>
      </c>
      <c r="G961" s="7">
        <v>45</v>
      </c>
      <c r="H961" s="7" t="s">
        <v>9750</v>
      </c>
      <c r="I961" s="7">
        <v>6</v>
      </c>
      <c r="J961" s="7" t="s">
        <v>7708</v>
      </c>
      <c r="K961" s="9" t="s">
        <v>8987</v>
      </c>
    </row>
    <row r="962" spans="1:11">
      <c r="A962" s="7">
        <v>960</v>
      </c>
      <c r="B962" s="7" t="s">
        <v>8983</v>
      </c>
      <c r="C962" s="7" t="s">
        <v>8998</v>
      </c>
      <c r="D962" s="7" t="s">
        <v>7566</v>
      </c>
      <c r="E962" s="7" t="s">
        <v>10452</v>
      </c>
      <c r="F962" s="8" t="s">
        <v>9312</v>
      </c>
      <c r="G962" s="7" t="s">
        <v>8987</v>
      </c>
      <c r="H962" s="7" t="s">
        <v>8987</v>
      </c>
      <c r="I962" s="7" t="s">
        <v>8987</v>
      </c>
      <c r="J962" s="7" t="s">
        <v>8987</v>
      </c>
      <c r="K962" s="9" t="s">
        <v>8987</v>
      </c>
    </row>
    <row r="963" spans="1:11">
      <c r="A963" s="7">
        <v>961</v>
      </c>
      <c r="B963" s="7" t="s">
        <v>8983</v>
      </c>
      <c r="C963" s="7" t="s">
        <v>8984</v>
      </c>
      <c r="D963" s="7" t="s">
        <v>7566</v>
      </c>
      <c r="E963" s="7" t="s">
        <v>10453</v>
      </c>
      <c r="F963" s="8" t="s">
        <v>9312</v>
      </c>
      <c r="G963" s="7">
        <v>6</v>
      </c>
      <c r="H963" s="7" t="s">
        <v>9218</v>
      </c>
      <c r="I963" s="7">
        <v>2</v>
      </c>
      <c r="J963" s="7" t="s">
        <v>7874</v>
      </c>
      <c r="K963" s="9" t="s">
        <v>8987</v>
      </c>
    </row>
    <row r="964" spans="1:11">
      <c r="A964" s="7">
        <v>962</v>
      </c>
      <c r="B964" s="7" t="s">
        <v>8983</v>
      </c>
      <c r="C964" s="7" t="s">
        <v>8984</v>
      </c>
      <c r="D964" s="7" t="s">
        <v>7566</v>
      </c>
      <c r="E964" s="7" t="s">
        <v>10454</v>
      </c>
      <c r="F964" s="8" t="s">
        <v>9312</v>
      </c>
      <c r="G964" s="7">
        <v>12</v>
      </c>
      <c r="H964" s="7" t="s">
        <v>9213</v>
      </c>
      <c r="I964" s="7">
        <v>3</v>
      </c>
      <c r="J964" s="7" t="s">
        <v>7720</v>
      </c>
      <c r="K964" s="9" t="s">
        <v>8987</v>
      </c>
    </row>
    <row r="965" spans="1:11">
      <c r="A965" s="7">
        <v>963</v>
      </c>
      <c r="B965" s="7" t="s">
        <v>8983</v>
      </c>
      <c r="C965" s="7" t="s">
        <v>8984</v>
      </c>
      <c r="D965" s="7" t="s">
        <v>7566</v>
      </c>
      <c r="E965" s="7" t="s">
        <v>10455</v>
      </c>
      <c r="F965" s="8" t="s">
        <v>9312</v>
      </c>
      <c r="G965" s="7">
        <v>9</v>
      </c>
      <c r="H965" s="7" t="s">
        <v>9030</v>
      </c>
      <c r="I965" s="7">
        <v>3</v>
      </c>
      <c r="J965" s="7" t="s">
        <v>9031</v>
      </c>
      <c r="K965" s="9" t="s">
        <v>8987</v>
      </c>
    </row>
    <row r="966" spans="1:11">
      <c r="A966" s="7">
        <v>964</v>
      </c>
      <c r="B966" s="7" t="s">
        <v>8983</v>
      </c>
      <c r="C966" s="7" t="s">
        <v>8984</v>
      </c>
      <c r="D966" s="7" t="s">
        <v>7573</v>
      </c>
      <c r="E966" s="7" t="s">
        <v>10456</v>
      </c>
      <c r="F966" s="8" t="s">
        <v>10156</v>
      </c>
      <c r="G966" s="7">
        <v>30</v>
      </c>
      <c r="H966" s="7" t="s">
        <v>9015</v>
      </c>
      <c r="I966" s="7">
        <v>5</v>
      </c>
      <c r="J966" s="7" t="s">
        <v>7732</v>
      </c>
      <c r="K966" s="9" t="s">
        <v>8987</v>
      </c>
    </row>
    <row r="967" spans="1:11">
      <c r="A967" s="7">
        <v>965</v>
      </c>
      <c r="B967" s="7" t="s">
        <v>8983</v>
      </c>
      <c r="C967" s="7" t="s">
        <v>8984</v>
      </c>
      <c r="D967" s="7" t="s">
        <v>7573</v>
      </c>
      <c r="E967" s="7" t="s">
        <v>10457</v>
      </c>
      <c r="F967" s="8" t="s">
        <v>10156</v>
      </c>
      <c r="G967" s="7">
        <v>45</v>
      </c>
      <c r="H967" s="7" t="s">
        <v>9750</v>
      </c>
      <c r="I967" s="7">
        <v>7</v>
      </c>
      <c r="J967" s="7" t="s">
        <v>10458</v>
      </c>
      <c r="K967" s="9" t="s">
        <v>8987</v>
      </c>
    </row>
    <row r="968" spans="1:11">
      <c r="A968" s="7">
        <v>966</v>
      </c>
      <c r="B968" s="7" t="s">
        <v>8983</v>
      </c>
      <c r="C968" s="7" t="s">
        <v>8984</v>
      </c>
      <c r="D968" s="7" t="s">
        <v>7573</v>
      </c>
      <c r="E968" s="7" t="s">
        <v>10459</v>
      </c>
      <c r="F968" s="8" t="s">
        <v>10156</v>
      </c>
      <c r="G968" s="7">
        <v>60</v>
      </c>
      <c r="H968" s="7" t="s">
        <v>9289</v>
      </c>
      <c r="I968" s="7">
        <v>9</v>
      </c>
      <c r="J968" s="7" t="s">
        <v>10289</v>
      </c>
      <c r="K968" s="9" t="s">
        <v>8987</v>
      </c>
    </row>
    <row r="969" spans="1:11">
      <c r="A969" s="7">
        <v>967</v>
      </c>
      <c r="B969" s="7" t="s">
        <v>8983</v>
      </c>
      <c r="C969" s="7" t="s">
        <v>8984</v>
      </c>
      <c r="D969" s="7" t="s">
        <v>7552</v>
      </c>
      <c r="E969" s="7" t="s">
        <v>10460</v>
      </c>
      <c r="F969" s="8" t="s">
        <v>9450</v>
      </c>
      <c r="G969" s="7">
        <v>13</v>
      </c>
      <c r="H969" s="7" t="s">
        <v>9077</v>
      </c>
      <c r="I969" s="7">
        <v>3</v>
      </c>
      <c r="J969" s="7" t="s">
        <v>7773</v>
      </c>
      <c r="K969" s="9" t="s">
        <v>8987</v>
      </c>
    </row>
    <row r="970" spans="1:11">
      <c r="A970" s="7">
        <v>968</v>
      </c>
      <c r="B970" s="7" t="s">
        <v>8983</v>
      </c>
      <c r="C970" s="7" t="s">
        <v>8984</v>
      </c>
      <c r="D970" s="7" t="s">
        <v>7552</v>
      </c>
      <c r="E970" s="7" t="s">
        <v>10461</v>
      </c>
      <c r="F970" s="8" t="s">
        <v>9450</v>
      </c>
      <c r="G970" s="7">
        <v>19</v>
      </c>
      <c r="H970" s="7" t="s">
        <v>10462</v>
      </c>
      <c r="I970" s="7">
        <v>3</v>
      </c>
      <c r="J970" s="7" t="s">
        <v>10463</v>
      </c>
      <c r="K970" s="9" t="s">
        <v>8987</v>
      </c>
    </row>
    <row r="971" spans="1:11">
      <c r="A971" s="7">
        <v>969</v>
      </c>
      <c r="B971" s="7" t="s">
        <v>8983</v>
      </c>
      <c r="C971" s="7" t="s">
        <v>8984</v>
      </c>
      <c r="D971" s="7" t="s">
        <v>7552</v>
      </c>
      <c r="E971" s="7" t="s">
        <v>10464</v>
      </c>
      <c r="F971" s="8" t="s">
        <v>9450</v>
      </c>
      <c r="G971" s="7">
        <v>24</v>
      </c>
      <c r="H971" s="7" t="s">
        <v>9418</v>
      </c>
      <c r="I971" s="7">
        <v>4</v>
      </c>
      <c r="J971" s="7" t="s">
        <v>7696</v>
      </c>
      <c r="K971" s="9" t="s">
        <v>8987</v>
      </c>
    </row>
    <row r="972" spans="1:11">
      <c r="A972" s="7">
        <v>970</v>
      </c>
      <c r="B972" s="7" t="s">
        <v>8983</v>
      </c>
      <c r="C972" s="7" t="s">
        <v>8984</v>
      </c>
      <c r="D972" s="7" t="s">
        <v>7552</v>
      </c>
      <c r="E972" s="7" t="s">
        <v>10465</v>
      </c>
      <c r="F972" s="8" t="s">
        <v>10102</v>
      </c>
      <c r="G972" s="7">
        <v>14</v>
      </c>
      <c r="H972" s="7" t="s">
        <v>9397</v>
      </c>
      <c r="I972" s="7">
        <v>3</v>
      </c>
      <c r="J972" s="7" t="s">
        <v>7774</v>
      </c>
      <c r="K972" s="9" t="s">
        <v>8987</v>
      </c>
    </row>
    <row r="973" spans="1:11">
      <c r="A973" s="7">
        <v>971</v>
      </c>
      <c r="B973" s="7" t="s">
        <v>8983</v>
      </c>
      <c r="C973" s="7" t="s">
        <v>8984</v>
      </c>
      <c r="D973" s="7" t="s">
        <v>7552</v>
      </c>
      <c r="E973" s="7" t="s">
        <v>10466</v>
      </c>
      <c r="F973" s="8" t="s">
        <v>10102</v>
      </c>
      <c r="G973" s="7">
        <v>21</v>
      </c>
      <c r="H973" s="7" t="s">
        <v>9116</v>
      </c>
      <c r="I973" s="7">
        <v>4</v>
      </c>
      <c r="J973" s="7" t="s">
        <v>7695</v>
      </c>
      <c r="K973" s="9" t="s">
        <v>8987</v>
      </c>
    </row>
    <row r="974" spans="1:11">
      <c r="A974" s="7">
        <v>972</v>
      </c>
      <c r="B974" s="7" t="s">
        <v>8983</v>
      </c>
      <c r="C974" s="7" t="s">
        <v>8984</v>
      </c>
      <c r="D974" s="7" t="s">
        <v>7552</v>
      </c>
      <c r="E974" s="7" t="s">
        <v>10467</v>
      </c>
      <c r="F974" s="8" t="s">
        <v>10102</v>
      </c>
      <c r="G974" s="7">
        <v>28</v>
      </c>
      <c r="H974" s="7" t="s">
        <v>10468</v>
      </c>
      <c r="I974" s="7">
        <v>5</v>
      </c>
      <c r="J974" s="7" t="s">
        <v>10469</v>
      </c>
      <c r="K974" s="9" t="s">
        <v>8987</v>
      </c>
    </row>
    <row r="975" spans="1:11">
      <c r="A975" s="7">
        <v>973</v>
      </c>
      <c r="B975" s="7" t="s">
        <v>8983</v>
      </c>
      <c r="C975" s="7" t="s">
        <v>8984</v>
      </c>
      <c r="D975" s="7" t="s">
        <v>7552</v>
      </c>
      <c r="E975" s="7" t="s">
        <v>10470</v>
      </c>
      <c r="F975" s="8" t="s">
        <v>10142</v>
      </c>
      <c r="G975" s="7">
        <v>20</v>
      </c>
      <c r="H975" s="7" t="s">
        <v>9394</v>
      </c>
      <c r="I975" s="7">
        <v>4</v>
      </c>
      <c r="J975" s="7" t="s">
        <v>10310</v>
      </c>
      <c r="K975" s="9" t="s">
        <v>8987</v>
      </c>
    </row>
    <row r="976" spans="1:11">
      <c r="A976" s="7">
        <v>974</v>
      </c>
      <c r="B976" s="7" t="s">
        <v>8983</v>
      </c>
      <c r="C976" s="7" t="s">
        <v>8984</v>
      </c>
      <c r="D976" s="7" t="s">
        <v>7552</v>
      </c>
      <c r="E976" s="7" t="s">
        <v>10471</v>
      </c>
      <c r="F976" s="8" t="s">
        <v>10142</v>
      </c>
      <c r="G976" s="7">
        <v>30</v>
      </c>
      <c r="H976" s="7" t="s">
        <v>9015</v>
      </c>
      <c r="I976" s="7">
        <v>5</v>
      </c>
      <c r="J976" s="7" t="s">
        <v>7732</v>
      </c>
      <c r="K976" s="9" t="s">
        <v>8987</v>
      </c>
    </row>
    <row r="977" spans="1:11">
      <c r="A977" s="7">
        <v>975</v>
      </c>
      <c r="B977" s="7" t="s">
        <v>8983</v>
      </c>
      <c r="C977" s="7" t="s">
        <v>8984</v>
      </c>
      <c r="D977" s="7" t="s">
        <v>7552</v>
      </c>
      <c r="E977" s="7" t="s">
        <v>10472</v>
      </c>
      <c r="F977" s="8" t="s">
        <v>10142</v>
      </c>
      <c r="G977" s="7">
        <v>40</v>
      </c>
      <c r="H977" s="7" t="s">
        <v>9003</v>
      </c>
      <c r="I977" s="7">
        <v>6</v>
      </c>
      <c r="J977" s="7" t="s">
        <v>7707</v>
      </c>
      <c r="K977" s="9" t="s">
        <v>8987</v>
      </c>
    </row>
    <row r="978" spans="1:11">
      <c r="A978" s="7">
        <v>976</v>
      </c>
      <c r="B978" s="7" t="s">
        <v>8983</v>
      </c>
      <c r="C978" s="7" t="s">
        <v>8984</v>
      </c>
      <c r="D978" s="7" t="s">
        <v>7551</v>
      </c>
      <c r="E978" s="7" t="s">
        <v>10473</v>
      </c>
      <c r="F978" s="8" t="s">
        <v>10208</v>
      </c>
      <c r="G978" s="7">
        <v>0</v>
      </c>
      <c r="H978" s="7" t="s">
        <v>8984</v>
      </c>
      <c r="I978" s="7">
        <v>1</v>
      </c>
      <c r="J978" s="7" t="s">
        <v>7838</v>
      </c>
      <c r="K978" s="9" t="s">
        <v>8987</v>
      </c>
    </row>
    <row r="979" spans="1:11">
      <c r="A979" s="7">
        <v>977</v>
      </c>
      <c r="B979" s="7" t="s">
        <v>8983</v>
      </c>
      <c r="C979" s="7" t="s">
        <v>8984</v>
      </c>
      <c r="D979" s="7" t="s">
        <v>7551</v>
      </c>
      <c r="E979" s="7" t="s">
        <v>10474</v>
      </c>
      <c r="F979" s="8" t="s">
        <v>10208</v>
      </c>
      <c r="G979" s="7">
        <v>1</v>
      </c>
      <c r="H979" s="7" t="s">
        <v>9112</v>
      </c>
      <c r="I979" s="7">
        <v>1</v>
      </c>
      <c r="J979" s="7" t="s">
        <v>9113</v>
      </c>
      <c r="K979" s="9" t="s">
        <v>8987</v>
      </c>
    </row>
    <row r="980" spans="1:11">
      <c r="A980" s="7">
        <v>978</v>
      </c>
      <c r="B980" s="7" t="s">
        <v>8983</v>
      </c>
      <c r="C980" s="7" t="s">
        <v>8984</v>
      </c>
      <c r="D980" s="7" t="s">
        <v>7551</v>
      </c>
      <c r="E980" s="7" t="s">
        <v>10475</v>
      </c>
      <c r="F980" s="8" t="s">
        <v>10208</v>
      </c>
      <c r="G980" s="7">
        <v>2</v>
      </c>
      <c r="H980" s="7" t="s">
        <v>10476</v>
      </c>
      <c r="I980" s="7">
        <v>1</v>
      </c>
      <c r="J980" s="7" t="s">
        <v>7861</v>
      </c>
      <c r="K980" s="9" t="s">
        <v>8987</v>
      </c>
    </row>
    <row r="981" spans="1:11">
      <c r="A981" s="7">
        <v>979</v>
      </c>
      <c r="B981" s="7" t="s">
        <v>8983</v>
      </c>
      <c r="C981" s="7" t="s">
        <v>8984</v>
      </c>
      <c r="D981" s="7" t="s">
        <v>7555</v>
      </c>
      <c r="E981" s="7" t="s">
        <v>10477</v>
      </c>
      <c r="F981" s="8" t="s">
        <v>9621</v>
      </c>
      <c r="G981" s="7">
        <v>0</v>
      </c>
      <c r="H981" s="7" t="s">
        <v>8984</v>
      </c>
      <c r="I981" s="7">
        <v>1</v>
      </c>
      <c r="J981" s="7" t="s">
        <v>7838</v>
      </c>
      <c r="K981" s="9" t="s">
        <v>8987</v>
      </c>
    </row>
    <row r="982" spans="1:11">
      <c r="A982" s="7">
        <v>980</v>
      </c>
      <c r="B982" s="7" t="s">
        <v>8983</v>
      </c>
      <c r="C982" s="7" t="s">
        <v>8984</v>
      </c>
      <c r="D982" s="7" t="s">
        <v>7555</v>
      </c>
      <c r="E982" s="7" t="s">
        <v>10478</v>
      </c>
      <c r="F982" s="8" t="s">
        <v>9621</v>
      </c>
      <c r="G982" s="7">
        <v>1</v>
      </c>
      <c r="H982" s="7" t="s">
        <v>9112</v>
      </c>
      <c r="I982" s="7">
        <v>1</v>
      </c>
      <c r="J982" s="7" t="s">
        <v>9113</v>
      </c>
      <c r="K982" s="9" t="s">
        <v>8987</v>
      </c>
    </row>
    <row r="983" spans="1:11">
      <c r="A983" s="7">
        <v>981</v>
      </c>
      <c r="B983" s="7" t="s">
        <v>8983</v>
      </c>
      <c r="C983" s="7" t="s">
        <v>8984</v>
      </c>
      <c r="D983" s="7" t="s">
        <v>7555</v>
      </c>
      <c r="E983" s="7" t="s">
        <v>10479</v>
      </c>
      <c r="F983" s="8" t="s">
        <v>9621</v>
      </c>
      <c r="G983" s="7">
        <v>2</v>
      </c>
      <c r="H983" s="7" t="s">
        <v>10476</v>
      </c>
      <c r="I983" s="7">
        <v>1</v>
      </c>
      <c r="J983" s="7" t="s">
        <v>7861</v>
      </c>
      <c r="K983" s="9" t="s">
        <v>8987</v>
      </c>
    </row>
    <row r="984" spans="1:11">
      <c r="A984" s="7">
        <v>982</v>
      </c>
      <c r="B984" s="7" t="s">
        <v>8983</v>
      </c>
      <c r="C984" s="7" t="s">
        <v>8984</v>
      </c>
      <c r="D984" s="7" t="s">
        <v>7556</v>
      </c>
      <c r="E984" s="7" t="s">
        <v>10480</v>
      </c>
      <c r="F984" s="8" t="s">
        <v>9735</v>
      </c>
      <c r="G984" s="7">
        <v>250</v>
      </c>
      <c r="H984" s="7" t="s">
        <v>9351</v>
      </c>
      <c r="I984" s="7">
        <v>1</v>
      </c>
      <c r="J984" s="7" t="s">
        <v>10137</v>
      </c>
      <c r="K984" s="9" t="s">
        <v>8987</v>
      </c>
    </row>
    <row r="985" spans="1:11">
      <c r="A985" s="7">
        <v>983</v>
      </c>
      <c r="B985" s="7" t="s">
        <v>8983</v>
      </c>
      <c r="C985" s="7" t="s">
        <v>8984</v>
      </c>
      <c r="D985" s="7" t="s">
        <v>7556</v>
      </c>
      <c r="E985" s="7" t="s">
        <v>10481</v>
      </c>
      <c r="F985" s="8" t="s">
        <v>9735</v>
      </c>
      <c r="G985" s="7">
        <v>250</v>
      </c>
      <c r="H985" s="7" t="s">
        <v>9351</v>
      </c>
      <c r="I985" s="7">
        <v>1</v>
      </c>
      <c r="J985" s="7" t="s">
        <v>10137</v>
      </c>
      <c r="K985" s="9" t="s">
        <v>8987</v>
      </c>
    </row>
    <row r="986" spans="1:11">
      <c r="A986" s="7">
        <v>984</v>
      </c>
      <c r="B986" s="7" t="s">
        <v>8983</v>
      </c>
      <c r="C986" s="7" t="s">
        <v>8984</v>
      </c>
      <c r="D986" s="7" t="s">
        <v>7542</v>
      </c>
      <c r="E986" s="7" t="s">
        <v>10482</v>
      </c>
      <c r="F986" s="8" t="s">
        <v>9320</v>
      </c>
      <c r="G986" s="7">
        <v>100</v>
      </c>
      <c r="H986" s="7" t="s">
        <v>9046</v>
      </c>
      <c r="I986" s="7">
        <v>1</v>
      </c>
      <c r="J986" s="7" t="s">
        <v>7878</v>
      </c>
      <c r="K986" s="9" t="s">
        <v>8987</v>
      </c>
    </row>
    <row r="987" spans="1:11">
      <c r="A987" s="7">
        <v>985</v>
      </c>
      <c r="B987" s="7" t="s">
        <v>8983</v>
      </c>
      <c r="C987" s="7" t="s">
        <v>8984</v>
      </c>
      <c r="D987" s="7" t="s">
        <v>7542</v>
      </c>
      <c r="E987" s="7" t="s">
        <v>10483</v>
      </c>
      <c r="F987" s="8" t="s">
        <v>9812</v>
      </c>
      <c r="G987" s="7">
        <v>0</v>
      </c>
      <c r="H987" s="7" t="s">
        <v>8984</v>
      </c>
      <c r="I987" s="7">
        <v>1</v>
      </c>
      <c r="J987" s="7" t="s">
        <v>7838</v>
      </c>
      <c r="K987" s="9" t="s">
        <v>8987</v>
      </c>
    </row>
    <row r="988" spans="1:11">
      <c r="A988" s="7">
        <v>986</v>
      </c>
      <c r="B988" s="7" t="s">
        <v>8983</v>
      </c>
      <c r="C988" s="7" t="s">
        <v>8984</v>
      </c>
      <c r="D988" s="7" t="s">
        <v>7549</v>
      </c>
      <c r="E988" s="7" t="s">
        <v>10484</v>
      </c>
      <c r="F988" s="8" t="s">
        <v>10215</v>
      </c>
      <c r="G988" s="7">
        <v>130</v>
      </c>
      <c r="H988" s="7" t="s">
        <v>9062</v>
      </c>
      <c r="I988" s="7">
        <v>1</v>
      </c>
      <c r="J988" s="7" t="s">
        <v>10485</v>
      </c>
      <c r="K988" s="9" t="s">
        <v>8987</v>
      </c>
    </row>
    <row r="989" spans="1:11">
      <c r="A989" s="7">
        <v>987</v>
      </c>
      <c r="B989" s="7" t="s">
        <v>8983</v>
      </c>
      <c r="C989" s="7" t="s">
        <v>8991</v>
      </c>
      <c r="D989" s="7" t="s">
        <v>7549</v>
      </c>
      <c r="E989" s="7" t="s">
        <v>10486</v>
      </c>
      <c r="F989" s="8" t="s">
        <v>10215</v>
      </c>
      <c r="G989" s="7">
        <v>190</v>
      </c>
      <c r="H989" s="7" t="s">
        <v>9786</v>
      </c>
      <c r="I989" s="7">
        <v>1</v>
      </c>
      <c r="J989" s="7" t="s">
        <v>10487</v>
      </c>
      <c r="K989" s="9" t="s">
        <v>8987</v>
      </c>
    </row>
    <row r="990" spans="1:11">
      <c r="A990" s="7">
        <v>988</v>
      </c>
      <c r="B990" s="7" t="s">
        <v>8983</v>
      </c>
      <c r="C990" s="7" t="s">
        <v>8984</v>
      </c>
      <c r="D990" s="7" t="s">
        <v>7549</v>
      </c>
      <c r="E990" s="7" t="s">
        <v>10488</v>
      </c>
      <c r="F990" s="8" t="s">
        <v>10215</v>
      </c>
      <c r="G990" s="7">
        <v>150</v>
      </c>
      <c r="H990" s="7" t="s">
        <v>9253</v>
      </c>
      <c r="I990" s="7">
        <v>1</v>
      </c>
      <c r="J990" s="7" t="s">
        <v>7846</v>
      </c>
      <c r="K990" s="9" t="s">
        <v>8987</v>
      </c>
    </row>
    <row r="991" spans="1:11">
      <c r="A991" s="7">
        <v>989</v>
      </c>
      <c r="B991" s="7" t="s">
        <v>8983</v>
      </c>
      <c r="C991" s="7" t="s">
        <v>8998</v>
      </c>
      <c r="D991" s="7" t="s">
        <v>7556</v>
      </c>
      <c r="E991" s="7" t="s">
        <v>10489</v>
      </c>
      <c r="F991" s="8" t="s">
        <v>9595</v>
      </c>
      <c r="G991" s="7" t="s">
        <v>8987</v>
      </c>
      <c r="H991" s="7" t="s">
        <v>8987</v>
      </c>
      <c r="I991" s="7" t="s">
        <v>8987</v>
      </c>
      <c r="J991" s="7" t="s">
        <v>8987</v>
      </c>
      <c r="K991" s="9" t="s">
        <v>8987</v>
      </c>
    </row>
    <row r="992" spans="1:11">
      <c r="A992" s="7">
        <v>990</v>
      </c>
      <c r="B992" s="7" t="s">
        <v>8983</v>
      </c>
      <c r="C992" s="7" t="s">
        <v>8998</v>
      </c>
      <c r="D992" s="7" t="s">
        <v>7556</v>
      </c>
      <c r="E992" s="7" t="s">
        <v>10490</v>
      </c>
      <c r="F992" s="8" t="s">
        <v>9595</v>
      </c>
      <c r="G992" s="7" t="s">
        <v>8987</v>
      </c>
      <c r="H992" s="7" t="s">
        <v>8987</v>
      </c>
      <c r="I992" s="7" t="s">
        <v>8987</v>
      </c>
      <c r="J992" s="7" t="s">
        <v>8987</v>
      </c>
      <c r="K992" s="9" t="s">
        <v>8987</v>
      </c>
    </row>
    <row r="993" spans="1:11">
      <c r="A993" s="7">
        <v>991</v>
      </c>
      <c r="B993" s="7" t="s">
        <v>8983</v>
      </c>
      <c r="C993" s="7" t="s">
        <v>8998</v>
      </c>
      <c r="D993" s="7" t="s">
        <v>7542</v>
      </c>
      <c r="E993" s="7" t="s">
        <v>10491</v>
      </c>
      <c r="F993" s="8" t="s">
        <v>9314</v>
      </c>
      <c r="G993" s="7" t="s">
        <v>8987</v>
      </c>
      <c r="H993" s="7" t="s">
        <v>8987</v>
      </c>
      <c r="I993" s="7" t="s">
        <v>8987</v>
      </c>
      <c r="J993" s="7" t="s">
        <v>8987</v>
      </c>
      <c r="K993" s="9" t="s">
        <v>8987</v>
      </c>
    </row>
    <row r="994" spans="1:11">
      <c r="A994" s="7">
        <v>992</v>
      </c>
      <c r="B994" s="7" t="s">
        <v>8983</v>
      </c>
      <c r="C994" s="7" t="s">
        <v>8984</v>
      </c>
      <c r="D994" s="7" t="s">
        <v>7549</v>
      </c>
      <c r="E994" s="7" t="s">
        <v>10492</v>
      </c>
      <c r="F994" s="8" t="s">
        <v>10493</v>
      </c>
      <c r="G994" s="7">
        <v>4</v>
      </c>
      <c r="H994" s="7" t="s">
        <v>9579</v>
      </c>
      <c r="I994" s="7">
        <v>1</v>
      </c>
      <c r="J994" s="7" t="s">
        <v>7617</v>
      </c>
      <c r="K994" s="9" t="s">
        <v>8987</v>
      </c>
    </row>
    <row r="995" spans="1:11">
      <c r="A995" s="7">
        <v>993</v>
      </c>
      <c r="B995" s="7" t="s">
        <v>8983</v>
      </c>
      <c r="C995" s="7" t="s">
        <v>8984</v>
      </c>
      <c r="D995" s="7" t="s">
        <v>7542</v>
      </c>
      <c r="E995" s="7" t="s">
        <v>10494</v>
      </c>
      <c r="F995" s="8" t="s">
        <v>10495</v>
      </c>
      <c r="G995" s="7">
        <v>6</v>
      </c>
      <c r="H995" s="7" t="s">
        <v>9218</v>
      </c>
      <c r="I995" s="7">
        <v>1</v>
      </c>
      <c r="J995" s="7" t="s">
        <v>7623</v>
      </c>
      <c r="K995" s="9" t="s">
        <v>8987</v>
      </c>
    </row>
    <row r="996" spans="1:11">
      <c r="A996" s="7">
        <v>994</v>
      </c>
      <c r="B996" s="7" t="s">
        <v>8983</v>
      </c>
      <c r="C996" s="7" t="s">
        <v>8984</v>
      </c>
      <c r="D996" s="7" t="s">
        <v>7542</v>
      </c>
      <c r="E996" s="7" t="s">
        <v>10496</v>
      </c>
      <c r="F996" s="8" t="s">
        <v>10495</v>
      </c>
      <c r="G996" s="7">
        <v>9</v>
      </c>
      <c r="H996" s="7" t="s">
        <v>9030</v>
      </c>
      <c r="I996" s="7">
        <v>5</v>
      </c>
      <c r="J996" s="7" t="s">
        <v>10497</v>
      </c>
      <c r="K996" s="9" t="s">
        <v>8987</v>
      </c>
    </row>
    <row r="997" spans="1:11">
      <c r="A997" s="7">
        <v>995</v>
      </c>
      <c r="B997" s="7" t="s">
        <v>8983</v>
      </c>
      <c r="C997" s="7" t="s">
        <v>8984</v>
      </c>
      <c r="D997" s="7" t="s">
        <v>7573</v>
      </c>
      <c r="E997" s="7" t="s">
        <v>10498</v>
      </c>
      <c r="F997" s="8" t="s">
        <v>10499</v>
      </c>
      <c r="G997" s="7">
        <v>9</v>
      </c>
      <c r="H997" s="7" t="s">
        <v>9030</v>
      </c>
      <c r="I997" s="7">
        <v>5</v>
      </c>
      <c r="J997" s="7" t="s">
        <v>10497</v>
      </c>
      <c r="K997" s="9" t="s">
        <v>8987</v>
      </c>
    </row>
    <row r="998" spans="1:11">
      <c r="A998" s="7">
        <v>996</v>
      </c>
      <c r="B998" s="7" t="s">
        <v>9208</v>
      </c>
      <c r="C998" s="7" t="s">
        <v>8984</v>
      </c>
      <c r="D998" s="7" t="s">
        <v>7547</v>
      </c>
      <c r="E998" s="7" t="s">
        <v>10500</v>
      </c>
      <c r="F998" s="8" t="s">
        <v>10501</v>
      </c>
      <c r="G998" s="7">
        <v>9</v>
      </c>
      <c r="H998" s="7" t="s">
        <v>9030</v>
      </c>
      <c r="I998" s="7">
        <v>5</v>
      </c>
      <c r="J998" s="7" t="s">
        <v>10497</v>
      </c>
      <c r="K998" s="9" t="s">
        <v>8987</v>
      </c>
    </row>
    <row r="999" spans="1:11">
      <c r="A999" s="7">
        <v>997</v>
      </c>
      <c r="B999" s="7" t="s">
        <v>8983</v>
      </c>
      <c r="C999" s="7" t="s">
        <v>8984</v>
      </c>
      <c r="D999" s="7" t="s">
        <v>7546</v>
      </c>
      <c r="E999" s="7" t="s">
        <v>10502</v>
      </c>
      <c r="F999" s="8" t="s">
        <v>10503</v>
      </c>
      <c r="G999" s="7">
        <v>9</v>
      </c>
      <c r="H999" s="7" t="s">
        <v>9030</v>
      </c>
      <c r="I999" s="7">
        <v>5</v>
      </c>
      <c r="J999" s="7" t="s">
        <v>10497</v>
      </c>
      <c r="K999" s="9" t="s">
        <v>8987</v>
      </c>
    </row>
    <row r="1000" spans="1:11">
      <c r="A1000" s="7">
        <v>998</v>
      </c>
      <c r="B1000" s="7" t="s">
        <v>8983</v>
      </c>
      <c r="C1000" s="7" t="s">
        <v>8984</v>
      </c>
      <c r="D1000" s="7" t="s">
        <v>7552</v>
      </c>
      <c r="E1000" s="7" t="s">
        <v>10504</v>
      </c>
      <c r="F1000" s="8" t="s">
        <v>10505</v>
      </c>
      <c r="G1000" s="7">
        <v>9</v>
      </c>
      <c r="H1000" s="7" t="s">
        <v>9030</v>
      </c>
      <c r="I1000" s="7">
        <v>5</v>
      </c>
      <c r="J1000" s="7" t="s">
        <v>10497</v>
      </c>
      <c r="K1000" s="9" t="s">
        <v>8987</v>
      </c>
    </row>
    <row r="1001" spans="1:11">
      <c r="A1001" s="7">
        <v>999</v>
      </c>
      <c r="B1001" s="7" t="s">
        <v>9208</v>
      </c>
      <c r="C1001" s="7" t="s">
        <v>8984</v>
      </c>
      <c r="D1001" s="7" t="s">
        <v>7549</v>
      </c>
      <c r="E1001" s="7" t="s">
        <v>10506</v>
      </c>
      <c r="F1001" s="8" t="s">
        <v>10507</v>
      </c>
      <c r="G1001" s="7">
        <v>9</v>
      </c>
      <c r="H1001" s="7" t="s">
        <v>9030</v>
      </c>
      <c r="I1001" s="7">
        <v>5</v>
      </c>
      <c r="J1001" s="7" t="s">
        <v>10497</v>
      </c>
      <c r="K1001" s="9" t="s">
        <v>8987</v>
      </c>
    </row>
    <row r="1002" spans="1:11">
      <c r="A1002" s="7">
        <v>1000</v>
      </c>
      <c r="B1002" s="7" t="s">
        <v>8990</v>
      </c>
      <c r="C1002" s="7" t="s">
        <v>8998</v>
      </c>
      <c r="D1002" s="7" t="s">
        <v>7548</v>
      </c>
      <c r="E1002" s="7" t="s">
        <v>10508</v>
      </c>
      <c r="F1002" s="8" t="s">
        <v>10509</v>
      </c>
      <c r="G1002" s="7" t="s">
        <v>8987</v>
      </c>
      <c r="H1002" s="7" t="s">
        <v>8987</v>
      </c>
      <c r="I1002" s="7" t="s">
        <v>8987</v>
      </c>
      <c r="J1002" s="7" t="s">
        <v>8987</v>
      </c>
      <c r="K1002" s="9" t="s">
        <v>8987</v>
      </c>
    </row>
    <row r="1003" spans="1:11">
      <c r="A1003" s="7">
        <v>1001</v>
      </c>
      <c r="B1003" s="7" t="s">
        <v>8990</v>
      </c>
      <c r="C1003" s="7" t="s">
        <v>8998</v>
      </c>
      <c r="D1003" s="7" t="s">
        <v>7548</v>
      </c>
      <c r="E1003" s="7" t="s">
        <v>10510</v>
      </c>
      <c r="F1003" s="8" t="s">
        <v>10509</v>
      </c>
      <c r="G1003" s="7" t="s">
        <v>8987</v>
      </c>
      <c r="H1003" s="7" t="s">
        <v>8987</v>
      </c>
      <c r="I1003" s="7" t="s">
        <v>8987</v>
      </c>
      <c r="J1003" s="7" t="s">
        <v>8987</v>
      </c>
      <c r="K1003" s="9" t="s">
        <v>8987</v>
      </c>
    </row>
    <row r="1004" spans="1:11">
      <c r="A1004" s="7">
        <v>1002</v>
      </c>
      <c r="B1004" s="7" t="s">
        <v>8983</v>
      </c>
      <c r="C1004" s="7" t="s">
        <v>8984</v>
      </c>
      <c r="D1004" s="7" t="s">
        <v>7552</v>
      </c>
      <c r="E1004" s="7" t="s">
        <v>10511</v>
      </c>
      <c r="F1004" s="8" t="s">
        <v>10059</v>
      </c>
      <c r="G1004" s="7">
        <v>165</v>
      </c>
      <c r="H1004" s="7" t="s">
        <v>9893</v>
      </c>
      <c r="I1004" s="7">
        <v>17</v>
      </c>
      <c r="J1004" s="7" t="s">
        <v>10512</v>
      </c>
      <c r="K1004" s="9" t="s">
        <v>8987</v>
      </c>
    </row>
    <row r="1005" spans="1:11">
      <c r="A1005" s="7">
        <v>1003</v>
      </c>
      <c r="B1005" s="7" t="s">
        <v>8983</v>
      </c>
      <c r="C1005" s="7" t="s">
        <v>8984</v>
      </c>
      <c r="D1005" s="7" t="s">
        <v>7552</v>
      </c>
      <c r="E1005" s="7" t="s">
        <v>10513</v>
      </c>
      <c r="F1005" s="8" t="s">
        <v>10059</v>
      </c>
      <c r="G1005" s="7">
        <v>330</v>
      </c>
      <c r="H1005" s="7" t="s">
        <v>9958</v>
      </c>
      <c r="I1005" s="7">
        <v>33</v>
      </c>
      <c r="J1005" s="7" t="s">
        <v>10514</v>
      </c>
      <c r="K1005" s="9" t="s">
        <v>8987</v>
      </c>
    </row>
    <row r="1006" spans="1:11">
      <c r="A1006" s="7">
        <v>1004</v>
      </c>
      <c r="B1006" s="7" t="s">
        <v>8983</v>
      </c>
      <c r="C1006" s="7" t="s">
        <v>8984</v>
      </c>
      <c r="D1006" s="7" t="s">
        <v>7553</v>
      </c>
      <c r="E1006" s="7" t="s">
        <v>10515</v>
      </c>
      <c r="F1006" s="8" t="s">
        <v>10059</v>
      </c>
      <c r="G1006" s="7">
        <v>330</v>
      </c>
      <c r="H1006" s="7" t="s">
        <v>9958</v>
      </c>
      <c r="I1006" s="7">
        <v>33</v>
      </c>
      <c r="J1006" s="7" t="s">
        <v>10514</v>
      </c>
      <c r="K1006" s="9" t="s">
        <v>8987</v>
      </c>
    </row>
    <row r="1007" spans="1:11">
      <c r="A1007" s="7">
        <v>1005</v>
      </c>
      <c r="B1007" s="7" t="s">
        <v>8983</v>
      </c>
      <c r="C1007" s="7" t="s">
        <v>8998</v>
      </c>
      <c r="D1007" s="7" t="s">
        <v>7553</v>
      </c>
      <c r="E1007" s="7" t="s">
        <v>10516</v>
      </c>
      <c r="F1007" s="8" t="s">
        <v>10059</v>
      </c>
      <c r="G1007" s="7" t="s">
        <v>8987</v>
      </c>
      <c r="H1007" s="7" t="s">
        <v>8987</v>
      </c>
      <c r="I1007" s="7" t="s">
        <v>8987</v>
      </c>
      <c r="J1007" s="7" t="s">
        <v>8987</v>
      </c>
      <c r="K1007" s="9" t="s">
        <v>8987</v>
      </c>
    </row>
    <row r="1008" spans="1:11">
      <c r="A1008" s="7">
        <v>1006</v>
      </c>
      <c r="B1008" s="7" t="s">
        <v>8983</v>
      </c>
      <c r="C1008" s="7" t="s">
        <v>8998</v>
      </c>
      <c r="D1008" s="7" t="s">
        <v>7542</v>
      </c>
      <c r="E1008" s="7" t="s">
        <v>10517</v>
      </c>
      <c r="F1008" s="8" t="s">
        <v>10059</v>
      </c>
      <c r="G1008" s="7" t="s">
        <v>8987</v>
      </c>
      <c r="H1008" s="7" t="s">
        <v>8987</v>
      </c>
      <c r="I1008" s="7" t="s">
        <v>8987</v>
      </c>
      <c r="J1008" s="7" t="s">
        <v>8987</v>
      </c>
      <c r="K1008" s="9" t="s">
        <v>8987</v>
      </c>
    </row>
    <row r="1009" spans="1:11">
      <c r="A1009" s="7">
        <v>1007</v>
      </c>
      <c r="B1009" s="7" t="s">
        <v>8983</v>
      </c>
      <c r="C1009" s="7" t="s">
        <v>8998</v>
      </c>
      <c r="D1009" s="7" t="s">
        <v>7573</v>
      </c>
      <c r="E1009" s="7" t="s">
        <v>10518</v>
      </c>
      <c r="F1009" s="8" t="s">
        <v>9812</v>
      </c>
      <c r="G1009" s="7" t="s">
        <v>8987</v>
      </c>
      <c r="H1009" s="7" t="s">
        <v>8987</v>
      </c>
      <c r="I1009" s="7" t="s">
        <v>8987</v>
      </c>
      <c r="J1009" s="7" t="s">
        <v>8987</v>
      </c>
      <c r="K1009" s="9" t="s">
        <v>8987</v>
      </c>
    </row>
    <row r="1010" spans="1:11">
      <c r="A1010" s="7">
        <v>1008</v>
      </c>
      <c r="B1010" s="7" t="s">
        <v>8983</v>
      </c>
      <c r="C1010" s="7" t="s">
        <v>8984</v>
      </c>
      <c r="D1010" s="7" t="s">
        <v>7573</v>
      </c>
      <c r="E1010" s="7" t="s">
        <v>10519</v>
      </c>
      <c r="F1010" s="8" t="s">
        <v>10520</v>
      </c>
      <c r="G1010" s="7">
        <v>0</v>
      </c>
      <c r="H1010" s="7" t="s">
        <v>8984</v>
      </c>
      <c r="I1010" s="7">
        <v>1</v>
      </c>
      <c r="J1010" s="7" t="s">
        <v>7838</v>
      </c>
      <c r="K1010" s="9" t="s">
        <v>8987</v>
      </c>
    </row>
    <row r="1011" spans="1:11">
      <c r="A1011" s="7">
        <v>1009</v>
      </c>
      <c r="B1011" s="7" t="s">
        <v>8983</v>
      </c>
      <c r="C1011" s="7" t="s">
        <v>8984</v>
      </c>
      <c r="D1011" s="7" t="s">
        <v>7552</v>
      </c>
      <c r="E1011" s="7" t="s">
        <v>10521</v>
      </c>
      <c r="F1011" s="8" t="s">
        <v>10520</v>
      </c>
      <c r="G1011" s="7">
        <v>0</v>
      </c>
      <c r="H1011" s="7" t="s">
        <v>8984</v>
      </c>
      <c r="I1011" s="7">
        <v>1</v>
      </c>
      <c r="J1011" s="7" t="s">
        <v>7838</v>
      </c>
      <c r="K1011" s="9" t="s">
        <v>8987</v>
      </c>
    </row>
    <row r="1012" spans="1:11">
      <c r="A1012" s="7">
        <v>1010</v>
      </c>
      <c r="B1012" s="7" t="s">
        <v>8983</v>
      </c>
      <c r="C1012" s="7" t="s">
        <v>8984</v>
      </c>
      <c r="D1012" s="7" t="s">
        <v>7573</v>
      </c>
      <c r="E1012" s="7" t="s">
        <v>10522</v>
      </c>
      <c r="F1012" s="8" t="s">
        <v>10523</v>
      </c>
      <c r="G1012" s="7">
        <v>300</v>
      </c>
      <c r="H1012" s="7" t="s">
        <v>9585</v>
      </c>
      <c r="I1012" s="7">
        <v>41</v>
      </c>
      <c r="J1012" s="7" t="s">
        <v>10524</v>
      </c>
      <c r="K1012" s="9" t="s">
        <v>8987</v>
      </c>
    </row>
    <row r="1013" spans="1:11">
      <c r="A1013" s="7">
        <v>1011</v>
      </c>
      <c r="B1013" s="7" t="s">
        <v>8983</v>
      </c>
      <c r="C1013" s="7" t="s">
        <v>8984</v>
      </c>
      <c r="D1013" s="7" t="s">
        <v>7546</v>
      </c>
      <c r="E1013" s="7" t="s">
        <v>10525</v>
      </c>
      <c r="F1013" s="8" t="s">
        <v>10526</v>
      </c>
      <c r="G1013" s="7">
        <v>100</v>
      </c>
      <c r="H1013" s="7" t="s">
        <v>9046</v>
      </c>
      <c r="I1013" s="7">
        <v>13</v>
      </c>
      <c r="J1013" s="7" t="s">
        <v>10097</v>
      </c>
      <c r="K1013" s="9" t="s">
        <v>8987</v>
      </c>
    </row>
    <row r="1014" spans="1:11">
      <c r="A1014" s="7">
        <v>1012</v>
      </c>
      <c r="B1014" s="7" t="s">
        <v>8983</v>
      </c>
      <c r="C1014" s="7" t="s">
        <v>8984</v>
      </c>
      <c r="D1014" s="7" t="s">
        <v>7547</v>
      </c>
      <c r="E1014" s="7" t="s">
        <v>10527</v>
      </c>
      <c r="F1014" s="8" t="s">
        <v>10528</v>
      </c>
      <c r="G1014" s="7">
        <v>15</v>
      </c>
      <c r="H1014" s="7" t="s">
        <v>9053</v>
      </c>
      <c r="I1014" s="7">
        <v>5</v>
      </c>
      <c r="J1014" s="7" t="s">
        <v>7831</v>
      </c>
      <c r="K1014" s="9" t="s">
        <v>8987</v>
      </c>
    </row>
    <row r="1015" spans="1:11">
      <c r="A1015" s="7">
        <v>1013</v>
      </c>
      <c r="B1015" s="7" t="s">
        <v>8983</v>
      </c>
      <c r="C1015" s="7" t="s">
        <v>8984</v>
      </c>
      <c r="D1015" s="7" t="s">
        <v>7547</v>
      </c>
      <c r="E1015" s="7" t="s">
        <v>10529</v>
      </c>
      <c r="F1015" s="8" t="s">
        <v>9272</v>
      </c>
      <c r="G1015" s="7">
        <v>60</v>
      </c>
      <c r="H1015" s="7" t="s">
        <v>9289</v>
      </c>
      <c r="I1015" s="7">
        <v>13</v>
      </c>
      <c r="J1015" s="7" t="s">
        <v>7827</v>
      </c>
      <c r="K1015" s="9" t="s">
        <v>8987</v>
      </c>
    </row>
    <row r="1016" spans="1:11">
      <c r="A1016" s="7">
        <v>1014</v>
      </c>
      <c r="B1016" s="7" t="s">
        <v>9208</v>
      </c>
      <c r="C1016" s="7" t="s">
        <v>8984</v>
      </c>
      <c r="D1016" s="7" t="s">
        <v>7549</v>
      </c>
      <c r="E1016" s="7" t="s">
        <v>10530</v>
      </c>
      <c r="F1016" s="8" t="s">
        <v>10531</v>
      </c>
      <c r="G1016" s="7">
        <v>0</v>
      </c>
      <c r="H1016" s="7" t="s">
        <v>8984</v>
      </c>
      <c r="I1016" s="7">
        <v>1</v>
      </c>
      <c r="J1016" s="7" t="s">
        <v>7838</v>
      </c>
      <c r="K1016" s="9" t="s">
        <v>8987</v>
      </c>
    </row>
    <row r="1017" spans="1:11">
      <c r="A1017" s="7">
        <v>1015</v>
      </c>
      <c r="B1017" s="7" t="s">
        <v>9208</v>
      </c>
      <c r="C1017" s="7" t="s">
        <v>8984</v>
      </c>
      <c r="D1017" s="7" t="s">
        <v>7549</v>
      </c>
      <c r="E1017" s="7" t="s">
        <v>10532</v>
      </c>
      <c r="F1017" s="8" t="s">
        <v>10533</v>
      </c>
      <c r="G1017" s="7">
        <v>0</v>
      </c>
      <c r="H1017" s="7" t="s">
        <v>8984</v>
      </c>
      <c r="I1017" s="7">
        <v>1</v>
      </c>
      <c r="J1017" s="7" t="s">
        <v>7838</v>
      </c>
      <c r="K1017" s="9" t="s">
        <v>8987</v>
      </c>
    </row>
    <row r="1018" spans="1:11">
      <c r="A1018" s="7">
        <v>1016</v>
      </c>
      <c r="B1018" s="7" t="s">
        <v>9208</v>
      </c>
      <c r="C1018" s="7" t="s">
        <v>8984</v>
      </c>
      <c r="D1018" s="7" t="s">
        <v>7549</v>
      </c>
      <c r="E1018" s="7" t="s">
        <v>10534</v>
      </c>
      <c r="F1018" s="8" t="s">
        <v>10535</v>
      </c>
      <c r="G1018" s="7">
        <v>0</v>
      </c>
      <c r="H1018" s="7" t="s">
        <v>8984</v>
      </c>
      <c r="I1018" s="7">
        <v>1</v>
      </c>
      <c r="J1018" s="7" t="s">
        <v>7838</v>
      </c>
      <c r="K1018" s="9" t="s">
        <v>8987</v>
      </c>
    </row>
    <row r="1019" spans="1:11">
      <c r="A1019" s="7">
        <v>1017</v>
      </c>
      <c r="B1019" s="7" t="s">
        <v>9208</v>
      </c>
      <c r="C1019" s="7" t="s">
        <v>8984</v>
      </c>
      <c r="D1019" s="7" t="s">
        <v>7549</v>
      </c>
      <c r="E1019" s="7" t="s">
        <v>10536</v>
      </c>
      <c r="F1019" s="8" t="s">
        <v>10537</v>
      </c>
      <c r="G1019" s="7">
        <v>0</v>
      </c>
      <c r="H1019" s="7" t="s">
        <v>8984</v>
      </c>
      <c r="I1019" s="7">
        <v>1</v>
      </c>
      <c r="J1019" s="7" t="s">
        <v>7838</v>
      </c>
      <c r="K1019" s="9" t="s">
        <v>8987</v>
      </c>
    </row>
    <row r="1020" spans="1:11">
      <c r="A1020" s="7">
        <v>1018</v>
      </c>
      <c r="B1020" s="7" t="s">
        <v>9208</v>
      </c>
      <c r="C1020" s="7" t="s">
        <v>8984</v>
      </c>
      <c r="D1020" s="7" t="s">
        <v>7549</v>
      </c>
      <c r="E1020" s="7" t="s">
        <v>10538</v>
      </c>
      <c r="F1020" s="8" t="s">
        <v>10539</v>
      </c>
      <c r="G1020" s="7">
        <v>0</v>
      </c>
      <c r="H1020" s="7" t="s">
        <v>8984</v>
      </c>
      <c r="I1020" s="7">
        <v>1</v>
      </c>
      <c r="J1020" s="7" t="s">
        <v>7838</v>
      </c>
      <c r="K1020" s="9" t="s">
        <v>8987</v>
      </c>
    </row>
    <row r="1021" spans="1:11">
      <c r="A1021" s="7">
        <v>1019</v>
      </c>
      <c r="B1021" s="7" t="s">
        <v>9208</v>
      </c>
      <c r="C1021" s="7" t="s">
        <v>8984</v>
      </c>
      <c r="D1021" s="7" t="s">
        <v>7549</v>
      </c>
      <c r="E1021" s="7" t="s">
        <v>10540</v>
      </c>
      <c r="F1021" s="8" t="s">
        <v>10541</v>
      </c>
      <c r="G1021" s="7">
        <v>0</v>
      </c>
      <c r="H1021" s="7" t="s">
        <v>8984</v>
      </c>
      <c r="I1021" s="7">
        <v>1</v>
      </c>
      <c r="J1021" s="7" t="s">
        <v>7838</v>
      </c>
      <c r="K1021" s="9" t="s">
        <v>8987</v>
      </c>
    </row>
    <row r="1022" spans="1:11">
      <c r="A1022" s="7">
        <v>1020</v>
      </c>
      <c r="B1022" s="7" t="s">
        <v>9208</v>
      </c>
      <c r="C1022" s="7" t="s">
        <v>8984</v>
      </c>
      <c r="D1022" s="7" t="s">
        <v>7549</v>
      </c>
      <c r="E1022" s="7" t="s">
        <v>10542</v>
      </c>
      <c r="F1022" s="8" t="s">
        <v>3200</v>
      </c>
      <c r="G1022" s="7">
        <v>0</v>
      </c>
      <c r="H1022" s="7" t="s">
        <v>8984</v>
      </c>
      <c r="I1022" s="7">
        <v>1</v>
      </c>
      <c r="J1022" s="7" t="s">
        <v>7838</v>
      </c>
      <c r="K1022" s="9" t="s">
        <v>8987</v>
      </c>
    </row>
    <row r="1023" spans="1:11">
      <c r="A1023" s="7">
        <v>1021</v>
      </c>
      <c r="B1023" s="7" t="s">
        <v>9208</v>
      </c>
      <c r="C1023" s="7" t="s">
        <v>8984</v>
      </c>
      <c r="D1023" s="7" t="s">
        <v>7549</v>
      </c>
      <c r="E1023" s="7" t="s">
        <v>10543</v>
      </c>
      <c r="F1023" s="8" t="s">
        <v>10544</v>
      </c>
      <c r="G1023" s="7">
        <v>0</v>
      </c>
      <c r="H1023" s="7" t="s">
        <v>8984</v>
      </c>
      <c r="I1023" s="7">
        <v>1</v>
      </c>
      <c r="J1023" s="7" t="s">
        <v>7838</v>
      </c>
      <c r="K1023" s="9" t="s">
        <v>8987</v>
      </c>
    </row>
    <row r="1024" spans="1:11">
      <c r="A1024" s="7">
        <v>1022</v>
      </c>
      <c r="B1024" s="7" t="s">
        <v>9208</v>
      </c>
      <c r="C1024" s="7" t="s">
        <v>8984</v>
      </c>
      <c r="D1024" s="7" t="s">
        <v>7549</v>
      </c>
      <c r="E1024" s="7" t="s">
        <v>10545</v>
      </c>
      <c r="F1024" s="8" t="s">
        <v>10546</v>
      </c>
      <c r="G1024" s="7">
        <v>0</v>
      </c>
      <c r="H1024" s="7" t="s">
        <v>8984</v>
      </c>
      <c r="I1024" s="7">
        <v>1</v>
      </c>
      <c r="J1024" s="7" t="s">
        <v>7838</v>
      </c>
      <c r="K1024" s="9" t="s">
        <v>8987</v>
      </c>
    </row>
    <row r="1025" spans="1:11">
      <c r="A1025" s="7">
        <v>1023</v>
      </c>
      <c r="B1025" s="7" t="s">
        <v>9208</v>
      </c>
      <c r="C1025" s="7" t="s">
        <v>8984</v>
      </c>
      <c r="D1025" s="7" t="s">
        <v>7549</v>
      </c>
      <c r="E1025" s="7" t="s">
        <v>10547</v>
      </c>
      <c r="F1025" s="8" t="s">
        <v>10548</v>
      </c>
      <c r="G1025" s="7">
        <v>0</v>
      </c>
      <c r="H1025" s="7" t="s">
        <v>8984</v>
      </c>
      <c r="I1025" s="7">
        <v>1</v>
      </c>
      <c r="J1025" s="7" t="s">
        <v>7838</v>
      </c>
      <c r="K1025" s="9" t="s">
        <v>8987</v>
      </c>
    </row>
    <row r="1026" spans="1:11">
      <c r="A1026" s="7">
        <v>1024</v>
      </c>
      <c r="B1026" s="7" t="s">
        <v>9208</v>
      </c>
      <c r="C1026" s="7" t="s">
        <v>8984</v>
      </c>
      <c r="D1026" s="7" t="s">
        <v>7549</v>
      </c>
      <c r="E1026" s="7" t="s">
        <v>10549</v>
      </c>
      <c r="F1026" s="8" t="s">
        <v>3135</v>
      </c>
      <c r="G1026" s="7">
        <v>0</v>
      </c>
      <c r="H1026" s="7" t="s">
        <v>8984</v>
      </c>
      <c r="I1026" s="7">
        <v>1</v>
      </c>
      <c r="J1026" s="7" t="s">
        <v>7838</v>
      </c>
      <c r="K1026" s="9" t="s">
        <v>8987</v>
      </c>
    </row>
    <row r="1027" spans="1:11">
      <c r="A1027" s="7">
        <v>1025</v>
      </c>
      <c r="B1027" s="7" t="s">
        <v>9208</v>
      </c>
      <c r="C1027" s="7" t="s">
        <v>8984</v>
      </c>
      <c r="D1027" s="7" t="s">
        <v>7549</v>
      </c>
      <c r="E1027" s="7" t="s">
        <v>10550</v>
      </c>
      <c r="F1027" s="8" t="s">
        <v>10551</v>
      </c>
      <c r="G1027" s="7">
        <v>0</v>
      </c>
      <c r="H1027" s="7" t="s">
        <v>8984</v>
      </c>
      <c r="I1027" s="7">
        <v>1</v>
      </c>
      <c r="J1027" s="7" t="s">
        <v>7838</v>
      </c>
      <c r="K1027" s="9" t="s">
        <v>8987</v>
      </c>
    </row>
    <row r="1028" spans="1:11">
      <c r="A1028" s="7">
        <v>1026</v>
      </c>
      <c r="B1028" s="7" t="s">
        <v>9208</v>
      </c>
      <c r="C1028" s="7" t="s">
        <v>8984</v>
      </c>
      <c r="D1028" s="7" t="s">
        <v>7549</v>
      </c>
      <c r="E1028" s="7" t="s">
        <v>10552</v>
      </c>
      <c r="F1028" s="8" t="s">
        <v>10553</v>
      </c>
      <c r="G1028" s="7">
        <v>0</v>
      </c>
      <c r="H1028" s="7" t="s">
        <v>8984</v>
      </c>
      <c r="I1028" s="7">
        <v>1</v>
      </c>
      <c r="J1028" s="7" t="s">
        <v>7838</v>
      </c>
      <c r="K1028" s="9" t="s">
        <v>8987</v>
      </c>
    </row>
    <row r="1029" spans="1:11">
      <c r="A1029" s="7">
        <v>1027</v>
      </c>
      <c r="B1029" s="7" t="s">
        <v>9208</v>
      </c>
      <c r="C1029" s="7" t="s">
        <v>8984</v>
      </c>
      <c r="D1029" s="7" t="s">
        <v>7549</v>
      </c>
      <c r="E1029" s="7" t="s">
        <v>10554</v>
      </c>
      <c r="F1029" s="8" t="s">
        <v>10555</v>
      </c>
      <c r="G1029" s="7">
        <v>0</v>
      </c>
      <c r="H1029" s="7" t="s">
        <v>8984</v>
      </c>
      <c r="I1029" s="7">
        <v>1</v>
      </c>
      <c r="J1029" s="7" t="s">
        <v>7838</v>
      </c>
      <c r="K1029" s="9" t="s">
        <v>8987</v>
      </c>
    </row>
    <row r="1030" spans="1:11">
      <c r="A1030" s="7">
        <v>1028</v>
      </c>
      <c r="B1030" s="7" t="s">
        <v>9208</v>
      </c>
      <c r="C1030" s="7" t="s">
        <v>8984</v>
      </c>
      <c r="D1030" s="7" t="s">
        <v>7549</v>
      </c>
      <c r="E1030" s="7" t="s">
        <v>10556</v>
      </c>
      <c r="F1030" s="8" t="s">
        <v>10557</v>
      </c>
      <c r="G1030" s="7">
        <v>0</v>
      </c>
      <c r="H1030" s="7" t="s">
        <v>8984</v>
      </c>
      <c r="I1030" s="7">
        <v>1</v>
      </c>
      <c r="J1030" s="7" t="s">
        <v>7838</v>
      </c>
      <c r="K1030" s="9" t="s">
        <v>8987</v>
      </c>
    </row>
    <row r="1031" spans="1:11">
      <c r="A1031" s="7">
        <v>1029</v>
      </c>
      <c r="B1031" s="7" t="s">
        <v>9208</v>
      </c>
      <c r="C1031" s="7" t="s">
        <v>8984</v>
      </c>
      <c r="D1031" s="7" t="s">
        <v>7549</v>
      </c>
      <c r="E1031" s="7" t="s">
        <v>10558</v>
      </c>
      <c r="F1031" s="8" t="s">
        <v>10559</v>
      </c>
      <c r="G1031" s="7">
        <v>0</v>
      </c>
      <c r="H1031" s="7" t="s">
        <v>8984</v>
      </c>
      <c r="I1031" s="7">
        <v>1</v>
      </c>
      <c r="J1031" s="7" t="s">
        <v>7838</v>
      </c>
      <c r="K1031" s="9" t="s">
        <v>8987</v>
      </c>
    </row>
    <row r="1032" spans="1:11">
      <c r="A1032" s="7">
        <v>1030</v>
      </c>
      <c r="B1032" s="7" t="s">
        <v>9208</v>
      </c>
      <c r="C1032" s="7" t="s">
        <v>8984</v>
      </c>
      <c r="D1032" s="7" t="s">
        <v>7549</v>
      </c>
      <c r="E1032" s="7" t="s">
        <v>10560</v>
      </c>
      <c r="F1032" s="8" t="s">
        <v>10561</v>
      </c>
      <c r="G1032" s="7">
        <v>0</v>
      </c>
      <c r="H1032" s="7" t="s">
        <v>8984</v>
      </c>
      <c r="I1032" s="7">
        <v>1</v>
      </c>
      <c r="J1032" s="7" t="s">
        <v>7838</v>
      </c>
      <c r="K1032" s="9" t="s">
        <v>8987</v>
      </c>
    </row>
    <row r="1033" spans="1:11">
      <c r="A1033" s="7">
        <v>1031</v>
      </c>
      <c r="B1033" s="7" t="s">
        <v>9208</v>
      </c>
      <c r="C1033" s="7" t="s">
        <v>8984</v>
      </c>
      <c r="D1033" s="7" t="s">
        <v>7549</v>
      </c>
      <c r="E1033" s="7" t="s">
        <v>10562</v>
      </c>
      <c r="F1033" s="8" t="s">
        <v>10563</v>
      </c>
      <c r="G1033" s="7">
        <v>0</v>
      </c>
      <c r="H1033" s="7" t="s">
        <v>8984</v>
      </c>
      <c r="I1033" s="7">
        <v>1</v>
      </c>
      <c r="J1033" s="7" t="s">
        <v>7838</v>
      </c>
      <c r="K1033" s="9" t="s">
        <v>8987</v>
      </c>
    </row>
    <row r="1034" spans="1:11">
      <c r="A1034" s="7">
        <v>1032</v>
      </c>
      <c r="B1034" s="7" t="s">
        <v>9208</v>
      </c>
      <c r="C1034" s="7" t="s">
        <v>8984</v>
      </c>
      <c r="D1034" s="7" t="s">
        <v>7549</v>
      </c>
      <c r="E1034" s="7" t="s">
        <v>10564</v>
      </c>
      <c r="F1034" s="8" t="s">
        <v>3202</v>
      </c>
      <c r="G1034" s="7">
        <v>0</v>
      </c>
      <c r="H1034" s="7" t="s">
        <v>8984</v>
      </c>
      <c r="I1034" s="7">
        <v>1</v>
      </c>
      <c r="J1034" s="7" t="s">
        <v>7838</v>
      </c>
      <c r="K1034" s="9" t="s">
        <v>8987</v>
      </c>
    </row>
    <row r="1035" spans="1:11">
      <c r="A1035" s="7">
        <v>1033</v>
      </c>
      <c r="B1035" s="7" t="s">
        <v>9208</v>
      </c>
      <c r="C1035" s="7" t="s">
        <v>8984</v>
      </c>
      <c r="D1035" s="7" t="s">
        <v>7549</v>
      </c>
      <c r="E1035" s="7" t="s">
        <v>10565</v>
      </c>
      <c r="F1035" s="8" t="s">
        <v>10566</v>
      </c>
      <c r="G1035" s="7">
        <v>0</v>
      </c>
      <c r="H1035" s="7" t="s">
        <v>8984</v>
      </c>
      <c r="I1035" s="7">
        <v>1</v>
      </c>
      <c r="J1035" s="7" t="s">
        <v>7838</v>
      </c>
      <c r="K1035" s="9" t="s">
        <v>8987</v>
      </c>
    </row>
    <row r="1036" spans="1:11">
      <c r="A1036" s="7">
        <v>1034</v>
      </c>
      <c r="B1036" s="7" t="s">
        <v>9208</v>
      </c>
      <c r="C1036" s="7" t="s">
        <v>8984</v>
      </c>
      <c r="D1036" s="7" t="s">
        <v>7549</v>
      </c>
      <c r="E1036" s="7" t="s">
        <v>10567</v>
      </c>
      <c r="F1036" s="8" t="s">
        <v>10568</v>
      </c>
      <c r="G1036" s="7">
        <v>0</v>
      </c>
      <c r="H1036" s="7" t="s">
        <v>8984</v>
      </c>
      <c r="I1036" s="7">
        <v>1</v>
      </c>
      <c r="J1036" s="7" t="s">
        <v>7838</v>
      </c>
      <c r="K1036" s="9" t="s">
        <v>8987</v>
      </c>
    </row>
    <row r="1037" spans="1:11">
      <c r="A1037" s="7">
        <v>1035</v>
      </c>
      <c r="B1037" s="7" t="s">
        <v>9208</v>
      </c>
      <c r="C1037" s="7" t="s">
        <v>8984</v>
      </c>
      <c r="D1037" s="7" t="s">
        <v>7549</v>
      </c>
      <c r="E1037" s="7" t="s">
        <v>10569</v>
      </c>
      <c r="F1037" s="8" t="s">
        <v>3204</v>
      </c>
      <c r="G1037" s="7">
        <v>0</v>
      </c>
      <c r="H1037" s="7" t="s">
        <v>8984</v>
      </c>
      <c r="I1037" s="7">
        <v>1</v>
      </c>
      <c r="J1037" s="7" t="s">
        <v>7838</v>
      </c>
      <c r="K1037" s="9" t="s">
        <v>8987</v>
      </c>
    </row>
    <row r="1038" spans="1:11">
      <c r="A1038" s="7">
        <v>1036</v>
      </c>
      <c r="B1038" s="7" t="s">
        <v>9208</v>
      </c>
      <c r="C1038" s="7" t="s">
        <v>8984</v>
      </c>
      <c r="D1038" s="7" t="s">
        <v>7549</v>
      </c>
      <c r="E1038" s="7" t="s">
        <v>10570</v>
      </c>
      <c r="F1038" s="8" t="s">
        <v>3137</v>
      </c>
      <c r="G1038" s="7">
        <v>0</v>
      </c>
      <c r="H1038" s="7" t="s">
        <v>8984</v>
      </c>
      <c r="I1038" s="7">
        <v>1</v>
      </c>
      <c r="J1038" s="7" t="s">
        <v>7838</v>
      </c>
      <c r="K1038" s="9" t="s">
        <v>8987</v>
      </c>
    </row>
    <row r="1039" spans="1:11">
      <c r="A1039" s="7">
        <v>1037</v>
      </c>
      <c r="B1039" s="7" t="s">
        <v>9208</v>
      </c>
      <c r="C1039" s="7" t="s">
        <v>8984</v>
      </c>
      <c r="D1039" s="7" t="s">
        <v>7549</v>
      </c>
      <c r="E1039" s="7" t="s">
        <v>10571</v>
      </c>
      <c r="F1039" s="8" t="s">
        <v>10572</v>
      </c>
      <c r="G1039" s="7">
        <v>0</v>
      </c>
      <c r="H1039" s="7" t="s">
        <v>8984</v>
      </c>
      <c r="I1039" s="7">
        <v>1</v>
      </c>
      <c r="J1039" s="7" t="s">
        <v>7838</v>
      </c>
      <c r="K1039" s="9" t="s">
        <v>8987</v>
      </c>
    </row>
    <row r="1040" spans="1:11">
      <c r="A1040" s="7">
        <v>1038</v>
      </c>
      <c r="B1040" s="7" t="s">
        <v>9208</v>
      </c>
      <c r="C1040" s="7" t="s">
        <v>8984</v>
      </c>
      <c r="D1040" s="7" t="s">
        <v>7549</v>
      </c>
      <c r="E1040" s="7" t="s">
        <v>10573</v>
      </c>
      <c r="F1040" s="8" t="s">
        <v>10574</v>
      </c>
      <c r="G1040" s="7">
        <v>0</v>
      </c>
      <c r="H1040" s="7" t="s">
        <v>8984</v>
      </c>
      <c r="I1040" s="7">
        <v>1</v>
      </c>
      <c r="J1040" s="7" t="s">
        <v>7838</v>
      </c>
      <c r="K1040" s="9" t="s">
        <v>8987</v>
      </c>
    </row>
    <row r="1041" spans="1:11">
      <c r="A1041" s="7">
        <v>1039</v>
      </c>
      <c r="B1041" s="7" t="s">
        <v>9494</v>
      </c>
      <c r="C1041" s="7" t="s">
        <v>8984</v>
      </c>
      <c r="D1041" s="7" t="s">
        <v>7549</v>
      </c>
      <c r="E1041" s="7" t="s">
        <v>10575</v>
      </c>
      <c r="F1041" s="8" t="s">
        <v>3236</v>
      </c>
      <c r="G1041" s="7">
        <v>0</v>
      </c>
      <c r="H1041" s="7" t="s">
        <v>8984</v>
      </c>
      <c r="I1041" s="7">
        <v>1</v>
      </c>
      <c r="J1041" s="7" t="s">
        <v>7838</v>
      </c>
      <c r="K1041" s="9" t="s">
        <v>8987</v>
      </c>
    </row>
    <row r="1042" spans="1:11">
      <c r="A1042" s="7">
        <v>1040</v>
      </c>
      <c r="B1042" s="7" t="s">
        <v>9494</v>
      </c>
      <c r="C1042" s="7" t="s">
        <v>8984</v>
      </c>
      <c r="D1042" s="7" t="s">
        <v>7549</v>
      </c>
      <c r="E1042" s="7" t="s">
        <v>10576</v>
      </c>
      <c r="F1042" s="8" t="s">
        <v>3239</v>
      </c>
      <c r="G1042" s="7">
        <v>0</v>
      </c>
      <c r="H1042" s="7" t="s">
        <v>8984</v>
      </c>
      <c r="I1042" s="7">
        <v>1</v>
      </c>
      <c r="J1042" s="7" t="s">
        <v>7838</v>
      </c>
      <c r="K1042" s="9" t="s">
        <v>8987</v>
      </c>
    </row>
    <row r="1043" spans="1:11">
      <c r="A1043" s="7">
        <v>1041</v>
      </c>
      <c r="B1043" s="7" t="s">
        <v>9494</v>
      </c>
      <c r="C1043" s="7" t="s">
        <v>8984</v>
      </c>
      <c r="D1043" s="7" t="s">
        <v>7549</v>
      </c>
      <c r="E1043" s="7" t="s">
        <v>5923</v>
      </c>
      <c r="F1043" s="8" t="s">
        <v>3241</v>
      </c>
      <c r="G1043" s="7">
        <v>0</v>
      </c>
      <c r="H1043" s="7" t="s">
        <v>8984</v>
      </c>
      <c r="I1043" s="7">
        <v>1</v>
      </c>
      <c r="J1043" s="7" t="s">
        <v>7838</v>
      </c>
      <c r="K1043" s="9" t="s">
        <v>8987</v>
      </c>
    </row>
    <row r="1044" spans="1:11">
      <c r="A1044" s="7">
        <v>1042</v>
      </c>
      <c r="B1044" s="7" t="s">
        <v>9494</v>
      </c>
      <c r="C1044" s="7" t="s">
        <v>8984</v>
      </c>
      <c r="D1044" s="7" t="s">
        <v>7549</v>
      </c>
      <c r="E1044" s="7" t="s">
        <v>10577</v>
      </c>
      <c r="F1044" s="8" t="s">
        <v>3243</v>
      </c>
      <c r="G1044" s="7">
        <v>0</v>
      </c>
      <c r="H1044" s="7" t="s">
        <v>8984</v>
      </c>
      <c r="I1044" s="7">
        <v>1</v>
      </c>
      <c r="J1044" s="7" t="s">
        <v>7838</v>
      </c>
      <c r="K1044" s="9" t="s">
        <v>8987</v>
      </c>
    </row>
    <row r="1045" spans="1:11">
      <c r="A1045" s="7">
        <v>1043</v>
      </c>
      <c r="B1045" s="7" t="s">
        <v>9494</v>
      </c>
      <c r="C1045" s="7" t="s">
        <v>8984</v>
      </c>
      <c r="D1045" s="7" t="s">
        <v>7549</v>
      </c>
      <c r="E1045" s="7" t="s">
        <v>6316</v>
      </c>
      <c r="F1045" s="8" t="s">
        <v>3245</v>
      </c>
      <c r="G1045" s="7">
        <v>0</v>
      </c>
      <c r="H1045" s="7" t="s">
        <v>8984</v>
      </c>
      <c r="I1045" s="7">
        <v>1</v>
      </c>
      <c r="J1045" s="7" t="s">
        <v>7838</v>
      </c>
      <c r="K1045" s="9" t="s">
        <v>8987</v>
      </c>
    </row>
    <row r="1046" spans="1:11">
      <c r="A1046" s="7">
        <v>1044</v>
      </c>
      <c r="B1046" s="7" t="s">
        <v>9494</v>
      </c>
      <c r="C1046" s="7" t="s">
        <v>8984</v>
      </c>
      <c r="D1046" s="7" t="s">
        <v>7549</v>
      </c>
      <c r="E1046" s="7" t="s">
        <v>10578</v>
      </c>
      <c r="F1046" s="8" t="s">
        <v>3247</v>
      </c>
      <c r="G1046" s="7">
        <v>0</v>
      </c>
      <c r="H1046" s="7" t="s">
        <v>8984</v>
      </c>
      <c r="I1046" s="7">
        <v>1</v>
      </c>
      <c r="J1046" s="7" t="s">
        <v>7838</v>
      </c>
      <c r="K1046" s="9" t="s">
        <v>8987</v>
      </c>
    </row>
    <row r="1047" spans="1:11">
      <c r="A1047" s="7">
        <v>1045</v>
      </c>
      <c r="B1047" s="7" t="s">
        <v>9494</v>
      </c>
      <c r="C1047" s="7" t="s">
        <v>8984</v>
      </c>
      <c r="D1047" s="7" t="s">
        <v>7549</v>
      </c>
      <c r="E1047" s="7" t="s">
        <v>10579</v>
      </c>
      <c r="F1047" s="8" t="s">
        <v>3249</v>
      </c>
      <c r="G1047" s="7">
        <v>0</v>
      </c>
      <c r="H1047" s="7" t="s">
        <v>8984</v>
      </c>
      <c r="I1047" s="7">
        <v>1</v>
      </c>
      <c r="J1047" s="7" t="s">
        <v>7838</v>
      </c>
      <c r="K1047" s="9" t="s">
        <v>8987</v>
      </c>
    </row>
    <row r="1048" spans="1:11">
      <c r="A1048" s="7">
        <v>1046</v>
      </c>
      <c r="B1048" s="7" t="s">
        <v>9494</v>
      </c>
      <c r="C1048" s="7" t="s">
        <v>8984</v>
      </c>
      <c r="D1048" s="7" t="s">
        <v>7549</v>
      </c>
      <c r="E1048" s="7" t="s">
        <v>10580</v>
      </c>
      <c r="F1048" s="8" t="s">
        <v>3251</v>
      </c>
      <c r="G1048" s="7">
        <v>0</v>
      </c>
      <c r="H1048" s="7" t="s">
        <v>8984</v>
      </c>
      <c r="I1048" s="7">
        <v>1</v>
      </c>
      <c r="J1048" s="7" t="s">
        <v>7838</v>
      </c>
      <c r="K1048" s="9" t="s">
        <v>8987</v>
      </c>
    </row>
    <row r="1049" spans="1:11">
      <c r="A1049" s="7">
        <v>1047</v>
      </c>
      <c r="B1049" s="7" t="s">
        <v>9494</v>
      </c>
      <c r="C1049" s="7" t="s">
        <v>8984</v>
      </c>
      <c r="D1049" s="7" t="s">
        <v>7549</v>
      </c>
      <c r="E1049" s="7" t="s">
        <v>10581</v>
      </c>
      <c r="F1049" s="8" t="s">
        <v>3253</v>
      </c>
      <c r="G1049" s="7">
        <v>0</v>
      </c>
      <c r="H1049" s="7" t="s">
        <v>8984</v>
      </c>
      <c r="I1049" s="7">
        <v>1</v>
      </c>
      <c r="J1049" s="7" t="s">
        <v>7838</v>
      </c>
      <c r="K1049" s="9" t="s">
        <v>8987</v>
      </c>
    </row>
    <row r="1050" spans="1:11">
      <c r="A1050" s="7">
        <v>1048</v>
      </c>
      <c r="B1050" s="7" t="s">
        <v>9494</v>
      </c>
      <c r="C1050" s="7" t="s">
        <v>8984</v>
      </c>
      <c r="D1050" s="7" t="s">
        <v>7549</v>
      </c>
      <c r="E1050" s="7" t="s">
        <v>10582</v>
      </c>
      <c r="F1050" s="8" t="s">
        <v>3255</v>
      </c>
      <c r="G1050" s="7">
        <v>0</v>
      </c>
      <c r="H1050" s="7" t="s">
        <v>8984</v>
      </c>
      <c r="I1050" s="7">
        <v>1</v>
      </c>
      <c r="J1050" s="7" t="s">
        <v>7838</v>
      </c>
      <c r="K1050" s="9" t="s">
        <v>8987</v>
      </c>
    </row>
    <row r="1051" spans="1:11">
      <c r="A1051" s="7">
        <v>1049</v>
      </c>
      <c r="B1051" s="7" t="s">
        <v>9208</v>
      </c>
      <c r="C1051" s="7" t="s">
        <v>8984</v>
      </c>
      <c r="D1051" s="7" t="s">
        <v>7549</v>
      </c>
      <c r="E1051" s="7" t="s">
        <v>10583</v>
      </c>
      <c r="F1051" s="8" t="s">
        <v>3228</v>
      </c>
      <c r="G1051" s="7">
        <v>0</v>
      </c>
      <c r="H1051" s="7" t="s">
        <v>8984</v>
      </c>
      <c r="I1051" s="7">
        <v>1</v>
      </c>
      <c r="J1051" s="7" t="s">
        <v>7838</v>
      </c>
      <c r="K1051" s="9" t="s">
        <v>8987</v>
      </c>
    </row>
    <row r="1052" spans="1:11">
      <c r="A1052" s="7">
        <v>1050</v>
      </c>
      <c r="B1052" s="7" t="s">
        <v>9208</v>
      </c>
      <c r="C1052" s="7" t="s">
        <v>8984</v>
      </c>
      <c r="D1052" s="7" t="s">
        <v>7549</v>
      </c>
      <c r="E1052" s="7" t="s">
        <v>10584</v>
      </c>
      <c r="F1052" s="8" t="s">
        <v>3177</v>
      </c>
      <c r="G1052" s="7">
        <v>0</v>
      </c>
      <c r="H1052" s="7" t="s">
        <v>8984</v>
      </c>
      <c r="I1052" s="7">
        <v>1</v>
      </c>
      <c r="J1052" s="7" t="s">
        <v>7838</v>
      </c>
      <c r="K1052" s="9" t="s">
        <v>8987</v>
      </c>
    </row>
    <row r="1053" spans="1:11">
      <c r="A1053" s="7">
        <v>1051</v>
      </c>
      <c r="B1053" s="7" t="s">
        <v>9208</v>
      </c>
      <c r="C1053" s="7" t="s">
        <v>8984</v>
      </c>
      <c r="D1053" s="7" t="s">
        <v>7549</v>
      </c>
      <c r="E1053" s="7" t="s">
        <v>10585</v>
      </c>
      <c r="F1053" s="8" t="s">
        <v>3145</v>
      </c>
      <c r="G1053" s="7">
        <v>0</v>
      </c>
      <c r="H1053" s="7" t="s">
        <v>8984</v>
      </c>
      <c r="I1053" s="7">
        <v>1</v>
      </c>
      <c r="J1053" s="7" t="s">
        <v>7838</v>
      </c>
      <c r="K1053" s="9" t="s">
        <v>8987</v>
      </c>
    </row>
    <row r="1054" spans="1:11">
      <c r="A1054" s="7">
        <v>1052</v>
      </c>
      <c r="B1054" s="7" t="s">
        <v>9208</v>
      </c>
      <c r="C1054" s="7" t="s">
        <v>8984</v>
      </c>
      <c r="D1054" s="7" t="s">
        <v>7549</v>
      </c>
      <c r="E1054" s="7" t="s">
        <v>10586</v>
      </c>
      <c r="F1054" s="8" t="s">
        <v>3147</v>
      </c>
      <c r="G1054" s="7">
        <v>0</v>
      </c>
      <c r="H1054" s="7" t="s">
        <v>8984</v>
      </c>
      <c r="I1054" s="7">
        <v>1</v>
      </c>
      <c r="J1054" s="7" t="s">
        <v>7838</v>
      </c>
      <c r="K1054" s="9" t="s">
        <v>8987</v>
      </c>
    </row>
    <row r="1055" spans="1:11">
      <c r="A1055" s="7">
        <v>1053</v>
      </c>
      <c r="B1055" s="7" t="s">
        <v>9208</v>
      </c>
      <c r="C1055" s="7" t="s">
        <v>8984</v>
      </c>
      <c r="D1055" s="7" t="s">
        <v>7549</v>
      </c>
      <c r="E1055" s="7" t="s">
        <v>10587</v>
      </c>
      <c r="F1055" s="8" t="s">
        <v>3149</v>
      </c>
      <c r="G1055" s="7">
        <v>0</v>
      </c>
      <c r="H1055" s="7" t="s">
        <v>8984</v>
      </c>
      <c r="I1055" s="7">
        <v>1</v>
      </c>
      <c r="J1055" s="7" t="s">
        <v>7838</v>
      </c>
      <c r="K1055" s="9" t="s">
        <v>8987</v>
      </c>
    </row>
    <row r="1056" spans="1:11">
      <c r="A1056" s="7">
        <v>1054</v>
      </c>
      <c r="B1056" s="7" t="s">
        <v>9208</v>
      </c>
      <c r="C1056" s="7" t="s">
        <v>8984</v>
      </c>
      <c r="D1056" s="7" t="s">
        <v>7549</v>
      </c>
      <c r="E1056" s="7" t="s">
        <v>10588</v>
      </c>
      <c r="F1056" s="8" t="s">
        <v>3151</v>
      </c>
      <c r="G1056" s="7">
        <v>0</v>
      </c>
      <c r="H1056" s="7" t="s">
        <v>8984</v>
      </c>
      <c r="I1056" s="7">
        <v>1</v>
      </c>
      <c r="J1056" s="7" t="s">
        <v>7838</v>
      </c>
      <c r="K1056" s="9" t="s">
        <v>8987</v>
      </c>
    </row>
    <row r="1057" spans="1:11">
      <c r="A1057" s="7">
        <v>1055</v>
      </c>
      <c r="B1057" s="7" t="s">
        <v>9208</v>
      </c>
      <c r="C1057" s="7" t="s">
        <v>8984</v>
      </c>
      <c r="D1057" s="7" t="s">
        <v>7549</v>
      </c>
      <c r="E1057" s="7" t="s">
        <v>10589</v>
      </c>
      <c r="F1057" s="8" t="s">
        <v>3153</v>
      </c>
      <c r="G1057" s="7">
        <v>0</v>
      </c>
      <c r="H1057" s="7" t="s">
        <v>8984</v>
      </c>
      <c r="I1057" s="7">
        <v>1</v>
      </c>
      <c r="J1057" s="7" t="s">
        <v>7838</v>
      </c>
      <c r="K1057" s="9" t="s">
        <v>8987</v>
      </c>
    </row>
    <row r="1058" spans="1:11">
      <c r="A1058" s="7">
        <v>1056</v>
      </c>
      <c r="B1058" s="7" t="s">
        <v>9208</v>
      </c>
      <c r="C1058" s="7" t="s">
        <v>8984</v>
      </c>
      <c r="D1058" s="7" t="s">
        <v>7549</v>
      </c>
      <c r="E1058" s="7" t="s">
        <v>10590</v>
      </c>
      <c r="F1058" s="8" t="s">
        <v>3155</v>
      </c>
      <c r="G1058" s="7">
        <v>0</v>
      </c>
      <c r="H1058" s="7" t="s">
        <v>8984</v>
      </c>
      <c r="I1058" s="7">
        <v>1</v>
      </c>
      <c r="J1058" s="7" t="s">
        <v>7838</v>
      </c>
      <c r="K1058" s="9" t="s">
        <v>8987</v>
      </c>
    </row>
    <row r="1059" spans="1:11">
      <c r="A1059" s="7">
        <v>1057</v>
      </c>
      <c r="B1059" s="7" t="s">
        <v>9208</v>
      </c>
      <c r="C1059" s="7" t="s">
        <v>8984</v>
      </c>
      <c r="D1059" s="7" t="s">
        <v>7549</v>
      </c>
      <c r="E1059" s="7" t="s">
        <v>10591</v>
      </c>
      <c r="F1059" s="8" t="s">
        <v>3157</v>
      </c>
      <c r="G1059" s="7">
        <v>0</v>
      </c>
      <c r="H1059" s="7" t="s">
        <v>8984</v>
      </c>
      <c r="I1059" s="7">
        <v>1</v>
      </c>
      <c r="J1059" s="7" t="s">
        <v>7838</v>
      </c>
      <c r="K1059" s="9" t="s">
        <v>8987</v>
      </c>
    </row>
    <row r="1060" spans="1:11">
      <c r="A1060" s="7">
        <v>1058</v>
      </c>
      <c r="B1060" s="7" t="s">
        <v>9208</v>
      </c>
      <c r="C1060" s="7" t="s">
        <v>8984</v>
      </c>
      <c r="D1060" s="7" t="s">
        <v>7549</v>
      </c>
      <c r="E1060" s="7" t="s">
        <v>10592</v>
      </c>
      <c r="F1060" s="8" t="s">
        <v>3159</v>
      </c>
      <c r="G1060" s="7">
        <v>0</v>
      </c>
      <c r="H1060" s="7" t="s">
        <v>8984</v>
      </c>
      <c r="I1060" s="7">
        <v>1</v>
      </c>
      <c r="J1060" s="7" t="s">
        <v>7838</v>
      </c>
      <c r="K1060" s="9" t="s">
        <v>8987</v>
      </c>
    </row>
    <row r="1061" spans="1:11">
      <c r="A1061" s="7">
        <v>1059</v>
      </c>
      <c r="B1061" s="7" t="s">
        <v>9208</v>
      </c>
      <c r="C1061" s="7" t="s">
        <v>8984</v>
      </c>
      <c r="D1061" s="7" t="s">
        <v>7549</v>
      </c>
      <c r="E1061" s="7" t="s">
        <v>10593</v>
      </c>
      <c r="F1061" s="8" t="s">
        <v>3161</v>
      </c>
      <c r="G1061" s="7">
        <v>0</v>
      </c>
      <c r="H1061" s="7" t="s">
        <v>8984</v>
      </c>
      <c r="I1061" s="7">
        <v>1</v>
      </c>
      <c r="J1061" s="7" t="s">
        <v>7838</v>
      </c>
      <c r="K1061" s="9" t="s">
        <v>8987</v>
      </c>
    </row>
    <row r="1062" spans="1:11">
      <c r="A1062" s="7">
        <v>1060</v>
      </c>
      <c r="B1062" s="7" t="s">
        <v>9208</v>
      </c>
      <c r="C1062" s="7" t="s">
        <v>8984</v>
      </c>
      <c r="D1062" s="7" t="s">
        <v>7549</v>
      </c>
      <c r="E1062" s="7" t="s">
        <v>10594</v>
      </c>
      <c r="F1062" s="8" t="s">
        <v>3206</v>
      </c>
      <c r="G1062" s="7">
        <v>0</v>
      </c>
      <c r="H1062" s="7" t="s">
        <v>8984</v>
      </c>
      <c r="I1062" s="7">
        <v>1</v>
      </c>
      <c r="J1062" s="7" t="s">
        <v>7838</v>
      </c>
      <c r="K1062" s="9" t="s">
        <v>8987</v>
      </c>
    </row>
    <row r="1063" spans="1:11">
      <c r="A1063" s="7">
        <v>1061</v>
      </c>
      <c r="B1063" s="7" t="s">
        <v>9208</v>
      </c>
      <c r="C1063" s="7" t="s">
        <v>8984</v>
      </c>
      <c r="D1063" s="7" t="s">
        <v>7549</v>
      </c>
      <c r="E1063" s="7" t="s">
        <v>10595</v>
      </c>
      <c r="F1063" s="8" t="s">
        <v>3163</v>
      </c>
      <c r="G1063" s="7">
        <v>0</v>
      </c>
      <c r="H1063" s="7" t="s">
        <v>8984</v>
      </c>
      <c r="I1063" s="7">
        <v>1</v>
      </c>
      <c r="J1063" s="7" t="s">
        <v>7838</v>
      </c>
      <c r="K1063" s="9" t="s">
        <v>8987</v>
      </c>
    </row>
    <row r="1064" spans="1:11">
      <c r="A1064" s="7">
        <v>1062</v>
      </c>
      <c r="B1064" s="7" t="s">
        <v>9208</v>
      </c>
      <c r="C1064" s="7" t="s">
        <v>8984</v>
      </c>
      <c r="D1064" s="7" t="s">
        <v>7549</v>
      </c>
      <c r="E1064" s="7" t="s">
        <v>10596</v>
      </c>
      <c r="F1064" s="8" t="s">
        <v>3165</v>
      </c>
      <c r="G1064" s="7">
        <v>0</v>
      </c>
      <c r="H1064" s="7" t="s">
        <v>8984</v>
      </c>
      <c r="I1064" s="7">
        <v>1</v>
      </c>
      <c r="J1064" s="7" t="s">
        <v>7838</v>
      </c>
      <c r="K1064" s="9" t="s">
        <v>8987</v>
      </c>
    </row>
    <row r="1065" spans="1:11">
      <c r="A1065" s="7">
        <v>1063</v>
      </c>
      <c r="B1065" s="7" t="s">
        <v>9208</v>
      </c>
      <c r="C1065" s="7" t="s">
        <v>8984</v>
      </c>
      <c r="D1065" s="7" t="s">
        <v>7549</v>
      </c>
      <c r="E1065" s="7" t="s">
        <v>10597</v>
      </c>
      <c r="F1065" s="8" t="s">
        <v>3167</v>
      </c>
      <c r="G1065" s="7">
        <v>0</v>
      </c>
      <c r="H1065" s="7" t="s">
        <v>8984</v>
      </c>
      <c r="I1065" s="7">
        <v>1</v>
      </c>
      <c r="J1065" s="7" t="s">
        <v>7838</v>
      </c>
      <c r="K1065" s="9" t="s">
        <v>8987</v>
      </c>
    </row>
    <row r="1066" spans="1:11">
      <c r="A1066" s="7">
        <v>1064</v>
      </c>
      <c r="B1066" s="7" t="s">
        <v>9208</v>
      </c>
      <c r="C1066" s="7" t="s">
        <v>8984</v>
      </c>
      <c r="D1066" s="7" t="s">
        <v>7549</v>
      </c>
      <c r="E1066" s="7" t="s">
        <v>7204</v>
      </c>
      <c r="F1066" s="8" t="s">
        <v>3169</v>
      </c>
      <c r="G1066" s="7">
        <v>0</v>
      </c>
      <c r="H1066" s="7" t="s">
        <v>8984</v>
      </c>
      <c r="I1066" s="7">
        <v>1</v>
      </c>
      <c r="J1066" s="7" t="s">
        <v>7838</v>
      </c>
      <c r="K1066" s="9" t="s">
        <v>8987</v>
      </c>
    </row>
    <row r="1067" spans="1:11">
      <c r="A1067" s="7">
        <v>1065</v>
      </c>
      <c r="B1067" s="7" t="s">
        <v>9208</v>
      </c>
      <c r="C1067" s="7" t="s">
        <v>8984</v>
      </c>
      <c r="D1067" s="7" t="s">
        <v>7549</v>
      </c>
      <c r="E1067" s="7" t="s">
        <v>10598</v>
      </c>
      <c r="F1067" s="8" t="s">
        <v>3171</v>
      </c>
      <c r="G1067" s="7">
        <v>0</v>
      </c>
      <c r="H1067" s="7" t="s">
        <v>8984</v>
      </c>
      <c r="I1067" s="7">
        <v>1</v>
      </c>
      <c r="J1067" s="7" t="s">
        <v>7838</v>
      </c>
      <c r="K1067" s="9" t="s">
        <v>8987</v>
      </c>
    </row>
    <row r="1068" spans="1:11">
      <c r="A1068" s="7">
        <v>1066</v>
      </c>
      <c r="B1068" s="7" t="s">
        <v>9208</v>
      </c>
      <c r="C1068" s="7" t="s">
        <v>8984</v>
      </c>
      <c r="D1068" s="7" t="s">
        <v>7549</v>
      </c>
      <c r="E1068" s="7" t="s">
        <v>10599</v>
      </c>
      <c r="F1068" s="8" t="s">
        <v>3173</v>
      </c>
      <c r="G1068" s="7">
        <v>0</v>
      </c>
      <c r="H1068" s="7" t="s">
        <v>8984</v>
      </c>
      <c r="I1068" s="7">
        <v>1</v>
      </c>
      <c r="J1068" s="7" t="s">
        <v>7838</v>
      </c>
      <c r="K1068" s="9" t="s">
        <v>8987</v>
      </c>
    </row>
    <row r="1069" spans="1:11">
      <c r="A1069" s="7">
        <v>1067</v>
      </c>
      <c r="B1069" s="7" t="s">
        <v>9208</v>
      </c>
      <c r="C1069" s="7" t="s">
        <v>8984</v>
      </c>
      <c r="D1069" s="7" t="s">
        <v>7549</v>
      </c>
      <c r="E1069" s="7" t="s">
        <v>10600</v>
      </c>
      <c r="F1069" s="8" t="s">
        <v>3208</v>
      </c>
      <c r="G1069" s="7">
        <v>0</v>
      </c>
      <c r="H1069" s="7" t="s">
        <v>8984</v>
      </c>
      <c r="I1069" s="7">
        <v>1</v>
      </c>
      <c r="J1069" s="7" t="s">
        <v>7838</v>
      </c>
      <c r="K1069" s="9" t="s">
        <v>8987</v>
      </c>
    </row>
    <row r="1070" spans="1:11">
      <c r="A1070" s="7">
        <v>1068</v>
      </c>
      <c r="B1070" s="7" t="s">
        <v>9208</v>
      </c>
      <c r="C1070" s="7" t="s">
        <v>8984</v>
      </c>
      <c r="D1070" s="7" t="s">
        <v>7549</v>
      </c>
      <c r="E1070" s="7" t="s">
        <v>10601</v>
      </c>
      <c r="F1070" s="8" t="s">
        <v>3210</v>
      </c>
      <c r="G1070" s="7">
        <v>0</v>
      </c>
      <c r="H1070" s="7" t="s">
        <v>8984</v>
      </c>
      <c r="I1070" s="7">
        <v>1</v>
      </c>
      <c r="J1070" s="7" t="s">
        <v>7838</v>
      </c>
      <c r="K1070" s="9" t="s">
        <v>8987</v>
      </c>
    </row>
    <row r="1071" spans="1:11">
      <c r="A1071" s="7">
        <v>1069</v>
      </c>
      <c r="B1071" s="7" t="s">
        <v>9208</v>
      </c>
      <c r="C1071" s="7" t="s">
        <v>8984</v>
      </c>
      <c r="D1071" s="7" t="s">
        <v>7549</v>
      </c>
      <c r="E1071" s="7" t="s">
        <v>10602</v>
      </c>
      <c r="F1071" s="8" t="s">
        <v>3175</v>
      </c>
      <c r="G1071" s="7">
        <v>0</v>
      </c>
      <c r="H1071" s="7" t="s">
        <v>8984</v>
      </c>
      <c r="I1071" s="7">
        <v>1</v>
      </c>
      <c r="J1071" s="7" t="s">
        <v>7838</v>
      </c>
      <c r="K1071" s="9" t="s">
        <v>8987</v>
      </c>
    </row>
    <row r="1072" spans="1:11">
      <c r="A1072" s="7">
        <v>1070</v>
      </c>
      <c r="B1072" s="7" t="s">
        <v>9208</v>
      </c>
      <c r="C1072" s="7" t="s">
        <v>8984</v>
      </c>
      <c r="D1072" s="7" t="s">
        <v>7549</v>
      </c>
      <c r="E1072" s="7" t="s">
        <v>10603</v>
      </c>
      <c r="F1072" s="8" t="s">
        <v>3212</v>
      </c>
      <c r="G1072" s="7">
        <v>0</v>
      </c>
      <c r="H1072" s="7" t="s">
        <v>8984</v>
      </c>
      <c r="I1072" s="7">
        <v>1</v>
      </c>
      <c r="J1072" s="7" t="s">
        <v>7838</v>
      </c>
      <c r="K1072" s="9" t="s">
        <v>8987</v>
      </c>
    </row>
    <row r="1073" spans="1:11">
      <c r="A1073" s="7">
        <v>1071</v>
      </c>
      <c r="B1073" s="7" t="s">
        <v>9208</v>
      </c>
      <c r="C1073" s="7" t="s">
        <v>8984</v>
      </c>
      <c r="D1073" s="7" t="s">
        <v>7549</v>
      </c>
      <c r="E1073" s="7" t="s">
        <v>10604</v>
      </c>
      <c r="F1073" s="8" t="s">
        <v>3214</v>
      </c>
      <c r="G1073" s="7">
        <v>0</v>
      </c>
      <c r="H1073" s="7" t="s">
        <v>8984</v>
      </c>
      <c r="I1073" s="7">
        <v>1</v>
      </c>
      <c r="J1073" s="7" t="s">
        <v>7838</v>
      </c>
      <c r="K1073" s="9" t="s">
        <v>8987</v>
      </c>
    </row>
    <row r="1074" spans="1:11">
      <c r="A1074" s="7">
        <v>1072</v>
      </c>
      <c r="B1074" s="7" t="s">
        <v>9208</v>
      </c>
      <c r="C1074" s="7" t="s">
        <v>8984</v>
      </c>
      <c r="D1074" s="7" t="s">
        <v>7549</v>
      </c>
      <c r="E1074" s="7" t="s">
        <v>10605</v>
      </c>
      <c r="F1074" s="8" t="s">
        <v>3216</v>
      </c>
      <c r="G1074" s="7">
        <v>0</v>
      </c>
      <c r="H1074" s="7" t="s">
        <v>8984</v>
      </c>
      <c r="I1074" s="7">
        <v>1</v>
      </c>
      <c r="J1074" s="7" t="s">
        <v>7838</v>
      </c>
      <c r="K1074" s="9" t="s">
        <v>8987</v>
      </c>
    </row>
    <row r="1075" spans="1:11">
      <c r="A1075" s="7">
        <v>1073</v>
      </c>
      <c r="B1075" s="7" t="s">
        <v>9208</v>
      </c>
      <c r="C1075" s="7" t="s">
        <v>8984</v>
      </c>
      <c r="D1075" s="7" t="s">
        <v>7549</v>
      </c>
      <c r="E1075" s="7" t="s">
        <v>10606</v>
      </c>
      <c r="F1075" s="8" t="s">
        <v>3218</v>
      </c>
      <c r="G1075" s="7">
        <v>0</v>
      </c>
      <c r="H1075" s="7" t="s">
        <v>8984</v>
      </c>
      <c r="I1075" s="7">
        <v>1</v>
      </c>
      <c r="J1075" s="7" t="s">
        <v>7838</v>
      </c>
      <c r="K1075" s="9" t="s">
        <v>8987</v>
      </c>
    </row>
    <row r="1076" spans="1:11">
      <c r="A1076" s="7">
        <v>1074</v>
      </c>
      <c r="B1076" s="7" t="s">
        <v>9208</v>
      </c>
      <c r="C1076" s="7" t="s">
        <v>8984</v>
      </c>
      <c r="D1076" s="7" t="s">
        <v>7549</v>
      </c>
      <c r="E1076" s="7" t="s">
        <v>10607</v>
      </c>
      <c r="F1076" s="8" t="s">
        <v>3220</v>
      </c>
      <c r="G1076" s="7">
        <v>0</v>
      </c>
      <c r="H1076" s="7" t="s">
        <v>8984</v>
      </c>
      <c r="I1076" s="7">
        <v>1</v>
      </c>
      <c r="J1076" s="7" t="s">
        <v>7838</v>
      </c>
      <c r="K1076" s="9" t="s">
        <v>8987</v>
      </c>
    </row>
    <row r="1077" spans="1:11">
      <c r="A1077" s="7">
        <v>1075</v>
      </c>
      <c r="B1077" s="7" t="s">
        <v>9208</v>
      </c>
      <c r="C1077" s="7" t="s">
        <v>8984</v>
      </c>
      <c r="D1077" s="7" t="s">
        <v>7549</v>
      </c>
      <c r="E1077" s="7" t="s">
        <v>10608</v>
      </c>
      <c r="F1077" s="8" t="s">
        <v>3222</v>
      </c>
      <c r="G1077" s="7">
        <v>0</v>
      </c>
      <c r="H1077" s="7" t="s">
        <v>8984</v>
      </c>
      <c r="I1077" s="7">
        <v>1</v>
      </c>
      <c r="J1077" s="7" t="s">
        <v>7838</v>
      </c>
      <c r="K1077" s="9" t="s">
        <v>8987</v>
      </c>
    </row>
    <row r="1078" spans="1:11">
      <c r="A1078" s="7">
        <v>1076</v>
      </c>
      <c r="B1078" s="7" t="s">
        <v>9208</v>
      </c>
      <c r="C1078" s="7" t="s">
        <v>8984</v>
      </c>
      <c r="D1078" s="7" t="s">
        <v>7549</v>
      </c>
      <c r="E1078" s="7" t="s">
        <v>10609</v>
      </c>
      <c r="F1078" s="8" t="s">
        <v>3224</v>
      </c>
      <c r="G1078" s="7">
        <v>0</v>
      </c>
      <c r="H1078" s="7" t="s">
        <v>8984</v>
      </c>
      <c r="I1078" s="7">
        <v>1</v>
      </c>
      <c r="J1078" s="7" t="s">
        <v>7838</v>
      </c>
      <c r="K1078" s="9" t="s">
        <v>8987</v>
      </c>
    </row>
    <row r="1079" spans="1:11">
      <c r="A1079" s="7">
        <v>1077</v>
      </c>
      <c r="B1079" s="7" t="s">
        <v>8983</v>
      </c>
      <c r="C1079" s="7" t="s">
        <v>8984</v>
      </c>
      <c r="D1079" s="7" t="s">
        <v>7542</v>
      </c>
      <c r="E1079" s="7" t="s">
        <v>10610</v>
      </c>
      <c r="F1079" s="8" t="s">
        <v>10416</v>
      </c>
      <c r="G1079" s="7">
        <v>60</v>
      </c>
      <c r="H1079" s="7" t="s">
        <v>9289</v>
      </c>
      <c r="I1079" s="7">
        <v>17</v>
      </c>
      <c r="J1079" s="7" t="s">
        <v>7821</v>
      </c>
      <c r="K1079" s="9" t="s">
        <v>10611</v>
      </c>
    </row>
    <row r="1080" spans="1:11">
      <c r="A1080" s="7">
        <v>1078</v>
      </c>
      <c r="B1080" s="7" t="s">
        <v>9796</v>
      </c>
      <c r="C1080" s="7" t="s">
        <v>8984</v>
      </c>
      <c r="D1080" s="7" t="s">
        <v>7542</v>
      </c>
      <c r="E1080" s="7" t="s">
        <v>10612</v>
      </c>
      <c r="F1080" s="8" t="s">
        <v>9541</v>
      </c>
      <c r="G1080" s="7">
        <v>19</v>
      </c>
      <c r="H1080" s="7" t="s">
        <v>10462</v>
      </c>
      <c r="I1080" s="7">
        <v>3</v>
      </c>
      <c r="J1080" s="7" t="s">
        <v>10463</v>
      </c>
      <c r="K1080" s="9" t="s">
        <v>8987</v>
      </c>
    </row>
    <row r="1081" spans="1:11">
      <c r="A1081" s="7">
        <v>1079</v>
      </c>
      <c r="B1081" s="7" t="s">
        <v>8983</v>
      </c>
      <c r="C1081" s="7" t="s">
        <v>8984</v>
      </c>
      <c r="D1081" s="7" t="s">
        <v>7550</v>
      </c>
      <c r="E1081" s="7" t="s">
        <v>10613</v>
      </c>
      <c r="F1081" s="8" t="s">
        <v>10308</v>
      </c>
      <c r="G1081" s="7">
        <v>60</v>
      </c>
      <c r="H1081" s="7" t="s">
        <v>9289</v>
      </c>
      <c r="I1081" s="7">
        <v>13</v>
      </c>
      <c r="J1081" s="7" t="s">
        <v>7827</v>
      </c>
      <c r="K1081" s="9" t="s">
        <v>10611</v>
      </c>
    </row>
    <row r="1082" spans="1:11">
      <c r="A1082" s="7">
        <v>1080</v>
      </c>
      <c r="B1082" s="7" t="s">
        <v>8983</v>
      </c>
      <c r="C1082" s="7" t="s">
        <v>8984</v>
      </c>
      <c r="D1082" s="7" t="s">
        <v>7549</v>
      </c>
      <c r="E1082" s="7" t="s">
        <v>10614</v>
      </c>
      <c r="F1082" s="8" t="s">
        <v>10615</v>
      </c>
      <c r="G1082" s="7">
        <v>15</v>
      </c>
      <c r="H1082" s="7" t="s">
        <v>9053</v>
      </c>
      <c r="I1082" s="7">
        <v>5</v>
      </c>
      <c r="J1082" s="7" t="s">
        <v>7831</v>
      </c>
      <c r="K1082" s="9" t="s">
        <v>10611</v>
      </c>
    </row>
    <row r="1083" spans="1:11">
      <c r="A1083" s="7">
        <v>1081</v>
      </c>
      <c r="B1083" s="7" t="s">
        <v>8983</v>
      </c>
      <c r="C1083" s="7" t="s">
        <v>8984</v>
      </c>
      <c r="D1083" s="7" t="s">
        <v>7553</v>
      </c>
      <c r="E1083" s="7" t="s">
        <v>10616</v>
      </c>
      <c r="F1083" s="8" t="s">
        <v>10617</v>
      </c>
      <c r="G1083" s="7">
        <v>70</v>
      </c>
      <c r="H1083" s="7" t="s">
        <v>9194</v>
      </c>
      <c r="I1083" s="7">
        <v>17</v>
      </c>
      <c r="J1083" s="7" t="s">
        <v>7822</v>
      </c>
      <c r="K1083" s="9" t="s">
        <v>10611</v>
      </c>
    </row>
    <row r="1084" spans="1:11">
      <c r="A1084" s="7">
        <v>1082</v>
      </c>
      <c r="B1084" s="7" t="s">
        <v>8983</v>
      </c>
      <c r="C1084" s="7" t="s">
        <v>8984</v>
      </c>
      <c r="D1084" s="7" t="s">
        <v>7549</v>
      </c>
      <c r="E1084" s="7" t="s">
        <v>10618</v>
      </c>
      <c r="F1084" s="8" t="s">
        <v>2579</v>
      </c>
      <c r="G1084" s="11">
        <v>0</v>
      </c>
      <c r="H1084" s="11" t="s">
        <v>8984</v>
      </c>
      <c r="I1084" s="11">
        <v>1</v>
      </c>
      <c r="J1084" s="11" t="s">
        <v>7838</v>
      </c>
      <c r="K1084" s="9" t="s">
        <v>10619</v>
      </c>
    </row>
    <row r="1085" spans="1:11">
      <c r="A1085" s="7">
        <v>1083</v>
      </c>
      <c r="B1085" s="7" t="s">
        <v>8983</v>
      </c>
      <c r="C1085" s="7" t="s">
        <v>8984</v>
      </c>
      <c r="D1085" s="7" t="s">
        <v>7542</v>
      </c>
      <c r="E1085" s="7" t="s">
        <v>10620</v>
      </c>
      <c r="F1085" s="8" t="s">
        <v>10621</v>
      </c>
      <c r="G1085" s="11">
        <v>0</v>
      </c>
      <c r="H1085" s="11" t="s">
        <v>8984</v>
      </c>
      <c r="I1085" s="11">
        <v>1</v>
      </c>
      <c r="J1085" s="11" t="s">
        <v>7838</v>
      </c>
      <c r="K1085" s="9" t="s">
        <v>10611</v>
      </c>
    </row>
    <row r="1086" spans="1:11">
      <c r="A1086" s="7">
        <v>1084</v>
      </c>
      <c r="B1086" s="7" t="s">
        <v>8983</v>
      </c>
      <c r="C1086" s="7" t="s">
        <v>8984</v>
      </c>
      <c r="D1086" s="7" t="s">
        <v>7542</v>
      </c>
      <c r="E1086" s="7" t="s">
        <v>10622</v>
      </c>
      <c r="F1086" s="8" t="s">
        <v>10623</v>
      </c>
      <c r="G1086" s="7">
        <v>10</v>
      </c>
      <c r="H1086" s="7" t="s">
        <v>9292</v>
      </c>
      <c r="I1086" s="7">
        <v>5</v>
      </c>
      <c r="J1086" s="7" t="s">
        <v>7825</v>
      </c>
      <c r="K1086" s="9" t="s">
        <v>10611</v>
      </c>
    </row>
    <row r="1087" spans="1:11">
      <c r="A1087" s="7">
        <v>1085</v>
      </c>
      <c r="B1087" s="7" t="s">
        <v>8983</v>
      </c>
      <c r="C1087" s="7" t="s">
        <v>8984</v>
      </c>
      <c r="D1087" s="7" t="s">
        <v>7542</v>
      </c>
      <c r="E1087" s="7" t="s">
        <v>4863</v>
      </c>
      <c r="F1087" s="8" t="s">
        <v>10624</v>
      </c>
      <c r="G1087" s="7">
        <v>10</v>
      </c>
      <c r="H1087" s="7" t="s">
        <v>9292</v>
      </c>
      <c r="I1087" s="7">
        <v>5</v>
      </c>
      <c r="J1087" s="7" t="s">
        <v>7825</v>
      </c>
      <c r="K1087" s="9" t="s">
        <v>10611</v>
      </c>
    </row>
    <row r="1088" spans="1:11">
      <c r="A1088" s="7">
        <v>1086</v>
      </c>
      <c r="B1088" s="7" t="s">
        <v>8983</v>
      </c>
      <c r="C1088" s="7" t="s">
        <v>8984</v>
      </c>
      <c r="D1088" s="7" t="s">
        <v>7542</v>
      </c>
      <c r="E1088" s="7" t="s">
        <v>10625</v>
      </c>
      <c r="F1088" s="8" t="s">
        <v>10626</v>
      </c>
      <c r="G1088" s="7">
        <v>100</v>
      </c>
      <c r="H1088" s="7" t="s">
        <v>9046</v>
      </c>
      <c r="I1088" s="7">
        <v>21</v>
      </c>
      <c r="J1088" s="7" t="s">
        <v>7721</v>
      </c>
      <c r="K1088" s="9" t="s">
        <v>10611</v>
      </c>
    </row>
    <row r="1089" spans="1:11">
      <c r="A1089" s="7">
        <v>1087</v>
      </c>
      <c r="B1089" s="7" t="s">
        <v>8983</v>
      </c>
      <c r="C1089" s="7" t="s">
        <v>8984</v>
      </c>
      <c r="D1089" s="7" t="s">
        <v>7542</v>
      </c>
      <c r="E1089" s="7" t="s">
        <v>10627</v>
      </c>
      <c r="F1089" s="8" t="s">
        <v>10628</v>
      </c>
      <c r="G1089" s="11">
        <v>18</v>
      </c>
      <c r="H1089" s="11" t="s">
        <v>9422</v>
      </c>
      <c r="I1089" s="11">
        <v>8</v>
      </c>
      <c r="J1089" s="11" t="s">
        <v>7824</v>
      </c>
      <c r="K1089" s="9" t="s">
        <v>10611</v>
      </c>
    </row>
    <row r="1090" spans="1:11">
      <c r="A1090" s="7">
        <v>1088</v>
      </c>
      <c r="B1090" s="7" t="s">
        <v>9124</v>
      </c>
      <c r="C1090" s="7" t="s">
        <v>8984</v>
      </c>
      <c r="D1090" s="7" t="s">
        <v>7542</v>
      </c>
      <c r="E1090" s="7" t="s">
        <v>10629</v>
      </c>
      <c r="F1090" s="8" t="s">
        <v>9002</v>
      </c>
      <c r="G1090" s="7">
        <v>70</v>
      </c>
      <c r="H1090" s="7" t="s">
        <v>9194</v>
      </c>
      <c r="I1090" s="7">
        <v>17</v>
      </c>
      <c r="J1090" s="7" t="s">
        <v>7822</v>
      </c>
      <c r="K1090" s="9" t="s">
        <v>8987</v>
      </c>
    </row>
    <row r="1091" spans="1:11">
      <c r="A1091" s="7">
        <v>1089</v>
      </c>
      <c r="B1091" s="7" t="s">
        <v>9124</v>
      </c>
      <c r="C1091" s="7" t="s">
        <v>8984</v>
      </c>
      <c r="D1091" s="7" t="s">
        <v>7542</v>
      </c>
      <c r="E1091" s="7" t="s">
        <v>10630</v>
      </c>
      <c r="F1091" s="8" t="s">
        <v>9006</v>
      </c>
      <c r="G1091" s="7">
        <v>70</v>
      </c>
      <c r="H1091" s="7" t="s">
        <v>9194</v>
      </c>
      <c r="I1091" s="7">
        <v>17</v>
      </c>
      <c r="J1091" s="7" t="s">
        <v>7822</v>
      </c>
      <c r="K1091" s="9" t="s">
        <v>8987</v>
      </c>
    </row>
    <row r="1092" spans="1:11">
      <c r="A1092" s="7">
        <v>1090</v>
      </c>
      <c r="B1092" s="7" t="s">
        <v>9124</v>
      </c>
      <c r="C1092" s="7" t="s">
        <v>8984</v>
      </c>
      <c r="D1092" s="7" t="s">
        <v>7542</v>
      </c>
      <c r="E1092" s="7" t="s">
        <v>10631</v>
      </c>
      <c r="F1092" s="8" t="s">
        <v>9008</v>
      </c>
      <c r="G1092" s="7">
        <v>70</v>
      </c>
      <c r="H1092" s="7" t="s">
        <v>9194</v>
      </c>
      <c r="I1092" s="7">
        <v>17</v>
      </c>
      <c r="J1092" s="7" t="s">
        <v>7822</v>
      </c>
      <c r="K1092" s="9" t="s">
        <v>8987</v>
      </c>
    </row>
    <row r="1093" spans="1:11">
      <c r="A1093" s="7">
        <v>1091</v>
      </c>
      <c r="B1093" s="7" t="s">
        <v>9124</v>
      </c>
      <c r="C1093" s="7" t="s">
        <v>8984</v>
      </c>
      <c r="D1093" s="7" t="s">
        <v>7546</v>
      </c>
      <c r="E1093" s="7" t="s">
        <v>7371</v>
      </c>
      <c r="F1093" s="8" t="s">
        <v>9087</v>
      </c>
      <c r="G1093" s="7">
        <v>60</v>
      </c>
      <c r="H1093" s="7" t="s">
        <v>9289</v>
      </c>
      <c r="I1093" s="7">
        <v>17</v>
      </c>
      <c r="J1093" s="7" t="s">
        <v>7821</v>
      </c>
      <c r="K1093" s="9" t="s">
        <v>8987</v>
      </c>
    </row>
    <row r="1094" spans="1:11">
      <c r="A1094" s="7">
        <v>1092</v>
      </c>
      <c r="B1094" s="7" t="s">
        <v>9124</v>
      </c>
      <c r="C1094" s="7" t="s">
        <v>8984</v>
      </c>
      <c r="D1094" s="7" t="s">
        <v>7546</v>
      </c>
      <c r="E1094" s="7" t="s">
        <v>10632</v>
      </c>
      <c r="F1094" s="8" t="s">
        <v>9091</v>
      </c>
      <c r="G1094" s="7">
        <v>60</v>
      </c>
      <c r="H1094" s="7" t="s">
        <v>9289</v>
      </c>
      <c r="I1094" s="7">
        <v>17</v>
      </c>
      <c r="J1094" s="7" t="s">
        <v>7821</v>
      </c>
      <c r="K1094" s="9" t="s">
        <v>8987</v>
      </c>
    </row>
    <row r="1095" spans="1:11">
      <c r="A1095" s="7">
        <v>1093</v>
      </c>
      <c r="B1095" s="7" t="s">
        <v>9124</v>
      </c>
      <c r="C1095" s="7" t="s">
        <v>8984</v>
      </c>
      <c r="D1095" s="7" t="s">
        <v>7546</v>
      </c>
      <c r="E1095" s="7" t="s">
        <v>5537</v>
      </c>
      <c r="F1095" s="8" t="s">
        <v>9093</v>
      </c>
      <c r="G1095" s="7">
        <v>60</v>
      </c>
      <c r="H1095" s="7" t="s">
        <v>9289</v>
      </c>
      <c r="I1095" s="7">
        <v>17</v>
      </c>
      <c r="J1095" s="7" t="s">
        <v>7821</v>
      </c>
      <c r="K1095" s="9" t="s">
        <v>8987</v>
      </c>
    </row>
    <row r="1096" spans="1:11">
      <c r="A1096" s="7">
        <v>1094</v>
      </c>
      <c r="B1096" s="7" t="s">
        <v>8983</v>
      </c>
      <c r="C1096" s="7" t="s">
        <v>8984</v>
      </c>
      <c r="D1096" s="7" t="s">
        <v>7542</v>
      </c>
      <c r="E1096" s="7" t="s">
        <v>10633</v>
      </c>
      <c r="F1096" s="8" t="s">
        <v>9010</v>
      </c>
      <c r="G1096" s="11">
        <v>90</v>
      </c>
      <c r="H1096" s="11" t="s">
        <v>9642</v>
      </c>
      <c r="I1096" s="11">
        <v>17</v>
      </c>
      <c r="J1096" s="11" t="s">
        <v>7820</v>
      </c>
      <c r="K1096" s="9" t="s">
        <v>10611</v>
      </c>
    </row>
    <row r="1097" spans="1:11">
      <c r="A1097" s="7">
        <v>1095</v>
      </c>
      <c r="B1097" s="7" t="s">
        <v>8983</v>
      </c>
      <c r="C1097" s="7" t="s">
        <v>8984</v>
      </c>
      <c r="D1097" s="7" t="s">
        <v>7542</v>
      </c>
      <c r="E1097" s="7" t="s">
        <v>10634</v>
      </c>
      <c r="F1097" s="8" t="s">
        <v>9014</v>
      </c>
      <c r="G1097" s="11">
        <v>90</v>
      </c>
      <c r="H1097" s="11" t="s">
        <v>9642</v>
      </c>
      <c r="I1097" s="11">
        <v>17</v>
      </c>
      <c r="J1097" s="11" t="s">
        <v>7820</v>
      </c>
      <c r="K1097" s="9" t="s">
        <v>10611</v>
      </c>
    </row>
    <row r="1098" spans="1:11">
      <c r="A1098" s="7">
        <v>1096</v>
      </c>
      <c r="B1098" s="7" t="s">
        <v>8983</v>
      </c>
      <c r="C1098" s="7" t="s">
        <v>8984</v>
      </c>
      <c r="D1098" s="7" t="s">
        <v>7546</v>
      </c>
      <c r="E1098" s="7" t="s">
        <v>10635</v>
      </c>
      <c r="F1098" s="8" t="s">
        <v>9096</v>
      </c>
      <c r="G1098" s="7">
        <v>60</v>
      </c>
      <c r="H1098" s="7" t="s">
        <v>9289</v>
      </c>
      <c r="I1098" s="7">
        <v>17</v>
      </c>
      <c r="J1098" s="7" t="s">
        <v>7821</v>
      </c>
      <c r="K1098" s="9" t="s">
        <v>10611</v>
      </c>
    </row>
    <row r="1099" spans="1:11">
      <c r="A1099" s="7">
        <v>1097</v>
      </c>
      <c r="B1099" s="7" t="s">
        <v>8983</v>
      </c>
      <c r="C1099" s="7" t="s">
        <v>8984</v>
      </c>
      <c r="D1099" s="7" t="s">
        <v>7546</v>
      </c>
      <c r="E1099" s="7" t="s">
        <v>10636</v>
      </c>
      <c r="F1099" s="8" t="s">
        <v>9098</v>
      </c>
      <c r="G1099" s="7">
        <v>60</v>
      </c>
      <c r="H1099" s="7" t="s">
        <v>9289</v>
      </c>
      <c r="I1099" s="7">
        <v>17</v>
      </c>
      <c r="J1099" s="7" t="s">
        <v>7821</v>
      </c>
      <c r="K1099" s="9" t="s">
        <v>10611</v>
      </c>
    </row>
    <row r="1100" spans="1:11">
      <c r="A1100" s="7">
        <v>1098</v>
      </c>
      <c r="B1100" s="7" t="s">
        <v>8983</v>
      </c>
      <c r="C1100" s="7" t="s">
        <v>8984</v>
      </c>
      <c r="D1100" s="7" t="s">
        <v>7546</v>
      </c>
      <c r="E1100" s="7" t="s">
        <v>10637</v>
      </c>
      <c r="F1100" s="8" t="s">
        <v>9083</v>
      </c>
      <c r="G1100" s="7">
        <v>50</v>
      </c>
      <c r="H1100" s="7" t="s">
        <v>9021</v>
      </c>
      <c r="I1100" s="7">
        <v>13</v>
      </c>
      <c r="J1100" s="7" t="s">
        <v>7826</v>
      </c>
      <c r="K1100" s="9" t="s">
        <v>10611</v>
      </c>
    </row>
    <row r="1101" spans="1:11">
      <c r="A1101" s="7">
        <v>1099</v>
      </c>
      <c r="B1101" s="7" t="s">
        <v>8983</v>
      </c>
      <c r="C1101" s="7" t="s">
        <v>8984</v>
      </c>
      <c r="D1101" s="7" t="s">
        <v>7546</v>
      </c>
      <c r="E1101" s="7" t="s">
        <v>10638</v>
      </c>
      <c r="F1101" s="8" t="s">
        <v>9094</v>
      </c>
      <c r="G1101" s="7">
        <v>60</v>
      </c>
      <c r="H1101" s="7" t="s">
        <v>9289</v>
      </c>
      <c r="I1101" s="7">
        <v>17</v>
      </c>
      <c r="J1101" s="7" t="s">
        <v>7821</v>
      </c>
      <c r="K1101" s="9" t="s">
        <v>10611</v>
      </c>
    </row>
    <row r="1102" spans="1:11">
      <c r="A1102" s="7">
        <v>1100</v>
      </c>
      <c r="B1102" s="7" t="s">
        <v>8983</v>
      </c>
      <c r="C1102" s="7" t="s">
        <v>8984</v>
      </c>
      <c r="D1102" s="7" t="s">
        <v>7551</v>
      </c>
      <c r="E1102" s="7" t="s">
        <v>10639</v>
      </c>
      <c r="F1102" s="8" t="s">
        <v>9141</v>
      </c>
      <c r="G1102" s="7">
        <v>360</v>
      </c>
      <c r="H1102" s="7" t="s">
        <v>10640</v>
      </c>
      <c r="I1102" s="7">
        <v>41</v>
      </c>
      <c r="J1102" s="7" t="s">
        <v>7835</v>
      </c>
      <c r="K1102" s="9" t="s">
        <v>10611</v>
      </c>
    </row>
    <row r="1103" spans="1:11">
      <c r="A1103" s="7">
        <v>1101</v>
      </c>
      <c r="B1103" s="7" t="s">
        <v>8983</v>
      </c>
      <c r="C1103" s="7" t="s">
        <v>8984</v>
      </c>
      <c r="D1103" s="7" t="s">
        <v>7542</v>
      </c>
      <c r="E1103" s="7" t="s">
        <v>10641</v>
      </c>
      <c r="F1103" s="8" t="s">
        <v>9145</v>
      </c>
      <c r="G1103" s="7">
        <v>60</v>
      </c>
      <c r="H1103" s="7" t="s">
        <v>9289</v>
      </c>
      <c r="I1103" s="7">
        <v>17</v>
      </c>
      <c r="J1103" s="7" t="s">
        <v>7821</v>
      </c>
      <c r="K1103" s="9" t="s">
        <v>10611</v>
      </c>
    </row>
    <row r="1104" spans="1:11">
      <c r="A1104" s="7">
        <v>1102</v>
      </c>
      <c r="B1104" s="7" t="s">
        <v>8983</v>
      </c>
      <c r="C1104" s="7" t="s">
        <v>8984</v>
      </c>
      <c r="D1104" s="7" t="s">
        <v>7573</v>
      </c>
      <c r="E1104" s="7" t="s">
        <v>10642</v>
      </c>
      <c r="F1104" s="8" t="s">
        <v>9186</v>
      </c>
      <c r="G1104" s="7">
        <v>15</v>
      </c>
      <c r="H1104" s="7" t="s">
        <v>9053</v>
      </c>
      <c r="I1104" s="7">
        <v>5</v>
      </c>
      <c r="J1104" s="7" t="s">
        <v>7831</v>
      </c>
      <c r="K1104" s="9" t="s">
        <v>10611</v>
      </c>
    </row>
    <row r="1105" spans="1:11">
      <c r="A1105" s="7">
        <v>1103</v>
      </c>
      <c r="B1105" s="7" t="s">
        <v>8983</v>
      </c>
      <c r="C1105" s="7" t="s">
        <v>8984</v>
      </c>
      <c r="D1105" s="7" t="s">
        <v>7551</v>
      </c>
      <c r="E1105" s="7" t="s">
        <v>10643</v>
      </c>
      <c r="F1105" s="8" t="s">
        <v>9192</v>
      </c>
      <c r="G1105" s="7">
        <v>360</v>
      </c>
      <c r="H1105" s="7" t="s">
        <v>10640</v>
      </c>
      <c r="I1105" s="7">
        <v>41</v>
      </c>
      <c r="J1105" s="7" t="s">
        <v>7836</v>
      </c>
      <c r="K1105" s="9" t="s">
        <v>10611</v>
      </c>
    </row>
    <row r="1106" spans="1:11">
      <c r="A1106" s="7">
        <v>1104</v>
      </c>
      <c r="B1106" s="7" t="s">
        <v>9208</v>
      </c>
      <c r="C1106" s="7" t="s">
        <v>8984</v>
      </c>
      <c r="D1106" s="7" t="s">
        <v>7549</v>
      </c>
      <c r="E1106" s="7" t="s">
        <v>10644</v>
      </c>
      <c r="F1106" s="8" t="s">
        <v>9210</v>
      </c>
      <c r="G1106" s="7">
        <v>40</v>
      </c>
      <c r="H1106" s="7" t="s">
        <v>9003</v>
      </c>
      <c r="I1106" s="7">
        <v>14</v>
      </c>
      <c r="J1106" s="7" t="s">
        <v>7829</v>
      </c>
      <c r="K1106" s="9" t="s">
        <v>8987</v>
      </c>
    </row>
    <row r="1107" spans="1:11">
      <c r="A1107" s="7">
        <v>1105</v>
      </c>
      <c r="B1107" s="7" t="s">
        <v>8983</v>
      </c>
      <c r="C1107" s="7" t="s">
        <v>8984</v>
      </c>
      <c r="D1107" s="7" t="s">
        <v>7546</v>
      </c>
      <c r="E1107" s="7" t="s">
        <v>10645</v>
      </c>
      <c r="F1107" s="8" t="s">
        <v>9226</v>
      </c>
      <c r="G1107" s="7">
        <v>60</v>
      </c>
      <c r="H1107" s="7" t="s">
        <v>9289</v>
      </c>
      <c r="I1107" s="7">
        <v>13</v>
      </c>
      <c r="J1107" s="7" t="s">
        <v>7827</v>
      </c>
      <c r="K1107" s="9" t="s">
        <v>10611</v>
      </c>
    </row>
    <row r="1108" spans="1:11">
      <c r="A1108" s="7">
        <v>1106</v>
      </c>
      <c r="B1108" s="7" t="s">
        <v>8983</v>
      </c>
      <c r="C1108" s="7" t="s">
        <v>8984</v>
      </c>
      <c r="D1108" s="7" t="s">
        <v>7555</v>
      </c>
      <c r="E1108" s="7" t="s">
        <v>10646</v>
      </c>
      <c r="F1108" s="8" t="s">
        <v>9251</v>
      </c>
      <c r="G1108" s="7">
        <v>80</v>
      </c>
      <c r="H1108" s="7" t="s">
        <v>9153</v>
      </c>
      <c r="I1108" s="7">
        <v>17</v>
      </c>
      <c r="J1108" s="7" t="s">
        <v>7837</v>
      </c>
      <c r="K1108" s="9" t="s">
        <v>10611</v>
      </c>
    </row>
    <row r="1109" spans="1:11">
      <c r="A1109" s="7">
        <v>1107</v>
      </c>
      <c r="B1109" s="7" t="s">
        <v>8983</v>
      </c>
      <c r="C1109" s="7" t="s">
        <v>8984</v>
      </c>
      <c r="D1109" s="7" t="s">
        <v>7547</v>
      </c>
      <c r="E1109" s="7" t="s">
        <v>10647</v>
      </c>
      <c r="F1109" s="8" t="s">
        <v>9272</v>
      </c>
      <c r="G1109" s="7">
        <v>70</v>
      </c>
      <c r="H1109" s="7" t="s">
        <v>9194</v>
      </c>
      <c r="I1109" s="7">
        <v>17</v>
      </c>
      <c r="J1109" s="7" t="s">
        <v>7822</v>
      </c>
      <c r="K1109" s="9" t="s">
        <v>10611</v>
      </c>
    </row>
    <row r="1110" spans="1:11">
      <c r="A1110" s="7">
        <v>1108</v>
      </c>
      <c r="B1110" s="7" t="s">
        <v>8983</v>
      </c>
      <c r="C1110" s="7" t="s">
        <v>8984</v>
      </c>
      <c r="D1110" s="7" t="s">
        <v>7547</v>
      </c>
      <c r="E1110" s="7" t="s">
        <v>10648</v>
      </c>
      <c r="F1110" s="8" t="s">
        <v>9275</v>
      </c>
      <c r="G1110" s="7">
        <v>70</v>
      </c>
      <c r="H1110" s="7" t="s">
        <v>9194</v>
      </c>
      <c r="I1110" s="7">
        <v>17</v>
      </c>
      <c r="J1110" s="7" t="s">
        <v>7822</v>
      </c>
      <c r="K1110" s="9" t="s">
        <v>10611</v>
      </c>
    </row>
    <row r="1111" spans="1:11">
      <c r="A1111" s="7">
        <v>1109</v>
      </c>
      <c r="B1111" s="7" t="s">
        <v>8983</v>
      </c>
      <c r="C1111" s="7" t="s">
        <v>8984</v>
      </c>
      <c r="D1111" s="7" t="s">
        <v>7547</v>
      </c>
      <c r="E1111" s="7" t="s">
        <v>10649</v>
      </c>
      <c r="F1111" s="8" t="s">
        <v>9279</v>
      </c>
      <c r="G1111" s="7">
        <v>40</v>
      </c>
      <c r="H1111" s="7" t="s">
        <v>9003</v>
      </c>
      <c r="I1111" s="7">
        <v>14</v>
      </c>
      <c r="J1111" s="7" t="s">
        <v>7829</v>
      </c>
      <c r="K1111" s="9" t="s">
        <v>10611</v>
      </c>
    </row>
    <row r="1112" spans="1:11">
      <c r="A1112" s="7">
        <v>1110</v>
      </c>
      <c r="B1112" s="7" t="s">
        <v>8983</v>
      </c>
      <c r="C1112" s="7" t="s">
        <v>8984</v>
      </c>
      <c r="D1112" s="7" t="s">
        <v>7542</v>
      </c>
      <c r="E1112" s="7" t="s">
        <v>10650</v>
      </c>
      <c r="F1112" s="8" t="s">
        <v>9310</v>
      </c>
      <c r="G1112" s="7">
        <v>70</v>
      </c>
      <c r="H1112" s="7" t="s">
        <v>9194</v>
      </c>
      <c r="I1112" s="7">
        <v>17</v>
      </c>
      <c r="J1112" s="7" t="s">
        <v>7822</v>
      </c>
      <c r="K1112" s="9" t="s">
        <v>10611</v>
      </c>
    </row>
    <row r="1113" spans="1:11">
      <c r="A1113" s="7">
        <v>1111</v>
      </c>
      <c r="B1113" s="7" t="s">
        <v>8983</v>
      </c>
      <c r="C1113" s="7" t="s">
        <v>8984</v>
      </c>
      <c r="D1113" s="7" t="s">
        <v>7542</v>
      </c>
      <c r="E1113" s="7" t="s">
        <v>10651</v>
      </c>
      <c r="F1113" s="8" t="s">
        <v>9310</v>
      </c>
      <c r="G1113" s="7">
        <v>25</v>
      </c>
      <c r="H1113" s="7" t="s">
        <v>9011</v>
      </c>
      <c r="I1113" s="7">
        <v>5</v>
      </c>
      <c r="J1113" s="7" t="s">
        <v>9012</v>
      </c>
      <c r="K1113" s="9" t="s">
        <v>8987</v>
      </c>
    </row>
    <row r="1114" spans="1:11">
      <c r="A1114" s="7">
        <v>1112</v>
      </c>
      <c r="B1114" s="7" t="s">
        <v>8983</v>
      </c>
      <c r="C1114" s="7" t="s">
        <v>8984</v>
      </c>
      <c r="D1114" s="7" t="s">
        <v>7566</v>
      </c>
      <c r="E1114" s="7" t="s">
        <v>10652</v>
      </c>
      <c r="F1114" s="8" t="s">
        <v>9312</v>
      </c>
      <c r="G1114" s="7">
        <v>12</v>
      </c>
      <c r="H1114" s="7" t="s">
        <v>9213</v>
      </c>
      <c r="I1114" s="7">
        <v>3</v>
      </c>
      <c r="J1114" s="7" t="s">
        <v>7720</v>
      </c>
      <c r="K1114" s="9" t="s">
        <v>10611</v>
      </c>
    </row>
    <row r="1115" spans="1:11">
      <c r="A1115" s="7">
        <v>1113</v>
      </c>
      <c r="B1115" s="7" t="s">
        <v>8983</v>
      </c>
      <c r="C1115" s="7" t="s">
        <v>8984</v>
      </c>
      <c r="D1115" s="7" t="s">
        <v>7553</v>
      </c>
      <c r="E1115" s="7" t="s">
        <v>10653</v>
      </c>
      <c r="F1115" s="8" t="s">
        <v>9360</v>
      </c>
      <c r="G1115" s="7">
        <v>100</v>
      </c>
      <c r="H1115" s="7" t="s">
        <v>9046</v>
      </c>
      <c r="I1115" s="7">
        <v>21</v>
      </c>
      <c r="J1115" s="7" t="s">
        <v>7721</v>
      </c>
      <c r="K1115" s="9" t="s">
        <v>10611</v>
      </c>
    </row>
    <row r="1116" spans="1:11">
      <c r="A1116" s="7">
        <v>1114</v>
      </c>
      <c r="B1116" s="7" t="s">
        <v>8983</v>
      </c>
      <c r="C1116" s="7" t="s">
        <v>8984</v>
      </c>
      <c r="D1116" s="7" t="s">
        <v>7546</v>
      </c>
      <c r="E1116" s="7" t="s">
        <v>10654</v>
      </c>
      <c r="F1116" s="8" t="s">
        <v>9457</v>
      </c>
      <c r="G1116" s="7">
        <v>60</v>
      </c>
      <c r="H1116" s="7" t="s">
        <v>9289</v>
      </c>
      <c r="I1116" s="7">
        <v>17</v>
      </c>
      <c r="J1116" s="7" t="s">
        <v>7821</v>
      </c>
      <c r="K1116" s="9" t="s">
        <v>8987</v>
      </c>
    </row>
    <row r="1117" spans="1:11">
      <c r="A1117" s="7">
        <v>1115</v>
      </c>
      <c r="B1117" s="7" t="s">
        <v>8983</v>
      </c>
      <c r="C1117" s="7" t="s">
        <v>8984</v>
      </c>
      <c r="D1117" s="7" t="s">
        <v>7552</v>
      </c>
      <c r="E1117" s="7" t="s">
        <v>10655</v>
      </c>
      <c r="F1117" s="8" t="s">
        <v>9450</v>
      </c>
      <c r="G1117" s="7">
        <v>80</v>
      </c>
      <c r="H1117" s="7" t="s">
        <v>9153</v>
      </c>
      <c r="I1117" s="7">
        <v>17</v>
      </c>
      <c r="J1117" s="7" t="s">
        <v>7837</v>
      </c>
      <c r="K1117" s="9" t="s">
        <v>10611</v>
      </c>
    </row>
    <row r="1118" spans="1:11">
      <c r="A1118" s="7">
        <v>1116</v>
      </c>
      <c r="B1118" s="7" t="s">
        <v>8983</v>
      </c>
      <c r="C1118" s="7" t="s">
        <v>8984</v>
      </c>
      <c r="D1118" s="7" t="s">
        <v>7581</v>
      </c>
      <c r="E1118" s="7" t="s">
        <v>10656</v>
      </c>
      <c r="F1118" s="8" t="s">
        <v>9453</v>
      </c>
      <c r="G1118" s="7">
        <v>70</v>
      </c>
      <c r="H1118" s="7" t="s">
        <v>9194</v>
      </c>
      <c r="I1118" s="7">
        <v>17</v>
      </c>
      <c r="J1118" s="7" t="s">
        <v>7822</v>
      </c>
      <c r="K1118" s="9" t="s">
        <v>10611</v>
      </c>
    </row>
    <row r="1119" spans="1:11">
      <c r="A1119" s="7">
        <v>1117</v>
      </c>
      <c r="B1119" s="7" t="s">
        <v>8983</v>
      </c>
      <c r="C1119" s="7" t="s">
        <v>8984</v>
      </c>
      <c r="D1119" s="7" t="s">
        <v>7547</v>
      </c>
      <c r="E1119" s="7" t="s">
        <v>10657</v>
      </c>
      <c r="F1119" s="8" t="s">
        <v>9593</v>
      </c>
      <c r="G1119" s="7">
        <v>100</v>
      </c>
      <c r="H1119" s="7" t="s">
        <v>9046</v>
      </c>
      <c r="I1119" s="7">
        <v>21</v>
      </c>
      <c r="J1119" s="7" t="s">
        <v>7721</v>
      </c>
      <c r="K1119" s="9" t="s">
        <v>10611</v>
      </c>
    </row>
    <row r="1120" spans="1:11">
      <c r="A1120" s="7">
        <v>1118</v>
      </c>
      <c r="B1120" s="7" t="s">
        <v>8983</v>
      </c>
      <c r="C1120" s="7" t="s">
        <v>8984</v>
      </c>
      <c r="D1120" s="7" t="s">
        <v>7581</v>
      </c>
      <c r="E1120" s="7" t="s">
        <v>10658</v>
      </c>
      <c r="F1120" s="8" t="s">
        <v>9648</v>
      </c>
      <c r="G1120" s="7">
        <v>70</v>
      </c>
      <c r="H1120" s="7" t="s">
        <v>9194</v>
      </c>
      <c r="I1120" s="7">
        <v>17</v>
      </c>
      <c r="J1120" s="7" t="s">
        <v>7822</v>
      </c>
      <c r="K1120" s="9" t="s">
        <v>10611</v>
      </c>
    </row>
    <row r="1121" spans="1:11">
      <c r="A1121" s="7">
        <v>1119</v>
      </c>
      <c r="B1121" s="7" t="s">
        <v>8983</v>
      </c>
      <c r="C1121" s="7" t="s">
        <v>8984</v>
      </c>
      <c r="D1121" s="7" t="s">
        <v>7550</v>
      </c>
      <c r="E1121" s="7" t="s">
        <v>10659</v>
      </c>
      <c r="F1121" s="8" t="s">
        <v>9669</v>
      </c>
      <c r="G1121" s="7">
        <v>70</v>
      </c>
      <c r="H1121" s="7" t="s">
        <v>9194</v>
      </c>
      <c r="I1121" s="7">
        <v>17</v>
      </c>
      <c r="J1121" s="7" t="s">
        <v>7822</v>
      </c>
      <c r="K1121" s="9" t="s">
        <v>10611</v>
      </c>
    </row>
    <row r="1122" spans="1:11">
      <c r="A1122" s="7">
        <v>1120</v>
      </c>
      <c r="B1122" s="7" t="s">
        <v>8983</v>
      </c>
      <c r="C1122" s="7" t="s">
        <v>8984</v>
      </c>
      <c r="D1122" s="7" t="s">
        <v>7566</v>
      </c>
      <c r="E1122" s="7" t="s">
        <v>10660</v>
      </c>
      <c r="F1122" s="8" t="s">
        <v>9628</v>
      </c>
      <c r="G1122" s="7">
        <v>15</v>
      </c>
      <c r="H1122" s="7" t="s">
        <v>9053</v>
      </c>
      <c r="I1122" s="7">
        <v>4</v>
      </c>
      <c r="J1122" s="7" t="s">
        <v>7828</v>
      </c>
      <c r="K1122" s="9" t="s">
        <v>10611</v>
      </c>
    </row>
    <row r="1123" spans="1:11">
      <c r="A1123" s="7">
        <v>1121</v>
      </c>
      <c r="B1123" s="7" t="s">
        <v>8983</v>
      </c>
      <c r="C1123" s="7" t="s">
        <v>8984</v>
      </c>
      <c r="D1123" s="7" t="s">
        <v>7549</v>
      </c>
      <c r="E1123" s="7" t="s">
        <v>10661</v>
      </c>
      <c r="F1123" s="8" t="s">
        <v>9717</v>
      </c>
      <c r="G1123" s="7">
        <v>250</v>
      </c>
      <c r="H1123" s="7" t="s">
        <v>9351</v>
      </c>
      <c r="I1123" s="7">
        <v>41</v>
      </c>
      <c r="J1123" s="7" t="s">
        <v>7832</v>
      </c>
      <c r="K1123" s="9" t="s">
        <v>10611</v>
      </c>
    </row>
    <row r="1124" spans="1:11">
      <c r="A1124" s="7">
        <v>1122</v>
      </c>
      <c r="B1124" s="7" t="s">
        <v>8983</v>
      </c>
      <c r="C1124" s="7" t="s">
        <v>8984</v>
      </c>
      <c r="D1124" s="7" t="s">
        <v>7548</v>
      </c>
      <c r="E1124" s="7" t="s">
        <v>10662</v>
      </c>
      <c r="F1124" s="8" t="s">
        <v>10244</v>
      </c>
      <c r="G1124" s="7">
        <v>60</v>
      </c>
      <c r="H1124" s="7" t="s">
        <v>9289</v>
      </c>
      <c r="I1124" s="7">
        <v>13</v>
      </c>
      <c r="J1124" s="7" t="s">
        <v>7827</v>
      </c>
      <c r="K1124" s="9" t="s">
        <v>10611</v>
      </c>
    </row>
    <row r="1125" spans="1:11">
      <c r="A1125" s="7">
        <v>1123</v>
      </c>
      <c r="B1125" s="7" t="s">
        <v>8983</v>
      </c>
      <c r="C1125" s="7" t="s">
        <v>8984</v>
      </c>
      <c r="D1125" s="7" t="s">
        <v>7573</v>
      </c>
      <c r="E1125" s="7" t="s">
        <v>10663</v>
      </c>
      <c r="F1125" s="8" t="s">
        <v>10172</v>
      </c>
      <c r="G1125" s="7">
        <v>30</v>
      </c>
      <c r="H1125" s="7" t="s">
        <v>9015</v>
      </c>
      <c r="I1125" s="7">
        <v>9</v>
      </c>
      <c r="J1125" s="7" t="s">
        <v>9748</v>
      </c>
      <c r="K1125" s="9" t="s">
        <v>8987</v>
      </c>
    </row>
    <row r="1126" spans="1:11">
      <c r="A1126" s="7">
        <v>1124</v>
      </c>
      <c r="B1126" s="7" t="s">
        <v>9208</v>
      </c>
      <c r="C1126" s="7" t="s">
        <v>8984</v>
      </c>
      <c r="D1126" s="7" t="s">
        <v>7549</v>
      </c>
      <c r="E1126" s="7" t="s">
        <v>10664</v>
      </c>
      <c r="F1126" s="8" t="s">
        <v>9328</v>
      </c>
      <c r="G1126" s="7">
        <v>80</v>
      </c>
      <c r="H1126" s="7" t="s">
        <v>9153</v>
      </c>
      <c r="I1126" s="7">
        <v>17</v>
      </c>
      <c r="J1126" s="7" t="s">
        <v>7837</v>
      </c>
      <c r="K1126" s="9" t="s">
        <v>8987</v>
      </c>
    </row>
    <row r="1127" spans="1:11">
      <c r="A1127" s="7">
        <v>1125</v>
      </c>
      <c r="B1127" s="7" t="s">
        <v>8983</v>
      </c>
      <c r="C1127" s="7" t="s">
        <v>8984</v>
      </c>
      <c r="D1127" s="7" t="s">
        <v>7542</v>
      </c>
      <c r="E1127" s="7" t="s">
        <v>10665</v>
      </c>
      <c r="F1127" s="8" t="s">
        <v>9581</v>
      </c>
      <c r="G1127" s="7">
        <v>8</v>
      </c>
      <c r="H1127" s="7" t="s">
        <v>8991</v>
      </c>
      <c r="I1127" s="7">
        <v>3</v>
      </c>
      <c r="J1127" s="7" t="s">
        <v>7823</v>
      </c>
      <c r="K1127" s="9" t="s">
        <v>10611</v>
      </c>
    </row>
    <row r="1128" spans="1:11">
      <c r="A1128" s="7">
        <v>1126</v>
      </c>
      <c r="B1128" s="7" t="s">
        <v>8983</v>
      </c>
      <c r="C1128" s="7" t="s">
        <v>8984</v>
      </c>
      <c r="D1128" s="7" t="s">
        <v>7581</v>
      </c>
      <c r="E1128" s="7" t="s">
        <v>10666</v>
      </c>
      <c r="F1128" s="8" t="s">
        <v>9973</v>
      </c>
      <c r="G1128" s="7">
        <v>0</v>
      </c>
      <c r="H1128" s="7" t="s">
        <v>8984</v>
      </c>
      <c r="I1128" s="7">
        <v>1</v>
      </c>
      <c r="J1128" s="7" t="s">
        <v>7838</v>
      </c>
      <c r="K1128" s="9" t="s">
        <v>8987</v>
      </c>
    </row>
    <row r="1129" spans="1:11">
      <c r="A1129" s="7">
        <v>1127</v>
      </c>
      <c r="B1129" s="7" t="s">
        <v>9764</v>
      </c>
      <c r="C1129" s="7" t="s">
        <v>8984</v>
      </c>
      <c r="D1129" s="7" t="s">
        <v>7556</v>
      </c>
      <c r="E1129" s="7" t="s">
        <v>10667</v>
      </c>
      <c r="F1129" s="8" t="s">
        <v>9595</v>
      </c>
      <c r="G1129" s="7">
        <v>200</v>
      </c>
      <c r="H1129" s="7" t="s">
        <v>9447</v>
      </c>
      <c r="I1129" s="7">
        <v>41</v>
      </c>
      <c r="J1129" s="7" t="s">
        <v>9681</v>
      </c>
      <c r="K1129" s="9" t="s">
        <v>8987</v>
      </c>
    </row>
    <row r="1130" spans="1:11">
      <c r="A1130" s="7">
        <v>1128</v>
      </c>
      <c r="B1130" s="7" t="s">
        <v>9764</v>
      </c>
      <c r="C1130" s="7" t="s">
        <v>8984</v>
      </c>
      <c r="D1130" s="7" t="s">
        <v>7556</v>
      </c>
      <c r="E1130" s="7" t="s">
        <v>5780</v>
      </c>
      <c r="F1130" s="8" t="s">
        <v>9595</v>
      </c>
      <c r="G1130" s="7">
        <v>200</v>
      </c>
      <c r="H1130" s="7" t="s">
        <v>9447</v>
      </c>
      <c r="I1130" s="7">
        <v>41</v>
      </c>
      <c r="J1130" s="7" t="s">
        <v>9681</v>
      </c>
      <c r="K1130" s="9" t="s">
        <v>8987</v>
      </c>
    </row>
    <row r="1131" spans="1:11">
      <c r="A1131" s="7">
        <v>1129</v>
      </c>
      <c r="B1131" s="7" t="s">
        <v>9764</v>
      </c>
      <c r="C1131" s="7" t="s">
        <v>8984</v>
      </c>
      <c r="D1131" s="7" t="s">
        <v>7556</v>
      </c>
      <c r="E1131" s="7" t="s">
        <v>10668</v>
      </c>
      <c r="F1131" s="8" t="s">
        <v>9595</v>
      </c>
      <c r="G1131" s="7">
        <v>200</v>
      </c>
      <c r="H1131" s="7" t="s">
        <v>9447</v>
      </c>
      <c r="I1131" s="7">
        <v>41</v>
      </c>
      <c r="J1131" s="7" t="s">
        <v>9681</v>
      </c>
      <c r="K1131" s="9" t="s">
        <v>8987</v>
      </c>
    </row>
    <row r="1132" spans="1:11">
      <c r="A1132" s="7">
        <v>1130</v>
      </c>
      <c r="B1132" s="7" t="s">
        <v>9764</v>
      </c>
      <c r="C1132" s="7" t="s">
        <v>8984</v>
      </c>
      <c r="D1132" s="7" t="s">
        <v>7542</v>
      </c>
      <c r="E1132" s="7" t="s">
        <v>10669</v>
      </c>
      <c r="F1132" s="8" t="s">
        <v>9145</v>
      </c>
      <c r="G1132" s="7">
        <v>30</v>
      </c>
      <c r="H1132" s="7" t="s">
        <v>9015</v>
      </c>
      <c r="I1132" s="7">
        <v>9</v>
      </c>
      <c r="J1132" s="7" t="s">
        <v>9748</v>
      </c>
      <c r="K1132" s="9" t="s">
        <v>8987</v>
      </c>
    </row>
    <row r="1133" spans="1:11">
      <c r="A1133" s="7">
        <v>1131</v>
      </c>
      <c r="B1133" s="7" t="s">
        <v>8983</v>
      </c>
      <c r="C1133" s="7" t="s">
        <v>8998</v>
      </c>
      <c r="D1133" s="7" t="s">
        <v>7556</v>
      </c>
      <c r="E1133" s="7" t="s">
        <v>10670</v>
      </c>
      <c r="F1133" s="8" t="s">
        <v>9676</v>
      </c>
      <c r="G1133" s="7" t="s">
        <v>8987</v>
      </c>
      <c r="H1133" s="7" t="s">
        <v>8987</v>
      </c>
      <c r="I1133" s="7" t="s">
        <v>8987</v>
      </c>
      <c r="J1133" s="7" t="s">
        <v>8987</v>
      </c>
      <c r="K1133" s="9" t="s">
        <v>8987</v>
      </c>
    </row>
    <row r="1134" spans="1:11">
      <c r="A1134" s="7">
        <v>1132</v>
      </c>
      <c r="B1134" s="7" t="s">
        <v>8983</v>
      </c>
      <c r="C1134" s="7" t="s">
        <v>8998</v>
      </c>
      <c r="D1134" s="7" t="s">
        <v>7551</v>
      </c>
      <c r="E1134" s="7" t="s">
        <v>10671</v>
      </c>
      <c r="F1134" s="8" t="s">
        <v>10205</v>
      </c>
      <c r="G1134" s="7" t="s">
        <v>8987</v>
      </c>
      <c r="H1134" s="7" t="s">
        <v>8987</v>
      </c>
      <c r="I1134" s="7" t="s">
        <v>8987</v>
      </c>
      <c r="J1134" s="7" t="s">
        <v>8987</v>
      </c>
      <c r="K1134" s="9" t="s">
        <v>8987</v>
      </c>
    </row>
    <row r="1135" spans="1:11">
      <c r="A1135" s="7">
        <v>1133</v>
      </c>
      <c r="B1135" s="7" t="s">
        <v>8983</v>
      </c>
      <c r="C1135" s="7" t="s">
        <v>8998</v>
      </c>
      <c r="D1135" s="7" t="s">
        <v>7551</v>
      </c>
      <c r="E1135" s="7" t="s">
        <v>10672</v>
      </c>
      <c r="F1135" s="8" t="s">
        <v>10208</v>
      </c>
      <c r="G1135" s="7" t="s">
        <v>8987</v>
      </c>
      <c r="H1135" s="7" t="s">
        <v>8987</v>
      </c>
      <c r="I1135" s="7" t="s">
        <v>8987</v>
      </c>
      <c r="J1135" s="7" t="s">
        <v>8987</v>
      </c>
      <c r="K1135" s="9" t="s">
        <v>8987</v>
      </c>
    </row>
    <row r="1136" spans="1:11">
      <c r="A1136" s="7">
        <v>1134</v>
      </c>
      <c r="B1136" s="7" t="s">
        <v>8983</v>
      </c>
      <c r="C1136" s="7" t="s">
        <v>8998</v>
      </c>
      <c r="D1136" s="7" t="s">
        <v>7551</v>
      </c>
      <c r="E1136" s="7" t="s">
        <v>10673</v>
      </c>
      <c r="F1136" s="8" t="s">
        <v>10674</v>
      </c>
      <c r="G1136" s="7" t="s">
        <v>8987</v>
      </c>
      <c r="H1136" s="7" t="s">
        <v>8987</v>
      </c>
      <c r="I1136" s="7" t="s">
        <v>8987</v>
      </c>
      <c r="J1136" s="7" t="s">
        <v>8987</v>
      </c>
      <c r="K1136" s="9" t="s">
        <v>8987</v>
      </c>
    </row>
    <row r="1137" spans="1:11">
      <c r="A1137" s="7">
        <v>1135</v>
      </c>
      <c r="B1137" s="7" t="s">
        <v>8983</v>
      </c>
      <c r="C1137" s="7" t="s">
        <v>8998</v>
      </c>
      <c r="D1137" s="7" t="s">
        <v>7551</v>
      </c>
      <c r="E1137" s="7" t="s">
        <v>10675</v>
      </c>
      <c r="F1137" s="8" t="s">
        <v>10211</v>
      </c>
      <c r="G1137" s="7" t="s">
        <v>8987</v>
      </c>
      <c r="H1137" s="7" t="s">
        <v>8987</v>
      </c>
      <c r="I1137" s="7" t="s">
        <v>8987</v>
      </c>
      <c r="J1137" s="7" t="s">
        <v>8987</v>
      </c>
      <c r="K1137" s="9" t="s">
        <v>8987</v>
      </c>
    </row>
    <row r="1138" spans="1:11">
      <c r="A1138" s="7">
        <v>1136</v>
      </c>
      <c r="B1138" s="7" t="s">
        <v>8983</v>
      </c>
      <c r="C1138" s="7" t="s">
        <v>8998</v>
      </c>
      <c r="D1138" s="7" t="s">
        <v>7551</v>
      </c>
      <c r="E1138" s="7" t="s">
        <v>10676</v>
      </c>
      <c r="F1138" s="8" t="s">
        <v>9357</v>
      </c>
      <c r="G1138" s="7" t="s">
        <v>8987</v>
      </c>
      <c r="H1138" s="7" t="s">
        <v>8987</v>
      </c>
      <c r="I1138" s="7" t="s">
        <v>8987</v>
      </c>
      <c r="J1138" s="7" t="s">
        <v>8987</v>
      </c>
      <c r="K1138" s="9" t="s">
        <v>8987</v>
      </c>
    </row>
    <row r="1139" spans="1:11">
      <c r="A1139" s="7">
        <v>1137</v>
      </c>
      <c r="B1139" s="7" t="s">
        <v>8983</v>
      </c>
      <c r="C1139" s="7" t="s">
        <v>8998</v>
      </c>
      <c r="D1139" s="7" t="s">
        <v>7548</v>
      </c>
      <c r="E1139" s="7" t="s">
        <v>10677</v>
      </c>
      <c r="F1139" s="8" t="s">
        <v>10234</v>
      </c>
      <c r="G1139" s="7" t="s">
        <v>8987</v>
      </c>
      <c r="H1139" s="7" t="s">
        <v>8987</v>
      </c>
      <c r="I1139" s="7" t="s">
        <v>8987</v>
      </c>
      <c r="J1139" s="7" t="s">
        <v>8987</v>
      </c>
      <c r="K1139" s="9" t="s">
        <v>8987</v>
      </c>
    </row>
    <row r="1140" spans="1:11">
      <c r="A1140" s="7">
        <v>1138</v>
      </c>
      <c r="B1140" s="7" t="s">
        <v>8983</v>
      </c>
      <c r="C1140" s="7" t="s">
        <v>8998</v>
      </c>
      <c r="D1140" s="7" t="s">
        <v>7548</v>
      </c>
      <c r="E1140" s="7" t="s">
        <v>10678</v>
      </c>
      <c r="F1140" s="8" t="s">
        <v>10234</v>
      </c>
      <c r="G1140" s="7" t="s">
        <v>8987</v>
      </c>
      <c r="H1140" s="7" t="s">
        <v>8987</v>
      </c>
      <c r="I1140" s="7" t="s">
        <v>8987</v>
      </c>
      <c r="J1140" s="7" t="s">
        <v>8987</v>
      </c>
      <c r="K1140" s="9" t="s">
        <v>8987</v>
      </c>
    </row>
    <row r="1141" spans="1:11">
      <c r="A1141" s="7">
        <v>1139</v>
      </c>
      <c r="B1141" s="7" t="s">
        <v>8983</v>
      </c>
      <c r="C1141" s="7" t="s">
        <v>8998</v>
      </c>
      <c r="D1141" s="7" t="s">
        <v>7556</v>
      </c>
      <c r="E1141" s="7" t="s">
        <v>10679</v>
      </c>
      <c r="F1141" s="8" t="s">
        <v>9308</v>
      </c>
      <c r="G1141" s="7" t="s">
        <v>8987</v>
      </c>
      <c r="H1141" s="7" t="s">
        <v>8987</v>
      </c>
      <c r="I1141" s="7" t="s">
        <v>8987</v>
      </c>
      <c r="J1141" s="7" t="s">
        <v>8987</v>
      </c>
      <c r="K1141" s="9" t="s">
        <v>8987</v>
      </c>
    </row>
    <row r="1142" spans="1:11">
      <c r="A1142" s="7">
        <v>1140</v>
      </c>
      <c r="B1142" s="7" t="s">
        <v>8983</v>
      </c>
      <c r="C1142" s="7" t="s">
        <v>8998</v>
      </c>
      <c r="D1142" s="7" t="s">
        <v>7550</v>
      </c>
      <c r="E1142" s="7" t="s">
        <v>10680</v>
      </c>
      <c r="F1142" s="8" t="s">
        <v>9669</v>
      </c>
      <c r="G1142" s="7" t="s">
        <v>8987</v>
      </c>
      <c r="H1142" s="7" t="s">
        <v>8987</v>
      </c>
      <c r="I1142" s="7" t="s">
        <v>8987</v>
      </c>
      <c r="J1142" s="7" t="s">
        <v>8987</v>
      </c>
      <c r="K1142" s="9" t="s">
        <v>8987</v>
      </c>
    </row>
    <row r="1143" spans="1:11">
      <c r="A1143" s="7">
        <v>1141</v>
      </c>
      <c r="B1143" s="7" t="s">
        <v>8983</v>
      </c>
      <c r="C1143" s="7" t="s">
        <v>8998</v>
      </c>
      <c r="D1143" s="7" t="s">
        <v>7556</v>
      </c>
      <c r="E1143" s="7" t="s">
        <v>10681</v>
      </c>
      <c r="F1143" s="8" t="s">
        <v>9735</v>
      </c>
      <c r="G1143" s="7" t="s">
        <v>8987</v>
      </c>
      <c r="H1143" s="7" t="s">
        <v>8987</v>
      </c>
      <c r="I1143" s="7" t="s">
        <v>8987</v>
      </c>
      <c r="J1143" s="7" t="s">
        <v>8987</v>
      </c>
      <c r="K1143" s="9" t="s">
        <v>8987</v>
      </c>
    </row>
    <row r="1144" spans="1:11">
      <c r="A1144" s="7">
        <v>1142</v>
      </c>
      <c r="B1144" s="7" t="s">
        <v>8983</v>
      </c>
      <c r="C1144" s="7" t="s">
        <v>8998</v>
      </c>
      <c r="D1144" s="7" t="s">
        <v>7556</v>
      </c>
      <c r="E1144" s="7" t="s">
        <v>10682</v>
      </c>
      <c r="F1144" s="8" t="s">
        <v>9735</v>
      </c>
      <c r="G1144" s="7" t="s">
        <v>8987</v>
      </c>
      <c r="H1144" s="7" t="s">
        <v>8987</v>
      </c>
      <c r="I1144" s="7" t="s">
        <v>8987</v>
      </c>
      <c r="J1144" s="7" t="s">
        <v>8987</v>
      </c>
      <c r="K1144" s="9" t="s">
        <v>8987</v>
      </c>
    </row>
    <row r="1145" spans="1:11">
      <c r="A1145" s="7">
        <v>1143</v>
      </c>
      <c r="B1145" s="7" t="s">
        <v>8983</v>
      </c>
      <c r="C1145" s="7" t="s">
        <v>8998</v>
      </c>
      <c r="D1145" s="7" t="s">
        <v>7556</v>
      </c>
      <c r="E1145" s="7" t="s">
        <v>10683</v>
      </c>
      <c r="F1145" s="8" t="s">
        <v>9735</v>
      </c>
      <c r="G1145" s="7" t="s">
        <v>8987</v>
      </c>
      <c r="H1145" s="7" t="s">
        <v>8987</v>
      </c>
      <c r="I1145" s="7" t="s">
        <v>8987</v>
      </c>
      <c r="J1145" s="7" t="s">
        <v>8987</v>
      </c>
      <c r="K1145" s="9" t="s">
        <v>8987</v>
      </c>
    </row>
    <row r="1146" spans="1:11">
      <c r="A1146" s="7">
        <v>1144</v>
      </c>
      <c r="B1146" s="7" t="s">
        <v>8983</v>
      </c>
      <c r="C1146" s="7" t="s">
        <v>8998</v>
      </c>
      <c r="D1146" s="7" t="s">
        <v>7556</v>
      </c>
      <c r="E1146" s="7" t="s">
        <v>10684</v>
      </c>
      <c r="F1146" s="8" t="s">
        <v>9735</v>
      </c>
      <c r="G1146" s="7" t="s">
        <v>8987</v>
      </c>
      <c r="H1146" s="7" t="s">
        <v>8987</v>
      </c>
      <c r="I1146" s="7" t="s">
        <v>8987</v>
      </c>
      <c r="J1146" s="7" t="s">
        <v>8987</v>
      </c>
      <c r="K1146" s="9" t="s">
        <v>8987</v>
      </c>
    </row>
    <row r="1147" spans="1:11">
      <c r="A1147" s="7">
        <v>1145</v>
      </c>
      <c r="B1147" s="7" t="s">
        <v>8983</v>
      </c>
      <c r="C1147" s="7" t="s">
        <v>9030</v>
      </c>
      <c r="D1147" s="7" t="s">
        <v>7573</v>
      </c>
      <c r="E1147" s="7" t="s">
        <v>10685</v>
      </c>
      <c r="F1147" s="8" t="s">
        <v>9186</v>
      </c>
      <c r="G1147" s="7" t="s">
        <v>8987</v>
      </c>
      <c r="H1147" s="7" t="s">
        <v>8987</v>
      </c>
      <c r="I1147" s="7" t="s">
        <v>8987</v>
      </c>
      <c r="J1147" s="7" t="s">
        <v>8987</v>
      </c>
      <c r="K1147" s="9" t="s">
        <v>8987</v>
      </c>
    </row>
    <row r="1148" spans="1:11">
      <c r="A1148" s="7">
        <v>1146</v>
      </c>
      <c r="B1148" s="7" t="s">
        <v>9208</v>
      </c>
      <c r="C1148" s="7" t="s">
        <v>8998</v>
      </c>
      <c r="D1148" s="7" t="s">
        <v>7549</v>
      </c>
      <c r="E1148" s="7" t="s">
        <v>10686</v>
      </c>
      <c r="F1148" s="8" t="s">
        <v>9210</v>
      </c>
      <c r="G1148" s="7" t="s">
        <v>8987</v>
      </c>
      <c r="H1148" s="7" t="s">
        <v>8987</v>
      </c>
      <c r="I1148" s="7" t="s">
        <v>8987</v>
      </c>
      <c r="J1148" s="7" t="s">
        <v>8987</v>
      </c>
      <c r="K1148" s="9" t="s">
        <v>8987</v>
      </c>
    </row>
    <row r="1149" spans="1:11">
      <c r="A1149" s="7">
        <v>1147</v>
      </c>
      <c r="B1149" s="7" t="s">
        <v>8983</v>
      </c>
      <c r="C1149" s="7" t="s">
        <v>8998</v>
      </c>
      <c r="D1149" s="7" t="s">
        <v>7550</v>
      </c>
      <c r="E1149" s="7" t="s">
        <v>6858</v>
      </c>
      <c r="F1149" s="8" t="s">
        <v>9669</v>
      </c>
      <c r="G1149" s="7" t="s">
        <v>8987</v>
      </c>
      <c r="H1149" s="7" t="s">
        <v>8987</v>
      </c>
      <c r="I1149" s="7" t="s">
        <v>8987</v>
      </c>
      <c r="J1149" s="7" t="s">
        <v>8987</v>
      </c>
      <c r="K1149" s="9" t="s">
        <v>8987</v>
      </c>
    </row>
    <row r="1150" spans="1:11">
      <c r="A1150" s="7">
        <v>1148</v>
      </c>
      <c r="B1150" s="7" t="s">
        <v>8983</v>
      </c>
      <c r="C1150" s="7" t="s">
        <v>8998</v>
      </c>
      <c r="D1150" s="7" t="s">
        <v>7551</v>
      </c>
      <c r="E1150" s="7" t="s">
        <v>10687</v>
      </c>
      <c r="F1150" s="8" t="s">
        <v>9192</v>
      </c>
      <c r="G1150" s="7" t="s">
        <v>8987</v>
      </c>
      <c r="H1150" s="7" t="s">
        <v>8987</v>
      </c>
      <c r="I1150" s="7" t="s">
        <v>8987</v>
      </c>
      <c r="J1150" s="7" t="s">
        <v>8987</v>
      </c>
      <c r="K1150" s="9" t="s">
        <v>8987</v>
      </c>
    </row>
    <row r="1151" spans="1:11">
      <c r="A1151" s="7">
        <v>1149</v>
      </c>
      <c r="B1151" s="7" t="s">
        <v>9764</v>
      </c>
      <c r="C1151" s="7" t="s">
        <v>8984</v>
      </c>
      <c r="D1151" s="7" t="s">
        <v>7542</v>
      </c>
      <c r="E1151" s="7" t="s">
        <v>10688</v>
      </c>
      <c r="F1151" s="8" t="s">
        <v>9145</v>
      </c>
      <c r="G1151" s="7">
        <v>50</v>
      </c>
      <c r="H1151" s="7" t="s">
        <v>9021</v>
      </c>
      <c r="I1151" s="7">
        <v>9</v>
      </c>
      <c r="J1151" s="7" t="s">
        <v>9639</v>
      </c>
      <c r="K1151" s="9" t="s">
        <v>8987</v>
      </c>
    </row>
    <row r="1152" spans="1:11">
      <c r="A1152" s="7">
        <v>1150</v>
      </c>
      <c r="B1152" s="7" t="s">
        <v>9764</v>
      </c>
      <c r="C1152" s="7" t="s">
        <v>8984</v>
      </c>
      <c r="D1152" s="7" t="s">
        <v>7542</v>
      </c>
      <c r="E1152" s="7" t="s">
        <v>10689</v>
      </c>
      <c r="F1152" s="8" t="s">
        <v>10690</v>
      </c>
      <c r="G1152" s="7">
        <v>70</v>
      </c>
      <c r="H1152" s="7" t="s">
        <v>9194</v>
      </c>
      <c r="I1152" s="7">
        <v>9</v>
      </c>
      <c r="J1152" s="7" t="s">
        <v>9195</v>
      </c>
      <c r="K1152" s="9" t="s">
        <v>8987</v>
      </c>
    </row>
    <row r="1153" spans="1:11">
      <c r="A1153" s="7">
        <v>1151</v>
      </c>
      <c r="B1153" s="7" t="s">
        <v>9764</v>
      </c>
      <c r="C1153" s="7" t="s">
        <v>8984</v>
      </c>
      <c r="D1153" s="7" t="s">
        <v>7581</v>
      </c>
      <c r="E1153" s="7" t="s">
        <v>10691</v>
      </c>
      <c r="F1153" s="8" t="s">
        <v>9973</v>
      </c>
      <c r="G1153" s="7">
        <v>70</v>
      </c>
      <c r="H1153" s="7" t="s">
        <v>9194</v>
      </c>
      <c r="I1153" s="7">
        <v>9</v>
      </c>
      <c r="J1153" s="7" t="s">
        <v>9195</v>
      </c>
      <c r="K1153" s="9" t="s">
        <v>8987</v>
      </c>
    </row>
    <row r="1154" spans="1:11">
      <c r="A1154" s="7">
        <v>1152</v>
      </c>
      <c r="B1154" s="7" t="s">
        <v>10692</v>
      </c>
      <c r="C1154" s="7" t="s">
        <v>8984</v>
      </c>
      <c r="D1154" s="7" t="s">
        <v>7542</v>
      </c>
      <c r="E1154" s="7" t="s">
        <v>10693</v>
      </c>
      <c r="F1154" s="8" t="s">
        <v>9002</v>
      </c>
      <c r="G1154" s="7">
        <v>50</v>
      </c>
      <c r="H1154" s="7" t="s">
        <v>9021</v>
      </c>
      <c r="I1154" s="7">
        <v>9</v>
      </c>
      <c r="J1154" s="7" t="s">
        <v>9639</v>
      </c>
      <c r="K1154" s="9" t="s">
        <v>8987</v>
      </c>
    </row>
    <row r="1155" spans="1:11">
      <c r="A1155" s="7">
        <v>1153</v>
      </c>
      <c r="B1155" s="7" t="s">
        <v>10692</v>
      </c>
      <c r="C1155" s="7" t="s">
        <v>8984</v>
      </c>
      <c r="D1155" s="7" t="s">
        <v>7542</v>
      </c>
      <c r="E1155" s="7" t="s">
        <v>10694</v>
      </c>
      <c r="F1155" s="8" t="s">
        <v>9006</v>
      </c>
      <c r="G1155" s="7">
        <v>50</v>
      </c>
      <c r="H1155" s="7" t="s">
        <v>9021</v>
      </c>
      <c r="I1155" s="7">
        <v>9</v>
      </c>
      <c r="J1155" s="7" t="s">
        <v>9639</v>
      </c>
      <c r="K1155" s="9" t="s">
        <v>8987</v>
      </c>
    </row>
    <row r="1156" spans="1:11">
      <c r="A1156" s="7">
        <v>1154</v>
      </c>
      <c r="B1156" s="7" t="s">
        <v>10692</v>
      </c>
      <c r="C1156" s="7" t="s">
        <v>8984</v>
      </c>
      <c r="D1156" s="7" t="s">
        <v>7542</v>
      </c>
      <c r="E1156" s="7" t="s">
        <v>10695</v>
      </c>
      <c r="F1156" s="8" t="s">
        <v>9008</v>
      </c>
      <c r="G1156" s="7">
        <v>50</v>
      </c>
      <c r="H1156" s="7" t="s">
        <v>9021</v>
      </c>
      <c r="I1156" s="7">
        <v>9</v>
      </c>
      <c r="J1156" s="7" t="s">
        <v>9639</v>
      </c>
      <c r="K1156" s="9" t="s">
        <v>8987</v>
      </c>
    </row>
    <row r="1157" spans="1:11">
      <c r="A1157" s="7">
        <v>1155</v>
      </c>
      <c r="B1157" s="7" t="s">
        <v>9764</v>
      </c>
      <c r="C1157" s="7" t="s">
        <v>8984</v>
      </c>
      <c r="D1157" s="7" t="s">
        <v>7550</v>
      </c>
      <c r="E1157" s="7" t="s">
        <v>10696</v>
      </c>
      <c r="F1157" s="8" t="s">
        <v>9669</v>
      </c>
      <c r="G1157" s="7">
        <v>50</v>
      </c>
      <c r="H1157" s="7" t="s">
        <v>9021</v>
      </c>
      <c r="I1157" s="7">
        <v>9</v>
      </c>
      <c r="J1157" s="7" t="s">
        <v>9639</v>
      </c>
      <c r="K1157" s="9" t="s">
        <v>8987</v>
      </c>
    </row>
    <row r="1158" spans="1:11">
      <c r="A1158" s="7">
        <v>1156</v>
      </c>
      <c r="B1158" s="7" t="s">
        <v>8983</v>
      </c>
      <c r="C1158" s="7" t="s">
        <v>8984</v>
      </c>
      <c r="D1158" s="7" t="s">
        <v>7542</v>
      </c>
      <c r="E1158" s="7" t="s">
        <v>10697</v>
      </c>
      <c r="F1158" s="8" t="s">
        <v>10690</v>
      </c>
      <c r="G1158" s="7">
        <v>40</v>
      </c>
      <c r="H1158" s="7" t="s">
        <v>9003</v>
      </c>
      <c r="I1158" s="7">
        <v>9</v>
      </c>
      <c r="J1158" s="7" t="s">
        <v>9602</v>
      </c>
      <c r="K1158" s="9" t="s">
        <v>8987</v>
      </c>
    </row>
    <row r="1159" spans="1:11">
      <c r="A1159" s="7">
        <v>1157</v>
      </c>
      <c r="B1159" s="7" t="s">
        <v>8983</v>
      </c>
      <c r="C1159" s="7" t="s">
        <v>8998</v>
      </c>
      <c r="D1159" s="7" t="s">
        <v>7551</v>
      </c>
      <c r="E1159" s="7" t="s">
        <v>10698</v>
      </c>
      <c r="F1159" s="8" t="s">
        <v>10211</v>
      </c>
      <c r="G1159" s="7" t="s">
        <v>8987</v>
      </c>
      <c r="H1159" s="7" t="s">
        <v>8987</v>
      </c>
      <c r="I1159" s="7" t="s">
        <v>8987</v>
      </c>
      <c r="J1159" s="7" t="s">
        <v>8987</v>
      </c>
      <c r="K1159" s="9" t="s">
        <v>8987</v>
      </c>
    </row>
    <row r="1160" spans="1:11">
      <c r="A1160" s="7">
        <v>1158</v>
      </c>
      <c r="B1160" s="7" t="s">
        <v>8983</v>
      </c>
      <c r="C1160" s="7" t="s">
        <v>8998</v>
      </c>
      <c r="D1160" s="7" t="s">
        <v>7548</v>
      </c>
      <c r="E1160" s="7" t="s">
        <v>10699</v>
      </c>
      <c r="F1160" s="8" t="s">
        <v>10227</v>
      </c>
      <c r="G1160" s="7" t="s">
        <v>8987</v>
      </c>
      <c r="H1160" s="7" t="s">
        <v>8987</v>
      </c>
      <c r="I1160" s="7" t="s">
        <v>8987</v>
      </c>
      <c r="J1160" s="7" t="s">
        <v>8987</v>
      </c>
      <c r="K1160" s="9" t="s">
        <v>8987</v>
      </c>
    </row>
    <row r="1161" spans="1:11">
      <c r="A1161" s="7">
        <v>1159</v>
      </c>
      <c r="B1161" s="7" t="s">
        <v>9208</v>
      </c>
      <c r="C1161" s="7" t="s">
        <v>8984</v>
      </c>
      <c r="D1161" s="7" t="s">
        <v>7549</v>
      </c>
      <c r="E1161" s="7" t="s">
        <v>10700</v>
      </c>
      <c r="F1161" s="8" t="s">
        <v>10701</v>
      </c>
      <c r="G1161" s="7">
        <v>0</v>
      </c>
      <c r="H1161" s="7" t="s">
        <v>8984</v>
      </c>
      <c r="I1161" s="7">
        <v>1</v>
      </c>
      <c r="J1161" s="7" t="s">
        <v>7838</v>
      </c>
      <c r="K1161" s="9" t="s">
        <v>8987</v>
      </c>
    </row>
    <row r="1162" spans="1:11">
      <c r="A1162" s="7">
        <v>1160</v>
      </c>
      <c r="B1162" s="7" t="s">
        <v>9208</v>
      </c>
      <c r="C1162" s="7" t="s">
        <v>8984</v>
      </c>
      <c r="D1162" s="7" t="s">
        <v>7549</v>
      </c>
      <c r="E1162" s="7" t="s">
        <v>10702</v>
      </c>
      <c r="F1162" s="8" t="s">
        <v>10703</v>
      </c>
      <c r="G1162" s="7">
        <v>0</v>
      </c>
      <c r="H1162" s="7" t="s">
        <v>8984</v>
      </c>
      <c r="I1162" s="7">
        <v>1</v>
      </c>
      <c r="J1162" s="7" t="s">
        <v>7838</v>
      </c>
      <c r="K1162" s="9" t="s">
        <v>8987</v>
      </c>
    </row>
    <row r="1163" spans="1:11">
      <c r="A1163" s="7">
        <v>1161</v>
      </c>
      <c r="B1163" s="7" t="s">
        <v>9208</v>
      </c>
      <c r="C1163" s="7" t="s">
        <v>8984</v>
      </c>
      <c r="D1163" s="7" t="s">
        <v>7549</v>
      </c>
      <c r="E1163" s="7" t="s">
        <v>10704</v>
      </c>
      <c r="F1163" s="8" t="s">
        <v>3139</v>
      </c>
      <c r="G1163" s="7">
        <v>0</v>
      </c>
      <c r="H1163" s="7" t="s">
        <v>8984</v>
      </c>
      <c r="I1163" s="7">
        <v>1</v>
      </c>
      <c r="J1163" s="7" t="s">
        <v>7838</v>
      </c>
      <c r="K1163" s="9" t="s">
        <v>8987</v>
      </c>
    </row>
    <row r="1164" spans="1:11">
      <c r="A1164" s="7">
        <v>1162</v>
      </c>
      <c r="B1164" s="7" t="s">
        <v>9208</v>
      </c>
      <c r="C1164" s="7" t="s">
        <v>8984</v>
      </c>
      <c r="D1164" s="7" t="s">
        <v>7549</v>
      </c>
      <c r="E1164" s="7" t="s">
        <v>10705</v>
      </c>
      <c r="F1164" s="8" t="s">
        <v>3141</v>
      </c>
      <c r="G1164" s="7">
        <v>0</v>
      </c>
      <c r="H1164" s="7" t="s">
        <v>8984</v>
      </c>
      <c r="I1164" s="7">
        <v>1</v>
      </c>
      <c r="J1164" s="7" t="s">
        <v>7838</v>
      </c>
      <c r="K1164" s="9" t="s">
        <v>8987</v>
      </c>
    </row>
    <row r="1165" spans="1:11">
      <c r="A1165" s="7">
        <v>1163</v>
      </c>
      <c r="B1165" s="7" t="s">
        <v>9208</v>
      </c>
      <c r="C1165" s="7" t="s">
        <v>8984</v>
      </c>
      <c r="D1165" s="7" t="s">
        <v>7549</v>
      </c>
      <c r="E1165" s="7" t="s">
        <v>10706</v>
      </c>
      <c r="F1165" s="8" t="s">
        <v>3143</v>
      </c>
      <c r="G1165" s="7">
        <v>0</v>
      </c>
      <c r="H1165" s="7" t="s">
        <v>8984</v>
      </c>
      <c r="I1165" s="7">
        <v>1</v>
      </c>
      <c r="J1165" s="7" t="s">
        <v>7838</v>
      </c>
      <c r="K1165" s="9" t="s">
        <v>8987</v>
      </c>
    </row>
    <row r="1166" spans="1:11">
      <c r="A1166" s="7">
        <v>1164</v>
      </c>
      <c r="B1166" s="7" t="s">
        <v>9719</v>
      </c>
      <c r="C1166" s="7" t="s">
        <v>8991</v>
      </c>
      <c r="D1166" s="7" t="s">
        <v>7834</v>
      </c>
      <c r="E1166" s="7" t="s">
        <v>10707</v>
      </c>
      <c r="F1166" s="8" t="s">
        <v>10708</v>
      </c>
      <c r="G1166" s="11">
        <v>150</v>
      </c>
      <c r="H1166" s="11" t="s">
        <v>9253</v>
      </c>
      <c r="I1166" s="11">
        <v>1</v>
      </c>
      <c r="J1166" s="11" t="s">
        <v>7846</v>
      </c>
      <c r="K1166" s="9" t="s">
        <v>10709</v>
      </c>
    </row>
    <row r="1167" spans="1:11">
      <c r="A1167" s="7">
        <v>1165</v>
      </c>
      <c r="B1167" s="7" t="s">
        <v>9719</v>
      </c>
      <c r="C1167" s="7" t="s">
        <v>8991</v>
      </c>
      <c r="D1167" s="7" t="s">
        <v>7834</v>
      </c>
      <c r="E1167" s="7" t="s">
        <v>10710</v>
      </c>
      <c r="F1167" s="8" t="s">
        <v>10711</v>
      </c>
      <c r="G1167" s="11">
        <v>150</v>
      </c>
      <c r="H1167" s="11" t="s">
        <v>9253</v>
      </c>
      <c r="I1167" s="11">
        <v>1</v>
      </c>
      <c r="J1167" s="11" t="s">
        <v>7846</v>
      </c>
      <c r="K1167" s="9" t="s">
        <v>10709</v>
      </c>
    </row>
    <row r="1168" spans="1:11">
      <c r="A1168" s="7">
        <v>1166</v>
      </c>
      <c r="B1168" s="7" t="s">
        <v>9719</v>
      </c>
      <c r="C1168" s="7" t="s">
        <v>8991</v>
      </c>
      <c r="D1168" s="7" t="s">
        <v>7834</v>
      </c>
      <c r="E1168" s="7" t="s">
        <v>10712</v>
      </c>
      <c r="F1168" s="8" t="s">
        <v>10713</v>
      </c>
      <c r="G1168" s="11">
        <v>150</v>
      </c>
      <c r="H1168" s="11" t="s">
        <v>9253</v>
      </c>
      <c r="I1168" s="11">
        <v>1</v>
      </c>
      <c r="J1168" s="11" t="s">
        <v>7846</v>
      </c>
      <c r="K1168" s="9" t="s">
        <v>10709</v>
      </c>
    </row>
    <row r="1169" spans="1:11">
      <c r="A1169" s="7">
        <v>1167</v>
      </c>
      <c r="B1169" s="7" t="s">
        <v>9719</v>
      </c>
      <c r="C1169" s="7" t="s">
        <v>8991</v>
      </c>
      <c r="D1169" s="7" t="s">
        <v>7834</v>
      </c>
      <c r="E1169" s="7" t="s">
        <v>10714</v>
      </c>
      <c r="F1169" s="8" t="s">
        <v>10715</v>
      </c>
      <c r="G1169" s="11">
        <v>150</v>
      </c>
      <c r="H1169" s="11" t="s">
        <v>9253</v>
      </c>
      <c r="I1169" s="11">
        <v>1</v>
      </c>
      <c r="J1169" s="11" t="s">
        <v>7846</v>
      </c>
      <c r="K1169" s="9" t="s">
        <v>10709</v>
      </c>
    </row>
    <row r="1170" spans="1:11">
      <c r="A1170" s="7">
        <v>1168</v>
      </c>
      <c r="B1170" s="7" t="s">
        <v>9719</v>
      </c>
      <c r="C1170" s="7" t="s">
        <v>8991</v>
      </c>
      <c r="D1170" s="7" t="s">
        <v>7834</v>
      </c>
      <c r="E1170" s="7" t="s">
        <v>10716</v>
      </c>
      <c r="F1170" s="8" t="s">
        <v>10717</v>
      </c>
      <c r="G1170" s="11">
        <v>150</v>
      </c>
      <c r="H1170" s="11" t="s">
        <v>9253</v>
      </c>
      <c r="I1170" s="11">
        <v>1</v>
      </c>
      <c r="J1170" s="11" t="s">
        <v>7846</v>
      </c>
      <c r="K1170" s="9" t="s">
        <v>10709</v>
      </c>
    </row>
    <row r="1171" spans="1:11">
      <c r="A1171" s="7">
        <v>1169</v>
      </c>
      <c r="B1171" s="7" t="s">
        <v>9719</v>
      </c>
      <c r="C1171" s="7" t="s">
        <v>8991</v>
      </c>
      <c r="D1171" s="7" t="s">
        <v>7834</v>
      </c>
      <c r="E1171" s="7" t="s">
        <v>10718</v>
      </c>
      <c r="F1171" s="8" t="s">
        <v>10719</v>
      </c>
      <c r="G1171" s="11">
        <v>150</v>
      </c>
      <c r="H1171" s="11" t="s">
        <v>9253</v>
      </c>
      <c r="I1171" s="11">
        <v>1</v>
      </c>
      <c r="J1171" s="11" t="s">
        <v>7846</v>
      </c>
      <c r="K1171" s="9" t="s">
        <v>10709</v>
      </c>
    </row>
    <row r="1172" spans="1:11">
      <c r="A1172" s="7">
        <v>1170</v>
      </c>
      <c r="B1172" s="7" t="s">
        <v>9719</v>
      </c>
      <c r="C1172" s="7" t="s">
        <v>8991</v>
      </c>
      <c r="D1172" s="7" t="s">
        <v>7834</v>
      </c>
      <c r="E1172" s="7" t="s">
        <v>10720</v>
      </c>
      <c r="F1172" s="8" t="s">
        <v>10721</v>
      </c>
      <c r="G1172" s="11">
        <v>150</v>
      </c>
      <c r="H1172" s="11" t="s">
        <v>9253</v>
      </c>
      <c r="I1172" s="11">
        <v>1</v>
      </c>
      <c r="J1172" s="11" t="s">
        <v>7846</v>
      </c>
      <c r="K1172" s="9" t="s">
        <v>10709</v>
      </c>
    </row>
    <row r="1173" spans="1:11">
      <c r="A1173" s="7">
        <v>1171</v>
      </c>
      <c r="B1173" s="7" t="s">
        <v>8983</v>
      </c>
      <c r="C1173" s="7" t="s">
        <v>8998</v>
      </c>
      <c r="D1173" s="7" t="s">
        <v>7581</v>
      </c>
      <c r="E1173" s="7" t="s">
        <v>10722</v>
      </c>
      <c r="F1173" s="8" t="s">
        <v>9453</v>
      </c>
      <c r="G1173" s="7" t="s">
        <v>8987</v>
      </c>
      <c r="H1173" s="7" t="s">
        <v>8987</v>
      </c>
      <c r="I1173" s="7" t="s">
        <v>8987</v>
      </c>
      <c r="J1173" s="7" t="s">
        <v>8987</v>
      </c>
      <c r="K1173" s="9" t="s">
        <v>8987</v>
      </c>
    </row>
    <row r="1174" spans="1:11">
      <c r="A1174" s="7">
        <v>1172</v>
      </c>
      <c r="B1174" s="7" t="s">
        <v>8983</v>
      </c>
      <c r="C1174" s="7" t="s">
        <v>8998</v>
      </c>
      <c r="D1174" s="7" t="s">
        <v>7556</v>
      </c>
      <c r="E1174" s="7" t="s">
        <v>10723</v>
      </c>
      <c r="F1174" s="8" t="s">
        <v>9595</v>
      </c>
      <c r="G1174" s="7" t="s">
        <v>8987</v>
      </c>
      <c r="H1174" s="7" t="s">
        <v>8987</v>
      </c>
      <c r="I1174" s="7" t="s">
        <v>8987</v>
      </c>
      <c r="J1174" s="7" t="s">
        <v>8987</v>
      </c>
      <c r="K1174" s="9" t="s">
        <v>8987</v>
      </c>
    </row>
    <row r="1175" spans="1:11">
      <c r="A1175" s="7">
        <v>1173</v>
      </c>
      <c r="B1175" s="7" t="s">
        <v>9208</v>
      </c>
      <c r="C1175" s="7" t="s">
        <v>8998</v>
      </c>
      <c r="D1175" s="7" t="s">
        <v>7549</v>
      </c>
      <c r="E1175" s="7" t="s">
        <v>10724</v>
      </c>
      <c r="F1175" s="8" t="s">
        <v>9210</v>
      </c>
      <c r="G1175" s="7" t="s">
        <v>8987</v>
      </c>
      <c r="H1175" s="7" t="s">
        <v>8987</v>
      </c>
      <c r="I1175" s="7" t="s">
        <v>8987</v>
      </c>
      <c r="J1175" s="7" t="s">
        <v>8987</v>
      </c>
      <c r="K1175" s="9" t="s">
        <v>8987</v>
      </c>
    </row>
    <row r="1176" spans="1:11">
      <c r="A1176" s="7">
        <v>1174</v>
      </c>
      <c r="B1176" s="7" t="s">
        <v>8983</v>
      </c>
      <c r="C1176" s="7" t="s">
        <v>8998</v>
      </c>
      <c r="D1176" s="7" t="s">
        <v>7546</v>
      </c>
      <c r="E1176" s="7" t="s">
        <v>10725</v>
      </c>
      <c r="F1176" s="8" t="s">
        <v>9094</v>
      </c>
      <c r="G1176" s="7" t="s">
        <v>8987</v>
      </c>
      <c r="H1176" s="7" t="s">
        <v>8987</v>
      </c>
      <c r="I1176" s="7" t="s">
        <v>8987</v>
      </c>
      <c r="J1176" s="7" t="s">
        <v>8987</v>
      </c>
      <c r="K1176" s="9" t="s">
        <v>8987</v>
      </c>
    </row>
    <row r="1177" spans="1:11">
      <c r="A1177" s="7">
        <v>1175</v>
      </c>
      <c r="B1177" s="7" t="s">
        <v>8983</v>
      </c>
      <c r="C1177" s="7" t="s">
        <v>8998</v>
      </c>
      <c r="D1177" s="7" t="s">
        <v>7548</v>
      </c>
      <c r="E1177" s="7" t="s">
        <v>10726</v>
      </c>
      <c r="F1177" s="8" t="s">
        <v>10727</v>
      </c>
      <c r="G1177" s="7" t="s">
        <v>8987</v>
      </c>
      <c r="H1177" s="7" t="s">
        <v>8987</v>
      </c>
      <c r="I1177" s="7" t="s">
        <v>8987</v>
      </c>
      <c r="J1177" s="7" t="s">
        <v>8987</v>
      </c>
      <c r="K1177" s="9" t="s">
        <v>8987</v>
      </c>
    </row>
    <row r="1178" spans="1:11">
      <c r="A1178" s="7">
        <v>1176</v>
      </c>
      <c r="B1178" s="7" t="s">
        <v>8983</v>
      </c>
      <c r="C1178" s="7" t="s">
        <v>8998</v>
      </c>
      <c r="D1178" s="7" t="s">
        <v>7548</v>
      </c>
      <c r="E1178" s="7" t="s">
        <v>10728</v>
      </c>
      <c r="F1178" s="8" t="s">
        <v>10729</v>
      </c>
      <c r="G1178" s="7" t="s">
        <v>8987</v>
      </c>
      <c r="H1178" s="7" t="s">
        <v>8987</v>
      </c>
      <c r="I1178" s="7" t="s">
        <v>8987</v>
      </c>
      <c r="J1178" s="7" t="s">
        <v>8987</v>
      </c>
      <c r="K1178" s="9" t="s">
        <v>8987</v>
      </c>
    </row>
    <row r="1179" spans="1:11">
      <c r="A1179" s="7">
        <v>1177</v>
      </c>
      <c r="B1179" s="7" t="s">
        <v>8983</v>
      </c>
      <c r="C1179" s="7" t="s">
        <v>8998</v>
      </c>
      <c r="D1179" s="7" t="s">
        <v>7548</v>
      </c>
      <c r="E1179" s="7" t="s">
        <v>10730</v>
      </c>
      <c r="F1179" s="8" t="s">
        <v>10731</v>
      </c>
      <c r="G1179" s="7" t="s">
        <v>8987</v>
      </c>
      <c r="H1179" s="7" t="s">
        <v>8987</v>
      </c>
      <c r="I1179" s="7" t="s">
        <v>8987</v>
      </c>
      <c r="J1179" s="7" t="s">
        <v>8987</v>
      </c>
      <c r="K1179" s="9" t="s">
        <v>8987</v>
      </c>
    </row>
    <row r="1180" spans="1:11">
      <c r="A1180" s="7">
        <v>1178</v>
      </c>
      <c r="B1180" s="7" t="s">
        <v>8983</v>
      </c>
      <c r="C1180" s="7" t="s">
        <v>8998</v>
      </c>
      <c r="D1180" s="7" t="s">
        <v>7548</v>
      </c>
      <c r="E1180" s="7" t="s">
        <v>10732</v>
      </c>
      <c r="F1180" s="8" t="s">
        <v>10733</v>
      </c>
      <c r="G1180" s="7" t="s">
        <v>8987</v>
      </c>
      <c r="H1180" s="7" t="s">
        <v>8987</v>
      </c>
      <c r="I1180" s="7" t="s">
        <v>8987</v>
      </c>
      <c r="J1180" s="7" t="s">
        <v>8987</v>
      </c>
      <c r="K1180" s="9" t="s">
        <v>8987</v>
      </c>
    </row>
    <row r="1181" spans="1:11">
      <c r="A1181" s="7">
        <v>1179</v>
      </c>
      <c r="B1181" s="7" t="s">
        <v>8983</v>
      </c>
      <c r="C1181" s="7" t="s">
        <v>8998</v>
      </c>
      <c r="D1181" s="7" t="s">
        <v>7547</v>
      </c>
      <c r="E1181" s="7" t="s">
        <v>10734</v>
      </c>
      <c r="F1181" s="8" t="s">
        <v>9593</v>
      </c>
      <c r="G1181" s="7" t="s">
        <v>8987</v>
      </c>
      <c r="H1181" s="7" t="s">
        <v>8987</v>
      </c>
      <c r="I1181" s="7" t="s">
        <v>8987</v>
      </c>
      <c r="J1181" s="7" t="s">
        <v>8987</v>
      </c>
      <c r="K1181" s="9" t="s">
        <v>8987</v>
      </c>
    </row>
    <row r="1182" spans="1:11">
      <c r="A1182" s="7">
        <v>1180</v>
      </c>
      <c r="B1182" s="7" t="s">
        <v>8983</v>
      </c>
      <c r="C1182" s="7" t="s">
        <v>8998</v>
      </c>
      <c r="D1182" s="7" t="s">
        <v>7542</v>
      </c>
      <c r="E1182" s="7" t="s">
        <v>10735</v>
      </c>
      <c r="F1182" s="8" t="s">
        <v>10690</v>
      </c>
      <c r="G1182" s="7" t="s">
        <v>8987</v>
      </c>
      <c r="H1182" s="7" t="s">
        <v>8987</v>
      </c>
      <c r="I1182" s="7" t="s">
        <v>8987</v>
      </c>
      <c r="J1182" s="7" t="s">
        <v>8987</v>
      </c>
      <c r="K1182" s="9" t="s">
        <v>8987</v>
      </c>
    </row>
    <row r="1183" spans="1:11">
      <c r="A1183" s="7">
        <v>1181</v>
      </c>
      <c r="B1183" s="7" t="s">
        <v>8983</v>
      </c>
      <c r="C1183" s="7" t="s">
        <v>8998</v>
      </c>
      <c r="D1183" s="7" t="s">
        <v>7551</v>
      </c>
      <c r="E1183" s="7" t="s">
        <v>10736</v>
      </c>
      <c r="F1183" s="8" t="s">
        <v>10205</v>
      </c>
      <c r="G1183" s="7" t="s">
        <v>8987</v>
      </c>
      <c r="H1183" s="7" t="s">
        <v>8987</v>
      </c>
      <c r="I1183" s="7" t="s">
        <v>8987</v>
      </c>
      <c r="J1183" s="7" t="s">
        <v>8987</v>
      </c>
      <c r="K1183" s="9" t="s">
        <v>8987</v>
      </c>
    </row>
    <row r="1184" spans="1:11">
      <c r="A1184" s="7">
        <v>1182</v>
      </c>
      <c r="B1184" s="7" t="s">
        <v>8983</v>
      </c>
      <c r="C1184" s="7" t="s">
        <v>8998</v>
      </c>
      <c r="D1184" s="7" t="s">
        <v>7551</v>
      </c>
      <c r="E1184" s="7" t="s">
        <v>10737</v>
      </c>
      <c r="F1184" s="8" t="s">
        <v>10211</v>
      </c>
      <c r="G1184" s="7" t="s">
        <v>8987</v>
      </c>
      <c r="H1184" s="7" t="s">
        <v>8987</v>
      </c>
      <c r="I1184" s="7" t="s">
        <v>8987</v>
      </c>
      <c r="J1184" s="7" t="s">
        <v>8987</v>
      </c>
      <c r="K1184" s="9" t="s">
        <v>8987</v>
      </c>
    </row>
    <row r="1185" spans="1:11">
      <c r="A1185" s="7">
        <v>1183</v>
      </c>
      <c r="B1185" s="7" t="s">
        <v>8983</v>
      </c>
      <c r="C1185" s="7" t="s">
        <v>8998</v>
      </c>
      <c r="D1185" s="7" t="s">
        <v>7581</v>
      </c>
      <c r="E1185" s="7" t="s">
        <v>10738</v>
      </c>
      <c r="F1185" s="8" t="s">
        <v>10739</v>
      </c>
      <c r="G1185" s="7" t="s">
        <v>8987</v>
      </c>
      <c r="H1185" s="7" t="s">
        <v>8987</v>
      </c>
      <c r="I1185" s="7" t="s">
        <v>8987</v>
      </c>
      <c r="J1185" s="7" t="s">
        <v>8987</v>
      </c>
      <c r="K1185" s="9" t="s">
        <v>8987</v>
      </c>
    </row>
    <row r="1186" spans="1:11">
      <c r="A1186" s="7">
        <v>1184</v>
      </c>
      <c r="B1186" s="7" t="s">
        <v>9494</v>
      </c>
      <c r="C1186" s="7" t="s">
        <v>8984</v>
      </c>
      <c r="D1186" s="7" t="s">
        <v>7549</v>
      </c>
      <c r="E1186" s="7" t="s">
        <v>10740</v>
      </c>
      <c r="F1186" s="8" t="s">
        <v>3276</v>
      </c>
      <c r="G1186" s="7">
        <v>0</v>
      </c>
      <c r="H1186" s="7" t="s">
        <v>8984</v>
      </c>
      <c r="I1186" s="7">
        <v>1</v>
      </c>
      <c r="J1186" s="7" t="s">
        <v>7838</v>
      </c>
      <c r="K1186" s="9" t="s">
        <v>8987</v>
      </c>
    </row>
    <row r="1187" spans="1:11">
      <c r="A1187" s="7">
        <v>1185</v>
      </c>
      <c r="B1187" s="7" t="s">
        <v>9494</v>
      </c>
      <c r="C1187" s="7" t="s">
        <v>8984</v>
      </c>
      <c r="D1187" s="7" t="s">
        <v>7549</v>
      </c>
      <c r="E1187" s="7" t="s">
        <v>10741</v>
      </c>
      <c r="F1187" s="8" t="s">
        <v>3278</v>
      </c>
      <c r="G1187" s="7">
        <v>0</v>
      </c>
      <c r="H1187" s="7" t="s">
        <v>8984</v>
      </c>
      <c r="I1187" s="7">
        <v>1</v>
      </c>
      <c r="J1187" s="7" t="s">
        <v>7838</v>
      </c>
      <c r="K1187" s="9" t="s">
        <v>8987</v>
      </c>
    </row>
    <row r="1188" spans="1:11">
      <c r="A1188" s="7">
        <v>1186</v>
      </c>
      <c r="B1188" s="7" t="s">
        <v>10742</v>
      </c>
      <c r="C1188" s="7" t="s">
        <v>8984</v>
      </c>
      <c r="D1188" s="7" t="s">
        <v>7549</v>
      </c>
      <c r="E1188" s="7" t="s">
        <v>10743</v>
      </c>
      <c r="F1188" s="8" t="s">
        <v>10744</v>
      </c>
      <c r="G1188" s="7">
        <v>0</v>
      </c>
      <c r="H1188" s="7" t="s">
        <v>8984</v>
      </c>
      <c r="I1188" s="7">
        <v>1</v>
      </c>
      <c r="J1188" s="7" t="s">
        <v>7838</v>
      </c>
      <c r="K1188" s="9" t="s">
        <v>8987</v>
      </c>
    </row>
    <row r="1189" spans="1:11">
      <c r="A1189" s="7">
        <v>1187</v>
      </c>
      <c r="B1189" s="7" t="s">
        <v>10742</v>
      </c>
      <c r="C1189" s="7" t="s">
        <v>8984</v>
      </c>
      <c r="D1189" s="7" t="s">
        <v>7549</v>
      </c>
      <c r="E1189" s="7" t="s">
        <v>10745</v>
      </c>
      <c r="F1189" s="8" t="s">
        <v>10746</v>
      </c>
      <c r="G1189" s="7">
        <v>0</v>
      </c>
      <c r="H1189" s="7" t="s">
        <v>8984</v>
      </c>
      <c r="I1189" s="7">
        <v>1</v>
      </c>
      <c r="J1189" s="7" t="s">
        <v>7838</v>
      </c>
      <c r="K1189" s="9" t="s">
        <v>8987</v>
      </c>
    </row>
    <row r="1190" spans="1:11">
      <c r="A1190" s="7">
        <v>1188</v>
      </c>
      <c r="B1190" s="7" t="s">
        <v>9208</v>
      </c>
      <c r="C1190" s="7" t="s">
        <v>8984</v>
      </c>
      <c r="D1190" s="7" t="s">
        <v>7549</v>
      </c>
      <c r="E1190" s="7" t="s">
        <v>10747</v>
      </c>
      <c r="F1190" s="8" t="s">
        <v>10748</v>
      </c>
      <c r="G1190" s="7">
        <v>0</v>
      </c>
      <c r="H1190" s="7" t="s">
        <v>8984</v>
      </c>
      <c r="I1190" s="7">
        <v>1</v>
      </c>
      <c r="J1190" s="7" t="s">
        <v>7838</v>
      </c>
      <c r="K1190" s="9" t="s">
        <v>8987</v>
      </c>
    </row>
    <row r="1191" spans="1:11">
      <c r="A1191" s="7">
        <v>1189</v>
      </c>
      <c r="B1191" s="7" t="s">
        <v>9208</v>
      </c>
      <c r="C1191" s="7" t="s">
        <v>8984</v>
      </c>
      <c r="D1191" s="7" t="s">
        <v>7549</v>
      </c>
      <c r="E1191" s="7" t="s">
        <v>10749</v>
      </c>
      <c r="F1191" s="8" t="s">
        <v>10748</v>
      </c>
      <c r="G1191" s="7">
        <v>0</v>
      </c>
      <c r="H1191" s="7" t="s">
        <v>8984</v>
      </c>
      <c r="I1191" s="7">
        <v>1</v>
      </c>
      <c r="J1191" s="7" t="s">
        <v>7838</v>
      </c>
      <c r="K1191" s="9" t="s">
        <v>8987</v>
      </c>
    </row>
    <row r="1192" spans="1:11">
      <c r="A1192" s="7">
        <v>1190</v>
      </c>
      <c r="B1192" s="7" t="s">
        <v>9208</v>
      </c>
      <c r="C1192" s="7" t="s">
        <v>8984</v>
      </c>
      <c r="D1192" s="7" t="s">
        <v>7549</v>
      </c>
      <c r="E1192" s="7" t="s">
        <v>10750</v>
      </c>
      <c r="F1192" s="8" t="s">
        <v>10748</v>
      </c>
      <c r="G1192" s="7">
        <v>0</v>
      </c>
      <c r="H1192" s="7" t="s">
        <v>8984</v>
      </c>
      <c r="I1192" s="7">
        <v>1</v>
      </c>
      <c r="J1192" s="7" t="s">
        <v>7838</v>
      </c>
      <c r="K1192" s="9" t="s">
        <v>8987</v>
      </c>
    </row>
    <row r="1193" spans="1:11">
      <c r="A1193" s="7">
        <v>1191</v>
      </c>
      <c r="B1193" s="7" t="s">
        <v>9208</v>
      </c>
      <c r="C1193" s="7" t="s">
        <v>8984</v>
      </c>
      <c r="D1193" s="7" t="s">
        <v>7549</v>
      </c>
      <c r="E1193" s="7" t="s">
        <v>10751</v>
      </c>
      <c r="F1193" s="8" t="s">
        <v>10748</v>
      </c>
      <c r="G1193" s="7">
        <v>0</v>
      </c>
      <c r="H1193" s="7" t="s">
        <v>8984</v>
      </c>
      <c r="I1193" s="7">
        <v>1</v>
      </c>
      <c r="J1193" s="7" t="s">
        <v>7838</v>
      </c>
      <c r="K1193" s="9" t="s">
        <v>8987</v>
      </c>
    </row>
    <row r="1194" spans="1:11">
      <c r="A1194" s="7">
        <v>1192</v>
      </c>
      <c r="B1194" s="7" t="s">
        <v>9208</v>
      </c>
      <c r="C1194" s="7" t="s">
        <v>8984</v>
      </c>
      <c r="D1194" s="7" t="s">
        <v>7549</v>
      </c>
      <c r="E1194" s="7" t="s">
        <v>10752</v>
      </c>
      <c r="F1194" s="8" t="s">
        <v>10748</v>
      </c>
      <c r="G1194" s="7">
        <v>0</v>
      </c>
      <c r="H1194" s="7" t="s">
        <v>8984</v>
      </c>
      <c r="I1194" s="7">
        <v>1</v>
      </c>
      <c r="J1194" s="7" t="s">
        <v>7838</v>
      </c>
      <c r="K1194" s="9" t="s">
        <v>8987</v>
      </c>
    </row>
    <row r="1195" spans="1:11">
      <c r="A1195" s="7">
        <v>1193</v>
      </c>
      <c r="B1195" s="7" t="s">
        <v>9208</v>
      </c>
      <c r="C1195" s="7" t="s">
        <v>8984</v>
      </c>
      <c r="D1195" s="7" t="s">
        <v>7549</v>
      </c>
      <c r="E1195" s="7" t="s">
        <v>10753</v>
      </c>
      <c r="F1195" s="8" t="s">
        <v>10748</v>
      </c>
      <c r="G1195" s="7">
        <v>0</v>
      </c>
      <c r="H1195" s="7" t="s">
        <v>8984</v>
      </c>
      <c r="I1195" s="7">
        <v>1</v>
      </c>
      <c r="J1195" s="7" t="s">
        <v>7838</v>
      </c>
      <c r="K1195" s="9" t="s">
        <v>8987</v>
      </c>
    </row>
    <row r="1196" spans="1:11">
      <c r="A1196" s="7">
        <v>1194</v>
      </c>
      <c r="B1196" s="7" t="s">
        <v>9208</v>
      </c>
      <c r="C1196" s="7" t="s">
        <v>8984</v>
      </c>
      <c r="D1196" s="7" t="s">
        <v>7549</v>
      </c>
      <c r="E1196" s="7" t="s">
        <v>10754</v>
      </c>
      <c r="F1196" s="8" t="s">
        <v>10748</v>
      </c>
      <c r="G1196" s="7">
        <v>0</v>
      </c>
      <c r="H1196" s="7" t="s">
        <v>8984</v>
      </c>
      <c r="I1196" s="7">
        <v>1</v>
      </c>
      <c r="J1196" s="7" t="s">
        <v>7838</v>
      </c>
      <c r="K1196" s="9" t="s">
        <v>8987</v>
      </c>
    </row>
    <row r="1197" spans="1:11">
      <c r="A1197" s="7">
        <v>1195</v>
      </c>
      <c r="B1197" s="7" t="s">
        <v>9208</v>
      </c>
      <c r="C1197" s="7" t="s">
        <v>8984</v>
      </c>
      <c r="D1197" s="7" t="s">
        <v>7549</v>
      </c>
      <c r="E1197" s="7" t="s">
        <v>10755</v>
      </c>
      <c r="F1197" s="8" t="s">
        <v>10748</v>
      </c>
      <c r="G1197" s="7">
        <v>0</v>
      </c>
      <c r="H1197" s="7" t="s">
        <v>8984</v>
      </c>
      <c r="I1197" s="7">
        <v>1</v>
      </c>
      <c r="J1197" s="7" t="s">
        <v>7838</v>
      </c>
      <c r="K1197" s="9" t="s">
        <v>8987</v>
      </c>
    </row>
    <row r="1198" spans="1:11">
      <c r="A1198" s="7">
        <v>1196</v>
      </c>
      <c r="B1198" s="7" t="s">
        <v>9208</v>
      </c>
      <c r="C1198" s="7" t="s">
        <v>8984</v>
      </c>
      <c r="D1198" s="7" t="s">
        <v>7549</v>
      </c>
      <c r="E1198" s="7" t="s">
        <v>10756</v>
      </c>
      <c r="F1198" s="8" t="s">
        <v>10748</v>
      </c>
      <c r="G1198" s="7">
        <v>0</v>
      </c>
      <c r="H1198" s="7" t="s">
        <v>8984</v>
      </c>
      <c r="I1198" s="7">
        <v>1</v>
      </c>
      <c r="J1198" s="7" t="s">
        <v>7838</v>
      </c>
      <c r="K1198" s="9" t="s">
        <v>8987</v>
      </c>
    </row>
    <row r="1199" spans="1:11">
      <c r="A1199" s="7">
        <v>1197</v>
      </c>
      <c r="B1199" s="7" t="s">
        <v>9208</v>
      </c>
      <c r="C1199" s="7" t="s">
        <v>8984</v>
      </c>
      <c r="D1199" s="7" t="s">
        <v>7549</v>
      </c>
      <c r="E1199" s="7" t="s">
        <v>10757</v>
      </c>
      <c r="F1199" s="8" t="s">
        <v>10748</v>
      </c>
      <c r="G1199" s="7">
        <v>0</v>
      </c>
      <c r="H1199" s="7" t="s">
        <v>8984</v>
      </c>
      <c r="I1199" s="7">
        <v>1</v>
      </c>
      <c r="J1199" s="7" t="s">
        <v>7838</v>
      </c>
      <c r="K1199" s="9" t="s">
        <v>8987</v>
      </c>
    </row>
    <row r="1200" spans="1:11">
      <c r="A1200" s="7">
        <v>1198</v>
      </c>
      <c r="B1200" s="7" t="s">
        <v>9208</v>
      </c>
      <c r="C1200" s="7" t="s">
        <v>8984</v>
      </c>
      <c r="D1200" s="7" t="s">
        <v>7549</v>
      </c>
      <c r="E1200" s="7" t="s">
        <v>10758</v>
      </c>
      <c r="F1200" s="8" t="s">
        <v>10748</v>
      </c>
      <c r="G1200" s="7">
        <v>0</v>
      </c>
      <c r="H1200" s="7" t="s">
        <v>8984</v>
      </c>
      <c r="I1200" s="7">
        <v>1</v>
      </c>
      <c r="J1200" s="7" t="s">
        <v>7838</v>
      </c>
      <c r="K1200" s="9" t="s">
        <v>8987</v>
      </c>
    </row>
    <row r="1201" spans="1:11">
      <c r="A1201" s="7">
        <v>1199</v>
      </c>
      <c r="B1201" s="7" t="s">
        <v>9719</v>
      </c>
      <c r="C1201" s="7" t="s">
        <v>8984</v>
      </c>
      <c r="D1201" s="7" t="s">
        <v>7549</v>
      </c>
      <c r="E1201" s="7" t="s">
        <v>10759</v>
      </c>
      <c r="F1201" s="8" t="s">
        <v>10760</v>
      </c>
      <c r="G1201" s="7">
        <v>140</v>
      </c>
      <c r="H1201" s="7" t="s">
        <v>10761</v>
      </c>
      <c r="I1201" s="7">
        <v>25</v>
      </c>
      <c r="J1201" s="7" t="s">
        <v>7830</v>
      </c>
      <c r="K1201" s="9" t="s">
        <v>10709</v>
      </c>
    </row>
    <row r="1202" spans="1:11">
      <c r="A1202" s="7">
        <v>1200</v>
      </c>
      <c r="B1202" s="7" t="s">
        <v>9719</v>
      </c>
      <c r="C1202" s="7" t="s">
        <v>8984</v>
      </c>
      <c r="D1202" s="7" t="s">
        <v>7549</v>
      </c>
      <c r="E1202" s="7" t="s">
        <v>6701</v>
      </c>
      <c r="F1202" s="8" t="s">
        <v>10762</v>
      </c>
      <c r="G1202" s="11">
        <v>5</v>
      </c>
      <c r="H1202" s="11" t="s">
        <v>9336</v>
      </c>
      <c r="I1202" s="11">
        <v>1</v>
      </c>
      <c r="J1202" s="11" t="s">
        <v>7620</v>
      </c>
      <c r="K1202" s="9" t="s">
        <v>10611</v>
      </c>
    </row>
    <row r="1203" spans="1:11">
      <c r="A1203" s="7">
        <v>1201</v>
      </c>
      <c r="B1203" s="7" t="s">
        <v>8983</v>
      </c>
      <c r="C1203" s="7" t="s">
        <v>8984</v>
      </c>
      <c r="D1203" s="7" t="s">
        <v>7547</v>
      </c>
      <c r="E1203" s="7" t="s">
        <v>10763</v>
      </c>
      <c r="F1203" s="8" t="s">
        <v>10085</v>
      </c>
      <c r="G1203" s="7">
        <v>11</v>
      </c>
      <c r="H1203" s="7" t="s">
        <v>9386</v>
      </c>
      <c r="I1203" s="7">
        <v>3</v>
      </c>
      <c r="J1203" s="7" t="s">
        <v>7772</v>
      </c>
      <c r="K1203" s="9" t="s">
        <v>10764</v>
      </c>
    </row>
    <row r="1204" spans="1:11">
      <c r="A1204" s="7">
        <v>1202</v>
      </c>
      <c r="B1204" s="7" t="s">
        <v>10765</v>
      </c>
      <c r="C1204" s="7" t="s">
        <v>8984</v>
      </c>
      <c r="D1204" s="7" t="s">
        <v>7549</v>
      </c>
      <c r="E1204" s="7" t="s">
        <v>10766</v>
      </c>
      <c r="F1204" s="8" t="s">
        <v>10748</v>
      </c>
      <c r="G1204" s="7">
        <v>0</v>
      </c>
      <c r="H1204" s="7" t="s">
        <v>8984</v>
      </c>
      <c r="I1204" s="7">
        <v>1</v>
      </c>
      <c r="J1204" s="7" t="s">
        <v>7838</v>
      </c>
      <c r="K1204" s="9" t="s">
        <v>8987</v>
      </c>
    </row>
    <row r="1205" spans="1:11">
      <c r="A1205" s="7">
        <v>1203</v>
      </c>
      <c r="B1205" s="7" t="s">
        <v>10765</v>
      </c>
      <c r="C1205" s="7" t="s">
        <v>8984</v>
      </c>
      <c r="D1205" s="7" t="s">
        <v>7549</v>
      </c>
      <c r="E1205" s="7" t="s">
        <v>10767</v>
      </c>
      <c r="F1205" s="8" t="s">
        <v>10748</v>
      </c>
      <c r="G1205" s="7">
        <v>0</v>
      </c>
      <c r="H1205" s="7" t="s">
        <v>8984</v>
      </c>
      <c r="I1205" s="7">
        <v>1</v>
      </c>
      <c r="J1205" s="7" t="s">
        <v>7838</v>
      </c>
      <c r="K1205" s="9" t="s">
        <v>8987</v>
      </c>
    </row>
    <row r="1206" spans="1:11">
      <c r="A1206" s="7">
        <v>1204</v>
      </c>
      <c r="B1206" s="7" t="s">
        <v>10765</v>
      </c>
      <c r="C1206" s="7" t="s">
        <v>8984</v>
      </c>
      <c r="D1206" s="7" t="s">
        <v>7549</v>
      </c>
      <c r="E1206" s="7" t="s">
        <v>10768</v>
      </c>
      <c r="F1206" s="8" t="s">
        <v>10748</v>
      </c>
      <c r="G1206" s="7">
        <v>0</v>
      </c>
      <c r="H1206" s="7" t="s">
        <v>8984</v>
      </c>
      <c r="I1206" s="7">
        <v>1</v>
      </c>
      <c r="J1206" s="7" t="s">
        <v>7838</v>
      </c>
      <c r="K1206" s="9" t="s">
        <v>8987</v>
      </c>
    </row>
    <row r="1207" spans="1:11">
      <c r="A1207" s="7">
        <v>1205</v>
      </c>
      <c r="B1207" s="7" t="s">
        <v>10765</v>
      </c>
      <c r="C1207" s="7" t="s">
        <v>8984</v>
      </c>
      <c r="D1207" s="7" t="s">
        <v>7549</v>
      </c>
      <c r="E1207" s="7" t="s">
        <v>10769</v>
      </c>
      <c r="F1207" s="8" t="s">
        <v>10748</v>
      </c>
      <c r="G1207" s="7">
        <v>0</v>
      </c>
      <c r="H1207" s="7" t="s">
        <v>8984</v>
      </c>
      <c r="I1207" s="7">
        <v>1</v>
      </c>
      <c r="J1207" s="7" t="s">
        <v>7838</v>
      </c>
      <c r="K1207" s="9" t="s">
        <v>8987</v>
      </c>
    </row>
    <row r="1208" spans="1:11">
      <c r="A1208" s="7">
        <v>1206</v>
      </c>
      <c r="B1208" s="7" t="s">
        <v>10765</v>
      </c>
      <c r="C1208" s="7" t="s">
        <v>8984</v>
      </c>
      <c r="D1208" s="7" t="s">
        <v>7549</v>
      </c>
      <c r="E1208" s="7" t="s">
        <v>10770</v>
      </c>
      <c r="F1208" s="8" t="s">
        <v>10748</v>
      </c>
      <c r="G1208" s="7">
        <v>0</v>
      </c>
      <c r="H1208" s="7" t="s">
        <v>8984</v>
      </c>
      <c r="I1208" s="7">
        <v>1</v>
      </c>
      <c r="J1208" s="7" t="s">
        <v>7838</v>
      </c>
      <c r="K1208" s="9" t="s">
        <v>8987</v>
      </c>
    </row>
    <row r="1209" spans="1:11">
      <c r="A1209" s="7">
        <v>1207</v>
      </c>
      <c r="B1209" s="7" t="s">
        <v>10765</v>
      </c>
      <c r="C1209" s="7" t="s">
        <v>8991</v>
      </c>
      <c r="D1209" s="7" t="s">
        <v>7549</v>
      </c>
      <c r="E1209" s="7" t="s">
        <v>10771</v>
      </c>
      <c r="F1209" s="8" t="s">
        <v>10748</v>
      </c>
      <c r="G1209" s="7">
        <v>0</v>
      </c>
      <c r="H1209" s="7" t="s">
        <v>8984</v>
      </c>
      <c r="I1209" s="7">
        <v>1</v>
      </c>
      <c r="J1209" s="7" t="s">
        <v>7838</v>
      </c>
      <c r="K1209" s="9" t="s">
        <v>8987</v>
      </c>
    </row>
    <row r="1210" spans="1:11">
      <c r="A1210" s="7">
        <v>1208</v>
      </c>
      <c r="B1210" s="7" t="s">
        <v>10765</v>
      </c>
      <c r="C1210" s="7" t="s">
        <v>8984</v>
      </c>
      <c r="D1210" s="7" t="s">
        <v>7549</v>
      </c>
      <c r="E1210" s="7" t="s">
        <v>10772</v>
      </c>
      <c r="F1210" s="8" t="s">
        <v>10748</v>
      </c>
      <c r="G1210" s="7">
        <v>0</v>
      </c>
      <c r="H1210" s="7" t="s">
        <v>8984</v>
      </c>
      <c r="I1210" s="7">
        <v>1</v>
      </c>
      <c r="J1210" s="7" t="s">
        <v>7838</v>
      </c>
      <c r="K1210" s="9" t="s">
        <v>8987</v>
      </c>
    </row>
    <row r="1211" spans="1:11">
      <c r="A1211" s="7">
        <v>1209</v>
      </c>
      <c r="B1211" s="7" t="s">
        <v>10765</v>
      </c>
      <c r="C1211" s="7" t="s">
        <v>8984</v>
      </c>
      <c r="D1211" s="7" t="s">
        <v>7549</v>
      </c>
      <c r="E1211" s="7" t="s">
        <v>10773</v>
      </c>
      <c r="F1211" s="8" t="s">
        <v>10748</v>
      </c>
      <c r="G1211" s="7">
        <v>0</v>
      </c>
      <c r="H1211" s="7" t="s">
        <v>8984</v>
      </c>
      <c r="I1211" s="7">
        <v>1</v>
      </c>
      <c r="J1211" s="7" t="s">
        <v>7838</v>
      </c>
      <c r="K1211" s="9" t="s">
        <v>8987</v>
      </c>
    </row>
    <row r="1212" spans="1:11">
      <c r="A1212" s="7">
        <v>1210</v>
      </c>
      <c r="B1212" s="7" t="s">
        <v>10765</v>
      </c>
      <c r="C1212" s="7" t="s">
        <v>8984</v>
      </c>
      <c r="D1212" s="7" t="s">
        <v>7549</v>
      </c>
      <c r="E1212" s="7" t="s">
        <v>10774</v>
      </c>
      <c r="F1212" s="8" t="s">
        <v>10748</v>
      </c>
      <c r="G1212" s="7">
        <v>0</v>
      </c>
      <c r="H1212" s="7" t="s">
        <v>8984</v>
      </c>
      <c r="I1212" s="7">
        <v>1</v>
      </c>
      <c r="J1212" s="7" t="s">
        <v>7838</v>
      </c>
      <c r="K1212" s="9" t="s">
        <v>8987</v>
      </c>
    </row>
    <row r="1213" spans="1:11">
      <c r="A1213" s="7">
        <v>1211</v>
      </c>
      <c r="B1213" s="7" t="s">
        <v>10765</v>
      </c>
      <c r="C1213" s="7" t="s">
        <v>8984</v>
      </c>
      <c r="D1213" s="7" t="s">
        <v>7549</v>
      </c>
      <c r="E1213" s="7" t="s">
        <v>10775</v>
      </c>
      <c r="F1213" s="8" t="s">
        <v>10748</v>
      </c>
      <c r="G1213" s="7">
        <v>0</v>
      </c>
      <c r="H1213" s="7" t="s">
        <v>8984</v>
      </c>
      <c r="I1213" s="7">
        <v>1</v>
      </c>
      <c r="J1213" s="7" t="s">
        <v>7838</v>
      </c>
      <c r="K1213" s="9" t="s">
        <v>8987</v>
      </c>
    </row>
    <row r="1214" spans="1:11">
      <c r="A1214" s="7">
        <v>1212</v>
      </c>
      <c r="B1214" s="7" t="s">
        <v>10765</v>
      </c>
      <c r="C1214" s="7" t="s">
        <v>8984</v>
      </c>
      <c r="D1214" s="7" t="s">
        <v>7549</v>
      </c>
      <c r="E1214" s="7" t="s">
        <v>10776</v>
      </c>
      <c r="F1214" s="8" t="s">
        <v>10748</v>
      </c>
      <c r="G1214" s="7">
        <v>0</v>
      </c>
      <c r="H1214" s="7" t="s">
        <v>8984</v>
      </c>
      <c r="I1214" s="7">
        <v>1</v>
      </c>
      <c r="J1214" s="7" t="s">
        <v>7838</v>
      </c>
      <c r="K1214" s="9" t="s">
        <v>8987</v>
      </c>
    </row>
    <row r="1215" spans="1:11">
      <c r="A1215" s="7">
        <v>1213</v>
      </c>
      <c r="B1215" s="7" t="s">
        <v>9764</v>
      </c>
      <c r="C1215" s="7" t="s">
        <v>8984</v>
      </c>
      <c r="D1215" s="7" t="s">
        <v>7546</v>
      </c>
      <c r="E1215" s="7" t="s">
        <v>10777</v>
      </c>
      <c r="F1215" s="8" t="s">
        <v>7894</v>
      </c>
      <c r="G1215" s="7">
        <v>25</v>
      </c>
      <c r="H1215" s="7" t="s">
        <v>9011</v>
      </c>
      <c r="I1215" s="7">
        <v>3</v>
      </c>
      <c r="J1215" s="7" t="s">
        <v>9224</v>
      </c>
      <c r="K1215" s="9" t="s">
        <v>8987</v>
      </c>
    </row>
    <row r="1216" spans="1:11">
      <c r="A1216" s="7">
        <v>1214</v>
      </c>
      <c r="B1216" s="7" t="s">
        <v>9764</v>
      </c>
      <c r="C1216" s="7" t="s">
        <v>8984</v>
      </c>
      <c r="D1216" s="7" t="s">
        <v>7550</v>
      </c>
      <c r="E1216" s="7" t="s">
        <v>10778</v>
      </c>
      <c r="F1216" s="8" t="s">
        <v>7893</v>
      </c>
      <c r="G1216" s="7">
        <v>25</v>
      </c>
      <c r="H1216" s="7" t="s">
        <v>9011</v>
      </c>
      <c r="I1216" s="7">
        <v>3</v>
      </c>
      <c r="J1216" s="7" t="s">
        <v>9224</v>
      </c>
      <c r="K1216" s="9" t="s">
        <v>8987</v>
      </c>
    </row>
    <row r="1217" spans="1:11">
      <c r="A1217" s="7">
        <v>1215</v>
      </c>
      <c r="B1217" s="7" t="s">
        <v>8983</v>
      </c>
      <c r="C1217" s="7" t="s">
        <v>8984</v>
      </c>
      <c r="D1217" s="7" t="s">
        <v>7549</v>
      </c>
      <c r="E1217" s="7" t="s">
        <v>10779</v>
      </c>
      <c r="F1217" s="8" t="s">
        <v>9332</v>
      </c>
      <c r="G1217" s="7">
        <v>450</v>
      </c>
      <c r="H1217" s="7" t="s">
        <v>9301</v>
      </c>
      <c r="I1217" s="7">
        <v>41</v>
      </c>
      <c r="J1217" s="7" t="s">
        <v>9302</v>
      </c>
      <c r="K1217" s="9" t="s">
        <v>8987</v>
      </c>
    </row>
    <row r="1218" spans="1:11">
      <c r="A1218" s="7">
        <v>1216</v>
      </c>
      <c r="B1218" s="7" t="s">
        <v>9764</v>
      </c>
      <c r="C1218" s="7" t="s">
        <v>8984</v>
      </c>
      <c r="D1218" s="7" t="s">
        <v>7551</v>
      </c>
      <c r="E1218" s="7" t="s">
        <v>10780</v>
      </c>
      <c r="F1218" s="8" t="s">
        <v>9129</v>
      </c>
      <c r="G1218" s="7">
        <v>80</v>
      </c>
      <c r="H1218" s="7" t="s">
        <v>9153</v>
      </c>
      <c r="I1218" s="7">
        <v>13</v>
      </c>
      <c r="J1218" s="7" t="s">
        <v>9315</v>
      </c>
      <c r="K1218" s="9" t="s">
        <v>8987</v>
      </c>
    </row>
    <row r="1219" spans="1:11">
      <c r="A1219" s="7">
        <v>1217</v>
      </c>
      <c r="B1219" s="7" t="s">
        <v>9764</v>
      </c>
      <c r="C1219" s="7" t="s">
        <v>8984</v>
      </c>
      <c r="D1219" s="7" t="s">
        <v>7555</v>
      </c>
      <c r="E1219" s="7" t="s">
        <v>10781</v>
      </c>
      <c r="F1219" s="8" t="s">
        <v>7955</v>
      </c>
      <c r="G1219" s="7">
        <v>0</v>
      </c>
      <c r="H1219" s="7" t="s">
        <v>8984</v>
      </c>
      <c r="I1219" s="7">
        <v>1</v>
      </c>
      <c r="J1219" s="7" t="s">
        <v>7838</v>
      </c>
      <c r="K1219" s="9" t="s">
        <v>8987</v>
      </c>
    </row>
    <row r="1220" spans="1:11">
      <c r="A1220" s="7">
        <v>1218</v>
      </c>
      <c r="B1220" s="7" t="s">
        <v>9764</v>
      </c>
      <c r="C1220" s="7" t="s">
        <v>8984</v>
      </c>
      <c r="D1220" s="7" t="s">
        <v>7555</v>
      </c>
      <c r="E1220" s="7" t="s">
        <v>10782</v>
      </c>
      <c r="F1220" s="8" t="s">
        <v>7958</v>
      </c>
      <c r="G1220" s="7">
        <v>0</v>
      </c>
      <c r="H1220" s="7" t="s">
        <v>8984</v>
      </c>
      <c r="I1220" s="7">
        <v>1</v>
      </c>
      <c r="J1220" s="7" t="s">
        <v>7838</v>
      </c>
      <c r="K1220" s="9" t="s">
        <v>8987</v>
      </c>
    </row>
    <row r="1221" spans="1:11">
      <c r="A1221" s="7">
        <v>1219</v>
      </c>
      <c r="B1221" s="7" t="s">
        <v>9764</v>
      </c>
      <c r="C1221" s="7" t="s">
        <v>8984</v>
      </c>
      <c r="D1221" s="7" t="s">
        <v>7547</v>
      </c>
      <c r="E1221" s="7" t="s">
        <v>10783</v>
      </c>
      <c r="F1221" s="8" t="s">
        <v>9593</v>
      </c>
      <c r="G1221" s="7">
        <v>80</v>
      </c>
      <c r="H1221" s="7" t="s">
        <v>9153</v>
      </c>
      <c r="I1221" s="7">
        <v>13</v>
      </c>
      <c r="J1221" s="7" t="s">
        <v>9315</v>
      </c>
      <c r="K1221" s="9" t="s">
        <v>8987</v>
      </c>
    </row>
    <row r="1222" spans="1:11">
      <c r="A1222" s="7">
        <v>1220</v>
      </c>
      <c r="B1222" s="7" t="s">
        <v>9764</v>
      </c>
      <c r="C1222" s="7" t="s">
        <v>8984</v>
      </c>
      <c r="D1222" s="7" t="s">
        <v>7547</v>
      </c>
      <c r="E1222" s="7" t="s">
        <v>10784</v>
      </c>
      <c r="F1222" s="8" t="s">
        <v>10384</v>
      </c>
      <c r="G1222" s="7">
        <v>180</v>
      </c>
      <c r="H1222" s="7" t="s">
        <v>9056</v>
      </c>
      <c r="I1222" s="7">
        <v>13</v>
      </c>
      <c r="J1222" s="7" t="s">
        <v>7607</v>
      </c>
      <c r="K1222" s="9" t="s">
        <v>8987</v>
      </c>
    </row>
    <row r="1223" spans="1:11">
      <c r="A1223" s="7">
        <v>1221</v>
      </c>
      <c r="B1223" s="7" t="s">
        <v>9764</v>
      </c>
      <c r="C1223" s="7" t="s">
        <v>8984</v>
      </c>
      <c r="D1223" s="7" t="s">
        <v>7547</v>
      </c>
      <c r="E1223" s="7" t="s">
        <v>10785</v>
      </c>
      <c r="F1223" s="8" t="s">
        <v>9272</v>
      </c>
      <c r="G1223" s="7">
        <v>80</v>
      </c>
      <c r="H1223" s="7" t="s">
        <v>9153</v>
      </c>
      <c r="I1223" s="7">
        <v>13</v>
      </c>
      <c r="J1223" s="7" t="s">
        <v>9315</v>
      </c>
      <c r="K1223" s="9" t="s">
        <v>8987</v>
      </c>
    </row>
    <row r="1224" spans="1:11">
      <c r="A1224" s="7">
        <v>1222</v>
      </c>
      <c r="B1224" s="7" t="s">
        <v>9764</v>
      </c>
      <c r="C1224" s="7" t="s">
        <v>8984</v>
      </c>
      <c r="D1224" s="7" t="s">
        <v>7546</v>
      </c>
      <c r="E1224" s="7" t="s">
        <v>10786</v>
      </c>
      <c r="F1224" s="8" t="s">
        <v>9457</v>
      </c>
      <c r="G1224" s="7">
        <v>60</v>
      </c>
      <c r="H1224" s="7" t="s">
        <v>9289</v>
      </c>
      <c r="I1224" s="7">
        <v>9</v>
      </c>
      <c r="J1224" s="7" t="s">
        <v>10289</v>
      </c>
      <c r="K1224" s="9" t="s">
        <v>8987</v>
      </c>
    </row>
    <row r="1225" spans="1:11">
      <c r="A1225" s="7">
        <v>1223</v>
      </c>
      <c r="B1225" s="7" t="s">
        <v>9764</v>
      </c>
      <c r="C1225" s="7" t="s">
        <v>8984</v>
      </c>
      <c r="D1225" s="7" t="s">
        <v>7548</v>
      </c>
      <c r="E1225" s="7" t="s">
        <v>10787</v>
      </c>
      <c r="F1225" s="8" t="s">
        <v>7548</v>
      </c>
      <c r="G1225" s="7">
        <v>12</v>
      </c>
      <c r="H1225" s="7" t="s">
        <v>9213</v>
      </c>
      <c r="I1225" s="7">
        <v>3</v>
      </c>
      <c r="J1225" s="7" t="s">
        <v>7720</v>
      </c>
      <c r="K1225" s="9" t="s">
        <v>8987</v>
      </c>
    </row>
    <row r="1226" spans="1:11">
      <c r="A1226" s="7">
        <v>1224</v>
      </c>
      <c r="B1226" s="7" t="s">
        <v>9764</v>
      </c>
      <c r="C1226" s="7" t="s">
        <v>8984</v>
      </c>
      <c r="D1226" s="7" t="s">
        <v>7548</v>
      </c>
      <c r="E1226" s="7" t="s">
        <v>10788</v>
      </c>
      <c r="F1226" s="8" t="s">
        <v>10789</v>
      </c>
      <c r="G1226" s="7">
        <v>180</v>
      </c>
      <c r="H1226" s="7" t="s">
        <v>9056</v>
      </c>
      <c r="I1226" s="7">
        <v>13</v>
      </c>
      <c r="J1226" s="7" t="s">
        <v>7607</v>
      </c>
      <c r="K1226" s="9" t="s">
        <v>8987</v>
      </c>
    </row>
    <row r="1227" spans="1:11">
      <c r="A1227" s="7">
        <v>1225</v>
      </c>
      <c r="B1227" s="7" t="s">
        <v>10765</v>
      </c>
      <c r="C1227" s="7" t="s">
        <v>8984</v>
      </c>
      <c r="D1227" s="7" t="s">
        <v>7549</v>
      </c>
      <c r="E1227" s="7" t="s">
        <v>10790</v>
      </c>
      <c r="F1227" s="8" t="s">
        <v>9210</v>
      </c>
      <c r="G1227" s="7">
        <v>12</v>
      </c>
      <c r="H1227" s="7" t="s">
        <v>9213</v>
      </c>
      <c r="I1227" s="7">
        <v>3</v>
      </c>
      <c r="J1227" s="7" t="s">
        <v>7720</v>
      </c>
      <c r="K1227" s="9" t="s">
        <v>8987</v>
      </c>
    </row>
    <row r="1228" spans="1:11">
      <c r="A1228" s="7">
        <v>1226</v>
      </c>
      <c r="B1228" s="7" t="s">
        <v>9764</v>
      </c>
      <c r="C1228" s="7" t="s">
        <v>8984</v>
      </c>
      <c r="D1228" s="7" t="s">
        <v>7553</v>
      </c>
      <c r="E1228" s="7" t="s">
        <v>10791</v>
      </c>
      <c r="F1228" s="8" t="s">
        <v>10059</v>
      </c>
      <c r="G1228" s="7">
        <v>1000</v>
      </c>
      <c r="H1228" s="7" t="s">
        <v>9723</v>
      </c>
      <c r="I1228" s="7">
        <v>1</v>
      </c>
      <c r="J1228" s="7" t="s">
        <v>9724</v>
      </c>
      <c r="K1228" s="9" t="s">
        <v>8987</v>
      </c>
    </row>
    <row r="1229" spans="1:11">
      <c r="A1229" s="7">
        <v>1227</v>
      </c>
      <c r="B1229" s="7" t="s">
        <v>9764</v>
      </c>
      <c r="C1229" s="7" t="s">
        <v>8984</v>
      </c>
      <c r="D1229" s="7" t="s">
        <v>7551</v>
      </c>
      <c r="E1229" s="7" t="s">
        <v>10792</v>
      </c>
      <c r="F1229" s="8" t="s">
        <v>9192</v>
      </c>
      <c r="G1229" s="7">
        <v>300</v>
      </c>
      <c r="H1229" s="7" t="s">
        <v>9585</v>
      </c>
      <c r="I1229" s="7">
        <v>41</v>
      </c>
      <c r="J1229" s="7" t="s">
        <v>10524</v>
      </c>
      <c r="K1229" s="9" t="s">
        <v>8987</v>
      </c>
    </row>
    <row r="1230" spans="1:11">
      <c r="A1230" s="7">
        <v>1228</v>
      </c>
      <c r="B1230" s="7" t="s">
        <v>9764</v>
      </c>
      <c r="C1230" s="7" t="s">
        <v>8984</v>
      </c>
      <c r="D1230" s="7" t="s">
        <v>7573</v>
      </c>
      <c r="E1230" s="7" t="s">
        <v>10793</v>
      </c>
      <c r="F1230" s="8" t="s">
        <v>9186</v>
      </c>
      <c r="G1230" s="7">
        <v>10</v>
      </c>
      <c r="H1230" s="7" t="s">
        <v>9292</v>
      </c>
      <c r="I1230" s="7">
        <v>2</v>
      </c>
      <c r="J1230" s="7" t="s">
        <v>9432</v>
      </c>
      <c r="K1230" s="9" t="s">
        <v>8987</v>
      </c>
    </row>
    <row r="1231" spans="1:11">
      <c r="A1231" s="7">
        <v>1229</v>
      </c>
      <c r="B1231" s="7" t="s">
        <v>9764</v>
      </c>
      <c r="C1231" s="7" t="s">
        <v>8984</v>
      </c>
      <c r="D1231" s="7" t="s">
        <v>7546</v>
      </c>
      <c r="E1231" s="7" t="s">
        <v>10794</v>
      </c>
      <c r="F1231" s="8" t="s">
        <v>9226</v>
      </c>
      <c r="G1231" s="7">
        <v>70</v>
      </c>
      <c r="H1231" s="7" t="s">
        <v>9194</v>
      </c>
      <c r="I1231" s="7">
        <v>13</v>
      </c>
      <c r="J1231" s="7" t="s">
        <v>10795</v>
      </c>
      <c r="K1231" s="9" t="s">
        <v>8987</v>
      </c>
    </row>
    <row r="1232" spans="1:11">
      <c r="A1232" s="7">
        <v>1230</v>
      </c>
      <c r="B1232" s="7" t="s">
        <v>9764</v>
      </c>
      <c r="C1232" s="7" t="s">
        <v>8984</v>
      </c>
      <c r="D1232" s="7" t="s">
        <v>7566</v>
      </c>
      <c r="E1232" s="7" t="s">
        <v>10796</v>
      </c>
      <c r="F1232" s="8" t="s">
        <v>10797</v>
      </c>
      <c r="G1232" s="7">
        <v>250</v>
      </c>
      <c r="H1232" s="7" t="s">
        <v>9351</v>
      </c>
      <c r="I1232" s="7">
        <v>41</v>
      </c>
      <c r="J1232" s="7" t="s">
        <v>7832</v>
      </c>
      <c r="K1232" s="9" t="s">
        <v>8987</v>
      </c>
    </row>
    <row r="1233" spans="1:11">
      <c r="A1233" s="7">
        <v>1231</v>
      </c>
      <c r="B1233" s="7" t="s">
        <v>9764</v>
      </c>
      <c r="C1233" s="7" t="s">
        <v>8984</v>
      </c>
      <c r="D1233" s="7" t="s">
        <v>7566</v>
      </c>
      <c r="E1233" s="7" t="s">
        <v>10798</v>
      </c>
      <c r="F1233" s="8" t="s">
        <v>7972</v>
      </c>
      <c r="G1233" s="7">
        <v>180</v>
      </c>
      <c r="H1233" s="7" t="s">
        <v>9056</v>
      </c>
      <c r="I1233" s="7">
        <v>13</v>
      </c>
      <c r="J1233" s="7" t="s">
        <v>7607</v>
      </c>
      <c r="K1233" s="9" t="s">
        <v>8987</v>
      </c>
    </row>
    <row r="1234" spans="1:11">
      <c r="A1234" s="7">
        <v>1232</v>
      </c>
      <c r="B1234" s="7" t="s">
        <v>9764</v>
      </c>
      <c r="C1234" s="7" t="s">
        <v>8984</v>
      </c>
      <c r="D1234" s="7" t="s">
        <v>7566</v>
      </c>
      <c r="E1234" s="7" t="s">
        <v>10799</v>
      </c>
      <c r="F1234" s="8" t="s">
        <v>7973</v>
      </c>
      <c r="G1234" s="7">
        <v>180</v>
      </c>
      <c r="H1234" s="7" t="s">
        <v>9056</v>
      </c>
      <c r="I1234" s="7">
        <v>13</v>
      </c>
      <c r="J1234" s="7" t="s">
        <v>7607</v>
      </c>
      <c r="K1234" s="9" t="s">
        <v>8987</v>
      </c>
    </row>
    <row r="1235" spans="1:11">
      <c r="A1235" s="7">
        <v>1233</v>
      </c>
      <c r="B1235" s="7" t="s">
        <v>9764</v>
      </c>
      <c r="C1235" s="7" t="s">
        <v>8984</v>
      </c>
      <c r="D1235" s="7" t="s">
        <v>7542</v>
      </c>
      <c r="E1235" s="7" t="s">
        <v>10800</v>
      </c>
      <c r="F1235" s="8" t="s">
        <v>10801</v>
      </c>
      <c r="G1235" s="7">
        <v>180</v>
      </c>
      <c r="H1235" s="7" t="s">
        <v>9056</v>
      </c>
      <c r="I1235" s="7">
        <v>13</v>
      </c>
      <c r="J1235" s="7" t="s">
        <v>7607</v>
      </c>
      <c r="K1235" s="9" t="s">
        <v>8987</v>
      </c>
    </row>
    <row r="1236" spans="1:11">
      <c r="A1236" s="7">
        <v>1234</v>
      </c>
      <c r="B1236" s="7" t="s">
        <v>10765</v>
      </c>
      <c r="C1236" s="7" t="s">
        <v>8984</v>
      </c>
      <c r="D1236" s="7" t="s">
        <v>7549</v>
      </c>
      <c r="E1236" s="7" t="s">
        <v>10802</v>
      </c>
      <c r="F1236" s="8" t="s">
        <v>10760</v>
      </c>
      <c r="G1236" s="7">
        <v>350</v>
      </c>
      <c r="H1236" s="7" t="s">
        <v>9298</v>
      </c>
      <c r="I1236" s="7">
        <v>41</v>
      </c>
      <c r="J1236" s="7" t="s">
        <v>9299</v>
      </c>
      <c r="K1236" s="9" t="s">
        <v>8987</v>
      </c>
    </row>
    <row r="1237" spans="1:11">
      <c r="A1237" s="7">
        <v>1235</v>
      </c>
      <c r="B1237" s="7" t="s">
        <v>10765</v>
      </c>
      <c r="C1237" s="7" t="s">
        <v>8984</v>
      </c>
      <c r="D1237" s="7" t="s">
        <v>7581</v>
      </c>
      <c r="E1237" s="7" t="s">
        <v>10803</v>
      </c>
      <c r="F1237" s="8" t="s">
        <v>10036</v>
      </c>
      <c r="G1237" s="7">
        <v>0</v>
      </c>
      <c r="H1237" s="7" t="s">
        <v>8984</v>
      </c>
      <c r="I1237" s="7">
        <v>1</v>
      </c>
      <c r="J1237" s="7" t="s">
        <v>7838</v>
      </c>
      <c r="K1237" s="9" t="s">
        <v>8987</v>
      </c>
    </row>
    <row r="1238" spans="1:11">
      <c r="A1238" s="7">
        <v>1236</v>
      </c>
      <c r="B1238" s="7" t="s">
        <v>10804</v>
      </c>
      <c r="C1238" s="7" t="s">
        <v>8984</v>
      </c>
      <c r="D1238" s="7" t="s">
        <v>7581</v>
      </c>
      <c r="E1238" s="7" t="s">
        <v>10805</v>
      </c>
      <c r="F1238" s="8" t="s">
        <v>10042</v>
      </c>
      <c r="G1238" s="7">
        <v>0</v>
      </c>
      <c r="H1238" s="7" t="s">
        <v>8984</v>
      </c>
      <c r="I1238" s="7">
        <v>1</v>
      </c>
      <c r="J1238" s="7" t="s">
        <v>7838</v>
      </c>
      <c r="K1238" s="9" t="s">
        <v>8987</v>
      </c>
    </row>
    <row r="1239" spans="1:11">
      <c r="A1239" s="7">
        <v>1237</v>
      </c>
      <c r="B1239" s="7" t="s">
        <v>9764</v>
      </c>
      <c r="C1239" s="7" t="s">
        <v>8984</v>
      </c>
      <c r="D1239" s="7" t="s">
        <v>7546</v>
      </c>
      <c r="E1239" s="7" t="s">
        <v>10806</v>
      </c>
      <c r="F1239" s="8" t="s">
        <v>9083</v>
      </c>
      <c r="G1239" s="7">
        <v>80</v>
      </c>
      <c r="H1239" s="7" t="s">
        <v>9153</v>
      </c>
      <c r="I1239" s="7">
        <v>13</v>
      </c>
      <c r="J1239" s="7" t="s">
        <v>9315</v>
      </c>
      <c r="K1239" s="9" t="s">
        <v>8987</v>
      </c>
    </row>
    <row r="1240" spans="1:11">
      <c r="A1240" s="7">
        <v>1238</v>
      </c>
      <c r="B1240" s="7" t="s">
        <v>10765</v>
      </c>
      <c r="C1240" s="7" t="s">
        <v>8984</v>
      </c>
      <c r="D1240" s="7" t="s">
        <v>7549</v>
      </c>
      <c r="E1240" s="7" t="s">
        <v>10807</v>
      </c>
      <c r="F1240" s="8" t="s">
        <v>9210</v>
      </c>
      <c r="G1240" s="7">
        <v>13</v>
      </c>
      <c r="H1240" s="7" t="s">
        <v>9077</v>
      </c>
      <c r="I1240" s="7">
        <v>3</v>
      </c>
      <c r="J1240" s="7" t="s">
        <v>7773</v>
      </c>
      <c r="K1240" s="9" t="s">
        <v>8987</v>
      </c>
    </row>
    <row r="1241" spans="1:11">
      <c r="A1241" s="7">
        <v>1239</v>
      </c>
      <c r="B1241" s="7" t="s">
        <v>10692</v>
      </c>
      <c r="C1241" s="7" t="s">
        <v>8984</v>
      </c>
      <c r="D1241" s="7" t="s">
        <v>7573</v>
      </c>
      <c r="E1241" s="7" t="s">
        <v>10808</v>
      </c>
      <c r="F1241" s="8" t="s">
        <v>10809</v>
      </c>
      <c r="G1241" s="7">
        <v>0</v>
      </c>
      <c r="H1241" s="7" t="s">
        <v>8984</v>
      </c>
      <c r="I1241" s="7">
        <v>1</v>
      </c>
      <c r="J1241" s="7" t="s">
        <v>7838</v>
      </c>
      <c r="K1241" s="9" t="s">
        <v>8987</v>
      </c>
    </row>
    <row r="1242" spans="1:11">
      <c r="A1242" s="7">
        <v>1240</v>
      </c>
      <c r="B1242" s="7" t="s">
        <v>9764</v>
      </c>
      <c r="C1242" s="7" t="s">
        <v>8984</v>
      </c>
      <c r="D1242" s="7" t="s">
        <v>7566</v>
      </c>
      <c r="E1242" s="7" t="s">
        <v>10810</v>
      </c>
      <c r="F1242" s="8" t="s">
        <v>7972</v>
      </c>
      <c r="G1242" s="7">
        <v>80</v>
      </c>
      <c r="H1242" s="7" t="s">
        <v>9153</v>
      </c>
      <c r="I1242" s="7">
        <v>13</v>
      </c>
      <c r="J1242" s="7" t="s">
        <v>9315</v>
      </c>
      <c r="K1242" s="9" t="s">
        <v>8987</v>
      </c>
    </row>
    <row r="1243" spans="1:11">
      <c r="A1243" s="7">
        <v>1241</v>
      </c>
      <c r="B1243" s="7" t="s">
        <v>9764</v>
      </c>
      <c r="C1243" s="7" t="s">
        <v>8984</v>
      </c>
      <c r="D1243" s="7" t="s">
        <v>7566</v>
      </c>
      <c r="E1243" s="7" t="s">
        <v>10811</v>
      </c>
      <c r="F1243" s="8" t="s">
        <v>7973</v>
      </c>
      <c r="G1243" s="7">
        <v>80</v>
      </c>
      <c r="H1243" s="7" t="s">
        <v>9153</v>
      </c>
      <c r="I1243" s="7">
        <v>13</v>
      </c>
      <c r="J1243" s="7" t="s">
        <v>9315</v>
      </c>
      <c r="K1243" s="9" t="s">
        <v>8987</v>
      </c>
    </row>
    <row r="1244" spans="1:11">
      <c r="A1244" s="7">
        <v>1242</v>
      </c>
      <c r="B1244" s="7" t="s">
        <v>9764</v>
      </c>
      <c r="C1244" s="7" t="s">
        <v>8984</v>
      </c>
      <c r="D1244" s="7" t="s">
        <v>7581</v>
      </c>
      <c r="E1244" s="7" t="s">
        <v>10812</v>
      </c>
      <c r="F1244" s="8" t="s">
        <v>10739</v>
      </c>
      <c r="G1244" s="7">
        <v>80</v>
      </c>
      <c r="H1244" s="7" t="s">
        <v>9153</v>
      </c>
      <c r="I1244" s="7">
        <v>13</v>
      </c>
      <c r="J1244" s="7" t="s">
        <v>9315</v>
      </c>
      <c r="K1244" s="9" t="s">
        <v>8987</v>
      </c>
    </row>
    <row r="1245" spans="1:11">
      <c r="A1245" s="7">
        <v>1243</v>
      </c>
      <c r="B1245" s="7" t="s">
        <v>9764</v>
      </c>
      <c r="C1245" s="7" t="s">
        <v>8984</v>
      </c>
      <c r="D1245" s="7" t="s">
        <v>7581</v>
      </c>
      <c r="E1245" s="7" t="s">
        <v>10813</v>
      </c>
      <c r="F1245" s="8" t="s">
        <v>9648</v>
      </c>
      <c r="G1245" s="7">
        <v>130</v>
      </c>
      <c r="H1245" s="7" t="s">
        <v>9062</v>
      </c>
      <c r="I1245" s="7">
        <v>13</v>
      </c>
      <c r="J1245" s="7" t="s">
        <v>10348</v>
      </c>
      <c r="K1245" s="9" t="s">
        <v>8987</v>
      </c>
    </row>
    <row r="1246" spans="1:11">
      <c r="A1246" s="7">
        <v>1244</v>
      </c>
      <c r="B1246" s="7" t="s">
        <v>9764</v>
      </c>
      <c r="C1246" s="7" t="s">
        <v>8984</v>
      </c>
      <c r="D1246" s="7" t="s">
        <v>7581</v>
      </c>
      <c r="E1246" s="7" t="s">
        <v>10814</v>
      </c>
      <c r="F1246" s="8" t="s">
        <v>9453</v>
      </c>
      <c r="G1246" s="7">
        <v>80</v>
      </c>
      <c r="H1246" s="7" t="s">
        <v>9153</v>
      </c>
      <c r="I1246" s="7">
        <v>13</v>
      </c>
      <c r="J1246" s="7" t="s">
        <v>9315</v>
      </c>
      <c r="K1246" s="9" t="s">
        <v>8987</v>
      </c>
    </row>
    <row r="1247" spans="1:11">
      <c r="A1247" s="7">
        <v>1245</v>
      </c>
      <c r="B1247" s="7" t="s">
        <v>9764</v>
      </c>
      <c r="C1247" s="7" t="s">
        <v>8984</v>
      </c>
      <c r="D1247" s="7" t="s">
        <v>7581</v>
      </c>
      <c r="E1247" s="7" t="s">
        <v>10815</v>
      </c>
      <c r="F1247" s="8" t="s">
        <v>10816</v>
      </c>
      <c r="G1247" s="7">
        <v>0</v>
      </c>
      <c r="H1247" s="7" t="s">
        <v>8984</v>
      </c>
      <c r="I1247" s="7">
        <v>1</v>
      </c>
      <c r="J1247" s="7" t="s">
        <v>7838</v>
      </c>
      <c r="K1247" s="9" t="s">
        <v>8987</v>
      </c>
    </row>
    <row r="1248" spans="1:11">
      <c r="A1248" s="7">
        <v>1246</v>
      </c>
      <c r="B1248" s="7" t="s">
        <v>10765</v>
      </c>
      <c r="C1248" s="7" t="s">
        <v>8984</v>
      </c>
      <c r="D1248" s="7" t="s">
        <v>7549</v>
      </c>
      <c r="E1248" s="7" t="s">
        <v>10817</v>
      </c>
      <c r="F1248" s="8" t="s">
        <v>10760</v>
      </c>
      <c r="G1248" s="7">
        <v>400</v>
      </c>
      <c r="H1248" s="7" t="s">
        <v>10818</v>
      </c>
      <c r="I1248" s="7">
        <v>41</v>
      </c>
      <c r="J1248" s="7" t="s">
        <v>10819</v>
      </c>
      <c r="K1248" s="9" t="s">
        <v>8987</v>
      </c>
    </row>
    <row r="1249" spans="1:11">
      <c r="A1249" s="7">
        <v>1247</v>
      </c>
      <c r="B1249" s="7" t="s">
        <v>8983</v>
      </c>
      <c r="C1249" s="7" t="s">
        <v>8984</v>
      </c>
      <c r="D1249" s="7" t="s">
        <v>7549</v>
      </c>
      <c r="E1249" s="7" t="s">
        <v>10820</v>
      </c>
      <c r="F1249" s="8" t="s">
        <v>9332</v>
      </c>
      <c r="G1249" s="7">
        <v>500</v>
      </c>
      <c r="H1249" s="7" t="s">
        <v>9597</v>
      </c>
      <c r="I1249" s="7">
        <v>41</v>
      </c>
      <c r="J1249" s="7" t="s">
        <v>10821</v>
      </c>
      <c r="K1249" s="9" t="s">
        <v>8987</v>
      </c>
    </row>
    <row r="1250" spans="1:11">
      <c r="A1250" s="7">
        <v>1248</v>
      </c>
      <c r="B1250" s="7" t="s">
        <v>9208</v>
      </c>
      <c r="C1250" s="7" t="s">
        <v>8984</v>
      </c>
      <c r="D1250" s="7" t="s">
        <v>7549</v>
      </c>
      <c r="E1250" s="7" t="s">
        <v>10822</v>
      </c>
      <c r="F1250" s="8" t="s">
        <v>3226</v>
      </c>
      <c r="G1250" s="7">
        <v>0</v>
      </c>
      <c r="H1250" s="7" t="s">
        <v>8984</v>
      </c>
      <c r="I1250" s="7">
        <v>1</v>
      </c>
      <c r="J1250" s="7" t="s">
        <v>7838</v>
      </c>
      <c r="K1250" s="9" t="s">
        <v>8987</v>
      </c>
    </row>
    <row r="1251" spans="1:11">
      <c r="A1251" s="7">
        <v>1249</v>
      </c>
      <c r="B1251" s="7" t="s">
        <v>9208</v>
      </c>
      <c r="C1251" s="7" t="s">
        <v>8984</v>
      </c>
      <c r="D1251" s="7" t="s">
        <v>7549</v>
      </c>
      <c r="E1251" s="7" t="s">
        <v>10823</v>
      </c>
      <c r="F1251" s="8" t="s">
        <v>10824</v>
      </c>
      <c r="G1251" s="7">
        <v>0</v>
      </c>
      <c r="H1251" s="7" t="s">
        <v>8984</v>
      </c>
      <c r="I1251" s="7">
        <v>1</v>
      </c>
      <c r="J1251" s="7" t="s">
        <v>7838</v>
      </c>
      <c r="K1251" s="9" t="s">
        <v>8987</v>
      </c>
    </row>
    <row r="1252" spans="1:11">
      <c r="A1252" s="7">
        <v>1250</v>
      </c>
      <c r="B1252" s="7" t="s">
        <v>9208</v>
      </c>
      <c r="C1252" s="7" t="s">
        <v>8984</v>
      </c>
      <c r="D1252" s="7" t="s">
        <v>7549</v>
      </c>
      <c r="E1252" s="7" t="s">
        <v>10825</v>
      </c>
      <c r="F1252" s="8" t="s">
        <v>10826</v>
      </c>
      <c r="G1252" s="7">
        <v>0</v>
      </c>
      <c r="H1252" s="7" t="s">
        <v>8984</v>
      </c>
      <c r="I1252" s="7">
        <v>1</v>
      </c>
      <c r="J1252" s="7" t="s">
        <v>7838</v>
      </c>
      <c r="K1252" s="9" t="s">
        <v>8987</v>
      </c>
    </row>
    <row r="1253" spans="1:11">
      <c r="A1253" s="7">
        <v>1251</v>
      </c>
      <c r="B1253" s="7" t="s">
        <v>9208</v>
      </c>
      <c r="C1253" s="7" t="s">
        <v>8984</v>
      </c>
      <c r="D1253" s="7" t="s">
        <v>7549</v>
      </c>
      <c r="E1253" s="7" t="s">
        <v>10827</v>
      </c>
      <c r="F1253" s="8" t="s">
        <v>10828</v>
      </c>
      <c r="G1253" s="7">
        <v>0</v>
      </c>
      <c r="H1253" s="7" t="s">
        <v>8984</v>
      </c>
      <c r="I1253" s="7">
        <v>1</v>
      </c>
      <c r="J1253" s="7" t="s">
        <v>7838</v>
      </c>
      <c r="K1253" s="9" t="s">
        <v>8987</v>
      </c>
    </row>
    <row r="1254" spans="1:11">
      <c r="A1254" s="7">
        <v>1252</v>
      </c>
      <c r="B1254" s="7" t="s">
        <v>9796</v>
      </c>
      <c r="C1254" s="7" t="s">
        <v>8998</v>
      </c>
      <c r="D1254" s="7" t="s">
        <v>7548</v>
      </c>
      <c r="E1254" s="7" t="s">
        <v>10829</v>
      </c>
      <c r="F1254" s="8" t="s">
        <v>10274</v>
      </c>
      <c r="G1254" s="7" t="s">
        <v>8987</v>
      </c>
      <c r="H1254" s="7" t="s">
        <v>8987</v>
      </c>
      <c r="I1254" s="7" t="s">
        <v>8987</v>
      </c>
      <c r="J1254" s="7" t="s">
        <v>8987</v>
      </c>
      <c r="K1254" s="9" t="s">
        <v>8987</v>
      </c>
    </row>
    <row r="1255" spans="1:11">
      <c r="A1255" s="7">
        <v>1253</v>
      </c>
      <c r="B1255" s="7" t="s">
        <v>8983</v>
      </c>
      <c r="C1255" s="7" t="s">
        <v>8998</v>
      </c>
      <c r="D1255" s="7" t="s">
        <v>7555</v>
      </c>
      <c r="E1255" s="7" t="s">
        <v>10830</v>
      </c>
      <c r="F1255" s="8" t="s">
        <v>9621</v>
      </c>
      <c r="G1255" s="7" t="s">
        <v>8987</v>
      </c>
      <c r="H1255" s="7" t="s">
        <v>8987</v>
      </c>
      <c r="I1255" s="7" t="s">
        <v>8987</v>
      </c>
      <c r="J1255" s="7" t="s">
        <v>8987</v>
      </c>
      <c r="K1255" s="9" t="s">
        <v>8987</v>
      </c>
    </row>
    <row r="1256" spans="1:11">
      <c r="A1256" s="7">
        <v>1254</v>
      </c>
      <c r="B1256" s="7" t="s">
        <v>8983</v>
      </c>
      <c r="C1256" s="7" t="s">
        <v>8998</v>
      </c>
      <c r="D1256" s="7" t="s">
        <v>7542</v>
      </c>
      <c r="E1256" s="7" t="s">
        <v>10831</v>
      </c>
      <c r="F1256" s="8" t="s">
        <v>9314</v>
      </c>
      <c r="G1256" s="7" t="s">
        <v>8987</v>
      </c>
      <c r="H1256" s="7" t="s">
        <v>8987</v>
      </c>
      <c r="I1256" s="7" t="s">
        <v>8987</v>
      </c>
      <c r="J1256" s="7" t="s">
        <v>8987</v>
      </c>
      <c r="K1256" s="9" t="s">
        <v>8987</v>
      </c>
    </row>
    <row r="1257" spans="1:11">
      <c r="A1257" s="7">
        <v>1255</v>
      </c>
      <c r="B1257" s="7" t="s">
        <v>8983</v>
      </c>
      <c r="C1257" s="7" t="s">
        <v>8998</v>
      </c>
      <c r="D1257" s="7" t="s">
        <v>7548</v>
      </c>
      <c r="E1257" s="7" t="s">
        <v>10832</v>
      </c>
      <c r="F1257" s="8" t="s">
        <v>10234</v>
      </c>
      <c r="G1257" s="7" t="s">
        <v>8987</v>
      </c>
      <c r="H1257" s="7" t="s">
        <v>8987</v>
      </c>
      <c r="I1257" s="7" t="s">
        <v>8987</v>
      </c>
      <c r="J1257" s="7" t="s">
        <v>8987</v>
      </c>
      <c r="K1257" s="9" t="s">
        <v>8987</v>
      </c>
    </row>
    <row r="1258" spans="1:11">
      <c r="A1258" s="7">
        <v>1256</v>
      </c>
      <c r="B1258" s="7" t="s">
        <v>9208</v>
      </c>
      <c r="C1258" s="7" t="s">
        <v>8998</v>
      </c>
      <c r="D1258" s="7" t="s">
        <v>7542</v>
      </c>
      <c r="E1258" s="7" t="s">
        <v>10833</v>
      </c>
      <c r="F1258" s="8" t="s">
        <v>9349</v>
      </c>
      <c r="G1258" s="7" t="s">
        <v>8987</v>
      </c>
      <c r="H1258" s="7" t="s">
        <v>8987</v>
      </c>
      <c r="I1258" s="7" t="s">
        <v>8987</v>
      </c>
      <c r="J1258" s="7" t="s">
        <v>8987</v>
      </c>
      <c r="K1258" s="9" t="s">
        <v>8987</v>
      </c>
    </row>
    <row r="1259" spans="1:11">
      <c r="A1259" s="7">
        <v>1257</v>
      </c>
      <c r="B1259" s="7" t="s">
        <v>8983</v>
      </c>
      <c r="C1259" s="7" t="s">
        <v>8998</v>
      </c>
      <c r="D1259" s="7" t="s">
        <v>7573</v>
      </c>
      <c r="E1259" s="7" t="s">
        <v>10834</v>
      </c>
      <c r="F1259" s="8" t="s">
        <v>10172</v>
      </c>
      <c r="G1259" s="7" t="s">
        <v>8987</v>
      </c>
      <c r="H1259" s="7" t="s">
        <v>8987</v>
      </c>
      <c r="I1259" s="7" t="s">
        <v>8987</v>
      </c>
      <c r="J1259" s="7" t="s">
        <v>8987</v>
      </c>
      <c r="K1259" s="9" t="s">
        <v>8987</v>
      </c>
    </row>
    <row r="1260" spans="1:11">
      <c r="A1260" s="7">
        <v>1258</v>
      </c>
      <c r="B1260" s="7" t="s">
        <v>8983</v>
      </c>
      <c r="C1260" s="7" t="s">
        <v>8998</v>
      </c>
      <c r="D1260" s="7" t="s">
        <v>7555</v>
      </c>
      <c r="E1260" s="7" t="s">
        <v>10835</v>
      </c>
      <c r="F1260" s="8" t="s">
        <v>9251</v>
      </c>
      <c r="G1260" s="7" t="s">
        <v>8987</v>
      </c>
      <c r="H1260" s="7" t="s">
        <v>8987</v>
      </c>
      <c r="I1260" s="7" t="s">
        <v>8987</v>
      </c>
      <c r="J1260" s="7" t="s">
        <v>8987</v>
      </c>
      <c r="K1260" s="9" t="s">
        <v>8987</v>
      </c>
    </row>
    <row r="1261" spans="1:11">
      <c r="A1261" s="7">
        <v>1259</v>
      </c>
      <c r="B1261" s="7" t="s">
        <v>8983</v>
      </c>
      <c r="C1261" s="7" t="s">
        <v>8998</v>
      </c>
      <c r="D1261" s="7" t="s">
        <v>7581</v>
      </c>
      <c r="E1261" s="7" t="s">
        <v>10836</v>
      </c>
      <c r="F1261" s="8" t="s">
        <v>9648</v>
      </c>
      <c r="G1261" s="7" t="s">
        <v>8987</v>
      </c>
      <c r="H1261" s="7" t="s">
        <v>8987</v>
      </c>
      <c r="I1261" s="7" t="s">
        <v>8987</v>
      </c>
      <c r="J1261" s="7" t="s">
        <v>8987</v>
      </c>
      <c r="K1261" s="9" t="s">
        <v>8987</v>
      </c>
    </row>
    <row r="1262" spans="1:11">
      <c r="A1262" s="7">
        <v>1260</v>
      </c>
      <c r="B1262" s="7" t="s">
        <v>8983</v>
      </c>
      <c r="C1262" s="7" t="s">
        <v>8998</v>
      </c>
      <c r="D1262" s="7" t="s">
        <v>7542</v>
      </c>
      <c r="E1262" s="7" t="s">
        <v>10837</v>
      </c>
      <c r="F1262" s="8" t="s">
        <v>9812</v>
      </c>
      <c r="G1262" s="7" t="s">
        <v>8987</v>
      </c>
      <c r="H1262" s="7" t="s">
        <v>8987</v>
      </c>
      <c r="I1262" s="7" t="s">
        <v>8987</v>
      </c>
      <c r="J1262" s="7" t="s">
        <v>8987</v>
      </c>
      <c r="K1262" s="9" t="s">
        <v>8987</v>
      </c>
    </row>
    <row r="1263" spans="1:11">
      <c r="A1263" s="7">
        <v>1261</v>
      </c>
      <c r="B1263" s="7" t="s">
        <v>8983</v>
      </c>
      <c r="C1263" s="7" t="s">
        <v>8998</v>
      </c>
      <c r="D1263" s="7" t="s">
        <v>7548</v>
      </c>
      <c r="E1263" s="7" t="s">
        <v>10838</v>
      </c>
      <c r="F1263" s="8" t="s">
        <v>10278</v>
      </c>
      <c r="G1263" s="7" t="s">
        <v>8987</v>
      </c>
      <c r="H1263" s="7" t="s">
        <v>8987</v>
      </c>
      <c r="I1263" s="7" t="s">
        <v>8987</v>
      </c>
      <c r="J1263" s="7" t="s">
        <v>8987</v>
      </c>
      <c r="K1263" s="9" t="s">
        <v>8987</v>
      </c>
    </row>
    <row r="1264" spans="1:11">
      <c r="A1264" s="7">
        <v>1262</v>
      </c>
      <c r="B1264" s="7" t="s">
        <v>8983</v>
      </c>
      <c r="C1264" s="7" t="s">
        <v>8998</v>
      </c>
      <c r="D1264" s="7" t="s">
        <v>7542</v>
      </c>
      <c r="E1264" s="7" t="s">
        <v>10839</v>
      </c>
      <c r="F1264" s="8" t="s">
        <v>10059</v>
      </c>
      <c r="G1264" s="7" t="s">
        <v>8987</v>
      </c>
      <c r="H1264" s="7" t="s">
        <v>8987</v>
      </c>
      <c r="I1264" s="7" t="s">
        <v>8987</v>
      </c>
      <c r="J1264" s="7" t="s">
        <v>8987</v>
      </c>
      <c r="K1264" s="9" t="s">
        <v>8987</v>
      </c>
    </row>
    <row r="1265" spans="1:11">
      <c r="A1265" s="7">
        <v>1263</v>
      </c>
      <c r="B1265" s="7" t="s">
        <v>9208</v>
      </c>
      <c r="C1265" s="7" t="s">
        <v>8984</v>
      </c>
      <c r="D1265" s="7" t="s">
        <v>7549</v>
      </c>
      <c r="E1265" s="7" t="s">
        <v>10840</v>
      </c>
      <c r="F1265" s="8" t="s">
        <v>10841</v>
      </c>
      <c r="G1265" s="7">
        <v>0</v>
      </c>
      <c r="H1265" s="7" t="s">
        <v>8984</v>
      </c>
      <c r="I1265" s="7">
        <v>1</v>
      </c>
      <c r="J1265" s="7" t="s">
        <v>7838</v>
      </c>
      <c r="K1265" s="9" t="s">
        <v>8987</v>
      </c>
    </row>
    <row r="1266" spans="1:11">
      <c r="A1266" s="7">
        <v>1264</v>
      </c>
      <c r="B1266" s="7" t="s">
        <v>9208</v>
      </c>
      <c r="C1266" s="7" t="s">
        <v>8984</v>
      </c>
      <c r="D1266" s="7" t="s">
        <v>7549</v>
      </c>
      <c r="E1266" s="7" t="s">
        <v>10842</v>
      </c>
      <c r="F1266" s="8" t="s">
        <v>10843</v>
      </c>
      <c r="G1266" s="7">
        <v>0</v>
      </c>
      <c r="H1266" s="7" t="s">
        <v>8984</v>
      </c>
      <c r="I1266" s="7">
        <v>1</v>
      </c>
      <c r="J1266" s="7" t="s">
        <v>7838</v>
      </c>
      <c r="K1266" s="9" t="s">
        <v>8987</v>
      </c>
    </row>
    <row r="1267" spans="1:11">
      <c r="A1267" s="7">
        <v>1265</v>
      </c>
      <c r="B1267" s="7" t="s">
        <v>9208</v>
      </c>
      <c r="C1267" s="7" t="s">
        <v>8984</v>
      </c>
      <c r="D1267" s="7" t="s">
        <v>7549</v>
      </c>
      <c r="E1267" s="7" t="s">
        <v>10844</v>
      </c>
      <c r="F1267" s="8" t="s">
        <v>10845</v>
      </c>
      <c r="G1267" s="7">
        <v>0</v>
      </c>
      <c r="H1267" s="7" t="s">
        <v>8984</v>
      </c>
      <c r="I1267" s="7">
        <v>1</v>
      </c>
      <c r="J1267" s="7" t="s">
        <v>7838</v>
      </c>
      <c r="K1267" s="9" t="s">
        <v>8987</v>
      </c>
    </row>
    <row r="1268" spans="1:11">
      <c r="A1268" s="7">
        <v>1266</v>
      </c>
      <c r="B1268" s="7" t="s">
        <v>9208</v>
      </c>
      <c r="C1268" s="7" t="s">
        <v>8984</v>
      </c>
      <c r="D1268" s="7" t="s">
        <v>7549</v>
      </c>
      <c r="E1268" s="7" t="s">
        <v>10846</v>
      </c>
      <c r="F1268" s="8" t="s">
        <v>10847</v>
      </c>
      <c r="G1268" s="7">
        <v>0</v>
      </c>
      <c r="H1268" s="7" t="s">
        <v>8984</v>
      </c>
      <c r="I1268" s="7">
        <v>1</v>
      </c>
      <c r="J1268" s="7" t="s">
        <v>7838</v>
      </c>
      <c r="K1268" s="9" t="s">
        <v>8987</v>
      </c>
    </row>
    <row r="1269" spans="1:11">
      <c r="A1269" s="7">
        <v>1267</v>
      </c>
      <c r="B1269" s="7" t="s">
        <v>9208</v>
      </c>
      <c r="C1269" s="7" t="s">
        <v>8984</v>
      </c>
      <c r="D1269" s="7" t="s">
        <v>7549</v>
      </c>
      <c r="E1269" s="7" t="s">
        <v>10848</v>
      </c>
      <c r="F1269" s="8" t="s">
        <v>10849</v>
      </c>
      <c r="G1269" s="7">
        <v>0</v>
      </c>
      <c r="H1269" s="7" t="s">
        <v>8984</v>
      </c>
      <c r="I1269" s="7">
        <v>1</v>
      </c>
      <c r="J1269" s="7" t="s">
        <v>7838</v>
      </c>
      <c r="K1269" s="9" t="s">
        <v>8987</v>
      </c>
    </row>
    <row r="1270" spans="1:11">
      <c r="A1270" s="7">
        <v>1268</v>
      </c>
      <c r="B1270" s="7" t="s">
        <v>9208</v>
      </c>
      <c r="C1270" s="7" t="s">
        <v>8984</v>
      </c>
      <c r="D1270" s="7" t="s">
        <v>7549</v>
      </c>
      <c r="E1270" s="7" t="s">
        <v>10850</v>
      </c>
      <c r="F1270" s="8" t="s">
        <v>10851</v>
      </c>
      <c r="G1270" s="7">
        <v>0</v>
      </c>
      <c r="H1270" s="7" t="s">
        <v>8984</v>
      </c>
      <c r="I1270" s="7">
        <v>1</v>
      </c>
      <c r="J1270" s="7" t="s">
        <v>7838</v>
      </c>
      <c r="K1270" s="9" t="s">
        <v>8987</v>
      </c>
    </row>
    <row r="1271" spans="1:11">
      <c r="A1271" s="7">
        <v>1269</v>
      </c>
      <c r="B1271" s="7" t="s">
        <v>9764</v>
      </c>
      <c r="C1271" s="7" t="s">
        <v>8998</v>
      </c>
      <c r="D1271" s="7" t="s">
        <v>7556</v>
      </c>
      <c r="E1271" s="7" t="s">
        <v>10852</v>
      </c>
      <c r="F1271" s="8" t="s">
        <v>9304</v>
      </c>
      <c r="G1271" s="7" t="s">
        <v>8987</v>
      </c>
      <c r="H1271" s="7" t="s">
        <v>8987</v>
      </c>
      <c r="I1271" s="7" t="s">
        <v>8987</v>
      </c>
      <c r="J1271" s="7" t="s">
        <v>8987</v>
      </c>
      <c r="K1271" s="9" t="s">
        <v>8987</v>
      </c>
    </row>
    <row r="1272" spans="1:11">
      <c r="A1272" s="7">
        <v>1270</v>
      </c>
      <c r="B1272" s="7" t="s">
        <v>9764</v>
      </c>
      <c r="C1272" s="7" t="s">
        <v>8998</v>
      </c>
      <c r="D1272" s="7" t="s">
        <v>7556</v>
      </c>
      <c r="E1272" s="7" t="s">
        <v>10853</v>
      </c>
      <c r="F1272" s="8" t="s">
        <v>9306</v>
      </c>
      <c r="G1272" s="7" t="s">
        <v>8987</v>
      </c>
      <c r="H1272" s="7" t="s">
        <v>8987</v>
      </c>
      <c r="I1272" s="7" t="s">
        <v>8987</v>
      </c>
      <c r="J1272" s="7" t="s">
        <v>8987</v>
      </c>
      <c r="K1272" s="9" t="s">
        <v>8987</v>
      </c>
    </row>
    <row r="1273" spans="1:11">
      <c r="A1273" s="7">
        <v>1271</v>
      </c>
      <c r="B1273" s="7" t="s">
        <v>9764</v>
      </c>
      <c r="C1273" s="7" t="s">
        <v>8998</v>
      </c>
      <c r="D1273" s="7" t="s">
        <v>7556</v>
      </c>
      <c r="E1273" s="7" t="s">
        <v>10854</v>
      </c>
      <c r="F1273" s="8" t="s">
        <v>9308</v>
      </c>
      <c r="G1273" s="7" t="s">
        <v>8987</v>
      </c>
      <c r="H1273" s="7" t="s">
        <v>8987</v>
      </c>
      <c r="I1273" s="7" t="s">
        <v>8987</v>
      </c>
      <c r="J1273" s="7" t="s">
        <v>8987</v>
      </c>
      <c r="K1273" s="9" t="s">
        <v>8987</v>
      </c>
    </row>
    <row r="1274" spans="1:11">
      <c r="A1274" s="7">
        <v>1272</v>
      </c>
      <c r="B1274" s="7" t="s">
        <v>9764</v>
      </c>
      <c r="C1274" s="7" t="s">
        <v>8998</v>
      </c>
      <c r="D1274" s="7" t="s">
        <v>7542</v>
      </c>
      <c r="E1274" s="7" t="s">
        <v>10855</v>
      </c>
      <c r="F1274" s="8" t="s">
        <v>9310</v>
      </c>
      <c r="G1274" s="7" t="s">
        <v>8987</v>
      </c>
      <c r="H1274" s="7" t="s">
        <v>8987</v>
      </c>
      <c r="I1274" s="7" t="s">
        <v>8987</v>
      </c>
      <c r="J1274" s="7" t="s">
        <v>8987</v>
      </c>
      <c r="K1274" s="9" t="s">
        <v>8987</v>
      </c>
    </row>
    <row r="1275" spans="1:11">
      <c r="A1275" s="7">
        <v>1273</v>
      </c>
      <c r="B1275" s="7" t="s">
        <v>9764</v>
      </c>
      <c r="C1275" s="7" t="s">
        <v>8998</v>
      </c>
      <c r="D1275" s="7" t="s">
        <v>7556</v>
      </c>
      <c r="E1275" s="7" t="s">
        <v>10856</v>
      </c>
      <c r="F1275" s="8" t="s">
        <v>9595</v>
      </c>
      <c r="G1275" s="7" t="s">
        <v>8987</v>
      </c>
      <c r="H1275" s="7" t="s">
        <v>8987</v>
      </c>
      <c r="I1275" s="7" t="s">
        <v>8987</v>
      </c>
      <c r="J1275" s="7" t="s">
        <v>8987</v>
      </c>
      <c r="K1275" s="9" t="s">
        <v>8987</v>
      </c>
    </row>
    <row r="1276" spans="1:11">
      <c r="A1276" s="7">
        <v>1274</v>
      </c>
      <c r="B1276" s="7" t="s">
        <v>9764</v>
      </c>
      <c r="C1276" s="7" t="s">
        <v>8998</v>
      </c>
      <c r="D1276" s="7" t="s">
        <v>7556</v>
      </c>
      <c r="E1276" s="7" t="s">
        <v>10857</v>
      </c>
      <c r="F1276" s="8" t="s">
        <v>9595</v>
      </c>
      <c r="G1276" s="7" t="s">
        <v>8987</v>
      </c>
      <c r="H1276" s="7" t="s">
        <v>8987</v>
      </c>
      <c r="I1276" s="7" t="s">
        <v>8987</v>
      </c>
      <c r="J1276" s="7" t="s">
        <v>8987</v>
      </c>
      <c r="K1276" s="9" t="s">
        <v>8987</v>
      </c>
    </row>
    <row r="1277" spans="1:11">
      <c r="A1277" s="7">
        <v>1275</v>
      </c>
      <c r="B1277" s="7" t="s">
        <v>9764</v>
      </c>
      <c r="C1277" s="7" t="s">
        <v>8998</v>
      </c>
      <c r="D1277" s="7" t="s">
        <v>7556</v>
      </c>
      <c r="E1277" s="7" t="s">
        <v>10858</v>
      </c>
      <c r="F1277" s="8" t="s">
        <v>9595</v>
      </c>
      <c r="G1277" s="7" t="s">
        <v>8987</v>
      </c>
      <c r="H1277" s="7" t="s">
        <v>8987</v>
      </c>
      <c r="I1277" s="7" t="s">
        <v>8987</v>
      </c>
      <c r="J1277" s="7" t="s">
        <v>8987</v>
      </c>
      <c r="K1277" s="9" t="s">
        <v>8987</v>
      </c>
    </row>
    <row r="1278" spans="1:11">
      <c r="A1278" s="7">
        <v>1276</v>
      </c>
      <c r="B1278" s="7" t="s">
        <v>8990</v>
      </c>
      <c r="C1278" s="7" t="s">
        <v>8998</v>
      </c>
      <c r="D1278" s="7" t="s">
        <v>7553</v>
      </c>
      <c r="E1278" s="7" t="s">
        <v>10859</v>
      </c>
      <c r="F1278" s="8" t="s">
        <v>10860</v>
      </c>
      <c r="G1278" s="7" t="s">
        <v>8987</v>
      </c>
      <c r="H1278" s="7" t="s">
        <v>8987</v>
      </c>
      <c r="I1278" s="7" t="s">
        <v>8987</v>
      </c>
      <c r="J1278" s="7" t="s">
        <v>8987</v>
      </c>
      <c r="K1278" s="9" t="s">
        <v>8987</v>
      </c>
    </row>
    <row r="1279" spans="1:11">
      <c r="A1279" s="7">
        <v>1277</v>
      </c>
      <c r="B1279" s="7" t="s">
        <v>8990</v>
      </c>
      <c r="C1279" s="7" t="s">
        <v>8998</v>
      </c>
      <c r="D1279" s="7" t="s">
        <v>7553</v>
      </c>
      <c r="E1279" s="7" t="s">
        <v>10861</v>
      </c>
      <c r="F1279" s="8" t="s">
        <v>10860</v>
      </c>
      <c r="G1279" s="7" t="s">
        <v>8987</v>
      </c>
      <c r="H1279" s="7" t="s">
        <v>8987</v>
      </c>
      <c r="I1279" s="7" t="s">
        <v>8987</v>
      </c>
      <c r="J1279" s="7" t="s">
        <v>8987</v>
      </c>
      <c r="K1279" s="9" t="s">
        <v>8987</v>
      </c>
    </row>
    <row r="1280" spans="1:11">
      <c r="A1280" s="7">
        <v>1278</v>
      </c>
      <c r="B1280" s="7" t="s">
        <v>8990</v>
      </c>
      <c r="C1280" s="7" t="s">
        <v>8998</v>
      </c>
      <c r="D1280" s="7" t="s">
        <v>7553</v>
      </c>
      <c r="E1280" s="7" t="s">
        <v>10862</v>
      </c>
      <c r="F1280" s="8" t="s">
        <v>10860</v>
      </c>
      <c r="G1280" s="7" t="s">
        <v>8987</v>
      </c>
      <c r="H1280" s="7" t="s">
        <v>8987</v>
      </c>
      <c r="I1280" s="7" t="s">
        <v>8987</v>
      </c>
      <c r="J1280" s="7" t="s">
        <v>8987</v>
      </c>
      <c r="K1280" s="9" t="s">
        <v>8987</v>
      </c>
    </row>
    <row r="1281" spans="1:11">
      <c r="A1281" s="7">
        <v>1279</v>
      </c>
      <c r="B1281" s="7" t="s">
        <v>9764</v>
      </c>
      <c r="C1281" s="7" t="s">
        <v>8998</v>
      </c>
      <c r="D1281" s="7" t="s">
        <v>7548</v>
      </c>
      <c r="E1281" s="7" t="s">
        <v>10863</v>
      </c>
      <c r="F1281" s="8" t="s">
        <v>10244</v>
      </c>
      <c r="G1281" s="7" t="s">
        <v>8987</v>
      </c>
      <c r="H1281" s="7" t="s">
        <v>8987</v>
      </c>
      <c r="I1281" s="7" t="s">
        <v>8987</v>
      </c>
      <c r="J1281" s="7" t="s">
        <v>8987</v>
      </c>
      <c r="K1281" s="9" t="s">
        <v>8987</v>
      </c>
    </row>
    <row r="1282" spans="1:11">
      <c r="A1282" s="7">
        <v>1280</v>
      </c>
      <c r="B1282" s="7" t="s">
        <v>9764</v>
      </c>
      <c r="C1282" s="7" t="s">
        <v>8998</v>
      </c>
      <c r="D1282" s="7" t="s">
        <v>7542</v>
      </c>
      <c r="E1282" s="7" t="s">
        <v>10864</v>
      </c>
      <c r="F1282" s="8" t="s">
        <v>8993</v>
      </c>
      <c r="G1282" s="7" t="s">
        <v>8987</v>
      </c>
      <c r="H1282" s="7" t="s">
        <v>8987</v>
      </c>
      <c r="I1282" s="7" t="s">
        <v>8987</v>
      </c>
      <c r="J1282" s="7" t="s">
        <v>8987</v>
      </c>
      <c r="K1282" s="9" t="s">
        <v>8987</v>
      </c>
    </row>
    <row r="1283" spans="1:11">
      <c r="A1283" s="7">
        <v>1281</v>
      </c>
      <c r="B1283" s="7" t="s">
        <v>9764</v>
      </c>
      <c r="C1283" s="7" t="s">
        <v>8998</v>
      </c>
      <c r="D1283" s="7" t="s">
        <v>7573</v>
      </c>
      <c r="E1283" s="7" t="s">
        <v>10865</v>
      </c>
      <c r="F1283" s="8" t="s">
        <v>9173</v>
      </c>
      <c r="G1283" s="7" t="s">
        <v>8987</v>
      </c>
      <c r="H1283" s="7" t="s">
        <v>8987</v>
      </c>
      <c r="I1283" s="7" t="s">
        <v>8987</v>
      </c>
      <c r="J1283" s="7" t="s">
        <v>8987</v>
      </c>
      <c r="K1283" s="9" t="s">
        <v>8987</v>
      </c>
    </row>
    <row r="1284" spans="1:11">
      <c r="A1284" s="7">
        <v>1282</v>
      </c>
      <c r="B1284" s="7" t="s">
        <v>9764</v>
      </c>
      <c r="C1284" s="7" t="s">
        <v>8998</v>
      </c>
      <c r="D1284" s="7" t="s">
        <v>7547</v>
      </c>
      <c r="E1284" s="7" t="s">
        <v>10866</v>
      </c>
      <c r="F1284" s="8" t="s">
        <v>9279</v>
      </c>
      <c r="G1284" s="7" t="s">
        <v>8987</v>
      </c>
      <c r="H1284" s="7" t="s">
        <v>8987</v>
      </c>
      <c r="I1284" s="7" t="s">
        <v>8987</v>
      </c>
      <c r="J1284" s="7" t="s">
        <v>8987</v>
      </c>
      <c r="K1284" s="9" t="s">
        <v>8987</v>
      </c>
    </row>
    <row r="1285" spans="1:11">
      <c r="A1285" s="7">
        <v>1283</v>
      </c>
      <c r="B1285" s="7" t="s">
        <v>9764</v>
      </c>
      <c r="C1285" s="7" t="s">
        <v>8998</v>
      </c>
      <c r="D1285" s="7" t="s">
        <v>7548</v>
      </c>
      <c r="E1285" s="7" t="s">
        <v>10867</v>
      </c>
      <c r="F1285" s="8" t="s">
        <v>7548</v>
      </c>
      <c r="G1285" s="7" t="s">
        <v>8987</v>
      </c>
      <c r="H1285" s="7" t="s">
        <v>8987</v>
      </c>
      <c r="I1285" s="7" t="s">
        <v>8987</v>
      </c>
      <c r="J1285" s="7" t="s">
        <v>8987</v>
      </c>
      <c r="K1285" s="9" t="s">
        <v>8987</v>
      </c>
    </row>
    <row r="1286" spans="1:11">
      <c r="A1286" s="7">
        <v>1284</v>
      </c>
      <c r="B1286" s="7" t="s">
        <v>9764</v>
      </c>
      <c r="C1286" s="7" t="s">
        <v>8984</v>
      </c>
      <c r="D1286" s="7" t="s">
        <v>7542</v>
      </c>
      <c r="E1286" s="7" t="s">
        <v>10868</v>
      </c>
      <c r="F1286" s="8" t="s">
        <v>9152</v>
      </c>
      <c r="G1286" s="7">
        <v>120</v>
      </c>
      <c r="H1286" s="7" t="s">
        <v>9036</v>
      </c>
      <c r="I1286" s="7">
        <v>17</v>
      </c>
      <c r="J1286" s="7" t="s">
        <v>9361</v>
      </c>
      <c r="K1286" s="9" t="s">
        <v>8987</v>
      </c>
    </row>
    <row r="1287" spans="1:11">
      <c r="A1287" s="7">
        <v>1285</v>
      </c>
      <c r="B1287" s="7" t="s">
        <v>9764</v>
      </c>
      <c r="C1287" s="7" t="s">
        <v>8984</v>
      </c>
      <c r="D1287" s="7" t="s">
        <v>7542</v>
      </c>
      <c r="E1287" s="7" t="s">
        <v>10869</v>
      </c>
      <c r="F1287" s="8" t="s">
        <v>9159</v>
      </c>
      <c r="G1287" s="7">
        <v>90</v>
      </c>
      <c r="H1287" s="7" t="s">
        <v>9642</v>
      </c>
      <c r="I1287" s="7">
        <v>13</v>
      </c>
      <c r="J1287" s="7" t="s">
        <v>9673</v>
      </c>
      <c r="K1287" s="9" t="s">
        <v>8987</v>
      </c>
    </row>
    <row r="1288" spans="1:11">
      <c r="A1288" s="7">
        <v>1286</v>
      </c>
      <c r="B1288" s="7" t="s">
        <v>9764</v>
      </c>
      <c r="C1288" s="7" t="s">
        <v>8984</v>
      </c>
      <c r="D1288" s="7" t="s">
        <v>7542</v>
      </c>
      <c r="E1288" s="7" t="s">
        <v>10870</v>
      </c>
      <c r="F1288" s="8" t="s">
        <v>9145</v>
      </c>
      <c r="G1288" s="7">
        <v>70</v>
      </c>
      <c r="H1288" s="7" t="s">
        <v>9194</v>
      </c>
      <c r="I1288" s="7">
        <v>9</v>
      </c>
      <c r="J1288" s="7" t="s">
        <v>9195</v>
      </c>
      <c r="K1288" s="9" t="s">
        <v>8987</v>
      </c>
    </row>
    <row r="1289" spans="1:11">
      <c r="A1289" s="7">
        <v>1287</v>
      </c>
      <c r="B1289" s="7" t="s">
        <v>9764</v>
      </c>
      <c r="C1289" s="7" t="s">
        <v>8984</v>
      </c>
      <c r="D1289" s="7" t="s">
        <v>7542</v>
      </c>
      <c r="E1289" s="7" t="s">
        <v>10871</v>
      </c>
      <c r="F1289" s="8" t="s">
        <v>10690</v>
      </c>
      <c r="G1289" s="7">
        <v>80</v>
      </c>
      <c r="H1289" s="7" t="s">
        <v>9153</v>
      </c>
      <c r="I1289" s="7">
        <v>9</v>
      </c>
      <c r="J1289" s="7" t="s">
        <v>7686</v>
      </c>
      <c r="K1289" s="9" t="s">
        <v>8987</v>
      </c>
    </row>
    <row r="1290" spans="1:11">
      <c r="A1290" s="7">
        <v>1288</v>
      </c>
      <c r="B1290" s="7" t="s">
        <v>9764</v>
      </c>
      <c r="C1290" s="7" t="s">
        <v>8984</v>
      </c>
      <c r="D1290" s="7" t="s">
        <v>7550</v>
      </c>
      <c r="E1290" s="7" t="s">
        <v>10872</v>
      </c>
      <c r="F1290" s="8" t="s">
        <v>9669</v>
      </c>
      <c r="G1290" s="7">
        <v>50</v>
      </c>
      <c r="H1290" s="7" t="s">
        <v>9021</v>
      </c>
      <c r="I1290" s="7">
        <v>9</v>
      </c>
      <c r="J1290" s="7" t="s">
        <v>9639</v>
      </c>
      <c r="K1290" s="9" t="s">
        <v>8987</v>
      </c>
    </row>
    <row r="1291" spans="1:11">
      <c r="A1291" s="7">
        <v>1289</v>
      </c>
      <c r="B1291" s="7" t="s">
        <v>9764</v>
      </c>
      <c r="C1291" s="7" t="s">
        <v>8984</v>
      </c>
      <c r="D1291" s="7" t="s">
        <v>7542</v>
      </c>
      <c r="E1291" s="7" t="s">
        <v>10873</v>
      </c>
      <c r="F1291" s="8" t="s">
        <v>9152</v>
      </c>
      <c r="G1291" s="7">
        <v>110</v>
      </c>
      <c r="H1291" s="7" t="s">
        <v>9321</v>
      </c>
      <c r="I1291" s="7">
        <v>17</v>
      </c>
      <c r="J1291" s="7" t="s">
        <v>9763</v>
      </c>
      <c r="K1291" s="9" t="s">
        <v>8987</v>
      </c>
    </row>
    <row r="1292" spans="1:11">
      <c r="A1292" s="7">
        <v>1290</v>
      </c>
      <c r="B1292" s="7" t="s">
        <v>9764</v>
      </c>
      <c r="C1292" s="7" t="s">
        <v>8984</v>
      </c>
      <c r="D1292" s="7" t="s">
        <v>7542</v>
      </c>
      <c r="E1292" s="7" t="s">
        <v>10874</v>
      </c>
      <c r="F1292" s="8" t="s">
        <v>9159</v>
      </c>
      <c r="G1292" s="7">
        <v>80</v>
      </c>
      <c r="H1292" s="7" t="s">
        <v>9153</v>
      </c>
      <c r="I1292" s="7">
        <v>13</v>
      </c>
      <c r="J1292" s="7" t="s">
        <v>9315</v>
      </c>
      <c r="K1292" s="9" t="s">
        <v>8987</v>
      </c>
    </row>
    <row r="1293" spans="1:11">
      <c r="A1293" s="7">
        <v>1291</v>
      </c>
      <c r="B1293" s="7" t="s">
        <v>9764</v>
      </c>
      <c r="C1293" s="7" t="s">
        <v>8984</v>
      </c>
      <c r="D1293" s="7" t="s">
        <v>7542</v>
      </c>
      <c r="E1293" s="7" t="s">
        <v>10875</v>
      </c>
      <c r="F1293" s="8" t="s">
        <v>9145</v>
      </c>
      <c r="G1293" s="7">
        <v>60</v>
      </c>
      <c r="H1293" s="7" t="s">
        <v>9289</v>
      </c>
      <c r="I1293" s="7">
        <v>9</v>
      </c>
      <c r="J1293" s="7" t="s">
        <v>10289</v>
      </c>
      <c r="K1293" s="9" t="s">
        <v>8987</v>
      </c>
    </row>
    <row r="1294" spans="1:11">
      <c r="A1294" s="7">
        <v>1292</v>
      </c>
      <c r="B1294" s="7" t="s">
        <v>9764</v>
      </c>
      <c r="C1294" s="7" t="s">
        <v>8984</v>
      </c>
      <c r="D1294" s="7" t="s">
        <v>7542</v>
      </c>
      <c r="E1294" s="7" t="s">
        <v>10876</v>
      </c>
      <c r="F1294" s="8" t="s">
        <v>10690</v>
      </c>
      <c r="G1294" s="7">
        <v>70</v>
      </c>
      <c r="H1294" s="7" t="s">
        <v>9194</v>
      </c>
      <c r="I1294" s="7">
        <v>9</v>
      </c>
      <c r="J1294" s="7" t="s">
        <v>9195</v>
      </c>
      <c r="K1294" s="9" t="s">
        <v>8987</v>
      </c>
    </row>
    <row r="1295" spans="1:11">
      <c r="A1295" s="7">
        <v>1293</v>
      </c>
      <c r="B1295" s="7" t="s">
        <v>9764</v>
      </c>
      <c r="C1295" s="7" t="s">
        <v>8984</v>
      </c>
      <c r="D1295" s="7" t="s">
        <v>7550</v>
      </c>
      <c r="E1295" s="7" t="s">
        <v>10877</v>
      </c>
      <c r="F1295" s="8" t="s">
        <v>9669</v>
      </c>
      <c r="G1295" s="7">
        <v>70</v>
      </c>
      <c r="H1295" s="7" t="s">
        <v>9194</v>
      </c>
      <c r="I1295" s="7">
        <v>9</v>
      </c>
      <c r="J1295" s="7" t="s">
        <v>9195</v>
      </c>
      <c r="K1295" s="9" t="s">
        <v>8987</v>
      </c>
    </row>
    <row r="1296" spans="1:11">
      <c r="A1296" s="7">
        <v>1294</v>
      </c>
      <c r="B1296" s="7" t="s">
        <v>9764</v>
      </c>
      <c r="C1296" s="7" t="s">
        <v>8984</v>
      </c>
      <c r="D1296" s="7" t="s">
        <v>7542</v>
      </c>
      <c r="E1296" s="7" t="s">
        <v>10878</v>
      </c>
      <c r="F1296" s="8" t="s">
        <v>9152</v>
      </c>
      <c r="G1296" s="7">
        <v>100</v>
      </c>
      <c r="H1296" s="7" t="s">
        <v>9046</v>
      </c>
      <c r="I1296" s="7">
        <v>17</v>
      </c>
      <c r="J1296" s="7" t="s">
        <v>9318</v>
      </c>
      <c r="K1296" s="9" t="s">
        <v>8987</v>
      </c>
    </row>
    <row r="1297" spans="1:11">
      <c r="A1297" s="7">
        <v>1295</v>
      </c>
      <c r="B1297" s="7" t="s">
        <v>9764</v>
      </c>
      <c r="C1297" s="7" t="s">
        <v>8984</v>
      </c>
      <c r="D1297" s="7" t="s">
        <v>7542</v>
      </c>
      <c r="E1297" s="7" t="s">
        <v>10879</v>
      </c>
      <c r="F1297" s="8" t="s">
        <v>9159</v>
      </c>
      <c r="G1297" s="7">
        <v>70</v>
      </c>
      <c r="H1297" s="7" t="s">
        <v>9194</v>
      </c>
      <c r="I1297" s="7">
        <v>13</v>
      </c>
      <c r="J1297" s="7" t="s">
        <v>10795</v>
      </c>
      <c r="K1297" s="9" t="s">
        <v>8987</v>
      </c>
    </row>
    <row r="1298" spans="1:11">
      <c r="A1298" s="7">
        <v>1296</v>
      </c>
      <c r="B1298" s="7" t="s">
        <v>9764</v>
      </c>
      <c r="C1298" s="7" t="s">
        <v>8984</v>
      </c>
      <c r="D1298" s="7" t="s">
        <v>7542</v>
      </c>
      <c r="E1298" s="7" t="s">
        <v>10880</v>
      </c>
      <c r="F1298" s="8" t="s">
        <v>9145</v>
      </c>
      <c r="G1298" s="7">
        <v>50</v>
      </c>
      <c r="H1298" s="7" t="s">
        <v>9021</v>
      </c>
      <c r="I1298" s="7">
        <v>9</v>
      </c>
      <c r="J1298" s="7" t="s">
        <v>9639</v>
      </c>
      <c r="K1298" s="9" t="s">
        <v>8987</v>
      </c>
    </row>
    <row r="1299" spans="1:11">
      <c r="A1299" s="7">
        <v>1297</v>
      </c>
      <c r="B1299" s="7" t="s">
        <v>9764</v>
      </c>
      <c r="C1299" s="7" t="s">
        <v>8984</v>
      </c>
      <c r="D1299" s="7" t="s">
        <v>7542</v>
      </c>
      <c r="E1299" s="7" t="s">
        <v>10881</v>
      </c>
      <c r="F1299" s="8" t="s">
        <v>10690</v>
      </c>
      <c r="G1299" s="7">
        <v>60</v>
      </c>
      <c r="H1299" s="7" t="s">
        <v>9289</v>
      </c>
      <c r="I1299" s="7">
        <v>9</v>
      </c>
      <c r="J1299" s="7" t="s">
        <v>10289</v>
      </c>
      <c r="K1299" s="9" t="s">
        <v>8987</v>
      </c>
    </row>
    <row r="1300" spans="1:11">
      <c r="A1300" s="7">
        <v>1298</v>
      </c>
      <c r="B1300" s="7" t="s">
        <v>9764</v>
      </c>
      <c r="C1300" s="7" t="s">
        <v>8984</v>
      </c>
      <c r="D1300" s="7" t="s">
        <v>7550</v>
      </c>
      <c r="E1300" s="7" t="s">
        <v>10882</v>
      </c>
      <c r="F1300" s="8" t="s">
        <v>9669</v>
      </c>
      <c r="G1300" s="7">
        <v>50</v>
      </c>
      <c r="H1300" s="7" t="s">
        <v>9021</v>
      </c>
      <c r="I1300" s="7">
        <v>9</v>
      </c>
      <c r="J1300" s="7" t="s">
        <v>9639</v>
      </c>
      <c r="K1300" s="9" t="s">
        <v>8987</v>
      </c>
    </row>
    <row r="1301" spans="1:11">
      <c r="A1301" s="7">
        <v>1299</v>
      </c>
      <c r="B1301" s="7" t="s">
        <v>9764</v>
      </c>
      <c r="C1301" s="7" t="s">
        <v>8984</v>
      </c>
      <c r="D1301" s="7" t="s">
        <v>7573</v>
      </c>
      <c r="E1301" s="7" t="s">
        <v>3681</v>
      </c>
      <c r="F1301" s="8" t="s">
        <v>10172</v>
      </c>
      <c r="G1301" s="7">
        <v>51</v>
      </c>
      <c r="H1301" s="7" t="s">
        <v>10883</v>
      </c>
      <c r="I1301" s="7">
        <v>9</v>
      </c>
      <c r="J1301" s="7" t="s">
        <v>10884</v>
      </c>
      <c r="K1301" s="9" t="s">
        <v>8987</v>
      </c>
    </row>
    <row r="1302" spans="1:11">
      <c r="A1302" s="7">
        <v>1300</v>
      </c>
      <c r="B1302" s="7" t="s">
        <v>9764</v>
      </c>
      <c r="C1302" s="7" t="s">
        <v>8984</v>
      </c>
      <c r="D1302" s="7" t="s">
        <v>7573</v>
      </c>
      <c r="E1302" s="7" t="s">
        <v>10885</v>
      </c>
      <c r="F1302" s="8" t="s">
        <v>10172</v>
      </c>
      <c r="G1302" s="7">
        <v>37</v>
      </c>
      <c r="H1302" s="7" t="s">
        <v>9884</v>
      </c>
      <c r="I1302" s="7">
        <v>7</v>
      </c>
      <c r="J1302" s="7" t="s">
        <v>10886</v>
      </c>
      <c r="K1302" s="9" t="s">
        <v>8987</v>
      </c>
    </row>
    <row r="1303" spans="1:11">
      <c r="A1303" s="7">
        <v>1301</v>
      </c>
      <c r="B1303" s="7" t="s">
        <v>9764</v>
      </c>
      <c r="C1303" s="7" t="s">
        <v>8984</v>
      </c>
      <c r="D1303" s="7" t="s">
        <v>7552</v>
      </c>
      <c r="E1303" s="7" t="s">
        <v>7292</v>
      </c>
      <c r="F1303" s="8" t="s">
        <v>10142</v>
      </c>
      <c r="G1303" s="7">
        <v>80</v>
      </c>
      <c r="H1303" s="7" t="s">
        <v>9153</v>
      </c>
      <c r="I1303" s="7">
        <v>13</v>
      </c>
      <c r="J1303" s="7" t="s">
        <v>9315</v>
      </c>
      <c r="K1303" s="9" t="s">
        <v>8987</v>
      </c>
    </row>
    <row r="1304" spans="1:11">
      <c r="A1304" s="7">
        <v>1302</v>
      </c>
      <c r="B1304" s="7" t="s">
        <v>9764</v>
      </c>
      <c r="C1304" s="7" t="s">
        <v>8984</v>
      </c>
      <c r="D1304" s="7" t="s">
        <v>7552</v>
      </c>
      <c r="E1304" s="7" t="s">
        <v>10887</v>
      </c>
      <c r="F1304" s="8" t="s">
        <v>10102</v>
      </c>
      <c r="G1304" s="7">
        <v>80</v>
      </c>
      <c r="H1304" s="7" t="s">
        <v>9153</v>
      </c>
      <c r="I1304" s="7">
        <v>13</v>
      </c>
      <c r="J1304" s="7" t="s">
        <v>9315</v>
      </c>
      <c r="K1304" s="9" t="s">
        <v>8987</v>
      </c>
    </row>
    <row r="1305" spans="1:11">
      <c r="A1305" s="7">
        <v>1303</v>
      </c>
      <c r="B1305" s="7" t="s">
        <v>9764</v>
      </c>
      <c r="C1305" s="7" t="s">
        <v>8984</v>
      </c>
      <c r="D1305" s="7" t="s">
        <v>7556</v>
      </c>
      <c r="E1305" s="7" t="s">
        <v>10888</v>
      </c>
      <c r="F1305" s="8" t="s">
        <v>9595</v>
      </c>
      <c r="G1305" s="7">
        <v>120</v>
      </c>
      <c r="H1305" s="7" t="s">
        <v>9036</v>
      </c>
      <c r="I1305" s="7">
        <v>17</v>
      </c>
      <c r="J1305" s="7" t="s">
        <v>9361</v>
      </c>
      <c r="K1305" s="9" t="s">
        <v>8987</v>
      </c>
    </row>
    <row r="1306" spans="1:11">
      <c r="A1306" s="7">
        <v>1304</v>
      </c>
      <c r="B1306" s="7" t="s">
        <v>9764</v>
      </c>
      <c r="C1306" s="7" t="s">
        <v>8984</v>
      </c>
      <c r="D1306" s="7" t="s">
        <v>7556</v>
      </c>
      <c r="E1306" s="7" t="s">
        <v>10889</v>
      </c>
      <c r="F1306" s="8" t="s">
        <v>9595</v>
      </c>
      <c r="G1306" s="7">
        <v>120</v>
      </c>
      <c r="H1306" s="7" t="s">
        <v>9036</v>
      </c>
      <c r="I1306" s="7">
        <v>17</v>
      </c>
      <c r="J1306" s="7" t="s">
        <v>9361</v>
      </c>
      <c r="K1306" s="9" t="s">
        <v>8987</v>
      </c>
    </row>
    <row r="1307" spans="1:11">
      <c r="A1307" s="7">
        <v>1305</v>
      </c>
      <c r="B1307" s="7" t="s">
        <v>9764</v>
      </c>
      <c r="C1307" s="7" t="s">
        <v>8984</v>
      </c>
      <c r="D1307" s="7" t="s">
        <v>7556</v>
      </c>
      <c r="E1307" s="7" t="s">
        <v>10890</v>
      </c>
      <c r="F1307" s="8" t="s">
        <v>9595</v>
      </c>
      <c r="G1307" s="7">
        <v>120</v>
      </c>
      <c r="H1307" s="7" t="s">
        <v>9036</v>
      </c>
      <c r="I1307" s="7">
        <v>17</v>
      </c>
      <c r="J1307" s="7" t="s">
        <v>9361</v>
      </c>
      <c r="K1307" s="9" t="s">
        <v>8987</v>
      </c>
    </row>
    <row r="1308" spans="1:11">
      <c r="A1308" s="7">
        <v>1306</v>
      </c>
      <c r="B1308" s="7" t="s">
        <v>9764</v>
      </c>
      <c r="C1308" s="7" t="s">
        <v>8984</v>
      </c>
      <c r="D1308" s="7" t="s">
        <v>7550</v>
      </c>
      <c r="E1308" s="7" t="s">
        <v>10891</v>
      </c>
      <c r="F1308" s="8" t="s">
        <v>9669</v>
      </c>
      <c r="G1308" s="7">
        <v>140</v>
      </c>
      <c r="H1308" s="7" t="s">
        <v>10761</v>
      </c>
      <c r="I1308" s="7">
        <v>9</v>
      </c>
      <c r="J1308" s="7" t="s">
        <v>7782</v>
      </c>
      <c r="K1308" s="9" t="s">
        <v>8987</v>
      </c>
    </row>
    <row r="1309" spans="1:11">
      <c r="A1309" s="7">
        <v>1307</v>
      </c>
      <c r="B1309" s="7" t="s">
        <v>9764</v>
      </c>
      <c r="C1309" s="7" t="s">
        <v>8984</v>
      </c>
      <c r="D1309" s="7" t="s">
        <v>7542</v>
      </c>
      <c r="E1309" s="7" t="s">
        <v>10892</v>
      </c>
      <c r="F1309" s="8" t="s">
        <v>9152</v>
      </c>
      <c r="G1309" s="7">
        <v>120</v>
      </c>
      <c r="H1309" s="7" t="s">
        <v>9036</v>
      </c>
      <c r="I1309" s="7">
        <v>9</v>
      </c>
      <c r="J1309" s="7" t="s">
        <v>10249</v>
      </c>
      <c r="K1309" s="9" t="s">
        <v>8987</v>
      </c>
    </row>
    <row r="1310" spans="1:11">
      <c r="A1310" s="7">
        <v>1308</v>
      </c>
      <c r="B1310" s="7" t="s">
        <v>9764</v>
      </c>
      <c r="C1310" s="7" t="s">
        <v>8984</v>
      </c>
      <c r="D1310" s="7" t="s">
        <v>7542</v>
      </c>
      <c r="E1310" s="7" t="s">
        <v>10893</v>
      </c>
      <c r="F1310" s="8" t="s">
        <v>9159</v>
      </c>
      <c r="G1310" s="7">
        <v>90</v>
      </c>
      <c r="H1310" s="7" t="s">
        <v>9642</v>
      </c>
      <c r="I1310" s="7">
        <v>13</v>
      </c>
      <c r="J1310" s="7" t="s">
        <v>9673</v>
      </c>
      <c r="K1310" s="9" t="s">
        <v>8987</v>
      </c>
    </row>
    <row r="1311" spans="1:11">
      <c r="A1311" s="7">
        <v>1309</v>
      </c>
      <c r="B1311" s="7" t="s">
        <v>9764</v>
      </c>
      <c r="C1311" s="7" t="s">
        <v>8984</v>
      </c>
      <c r="D1311" s="7" t="s">
        <v>7542</v>
      </c>
      <c r="E1311" s="7" t="s">
        <v>10894</v>
      </c>
      <c r="F1311" s="8" t="s">
        <v>9145</v>
      </c>
      <c r="G1311" s="7">
        <v>50</v>
      </c>
      <c r="H1311" s="7" t="s">
        <v>9021</v>
      </c>
      <c r="I1311" s="7">
        <v>9</v>
      </c>
      <c r="J1311" s="7" t="s">
        <v>9639</v>
      </c>
      <c r="K1311" s="9" t="s">
        <v>8987</v>
      </c>
    </row>
    <row r="1312" spans="1:11">
      <c r="A1312" s="7">
        <v>1310</v>
      </c>
      <c r="B1312" s="7" t="s">
        <v>9764</v>
      </c>
      <c r="C1312" s="7" t="s">
        <v>8984</v>
      </c>
      <c r="D1312" s="7" t="s">
        <v>7542</v>
      </c>
      <c r="E1312" s="7" t="s">
        <v>10895</v>
      </c>
      <c r="F1312" s="8" t="s">
        <v>10690</v>
      </c>
      <c r="G1312" s="7">
        <v>80</v>
      </c>
      <c r="H1312" s="7" t="s">
        <v>9153</v>
      </c>
      <c r="I1312" s="7">
        <v>13</v>
      </c>
      <c r="J1312" s="7" t="s">
        <v>9315</v>
      </c>
      <c r="K1312" s="9" t="s">
        <v>8987</v>
      </c>
    </row>
    <row r="1313" spans="1:11">
      <c r="A1313" s="7">
        <v>1311</v>
      </c>
      <c r="B1313" s="7" t="s">
        <v>10765</v>
      </c>
      <c r="C1313" s="7" t="s">
        <v>8984</v>
      </c>
      <c r="D1313" s="7" t="s">
        <v>7549</v>
      </c>
      <c r="E1313" s="7" t="s">
        <v>10896</v>
      </c>
      <c r="F1313" s="8" t="s">
        <v>10897</v>
      </c>
      <c r="G1313" s="7">
        <v>100</v>
      </c>
      <c r="H1313" s="7" t="s">
        <v>9046</v>
      </c>
      <c r="I1313" s="7">
        <v>17</v>
      </c>
      <c r="J1313" s="7" t="s">
        <v>9318</v>
      </c>
      <c r="K1313" s="9" t="s">
        <v>8987</v>
      </c>
    </row>
    <row r="1314" spans="1:11">
      <c r="A1314" s="7">
        <v>1312</v>
      </c>
      <c r="B1314" s="7" t="s">
        <v>9764</v>
      </c>
      <c r="C1314" s="7" t="s">
        <v>8984</v>
      </c>
      <c r="D1314" s="7" t="s">
        <v>7549</v>
      </c>
      <c r="E1314" s="7" t="s">
        <v>10898</v>
      </c>
      <c r="F1314" s="8" t="s">
        <v>9606</v>
      </c>
      <c r="G1314" s="7">
        <v>1</v>
      </c>
      <c r="H1314" s="7" t="s">
        <v>9112</v>
      </c>
      <c r="I1314" s="7">
        <v>1</v>
      </c>
      <c r="J1314" s="7" t="s">
        <v>9113</v>
      </c>
      <c r="K1314" s="9" t="s">
        <v>8987</v>
      </c>
    </row>
    <row r="1315" spans="1:11">
      <c r="A1315" s="7">
        <v>1313</v>
      </c>
      <c r="B1315" s="7" t="s">
        <v>9764</v>
      </c>
      <c r="C1315" s="7" t="s">
        <v>8984</v>
      </c>
      <c r="D1315" s="7" t="s">
        <v>7542</v>
      </c>
      <c r="E1315" s="7" t="s">
        <v>10899</v>
      </c>
      <c r="F1315" s="8" t="s">
        <v>9145</v>
      </c>
      <c r="G1315" s="7">
        <v>60</v>
      </c>
      <c r="H1315" s="7" t="s">
        <v>9289</v>
      </c>
      <c r="I1315" s="7">
        <v>13</v>
      </c>
      <c r="J1315" s="7" t="s">
        <v>7827</v>
      </c>
      <c r="K1315" s="9" t="s">
        <v>8987</v>
      </c>
    </row>
    <row r="1316" spans="1:11">
      <c r="A1316" s="7">
        <v>1314</v>
      </c>
      <c r="B1316" s="7" t="s">
        <v>10765</v>
      </c>
      <c r="C1316" s="7" t="s">
        <v>8984</v>
      </c>
      <c r="D1316" s="7" t="s">
        <v>7581</v>
      </c>
      <c r="E1316" s="7" t="s">
        <v>10900</v>
      </c>
      <c r="F1316" s="8" t="s">
        <v>10029</v>
      </c>
      <c r="G1316" s="7">
        <v>0</v>
      </c>
      <c r="H1316" s="7" t="s">
        <v>8984</v>
      </c>
      <c r="I1316" s="7">
        <v>1</v>
      </c>
      <c r="J1316" s="7" t="s">
        <v>7838</v>
      </c>
      <c r="K1316" s="9" t="s">
        <v>8987</v>
      </c>
    </row>
    <row r="1317" spans="1:11">
      <c r="A1317" s="7">
        <v>1315</v>
      </c>
      <c r="B1317" s="7" t="s">
        <v>9764</v>
      </c>
      <c r="C1317" s="7" t="s">
        <v>8984</v>
      </c>
      <c r="D1317" s="7" t="s">
        <v>7551</v>
      </c>
      <c r="E1317" s="7" t="s">
        <v>10901</v>
      </c>
      <c r="F1317" s="8" t="s">
        <v>9812</v>
      </c>
      <c r="G1317" s="7">
        <v>0</v>
      </c>
      <c r="H1317" s="7" t="s">
        <v>8984</v>
      </c>
      <c r="I1317" s="7">
        <v>1</v>
      </c>
      <c r="J1317" s="7" t="s">
        <v>7838</v>
      </c>
      <c r="K1317" s="9" t="s">
        <v>8987</v>
      </c>
    </row>
    <row r="1318" spans="1:11">
      <c r="A1318" s="7">
        <v>1316</v>
      </c>
      <c r="B1318" s="7" t="s">
        <v>9764</v>
      </c>
      <c r="C1318" s="7" t="s">
        <v>8984</v>
      </c>
      <c r="D1318" s="7" t="s">
        <v>7552</v>
      </c>
      <c r="E1318" s="7" t="s">
        <v>10902</v>
      </c>
      <c r="F1318" s="8" t="s">
        <v>9812</v>
      </c>
      <c r="G1318" s="7">
        <v>0</v>
      </c>
      <c r="H1318" s="7" t="s">
        <v>8984</v>
      </c>
      <c r="I1318" s="7">
        <v>1</v>
      </c>
      <c r="J1318" s="7" t="s">
        <v>7838</v>
      </c>
      <c r="K1318" s="9" t="s">
        <v>8987</v>
      </c>
    </row>
    <row r="1319" spans="1:11">
      <c r="A1319" s="7">
        <v>1317</v>
      </c>
      <c r="B1319" s="7" t="s">
        <v>9764</v>
      </c>
      <c r="C1319" s="7" t="s">
        <v>8984</v>
      </c>
      <c r="D1319" s="7" t="s">
        <v>7556</v>
      </c>
      <c r="E1319" s="7" t="s">
        <v>10903</v>
      </c>
      <c r="F1319" s="8" t="s">
        <v>9071</v>
      </c>
      <c r="G1319" s="7">
        <v>7</v>
      </c>
      <c r="H1319" s="7" t="s">
        <v>9182</v>
      </c>
      <c r="I1319" s="7">
        <v>2</v>
      </c>
      <c r="J1319" s="7" t="s">
        <v>9183</v>
      </c>
      <c r="K1319" s="9" t="s">
        <v>8987</v>
      </c>
    </row>
    <row r="1320" spans="1:11">
      <c r="A1320" s="7">
        <v>1318</v>
      </c>
      <c r="B1320" s="7" t="s">
        <v>9764</v>
      </c>
      <c r="C1320" s="7" t="s">
        <v>8984</v>
      </c>
      <c r="D1320" s="7" t="s">
        <v>7555</v>
      </c>
      <c r="E1320" s="7" t="s">
        <v>10904</v>
      </c>
      <c r="F1320" s="8" t="s">
        <v>9244</v>
      </c>
      <c r="G1320" s="7">
        <v>65</v>
      </c>
      <c r="H1320" s="7" t="s">
        <v>10429</v>
      </c>
      <c r="I1320" s="7">
        <v>13</v>
      </c>
      <c r="J1320" s="7" t="s">
        <v>10905</v>
      </c>
      <c r="K1320" s="9" t="s">
        <v>8987</v>
      </c>
    </row>
    <row r="1321" spans="1:11">
      <c r="A1321" s="7">
        <v>1319</v>
      </c>
      <c r="B1321" s="7" t="s">
        <v>9764</v>
      </c>
      <c r="C1321" s="7" t="s">
        <v>8984</v>
      </c>
      <c r="D1321" s="7" t="s">
        <v>7581</v>
      </c>
      <c r="E1321" s="7" t="s">
        <v>10906</v>
      </c>
      <c r="F1321" s="8" t="s">
        <v>10739</v>
      </c>
      <c r="G1321" s="7">
        <v>40</v>
      </c>
      <c r="H1321" s="7" t="s">
        <v>9003</v>
      </c>
      <c r="I1321" s="7">
        <v>5</v>
      </c>
      <c r="J1321" s="7" t="s">
        <v>9004</v>
      </c>
      <c r="K1321" s="9" t="s">
        <v>8987</v>
      </c>
    </row>
    <row r="1322" spans="1:11">
      <c r="A1322" s="7">
        <v>1320</v>
      </c>
      <c r="B1322" s="7" t="s">
        <v>9764</v>
      </c>
      <c r="C1322" s="7" t="s">
        <v>8984</v>
      </c>
      <c r="D1322" s="7" t="s">
        <v>7581</v>
      </c>
      <c r="E1322" s="7" t="s">
        <v>10907</v>
      </c>
      <c r="F1322" s="8" t="s">
        <v>9812</v>
      </c>
      <c r="G1322" s="7">
        <v>0</v>
      </c>
      <c r="H1322" s="7" t="s">
        <v>8984</v>
      </c>
      <c r="I1322" s="7">
        <v>1</v>
      </c>
      <c r="J1322" s="7" t="s">
        <v>7838</v>
      </c>
      <c r="K1322" s="9" t="s">
        <v>8987</v>
      </c>
    </row>
    <row r="1323" spans="1:11">
      <c r="A1323" s="7">
        <v>1321</v>
      </c>
      <c r="B1323" s="7" t="s">
        <v>9764</v>
      </c>
      <c r="C1323" s="7" t="s">
        <v>8984</v>
      </c>
      <c r="D1323" s="7" t="s">
        <v>7550</v>
      </c>
      <c r="E1323" s="7" t="s">
        <v>10908</v>
      </c>
      <c r="F1323" s="8" t="s">
        <v>9669</v>
      </c>
      <c r="G1323" s="7">
        <v>50</v>
      </c>
      <c r="H1323" s="7" t="s">
        <v>9021</v>
      </c>
      <c r="I1323" s="7">
        <v>9</v>
      </c>
      <c r="J1323" s="7" t="s">
        <v>9639</v>
      </c>
      <c r="K1323" s="9" t="s">
        <v>8987</v>
      </c>
    </row>
    <row r="1324" spans="1:11">
      <c r="A1324" s="7">
        <v>1322</v>
      </c>
      <c r="B1324" s="7" t="s">
        <v>9764</v>
      </c>
      <c r="C1324" s="7" t="s">
        <v>8984</v>
      </c>
      <c r="D1324" s="7" t="s">
        <v>7546</v>
      </c>
      <c r="E1324" s="7" t="s">
        <v>10909</v>
      </c>
      <c r="F1324" s="8" t="s">
        <v>7894</v>
      </c>
      <c r="G1324" s="7">
        <v>18</v>
      </c>
      <c r="H1324" s="7" t="s">
        <v>9422</v>
      </c>
      <c r="I1324" s="7">
        <v>3</v>
      </c>
      <c r="J1324" s="7" t="s">
        <v>7770</v>
      </c>
      <c r="K1324" s="9" t="s">
        <v>8987</v>
      </c>
    </row>
    <row r="1325" spans="1:11">
      <c r="A1325" s="7">
        <v>1323</v>
      </c>
      <c r="B1325" s="7" t="s">
        <v>9764</v>
      </c>
      <c r="C1325" s="7" t="s">
        <v>8984</v>
      </c>
      <c r="D1325" s="7" t="s">
        <v>7550</v>
      </c>
      <c r="E1325" s="7" t="s">
        <v>10910</v>
      </c>
      <c r="F1325" s="8" t="s">
        <v>7893</v>
      </c>
      <c r="G1325" s="7">
        <v>18</v>
      </c>
      <c r="H1325" s="7" t="s">
        <v>9422</v>
      </c>
      <c r="I1325" s="7">
        <v>3</v>
      </c>
      <c r="J1325" s="7" t="s">
        <v>7770</v>
      </c>
      <c r="K1325" s="9" t="s">
        <v>8987</v>
      </c>
    </row>
    <row r="1326" spans="1:11">
      <c r="A1326" s="7">
        <v>1324</v>
      </c>
      <c r="B1326" s="7" t="s">
        <v>9208</v>
      </c>
      <c r="C1326" s="7" t="s">
        <v>8984</v>
      </c>
      <c r="D1326" s="7" t="s">
        <v>7549</v>
      </c>
      <c r="E1326" s="7" t="s">
        <v>10911</v>
      </c>
      <c r="F1326" s="8" t="s">
        <v>10912</v>
      </c>
      <c r="G1326" s="7">
        <v>0</v>
      </c>
      <c r="H1326" s="7" t="s">
        <v>8984</v>
      </c>
      <c r="I1326" s="7">
        <v>1</v>
      </c>
      <c r="J1326" s="7" t="s">
        <v>7838</v>
      </c>
      <c r="K1326" s="9" t="s">
        <v>8987</v>
      </c>
    </row>
    <row r="1327" spans="1:11">
      <c r="A1327" s="7">
        <v>1325</v>
      </c>
      <c r="B1327" s="7" t="s">
        <v>8983</v>
      </c>
      <c r="C1327" s="7" t="s">
        <v>8984</v>
      </c>
      <c r="D1327" s="7" t="s">
        <v>7542</v>
      </c>
      <c r="E1327" s="7" t="s">
        <v>10913</v>
      </c>
      <c r="F1327" s="8" t="s">
        <v>9152</v>
      </c>
      <c r="G1327" s="7">
        <v>80</v>
      </c>
      <c r="H1327" s="7" t="s">
        <v>9153</v>
      </c>
      <c r="I1327" s="7">
        <v>13</v>
      </c>
      <c r="J1327" s="7" t="s">
        <v>9315</v>
      </c>
      <c r="K1327" s="9" t="s">
        <v>8987</v>
      </c>
    </row>
    <row r="1328" spans="1:11">
      <c r="A1328" s="7">
        <v>1326</v>
      </c>
      <c r="B1328" s="7" t="s">
        <v>8983</v>
      </c>
      <c r="C1328" s="7" t="s">
        <v>8984</v>
      </c>
      <c r="D1328" s="7" t="s">
        <v>7542</v>
      </c>
      <c r="E1328" s="7" t="s">
        <v>10914</v>
      </c>
      <c r="F1328" s="8" t="s">
        <v>9159</v>
      </c>
      <c r="G1328" s="7">
        <v>70</v>
      </c>
      <c r="H1328" s="7" t="s">
        <v>9194</v>
      </c>
      <c r="I1328" s="7">
        <v>13</v>
      </c>
      <c r="J1328" s="7" t="s">
        <v>10795</v>
      </c>
      <c r="K1328" s="9" t="s">
        <v>8987</v>
      </c>
    </row>
    <row r="1329" spans="1:11">
      <c r="A1329" s="7">
        <v>1327</v>
      </c>
      <c r="B1329" s="7" t="s">
        <v>8983</v>
      </c>
      <c r="C1329" s="7" t="s">
        <v>8984</v>
      </c>
      <c r="D1329" s="7" t="s">
        <v>7542</v>
      </c>
      <c r="E1329" s="7" t="s">
        <v>10915</v>
      </c>
      <c r="F1329" s="8" t="s">
        <v>9145</v>
      </c>
      <c r="G1329" s="7">
        <v>40</v>
      </c>
      <c r="H1329" s="7" t="s">
        <v>9003</v>
      </c>
      <c r="I1329" s="7">
        <v>9</v>
      </c>
      <c r="J1329" s="7" t="s">
        <v>9602</v>
      </c>
      <c r="K1329" s="9" t="s">
        <v>8987</v>
      </c>
    </row>
    <row r="1330" spans="1:11">
      <c r="A1330" s="7">
        <v>1328</v>
      </c>
      <c r="B1330" s="7" t="s">
        <v>8983</v>
      </c>
      <c r="C1330" s="7" t="s">
        <v>8984</v>
      </c>
      <c r="D1330" s="7" t="s">
        <v>7542</v>
      </c>
      <c r="E1330" s="7" t="s">
        <v>10916</v>
      </c>
      <c r="F1330" s="8" t="s">
        <v>10690</v>
      </c>
      <c r="G1330" s="7">
        <v>50</v>
      </c>
      <c r="H1330" s="7" t="s">
        <v>9021</v>
      </c>
      <c r="I1330" s="7">
        <v>9</v>
      </c>
      <c r="J1330" s="7" t="s">
        <v>9639</v>
      </c>
      <c r="K1330" s="9" t="s">
        <v>8987</v>
      </c>
    </row>
    <row r="1331" spans="1:11">
      <c r="A1331" s="7">
        <v>1329</v>
      </c>
      <c r="B1331" s="7" t="s">
        <v>8983</v>
      </c>
      <c r="C1331" s="7" t="s">
        <v>8984</v>
      </c>
      <c r="D1331" s="7" t="s">
        <v>7550</v>
      </c>
      <c r="E1331" s="7" t="s">
        <v>10917</v>
      </c>
      <c r="F1331" s="8" t="s">
        <v>9669</v>
      </c>
      <c r="G1331" s="7">
        <v>30</v>
      </c>
      <c r="H1331" s="7" t="s">
        <v>9015</v>
      </c>
      <c r="I1331" s="7">
        <v>9</v>
      </c>
      <c r="J1331" s="7" t="s">
        <v>9748</v>
      </c>
      <c r="K1331" s="9" t="s">
        <v>8987</v>
      </c>
    </row>
    <row r="1332" spans="1:11">
      <c r="A1332" s="7">
        <v>1330</v>
      </c>
      <c r="B1332" s="7" t="s">
        <v>8983</v>
      </c>
      <c r="C1332" s="7" t="s">
        <v>8984</v>
      </c>
      <c r="D1332" s="7" t="s">
        <v>7542</v>
      </c>
      <c r="E1332" s="7" t="s">
        <v>10918</v>
      </c>
      <c r="F1332" s="8" t="s">
        <v>9152</v>
      </c>
      <c r="G1332" s="7">
        <v>70</v>
      </c>
      <c r="H1332" s="7" t="s">
        <v>9194</v>
      </c>
      <c r="I1332" s="7">
        <v>13</v>
      </c>
      <c r="J1332" s="7" t="s">
        <v>10795</v>
      </c>
      <c r="K1332" s="9" t="s">
        <v>8987</v>
      </c>
    </row>
    <row r="1333" spans="1:11">
      <c r="A1333" s="7">
        <v>1331</v>
      </c>
      <c r="B1333" s="7" t="s">
        <v>8983</v>
      </c>
      <c r="C1333" s="7" t="s">
        <v>8984</v>
      </c>
      <c r="D1333" s="7" t="s">
        <v>7542</v>
      </c>
      <c r="E1333" s="7" t="s">
        <v>10919</v>
      </c>
      <c r="F1333" s="8" t="s">
        <v>9159</v>
      </c>
      <c r="G1333" s="7">
        <v>60</v>
      </c>
      <c r="H1333" s="7" t="s">
        <v>9289</v>
      </c>
      <c r="I1333" s="7">
        <v>13</v>
      </c>
      <c r="J1333" s="7" t="s">
        <v>7827</v>
      </c>
      <c r="K1333" s="9" t="s">
        <v>8987</v>
      </c>
    </row>
    <row r="1334" spans="1:11">
      <c r="A1334" s="7">
        <v>1332</v>
      </c>
      <c r="B1334" s="7" t="s">
        <v>8983</v>
      </c>
      <c r="C1334" s="7" t="s">
        <v>8984</v>
      </c>
      <c r="D1334" s="7" t="s">
        <v>7542</v>
      </c>
      <c r="E1334" s="7" t="s">
        <v>10920</v>
      </c>
      <c r="F1334" s="8" t="s">
        <v>9145</v>
      </c>
      <c r="G1334" s="7">
        <v>35</v>
      </c>
      <c r="H1334" s="7" t="s">
        <v>9026</v>
      </c>
      <c r="I1334" s="7">
        <v>9</v>
      </c>
      <c r="J1334" s="7" t="s">
        <v>10921</v>
      </c>
      <c r="K1334" s="9" t="s">
        <v>8987</v>
      </c>
    </row>
    <row r="1335" spans="1:11">
      <c r="A1335" s="7">
        <v>1333</v>
      </c>
      <c r="B1335" s="7" t="s">
        <v>8983</v>
      </c>
      <c r="C1335" s="7" t="s">
        <v>8984</v>
      </c>
      <c r="D1335" s="7" t="s">
        <v>7542</v>
      </c>
      <c r="E1335" s="7" t="s">
        <v>3672</v>
      </c>
      <c r="F1335" s="8" t="s">
        <v>10690</v>
      </c>
      <c r="G1335" s="7">
        <v>40</v>
      </c>
      <c r="H1335" s="7" t="s">
        <v>9003</v>
      </c>
      <c r="I1335" s="7">
        <v>9</v>
      </c>
      <c r="J1335" s="7" t="s">
        <v>9602</v>
      </c>
      <c r="K1335" s="9" t="s">
        <v>8987</v>
      </c>
    </row>
    <row r="1336" spans="1:11">
      <c r="A1336" s="7">
        <v>1334</v>
      </c>
      <c r="B1336" s="7" t="s">
        <v>8983</v>
      </c>
      <c r="C1336" s="7" t="s">
        <v>8984</v>
      </c>
      <c r="D1336" s="7" t="s">
        <v>7550</v>
      </c>
      <c r="E1336" s="7" t="s">
        <v>10922</v>
      </c>
      <c r="F1336" s="8" t="s">
        <v>9669</v>
      </c>
      <c r="G1336" s="7">
        <v>40</v>
      </c>
      <c r="H1336" s="7" t="s">
        <v>9003</v>
      </c>
      <c r="I1336" s="7">
        <v>9</v>
      </c>
      <c r="J1336" s="7" t="s">
        <v>9602</v>
      </c>
      <c r="K1336" s="9" t="s">
        <v>8987</v>
      </c>
    </row>
    <row r="1337" spans="1:11">
      <c r="A1337" s="7">
        <v>1335</v>
      </c>
      <c r="B1337" s="7" t="s">
        <v>8983</v>
      </c>
      <c r="C1337" s="7" t="s">
        <v>8984</v>
      </c>
      <c r="D1337" s="7" t="s">
        <v>7542</v>
      </c>
      <c r="E1337" s="7" t="s">
        <v>10923</v>
      </c>
      <c r="F1337" s="8" t="s">
        <v>9152</v>
      </c>
      <c r="G1337" s="7">
        <v>60</v>
      </c>
      <c r="H1337" s="7" t="s">
        <v>9289</v>
      </c>
      <c r="I1337" s="7">
        <v>13</v>
      </c>
      <c r="J1337" s="7" t="s">
        <v>7827</v>
      </c>
      <c r="K1337" s="9" t="s">
        <v>8987</v>
      </c>
    </row>
    <row r="1338" spans="1:11">
      <c r="A1338" s="7">
        <v>1336</v>
      </c>
      <c r="B1338" s="7" t="s">
        <v>8983</v>
      </c>
      <c r="C1338" s="7" t="s">
        <v>8984</v>
      </c>
      <c r="D1338" s="7" t="s">
        <v>7542</v>
      </c>
      <c r="E1338" s="7" t="s">
        <v>10924</v>
      </c>
      <c r="F1338" s="8" t="s">
        <v>9159</v>
      </c>
      <c r="G1338" s="7">
        <v>50</v>
      </c>
      <c r="H1338" s="7" t="s">
        <v>9021</v>
      </c>
      <c r="I1338" s="7">
        <v>13</v>
      </c>
      <c r="J1338" s="7" t="s">
        <v>7826</v>
      </c>
      <c r="K1338" s="9" t="s">
        <v>8987</v>
      </c>
    </row>
    <row r="1339" spans="1:11">
      <c r="A1339" s="7">
        <v>1337</v>
      </c>
      <c r="B1339" s="7" t="s">
        <v>8983</v>
      </c>
      <c r="C1339" s="7" t="s">
        <v>8984</v>
      </c>
      <c r="D1339" s="7" t="s">
        <v>7542</v>
      </c>
      <c r="E1339" s="7" t="s">
        <v>10925</v>
      </c>
      <c r="F1339" s="8" t="s">
        <v>9145</v>
      </c>
      <c r="G1339" s="7">
        <v>30</v>
      </c>
      <c r="H1339" s="7" t="s">
        <v>9015</v>
      </c>
      <c r="I1339" s="7">
        <v>9</v>
      </c>
      <c r="J1339" s="7" t="s">
        <v>9748</v>
      </c>
      <c r="K1339" s="9" t="s">
        <v>8987</v>
      </c>
    </row>
    <row r="1340" spans="1:11">
      <c r="A1340" s="7">
        <v>1338</v>
      </c>
      <c r="B1340" s="7" t="s">
        <v>8983</v>
      </c>
      <c r="C1340" s="7" t="s">
        <v>8984</v>
      </c>
      <c r="D1340" s="7" t="s">
        <v>7542</v>
      </c>
      <c r="E1340" s="7" t="s">
        <v>10926</v>
      </c>
      <c r="F1340" s="8" t="s">
        <v>10690</v>
      </c>
      <c r="G1340" s="7">
        <v>40</v>
      </c>
      <c r="H1340" s="7" t="s">
        <v>9003</v>
      </c>
      <c r="I1340" s="7">
        <v>9</v>
      </c>
      <c r="J1340" s="7" t="s">
        <v>9602</v>
      </c>
      <c r="K1340" s="9" t="s">
        <v>8987</v>
      </c>
    </row>
    <row r="1341" spans="1:11">
      <c r="A1341" s="7">
        <v>1339</v>
      </c>
      <c r="B1341" s="7" t="s">
        <v>8983</v>
      </c>
      <c r="C1341" s="7" t="s">
        <v>8984</v>
      </c>
      <c r="D1341" s="7" t="s">
        <v>7550</v>
      </c>
      <c r="E1341" s="7" t="s">
        <v>10927</v>
      </c>
      <c r="F1341" s="8" t="s">
        <v>9669</v>
      </c>
      <c r="G1341" s="7">
        <v>30</v>
      </c>
      <c r="H1341" s="7" t="s">
        <v>9015</v>
      </c>
      <c r="I1341" s="7">
        <v>9</v>
      </c>
      <c r="J1341" s="7" t="s">
        <v>9748</v>
      </c>
      <c r="K1341" s="9" t="s">
        <v>8987</v>
      </c>
    </row>
    <row r="1342" spans="1:11">
      <c r="A1342" s="7">
        <v>1340</v>
      </c>
      <c r="B1342" s="7" t="s">
        <v>9208</v>
      </c>
      <c r="C1342" s="7" t="s">
        <v>8984</v>
      </c>
      <c r="D1342" s="7" t="s">
        <v>7542</v>
      </c>
      <c r="E1342" s="7" t="s">
        <v>10928</v>
      </c>
      <c r="F1342" s="8" t="s">
        <v>8993</v>
      </c>
      <c r="G1342" s="7">
        <v>15</v>
      </c>
      <c r="H1342" s="7" t="s">
        <v>9053</v>
      </c>
      <c r="I1342" s="7">
        <v>6</v>
      </c>
      <c r="J1342" s="7" t="s">
        <v>10929</v>
      </c>
      <c r="K1342" s="9" t="s">
        <v>8987</v>
      </c>
    </row>
    <row r="1343" spans="1:11">
      <c r="A1343" s="7">
        <v>1341</v>
      </c>
      <c r="B1343" s="7" t="s">
        <v>9208</v>
      </c>
      <c r="C1343" s="7" t="s">
        <v>8984</v>
      </c>
      <c r="D1343" s="7" t="s">
        <v>7542</v>
      </c>
      <c r="E1343" s="7" t="s">
        <v>10930</v>
      </c>
      <c r="F1343" s="8" t="s">
        <v>8997</v>
      </c>
      <c r="G1343" s="7">
        <v>15</v>
      </c>
      <c r="H1343" s="7" t="s">
        <v>9053</v>
      </c>
      <c r="I1343" s="7">
        <v>6</v>
      </c>
      <c r="J1343" s="7" t="s">
        <v>10929</v>
      </c>
      <c r="K1343" s="9" t="s">
        <v>8987</v>
      </c>
    </row>
    <row r="1344" spans="1:11">
      <c r="A1344" s="7">
        <v>1342</v>
      </c>
      <c r="B1344" s="7" t="s">
        <v>9208</v>
      </c>
      <c r="C1344" s="7" t="s">
        <v>8984</v>
      </c>
      <c r="D1344" s="7" t="s">
        <v>7542</v>
      </c>
      <c r="E1344" s="7" t="s">
        <v>10931</v>
      </c>
      <c r="F1344" s="8" t="s">
        <v>9145</v>
      </c>
      <c r="G1344" s="7">
        <v>17</v>
      </c>
      <c r="H1344" s="7" t="s">
        <v>9146</v>
      </c>
      <c r="I1344" s="7">
        <v>4</v>
      </c>
      <c r="J1344" s="7" t="s">
        <v>9147</v>
      </c>
      <c r="K1344" s="9" t="s">
        <v>8987</v>
      </c>
    </row>
    <row r="1345" spans="1:11">
      <c r="A1345" s="7">
        <v>1343</v>
      </c>
      <c r="B1345" s="7" t="s">
        <v>9208</v>
      </c>
      <c r="C1345" s="7" t="s">
        <v>8984</v>
      </c>
      <c r="D1345" s="7" t="s">
        <v>7542</v>
      </c>
      <c r="E1345" s="7" t="s">
        <v>10932</v>
      </c>
      <c r="F1345" s="8" t="s">
        <v>10933</v>
      </c>
      <c r="G1345" s="7">
        <v>100</v>
      </c>
      <c r="H1345" s="7" t="s">
        <v>9046</v>
      </c>
      <c r="I1345" s="7">
        <v>21</v>
      </c>
      <c r="J1345" s="7" t="s">
        <v>7721</v>
      </c>
      <c r="K1345" s="9" t="s">
        <v>8987</v>
      </c>
    </row>
    <row r="1346" spans="1:11">
      <c r="A1346" s="7">
        <v>1344</v>
      </c>
      <c r="B1346" s="7" t="s">
        <v>9208</v>
      </c>
      <c r="C1346" s="7" t="s">
        <v>8984</v>
      </c>
      <c r="D1346" s="7" t="s">
        <v>7546</v>
      </c>
      <c r="E1346" s="7" t="s">
        <v>10934</v>
      </c>
      <c r="F1346" s="8" t="s">
        <v>9457</v>
      </c>
      <c r="G1346" s="7">
        <v>35</v>
      </c>
      <c r="H1346" s="7" t="s">
        <v>9026</v>
      </c>
      <c r="I1346" s="7">
        <v>6</v>
      </c>
      <c r="J1346" s="7" t="s">
        <v>7816</v>
      </c>
      <c r="K1346" s="9" t="s">
        <v>8987</v>
      </c>
    </row>
    <row r="1347" spans="1:11">
      <c r="A1347" s="7">
        <v>1345</v>
      </c>
      <c r="B1347" s="7" t="s">
        <v>9208</v>
      </c>
      <c r="C1347" s="7" t="s">
        <v>8984</v>
      </c>
      <c r="D1347" s="7" t="s">
        <v>7546</v>
      </c>
      <c r="E1347" s="7" t="s">
        <v>10935</v>
      </c>
      <c r="F1347" s="8" t="s">
        <v>9094</v>
      </c>
      <c r="G1347" s="7">
        <v>68</v>
      </c>
      <c r="H1347" s="7" t="s">
        <v>9088</v>
      </c>
      <c r="I1347" s="7">
        <v>5</v>
      </c>
      <c r="J1347" s="7" t="s">
        <v>9089</v>
      </c>
      <c r="K1347" s="9" t="s">
        <v>8987</v>
      </c>
    </row>
    <row r="1348" spans="1:11">
      <c r="A1348" s="7">
        <v>1346</v>
      </c>
      <c r="B1348" s="7" t="s">
        <v>9208</v>
      </c>
      <c r="C1348" s="7" t="s">
        <v>8984</v>
      </c>
      <c r="D1348" s="7" t="s">
        <v>7552</v>
      </c>
      <c r="E1348" s="7" t="s">
        <v>10936</v>
      </c>
      <c r="F1348" s="8" t="s">
        <v>9450</v>
      </c>
      <c r="G1348" s="7">
        <v>11</v>
      </c>
      <c r="H1348" s="7" t="s">
        <v>9386</v>
      </c>
      <c r="I1348" s="7">
        <v>3</v>
      </c>
      <c r="J1348" s="7" t="s">
        <v>7772</v>
      </c>
      <c r="K1348" s="9" t="s">
        <v>8987</v>
      </c>
    </row>
    <row r="1349" spans="1:11">
      <c r="A1349" s="7">
        <v>1347</v>
      </c>
      <c r="B1349" s="7" t="s">
        <v>9208</v>
      </c>
      <c r="C1349" s="7" t="s">
        <v>8984</v>
      </c>
      <c r="D1349" s="7" t="s">
        <v>7551</v>
      </c>
      <c r="E1349" s="7" t="s">
        <v>10937</v>
      </c>
      <c r="F1349" s="8" t="s">
        <v>9192</v>
      </c>
      <c r="G1349" s="7">
        <v>41</v>
      </c>
      <c r="H1349" s="7" t="s">
        <v>9200</v>
      </c>
      <c r="I1349" s="7">
        <v>5</v>
      </c>
      <c r="J1349" s="7" t="s">
        <v>9201</v>
      </c>
      <c r="K1349" s="9" t="s">
        <v>8987</v>
      </c>
    </row>
    <row r="1350" spans="1:11">
      <c r="A1350" s="7">
        <v>1348</v>
      </c>
      <c r="B1350" s="7" t="s">
        <v>9208</v>
      </c>
      <c r="C1350" s="7" t="s">
        <v>8984</v>
      </c>
      <c r="D1350" s="7" t="s">
        <v>7573</v>
      </c>
      <c r="E1350" s="7" t="s">
        <v>10938</v>
      </c>
      <c r="F1350" s="8" t="s">
        <v>9173</v>
      </c>
      <c r="G1350" s="7">
        <v>64</v>
      </c>
      <c r="H1350" s="7" t="s">
        <v>9174</v>
      </c>
      <c r="I1350" s="7">
        <v>21</v>
      </c>
      <c r="J1350" s="7" t="s">
        <v>9175</v>
      </c>
      <c r="K1350" s="9" t="s">
        <v>8987</v>
      </c>
    </row>
    <row r="1351" spans="1:11">
      <c r="A1351" s="7">
        <v>1349</v>
      </c>
      <c r="B1351" s="7" t="s">
        <v>9208</v>
      </c>
      <c r="C1351" s="7" t="s">
        <v>8984</v>
      </c>
      <c r="D1351" s="7" t="s">
        <v>7573</v>
      </c>
      <c r="E1351" s="7" t="s">
        <v>7036</v>
      </c>
      <c r="F1351" s="8" t="s">
        <v>9177</v>
      </c>
      <c r="G1351" s="7">
        <v>64</v>
      </c>
      <c r="H1351" s="7" t="s">
        <v>9174</v>
      </c>
      <c r="I1351" s="7">
        <v>21</v>
      </c>
      <c r="J1351" s="7" t="s">
        <v>9175</v>
      </c>
      <c r="K1351" s="9" t="s">
        <v>8987</v>
      </c>
    </row>
    <row r="1352" spans="1:11">
      <c r="A1352" s="7">
        <v>1350</v>
      </c>
      <c r="B1352" s="7" t="s">
        <v>9208</v>
      </c>
      <c r="C1352" s="7" t="s">
        <v>8984</v>
      </c>
      <c r="D1352" s="7" t="s">
        <v>7546</v>
      </c>
      <c r="E1352" s="7" t="s">
        <v>10939</v>
      </c>
      <c r="F1352" s="8" t="s">
        <v>9226</v>
      </c>
      <c r="G1352" s="7">
        <v>73</v>
      </c>
      <c r="H1352" s="7" t="s">
        <v>9103</v>
      </c>
      <c r="I1352" s="7">
        <v>5</v>
      </c>
      <c r="J1352" s="7" t="s">
        <v>9104</v>
      </c>
      <c r="K1352" s="9" t="s">
        <v>8987</v>
      </c>
    </row>
    <row r="1353" spans="1:11">
      <c r="A1353" s="7">
        <v>1351</v>
      </c>
      <c r="B1353" s="7" t="s">
        <v>9208</v>
      </c>
      <c r="C1353" s="7" t="s">
        <v>8984</v>
      </c>
      <c r="D1353" s="7" t="s">
        <v>7550</v>
      </c>
      <c r="E1353" s="7" t="s">
        <v>10940</v>
      </c>
      <c r="F1353" s="8" t="s">
        <v>9669</v>
      </c>
      <c r="G1353" s="7">
        <v>60</v>
      </c>
      <c r="H1353" s="7" t="s">
        <v>9289</v>
      </c>
      <c r="I1353" s="7">
        <v>13</v>
      </c>
      <c r="J1353" s="7" t="s">
        <v>7827</v>
      </c>
      <c r="K1353" s="9" t="s">
        <v>8987</v>
      </c>
    </row>
    <row r="1354" spans="1:11">
      <c r="A1354" s="7">
        <v>1352</v>
      </c>
      <c r="B1354" s="7" t="s">
        <v>8983</v>
      </c>
      <c r="C1354" s="7" t="s">
        <v>8984</v>
      </c>
      <c r="D1354" s="7" t="s">
        <v>7542</v>
      </c>
      <c r="E1354" s="7" t="s">
        <v>10941</v>
      </c>
      <c r="F1354" s="8" t="s">
        <v>10416</v>
      </c>
      <c r="G1354" s="7">
        <v>17</v>
      </c>
      <c r="H1354" s="7" t="s">
        <v>9146</v>
      </c>
      <c r="I1354" s="7">
        <v>4</v>
      </c>
      <c r="J1354" s="7" t="s">
        <v>9147</v>
      </c>
      <c r="K1354" s="9" t="s">
        <v>8987</v>
      </c>
    </row>
    <row r="1355" spans="1:11">
      <c r="A1355" s="7">
        <v>1353</v>
      </c>
      <c r="B1355" s="7" t="s">
        <v>8983</v>
      </c>
      <c r="C1355" s="7" t="s">
        <v>8984</v>
      </c>
      <c r="D1355" s="7" t="s">
        <v>7550</v>
      </c>
      <c r="E1355" s="7" t="s">
        <v>10942</v>
      </c>
      <c r="F1355" s="8" t="s">
        <v>10308</v>
      </c>
      <c r="G1355" s="7">
        <v>60</v>
      </c>
      <c r="H1355" s="7" t="s">
        <v>9289</v>
      </c>
      <c r="I1355" s="7">
        <v>13</v>
      </c>
      <c r="J1355" s="7" t="s">
        <v>7827</v>
      </c>
      <c r="K1355" s="9" t="s">
        <v>8987</v>
      </c>
    </row>
    <row r="1356" spans="1:11">
      <c r="A1356" s="7">
        <v>1354</v>
      </c>
      <c r="B1356" s="7" t="s">
        <v>9208</v>
      </c>
      <c r="C1356" s="7" t="s">
        <v>8984</v>
      </c>
      <c r="D1356" s="7" t="s">
        <v>7581</v>
      </c>
      <c r="E1356" s="7" t="s">
        <v>10943</v>
      </c>
      <c r="F1356" s="8" t="s">
        <v>9453</v>
      </c>
      <c r="G1356" s="7">
        <v>30</v>
      </c>
      <c r="H1356" s="7" t="s">
        <v>9015</v>
      </c>
      <c r="I1356" s="7">
        <v>3</v>
      </c>
      <c r="J1356" s="7" t="s">
        <v>9655</v>
      </c>
      <c r="K1356" s="9" t="s">
        <v>8987</v>
      </c>
    </row>
    <row r="1357" spans="1:11">
      <c r="A1357" s="7">
        <v>1355</v>
      </c>
      <c r="B1357" s="7" t="s">
        <v>9208</v>
      </c>
      <c r="C1357" s="7" t="s">
        <v>8984</v>
      </c>
      <c r="D1357" s="7" t="s">
        <v>7555</v>
      </c>
      <c r="E1357" s="7" t="s">
        <v>10944</v>
      </c>
      <c r="F1357" s="8" t="s">
        <v>9621</v>
      </c>
      <c r="G1357" s="7">
        <v>10</v>
      </c>
      <c r="H1357" s="7" t="s">
        <v>9292</v>
      </c>
      <c r="I1357" s="7">
        <v>3</v>
      </c>
      <c r="J1357" s="7" t="s">
        <v>7718</v>
      </c>
      <c r="K1357" s="9" t="s">
        <v>8987</v>
      </c>
    </row>
    <row r="1358" spans="1:11">
      <c r="A1358" s="7">
        <v>1356</v>
      </c>
      <c r="B1358" s="7" t="s">
        <v>9208</v>
      </c>
      <c r="C1358" s="7" t="s">
        <v>8984</v>
      </c>
      <c r="D1358" s="7" t="s">
        <v>7555</v>
      </c>
      <c r="E1358" s="7" t="s">
        <v>10945</v>
      </c>
      <c r="F1358" s="8" t="s">
        <v>9251</v>
      </c>
      <c r="G1358" s="7">
        <v>50</v>
      </c>
      <c r="H1358" s="7" t="s">
        <v>9021</v>
      </c>
      <c r="I1358" s="7">
        <v>11</v>
      </c>
      <c r="J1358" s="7" t="s">
        <v>9247</v>
      </c>
      <c r="K1358" s="9" t="s">
        <v>8987</v>
      </c>
    </row>
    <row r="1359" spans="1:11">
      <c r="A1359" s="7">
        <v>1357</v>
      </c>
      <c r="B1359" s="7" t="s">
        <v>9208</v>
      </c>
      <c r="C1359" s="7" t="s">
        <v>8984</v>
      </c>
      <c r="D1359" s="7" t="s">
        <v>7542</v>
      </c>
      <c r="E1359" s="7" t="s">
        <v>10946</v>
      </c>
      <c r="F1359" s="8" t="s">
        <v>9152</v>
      </c>
      <c r="G1359" s="7">
        <v>80</v>
      </c>
      <c r="H1359" s="7" t="s">
        <v>9153</v>
      </c>
      <c r="I1359" s="7">
        <v>5</v>
      </c>
      <c r="J1359" s="7" t="s">
        <v>9154</v>
      </c>
      <c r="K1359" s="9" t="s">
        <v>8987</v>
      </c>
    </row>
    <row r="1360" spans="1:11">
      <c r="A1360" s="7">
        <v>1358</v>
      </c>
      <c r="B1360" s="7" t="s">
        <v>9208</v>
      </c>
      <c r="C1360" s="7" t="s">
        <v>8984</v>
      </c>
      <c r="D1360" s="7" t="s">
        <v>7542</v>
      </c>
      <c r="E1360" s="7" t="s">
        <v>4809</v>
      </c>
      <c r="F1360" s="8" t="s">
        <v>9159</v>
      </c>
      <c r="G1360" s="7">
        <v>22</v>
      </c>
      <c r="H1360" s="7" t="s">
        <v>8994</v>
      </c>
      <c r="I1360" s="7">
        <v>4</v>
      </c>
      <c r="J1360" s="7" t="s">
        <v>9160</v>
      </c>
      <c r="K1360" s="9" t="s">
        <v>8987</v>
      </c>
    </row>
    <row r="1361" spans="1:11">
      <c r="A1361" s="7">
        <v>1359</v>
      </c>
      <c r="B1361" s="7" t="s">
        <v>9208</v>
      </c>
      <c r="C1361" s="7" t="s">
        <v>8984</v>
      </c>
      <c r="D1361" s="7" t="s">
        <v>7542</v>
      </c>
      <c r="E1361" s="7" t="s">
        <v>10947</v>
      </c>
      <c r="F1361" s="8" t="s">
        <v>8993</v>
      </c>
      <c r="G1361" s="7">
        <v>5</v>
      </c>
      <c r="H1361" s="7" t="s">
        <v>9336</v>
      </c>
      <c r="I1361" s="7">
        <v>1</v>
      </c>
      <c r="J1361" s="7" t="s">
        <v>7620</v>
      </c>
      <c r="K1361" s="9" t="s">
        <v>8987</v>
      </c>
    </row>
    <row r="1362" spans="1:11">
      <c r="A1362" s="7">
        <v>1360</v>
      </c>
      <c r="B1362" s="7" t="s">
        <v>9208</v>
      </c>
      <c r="C1362" s="7" t="s">
        <v>8984</v>
      </c>
      <c r="D1362" s="7" t="s">
        <v>7542</v>
      </c>
      <c r="E1362" s="7" t="s">
        <v>10948</v>
      </c>
      <c r="F1362" s="8" t="s">
        <v>8997</v>
      </c>
      <c r="G1362" s="7">
        <v>5</v>
      </c>
      <c r="H1362" s="7" t="s">
        <v>9336</v>
      </c>
      <c r="I1362" s="7">
        <v>1</v>
      </c>
      <c r="J1362" s="7" t="s">
        <v>7620</v>
      </c>
      <c r="K1362" s="9" t="s">
        <v>8987</v>
      </c>
    </row>
    <row r="1363" spans="1:11">
      <c r="A1363" s="7">
        <v>1361</v>
      </c>
      <c r="B1363" s="7" t="s">
        <v>9208</v>
      </c>
      <c r="C1363" s="7" t="s">
        <v>8984</v>
      </c>
      <c r="D1363" s="7" t="s">
        <v>7542</v>
      </c>
      <c r="E1363" s="7" t="s">
        <v>10949</v>
      </c>
      <c r="F1363" s="8" t="s">
        <v>9145</v>
      </c>
      <c r="G1363" s="7">
        <v>10</v>
      </c>
      <c r="H1363" s="7" t="s">
        <v>9292</v>
      </c>
      <c r="I1363" s="7">
        <v>1</v>
      </c>
      <c r="J1363" s="7" t="s">
        <v>7768</v>
      </c>
      <c r="K1363" s="9" t="s">
        <v>8987</v>
      </c>
    </row>
    <row r="1364" spans="1:11">
      <c r="A1364" s="7">
        <v>1362</v>
      </c>
      <c r="B1364" s="7" t="s">
        <v>9208</v>
      </c>
      <c r="C1364" s="7" t="s">
        <v>8984</v>
      </c>
      <c r="D1364" s="7" t="s">
        <v>7542</v>
      </c>
      <c r="E1364" s="7" t="s">
        <v>10950</v>
      </c>
      <c r="F1364" s="8" t="s">
        <v>10933</v>
      </c>
      <c r="G1364" s="7">
        <v>50</v>
      </c>
      <c r="H1364" s="7" t="s">
        <v>9021</v>
      </c>
      <c r="I1364" s="7">
        <v>1</v>
      </c>
      <c r="J1364" s="7" t="s">
        <v>7881</v>
      </c>
      <c r="K1364" s="9" t="s">
        <v>8987</v>
      </c>
    </row>
    <row r="1365" spans="1:11">
      <c r="A1365" s="7">
        <v>1363</v>
      </c>
      <c r="B1365" s="7" t="s">
        <v>9208</v>
      </c>
      <c r="C1365" s="7" t="s">
        <v>8984</v>
      </c>
      <c r="D1365" s="7" t="s">
        <v>7546</v>
      </c>
      <c r="E1365" s="7" t="s">
        <v>10951</v>
      </c>
      <c r="F1365" s="8" t="s">
        <v>9457</v>
      </c>
      <c r="G1365" s="7">
        <v>23</v>
      </c>
      <c r="H1365" s="7" t="s">
        <v>9120</v>
      </c>
      <c r="I1365" s="7">
        <v>1</v>
      </c>
      <c r="J1365" s="7" t="s">
        <v>7848</v>
      </c>
      <c r="K1365" s="9" t="s">
        <v>8987</v>
      </c>
    </row>
    <row r="1366" spans="1:11">
      <c r="A1366" s="7">
        <v>1364</v>
      </c>
      <c r="B1366" s="7" t="s">
        <v>9208</v>
      </c>
      <c r="C1366" s="7" t="s">
        <v>8984</v>
      </c>
      <c r="D1366" s="7" t="s">
        <v>7546</v>
      </c>
      <c r="E1366" s="7" t="s">
        <v>10952</v>
      </c>
      <c r="F1366" s="8" t="s">
        <v>9094</v>
      </c>
      <c r="G1366" s="7">
        <v>58</v>
      </c>
      <c r="H1366" s="7" t="s">
        <v>10953</v>
      </c>
      <c r="I1366" s="7">
        <v>1</v>
      </c>
      <c r="J1366" s="7" t="s">
        <v>10954</v>
      </c>
      <c r="K1366" s="9" t="s">
        <v>8987</v>
      </c>
    </row>
    <row r="1367" spans="1:11">
      <c r="A1367" s="7">
        <v>1365</v>
      </c>
      <c r="B1367" s="7" t="s">
        <v>9208</v>
      </c>
      <c r="C1367" s="7" t="s">
        <v>8984</v>
      </c>
      <c r="D1367" s="7" t="s">
        <v>7552</v>
      </c>
      <c r="E1367" s="7" t="s">
        <v>10955</v>
      </c>
      <c r="F1367" s="8" t="s">
        <v>9450</v>
      </c>
      <c r="G1367" s="7">
        <v>8</v>
      </c>
      <c r="H1367" s="7" t="s">
        <v>8991</v>
      </c>
      <c r="I1367" s="7">
        <v>1</v>
      </c>
      <c r="J1367" s="7" t="s">
        <v>7764</v>
      </c>
      <c r="K1367" s="9" t="s">
        <v>8987</v>
      </c>
    </row>
    <row r="1368" spans="1:11">
      <c r="A1368" s="7">
        <v>1366</v>
      </c>
      <c r="B1368" s="7" t="s">
        <v>9208</v>
      </c>
      <c r="C1368" s="7" t="s">
        <v>8984</v>
      </c>
      <c r="D1368" s="7" t="s">
        <v>7551</v>
      </c>
      <c r="E1368" s="7" t="s">
        <v>10956</v>
      </c>
      <c r="F1368" s="8" t="s">
        <v>9192</v>
      </c>
      <c r="G1368" s="7">
        <v>16</v>
      </c>
      <c r="H1368" s="7" t="s">
        <v>9215</v>
      </c>
      <c r="I1368" s="7">
        <v>1</v>
      </c>
      <c r="J1368" s="7" t="s">
        <v>7882</v>
      </c>
      <c r="K1368" s="9" t="s">
        <v>8987</v>
      </c>
    </row>
    <row r="1369" spans="1:11">
      <c r="A1369" s="7">
        <v>1367</v>
      </c>
      <c r="B1369" s="7" t="s">
        <v>9208</v>
      </c>
      <c r="C1369" s="7" t="s">
        <v>8984</v>
      </c>
      <c r="D1369" s="7" t="s">
        <v>7573</v>
      </c>
      <c r="E1369" s="7" t="s">
        <v>10957</v>
      </c>
      <c r="F1369" s="8" t="s">
        <v>9173</v>
      </c>
      <c r="G1369" s="7">
        <v>2</v>
      </c>
      <c r="H1369" s="7" t="s">
        <v>10476</v>
      </c>
      <c r="I1369" s="7">
        <v>1</v>
      </c>
      <c r="J1369" s="7" t="s">
        <v>7861</v>
      </c>
      <c r="K1369" s="9" t="s">
        <v>8987</v>
      </c>
    </row>
    <row r="1370" spans="1:11">
      <c r="A1370" s="7">
        <v>1368</v>
      </c>
      <c r="B1370" s="7" t="s">
        <v>9208</v>
      </c>
      <c r="C1370" s="7" t="s">
        <v>8984</v>
      </c>
      <c r="D1370" s="7" t="s">
        <v>7573</v>
      </c>
      <c r="E1370" s="7" t="s">
        <v>10958</v>
      </c>
      <c r="F1370" s="8" t="s">
        <v>9177</v>
      </c>
      <c r="G1370" s="7">
        <v>2</v>
      </c>
      <c r="H1370" s="7" t="s">
        <v>10476</v>
      </c>
      <c r="I1370" s="7">
        <v>1</v>
      </c>
      <c r="J1370" s="7" t="s">
        <v>7861</v>
      </c>
      <c r="K1370" s="9" t="s">
        <v>8987</v>
      </c>
    </row>
    <row r="1371" spans="1:11">
      <c r="A1371" s="7">
        <v>1369</v>
      </c>
      <c r="B1371" s="7" t="s">
        <v>9208</v>
      </c>
      <c r="C1371" s="7" t="s">
        <v>8984</v>
      </c>
      <c r="D1371" s="7" t="s">
        <v>7546</v>
      </c>
      <c r="E1371" s="7" t="s">
        <v>10959</v>
      </c>
      <c r="F1371" s="8" t="s">
        <v>9226</v>
      </c>
      <c r="G1371" s="7">
        <v>63</v>
      </c>
      <c r="H1371" s="7" t="s">
        <v>10960</v>
      </c>
      <c r="I1371" s="7">
        <v>1</v>
      </c>
      <c r="J1371" s="7" t="s">
        <v>10961</v>
      </c>
      <c r="K1371" s="9" t="s">
        <v>8987</v>
      </c>
    </row>
    <row r="1372" spans="1:11">
      <c r="A1372" s="7">
        <v>1370</v>
      </c>
      <c r="B1372" s="7" t="s">
        <v>9208</v>
      </c>
      <c r="C1372" s="7" t="s">
        <v>8984</v>
      </c>
      <c r="D1372" s="7" t="s">
        <v>7550</v>
      </c>
      <c r="E1372" s="7" t="s">
        <v>10962</v>
      </c>
      <c r="F1372" s="8" t="s">
        <v>9669</v>
      </c>
      <c r="G1372" s="7">
        <v>30</v>
      </c>
      <c r="H1372" s="7" t="s">
        <v>9015</v>
      </c>
      <c r="I1372" s="7">
        <v>1</v>
      </c>
      <c r="J1372" s="7" t="s">
        <v>7855</v>
      </c>
      <c r="K1372" s="9" t="s">
        <v>8987</v>
      </c>
    </row>
    <row r="1373" spans="1:11">
      <c r="A1373" s="7">
        <v>1371</v>
      </c>
      <c r="B1373" s="7" t="s">
        <v>9208</v>
      </c>
      <c r="C1373" s="7" t="s">
        <v>8984</v>
      </c>
      <c r="D1373" s="7" t="s">
        <v>7542</v>
      </c>
      <c r="E1373" s="7" t="s">
        <v>10963</v>
      </c>
      <c r="F1373" s="8" t="s">
        <v>10416</v>
      </c>
      <c r="G1373" s="7">
        <v>10</v>
      </c>
      <c r="H1373" s="7" t="s">
        <v>9292</v>
      </c>
      <c r="I1373" s="7">
        <v>1</v>
      </c>
      <c r="J1373" s="7" t="s">
        <v>7768</v>
      </c>
      <c r="K1373" s="9" t="s">
        <v>8987</v>
      </c>
    </row>
    <row r="1374" spans="1:11">
      <c r="A1374" s="7">
        <v>1372</v>
      </c>
      <c r="B1374" s="7" t="s">
        <v>9208</v>
      </c>
      <c r="C1374" s="7" t="s">
        <v>8984</v>
      </c>
      <c r="D1374" s="7" t="s">
        <v>7550</v>
      </c>
      <c r="E1374" s="7" t="s">
        <v>10964</v>
      </c>
      <c r="F1374" s="8" t="s">
        <v>10308</v>
      </c>
      <c r="G1374" s="7">
        <v>30</v>
      </c>
      <c r="H1374" s="7" t="s">
        <v>9015</v>
      </c>
      <c r="I1374" s="7">
        <v>1</v>
      </c>
      <c r="J1374" s="7" t="s">
        <v>7855</v>
      </c>
      <c r="K1374" s="9" t="s">
        <v>8987</v>
      </c>
    </row>
    <row r="1375" spans="1:11">
      <c r="A1375" s="7">
        <v>1373</v>
      </c>
      <c r="B1375" s="7" t="s">
        <v>9208</v>
      </c>
      <c r="C1375" s="7" t="s">
        <v>8984</v>
      </c>
      <c r="D1375" s="7" t="s">
        <v>7581</v>
      </c>
      <c r="E1375" s="7" t="s">
        <v>10965</v>
      </c>
      <c r="F1375" s="8" t="s">
        <v>9453</v>
      </c>
      <c r="G1375" s="7">
        <v>26</v>
      </c>
      <c r="H1375" s="7" t="s">
        <v>9136</v>
      </c>
      <c r="I1375" s="7">
        <v>1</v>
      </c>
      <c r="J1375" s="7" t="s">
        <v>10966</v>
      </c>
      <c r="K1375" s="9" t="s">
        <v>8987</v>
      </c>
    </row>
    <row r="1376" spans="1:11">
      <c r="A1376" s="7">
        <v>1374</v>
      </c>
      <c r="B1376" s="7" t="s">
        <v>9208</v>
      </c>
      <c r="C1376" s="7" t="s">
        <v>8984</v>
      </c>
      <c r="D1376" s="7" t="s">
        <v>7555</v>
      </c>
      <c r="E1376" s="7" t="s">
        <v>10967</v>
      </c>
      <c r="F1376" s="8" t="s">
        <v>9621</v>
      </c>
      <c r="G1376" s="7">
        <v>0</v>
      </c>
      <c r="H1376" s="7" t="s">
        <v>8984</v>
      </c>
      <c r="I1376" s="7">
        <v>1</v>
      </c>
      <c r="J1376" s="7" t="s">
        <v>7838</v>
      </c>
      <c r="K1376" s="9" t="s">
        <v>8987</v>
      </c>
    </row>
    <row r="1377" spans="1:11">
      <c r="A1377" s="7">
        <v>1375</v>
      </c>
      <c r="B1377" s="7" t="s">
        <v>9208</v>
      </c>
      <c r="C1377" s="7" t="s">
        <v>8984</v>
      </c>
      <c r="D1377" s="7" t="s">
        <v>7555</v>
      </c>
      <c r="E1377" s="7" t="s">
        <v>10968</v>
      </c>
      <c r="F1377" s="8" t="s">
        <v>9251</v>
      </c>
      <c r="G1377" s="7">
        <v>25</v>
      </c>
      <c r="H1377" s="7" t="s">
        <v>9011</v>
      </c>
      <c r="I1377" s="7">
        <v>1</v>
      </c>
      <c r="J1377" s="7" t="s">
        <v>7840</v>
      </c>
      <c r="K1377" s="9" t="s">
        <v>8987</v>
      </c>
    </row>
    <row r="1378" spans="1:11">
      <c r="A1378" s="7">
        <v>1376</v>
      </c>
      <c r="B1378" s="7" t="s">
        <v>9208</v>
      </c>
      <c r="C1378" s="7" t="s">
        <v>8984</v>
      </c>
      <c r="D1378" s="7" t="s">
        <v>7542</v>
      </c>
      <c r="E1378" s="7" t="s">
        <v>10969</v>
      </c>
      <c r="F1378" s="8" t="s">
        <v>9152</v>
      </c>
      <c r="G1378" s="7">
        <v>70</v>
      </c>
      <c r="H1378" s="7" t="s">
        <v>9194</v>
      </c>
      <c r="I1378" s="7">
        <v>1</v>
      </c>
      <c r="J1378" s="7" t="s">
        <v>7863</v>
      </c>
      <c r="K1378" s="9" t="s">
        <v>8987</v>
      </c>
    </row>
    <row r="1379" spans="1:11">
      <c r="A1379" s="7">
        <v>1377</v>
      </c>
      <c r="B1379" s="7" t="s">
        <v>9208</v>
      </c>
      <c r="C1379" s="7" t="s">
        <v>8984</v>
      </c>
      <c r="D1379" s="7" t="s">
        <v>7542</v>
      </c>
      <c r="E1379" s="7" t="s">
        <v>10970</v>
      </c>
      <c r="F1379" s="8" t="s">
        <v>9159</v>
      </c>
      <c r="G1379" s="7">
        <v>15</v>
      </c>
      <c r="H1379" s="7" t="s">
        <v>9053</v>
      </c>
      <c r="I1379" s="7">
        <v>1</v>
      </c>
      <c r="J1379" s="7" t="s">
        <v>7862</v>
      </c>
      <c r="K1379" s="9" t="s">
        <v>8987</v>
      </c>
    </row>
    <row r="1380" spans="1:11">
      <c r="A1380" s="7">
        <v>1378</v>
      </c>
      <c r="B1380" s="7" t="s">
        <v>9796</v>
      </c>
      <c r="C1380" s="7" t="s">
        <v>8984</v>
      </c>
      <c r="D1380" s="7" t="s">
        <v>7550</v>
      </c>
      <c r="E1380" s="7" t="s">
        <v>10971</v>
      </c>
      <c r="F1380" s="8" t="s">
        <v>9543</v>
      </c>
      <c r="G1380" s="7">
        <v>30</v>
      </c>
      <c r="H1380" s="7" t="s">
        <v>9015</v>
      </c>
      <c r="I1380" s="7">
        <v>5</v>
      </c>
      <c r="J1380" s="7" t="s">
        <v>7732</v>
      </c>
      <c r="K1380" s="9" t="s">
        <v>8987</v>
      </c>
    </row>
    <row r="1381" spans="1:11">
      <c r="A1381" s="7">
        <v>1379</v>
      </c>
      <c r="B1381" s="7" t="s">
        <v>9796</v>
      </c>
      <c r="C1381" s="7" t="s">
        <v>8984</v>
      </c>
      <c r="D1381" s="7" t="s">
        <v>7550</v>
      </c>
      <c r="E1381" s="7" t="s">
        <v>10972</v>
      </c>
      <c r="F1381" s="8" t="s">
        <v>9543</v>
      </c>
      <c r="G1381" s="7">
        <v>20</v>
      </c>
      <c r="H1381" s="7" t="s">
        <v>9394</v>
      </c>
      <c r="I1381" s="7">
        <v>4</v>
      </c>
      <c r="J1381" s="7" t="s">
        <v>10310</v>
      </c>
      <c r="K1381" s="9" t="s">
        <v>8987</v>
      </c>
    </row>
    <row r="1382" spans="1:11">
      <c r="A1382" s="7">
        <v>1380</v>
      </c>
      <c r="B1382" s="7" t="s">
        <v>9796</v>
      </c>
      <c r="C1382" s="7" t="s">
        <v>8984</v>
      </c>
      <c r="D1382" s="7" t="s">
        <v>7550</v>
      </c>
      <c r="E1382" s="7" t="s">
        <v>10973</v>
      </c>
      <c r="F1382" s="8" t="s">
        <v>9543</v>
      </c>
      <c r="G1382" s="7">
        <v>30</v>
      </c>
      <c r="H1382" s="7" t="s">
        <v>9015</v>
      </c>
      <c r="I1382" s="7">
        <v>5</v>
      </c>
      <c r="J1382" s="7" t="s">
        <v>7732</v>
      </c>
      <c r="K1382" s="9" t="s">
        <v>8987</v>
      </c>
    </row>
    <row r="1383" spans="1:11">
      <c r="A1383" s="7">
        <v>1381</v>
      </c>
      <c r="B1383" s="7" t="s">
        <v>9796</v>
      </c>
      <c r="C1383" s="7" t="s">
        <v>8984</v>
      </c>
      <c r="D1383" s="7" t="s">
        <v>7550</v>
      </c>
      <c r="E1383" s="7" t="s">
        <v>10974</v>
      </c>
      <c r="F1383" s="8" t="s">
        <v>9543</v>
      </c>
      <c r="G1383" s="7">
        <v>40</v>
      </c>
      <c r="H1383" s="7" t="s">
        <v>9003</v>
      </c>
      <c r="I1383" s="7">
        <v>6</v>
      </c>
      <c r="J1383" s="7" t="s">
        <v>7707</v>
      </c>
      <c r="K1383" s="9" t="s">
        <v>8987</v>
      </c>
    </row>
    <row r="1384" spans="1:11">
      <c r="A1384" s="7">
        <v>1382</v>
      </c>
      <c r="B1384" s="7" t="s">
        <v>8983</v>
      </c>
      <c r="C1384" s="7" t="s">
        <v>8998</v>
      </c>
      <c r="D1384" s="7" t="s">
        <v>7555</v>
      </c>
      <c r="E1384" s="7" t="s">
        <v>10975</v>
      </c>
      <c r="F1384" s="8" t="s">
        <v>9244</v>
      </c>
      <c r="G1384" s="7">
        <v>40</v>
      </c>
      <c r="H1384" s="7" t="s">
        <v>9003</v>
      </c>
      <c r="I1384" s="7">
        <v>6</v>
      </c>
      <c r="J1384" s="7" t="s">
        <v>7707</v>
      </c>
      <c r="K1384" s="9" t="s">
        <v>8987</v>
      </c>
    </row>
    <row r="1385" spans="1:11">
      <c r="A1385" s="7">
        <v>1383</v>
      </c>
      <c r="B1385" s="7" t="s">
        <v>8983</v>
      </c>
      <c r="C1385" s="7" t="s">
        <v>8998</v>
      </c>
      <c r="D1385" s="7" t="s">
        <v>7555</v>
      </c>
      <c r="E1385" s="7" t="s">
        <v>10976</v>
      </c>
      <c r="F1385" s="8" t="s">
        <v>9249</v>
      </c>
      <c r="G1385" s="7">
        <v>37</v>
      </c>
      <c r="H1385" s="7" t="s">
        <v>9884</v>
      </c>
      <c r="I1385" s="7">
        <v>6</v>
      </c>
      <c r="J1385" s="7" t="s">
        <v>10977</v>
      </c>
      <c r="K1385" s="9" t="s">
        <v>8987</v>
      </c>
    </row>
    <row r="1386" spans="1:11">
      <c r="A1386" s="7">
        <v>1384</v>
      </c>
      <c r="B1386" s="7" t="s">
        <v>8983</v>
      </c>
      <c r="C1386" s="7" t="s">
        <v>8998</v>
      </c>
      <c r="D1386" s="7" t="s">
        <v>7542</v>
      </c>
      <c r="E1386" s="7" t="s">
        <v>10978</v>
      </c>
      <c r="F1386" s="8" t="s">
        <v>9340</v>
      </c>
      <c r="G1386" s="7">
        <v>40</v>
      </c>
      <c r="H1386" s="7" t="s">
        <v>9003</v>
      </c>
      <c r="I1386" s="7">
        <v>6</v>
      </c>
      <c r="J1386" s="7" t="s">
        <v>7707</v>
      </c>
      <c r="K1386" s="9" t="s">
        <v>8987</v>
      </c>
    </row>
    <row r="1387" spans="1:11">
      <c r="A1387" s="7">
        <v>1385</v>
      </c>
      <c r="B1387" s="7" t="s">
        <v>8983</v>
      </c>
      <c r="C1387" s="7" t="s">
        <v>8998</v>
      </c>
      <c r="D1387" s="7" t="s">
        <v>7542</v>
      </c>
      <c r="E1387" s="7" t="s">
        <v>10979</v>
      </c>
      <c r="F1387" s="8" t="s">
        <v>9159</v>
      </c>
      <c r="G1387" s="7">
        <v>40</v>
      </c>
      <c r="H1387" s="7" t="s">
        <v>9003</v>
      </c>
      <c r="I1387" s="7">
        <v>6</v>
      </c>
      <c r="J1387" s="7" t="s">
        <v>7707</v>
      </c>
      <c r="K1387" s="9" t="s">
        <v>8987</v>
      </c>
    </row>
    <row r="1388" spans="1:11">
      <c r="A1388" s="7">
        <v>1386</v>
      </c>
      <c r="B1388" s="7" t="s">
        <v>8983</v>
      </c>
      <c r="C1388" s="7" t="s">
        <v>8984</v>
      </c>
      <c r="D1388" s="7" t="s">
        <v>7542</v>
      </c>
      <c r="E1388" s="7" t="s">
        <v>10980</v>
      </c>
      <c r="F1388" s="8" t="s">
        <v>10981</v>
      </c>
      <c r="G1388" s="7">
        <v>17</v>
      </c>
      <c r="H1388" s="7" t="s">
        <v>9146</v>
      </c>
      <c r="I1388" s="7">
        <v>4</v>
      </c>
      <c r="J1388" s="7" t="s">
        <v>9147</v>
      </c>
      <c r="K1388" s="9" t="s">
        <v>8987</v>
      </c>
    </row>
    <row r="1389" spans="1:11">
      <c r="A1389" s="7">
        <v>1387</v>
      </c>
      <c r="B1389" s="7" t="s">
        <v>8983</v>
      </c>
      <c r="C1389" s="7" t="s">
        <v>8984</v>
      </c>
      <c r="D1389" s="7" t="s">
        <v>7542</v>
      </c>
      <c r="E1389" s="7" t="s">
        <v>10982</v>
      </c>
      <c r="F1389" s="8" t="s">
        <v>10983</v>
      </c>
      <c r="G1389" s="7">
        <v>17</v>
      </c>
      <c r="H1389" s="7" t="s">
        <v>9146</v>
      </c>
      <c r="I1389" s="7">
        <v>4</v>
      </c>
      <c r="J1389" s="7" t="s">
        <v>9147</v>
      </c>
      <c r="K1389" s="9" t="s">
        <v>8987</v>
      </c>
    </row>
    <row r="1390" spans="1:11">
      <c r="A1390" s="7">
        <v>1388</v>
      </c>
      <c r="B1390" s="7" t="s">
        <v>8983</v>
      </c>
      <c r="C1390" s="7" t="s">
        <v>8984</v>
      </c>
      <c r="D1390" s="7" t="s">
        <v>7542</v>
      </c>
      <c r="E1390" s="7" t="s">
        <v>10984</v>
      </c>
      <c r="F1390" s="8" t="s">
        <v>10983</v>
      </c>
      <c r="G1390" s="7">
        <v>17</v>
      </c>
      <c r="H1390" s="7" t="s">
        <v>9146</v>
      </c>
      <c r="I1390" s="7">
        <v>4</v>
      </c>
      <c r="J1390" s="7" t="s">
        <v>9147</v>
      </c>
      <c r="K1390" s="9" t="s">
        <v>8987</v>
      </c>
    </row>
    <row r="1391" spans="1:11">
      <c r="A1391" s="7">
        <v>1389</v>
      </c>
      <c r="B1391" s="7" t="s">
        <v>8983</v>
      </c>
      <c r="C1391" s="7" t="s">
        <v>8984</v>
      </c>
      <c r="D1391" s="7" t="s">
        <v>7542</v>
      </c>
      <c r="E1391" s="7" t="s">
        <v>10985</v>
      </c>
      <c r="F1391" s="8" t="s">
        <v>10983</v>
      </c>
      <c r="G1391" s="7">
        <v>17</v>
      </c>
      <c r="H1391" s="7" t="s">
        <v>9146</v>
      </c>
      <c r="I1391" s="7">
        <v>4</v>
      </c>
      <c r="J1391" s="7" t="s">
        <v>9147</v>
      </c>
      <c r="K1391" s="9" t="s">
        <v>8987</v>
      </c>
    </row>
    <row r="1392" spans="1:11">
      <c r="A1392" s="7">
        <v>1390</v>
      </c>
      <c r="B1392" s="7" t="s">
        <v>8983</v>
      </c>
      <c r="C1392" s="7" t="s">
        <v>8984</v>
      </c>
      <c r="D1392" s="7" t="s">
        <v>7542</v>
      </c>
      <c r="E1392" s="7" t="s">
        <v>10986</v>
      </c>
      <c r="F1392" s="8" t="s">
        <v>10983</v>
      </c>
      <c r="G1392" s="7">
        <v>17</v>
      </c>
      <c r="H1392" s="7" t="s">
        <v>9146</v>
      </c>
      <c r="I1392" s="7">
        <v>4</v>
      </c>
      <c r="J1392" s="7" t="s">
        <v>9147</v>
      </c>
      <c r="K1392" s="9" t="s">
        <v>8987</v>
      </c>
    </row>
    <row r="1393" spans="1:11">
      <c r="A1393" s="7">
        <v>1391</v>
      </c>
      <c r="B1393" s="7" t="s">
        <v>8983</v>
      </c>
      <c r="C1393" s="7" t="s">
        <v>8984</v>
      </c>
      <c r="D1393" s="7" t="s">
        <v>7542</v>
      </c>
      <c r="E1393" s="7" t="s">
        <v>10987</v>
      </c>
      <c r="F1393" s="8" t="s">
        <v>10983</v>
      </c>
      <c r="G1393" s="7">
        <v>17</v>
      </c>
      <c r="H1393" s="7" t="s">
        <v>9146</v>
      </c>
      <c r="I1393" s="7">
        <v>4</v>
      </c>
      <c r="J1393" s="7" t="s">
        <v>9147</v>
      </c>
      <c r="K1393" s="9" t="s">
        <v>8987</v>
      </c>
    </row>
    <row r="1394" spans="1:11">
      <c r="A1394" s="7">
        <v>1392</v>
      </c>
      <c r="B1394" s="7" t="s">
        <v>8983</v>
      </c>
      <c r="C1394" s="7" t="s">
        <v>8984</v>
      </c>
      <c r="D1394" s="7" t="s">
        <v>7542</v>
      </c>
      <c r="E1394" s="7" t="s">
        <v>10988</v>
      </c>
      <c r="F1394" s="8" t="s">
        <v>10983</v>
      </c>
      <c r="G1394" s="7">
        <v>17</v>
      </c>
      <c r="H1394" s="7" t="s">
        <v>9146</v>
      </c>
      <c r="I1394" s="7">
        <v>4</v>
      </c>
      <c r="J1394" s="7" t="s">
        <v>9147</v>
      </c>
      <c r="K1394" s="9" t="s">
        <v>8987</v>
      </c>
    </row>
    <row r="1395" spans="1:11">
      <c r="A1395" s="7">
        <v>1393</v>
      </c>
      <c r="B1395" s="7" t="s">
        <v>8983</v>
      </c>
      <c r="C1395" s="7" t="s">
        <v>8984</v>
      </c>
      <c r="D1395" s="7" t="s">
        <v>7542</v>
      </c>
      <c r="E1395" s="7" t="s">
        <v>10989</v>
      </c>
      <c r="F1395" s="8" t="s">
        <v>10626</v>
      </c>
      <c r="G1395" s="7">
        <v>17</v>
      </c>
      <c r="H1395" s="7" t="s">
        <v>9146</v>
      </c>
      <c r="I1395" s="7">
        <v>4</v>
      </c>
      <c r="J1395" s="7" t="s">
        <v>9147</v>
      </c>
      <c r="K1395" s="9" t="s">
        <v>8987</v>
      </c>
    </row>
    <row r="1396" spans="1:11">
      <c r="A1396" s="7">
        <v>1394</v>
      </c>
      <c r="B1396" s="7" t="s">
        <v>9796</v>
      </c>
      <c r="C1396" s="7" t="s">
        <v>8984</v>
      </c>
      <c r="D1396" s="7" t="s">
        <v>7542</v>
      </c>
      <c r="E1396" s="7" t="s">
        <v>10990</v>
      </c>
      <c r="F1396" s="8" t="s">
        <v>9541</v>
      </c>
      <c r="G1396" s="7">
        <v>17</v>
      </c>
      <c r="H1396" s="7" t="s">
        <v>9146</v>
      </c>
      <c r="I1396" s="7">
        <v>4</v>
      </c>
      <c r="J1396" s="7" t="s">
        <v>9147</v>
      </c>
      <c r="K1396" s="9" t="s">
        <v>8987</v>
      </c>
    </row>
    <row r="1397" spans="1:11">
      <c r="A1397" s="7">
        <v>1395</v>
      </c>
      <c r="B1397" s="7" t="s">
        <v>8983</v>
      </c>
      <c r="C1397" s="7" t="s">
        <v>8984</v>
      </c>
      <c r="D1397" s="7" t="s">
        <v>7550</v>
      </c>
      <c r="E1397" s="7" t="s">
        <v>10991</v>
      </c>
      <c r="F1397" s="8" t="s">
        <v>10992</v>
      </c>
      <c r="G1397" s="7">
        <v>30</v>
      </c>
      <c r="H1397" s="7" t="s">
        <v>9015</v>
      </c>
      <c r="I1397" s="7">
        <v>5</v>
      </c>
      <c r="J1397" s="7" t="s">
        <v>7732</v>
      </c>
      <c r="K1397" s="9" t="s">
        <v>8987</v>
      </c>
    </row>
    <row r="1398" spans="1:11">
      <c r="A1398" s="7">
        <v>1396</v>
      </c>
      <c r="B1398" s="7" t="s">
        <v>9796</v>
      </c>
      <c r="C1398" s="7" t="s">
        <v>8984</v>
      </c>
      <c r="D1398" s="7" t="s">
        <v>7550</v>
      </c>
      <c r="E1398" s="7" t="s">
        <v>6799</v>
      </c>
      <c r="F1398" s="8" t="s">
        <v>9543</v>
      </c>
      <c r="G1398" s="7">
        <v>30</v>
      </c>
      <c r="H1398" s="7" t="s">
        <v>9015</v>
      </c>
      <c r="I1398" s="7">
        <v>5</v>
      </c>
      <c r="J1398" s="7" t="s">
        <v>7732</v>
      </c>
      <c r="K1398" s="9" t="s">
        <v>8987</v>
      </c>
    </row>
    <row r="1399" spans="1:11">
      <c r="A1399" s="7">
        <v>1397</v>
      </c>
      <c r="B1399" s="7" t="s">
        <v>10040</v>
      </c>
      <c r="C1399" s="7" t="s">
        <v>8984</v>
      </c>
      <c r="D1399" s="7" t="s">
        <v>7542</v>
      </c>
      <c r="E1399" s="7" t="s">
        <v>10993</v>
      </c>
      <c r="F1399" s="8" t="s">
        <v>10994</v>
      </c>
      <c r="G1399" s="7">
        <v>0</v>
      </c>
      <c r="H1399" s="7" t="s">
        <v>8984</v>
      </c>
      <c r="I1399" s="7">
        <v>1</v>
      </c>
      <c r="J1399" s="7" t="s">
        <v>7838</v>
      </c>
      <c r="K1399" s="9" t="s">
        <v>8987</v>
      </c>
    </row>
    <row r="1400" spans="1:11">
      <c r="A1400" s="7">
        <v>1398</v>
      </c>
      <c r="B1400" s="7" t="s">
        <v>10040</v>
      </c>
      <c r="C1400" s="7" t="s">
        <v>8984</v>
      </c>
      <c r="D1400" s="7" t="s">
        <v>7573</v>
      </c>
      <c r="E1400" s="7" t="s">
        <v>10995</v>
      </c>
      <c r="F1400" s="8" t="s">
        <v>10994</v>
      </c>
      <c r="G1400" s="7">
        <v>0</v>
      </c>
      <c r="H1400" s="7" t="s">
        <v>8984</v>
      </c>
      <c r="I1400" s="7">
        <v>1</v>
      </c>
      <c r="J1400" s="7" t="s">
        <v>7838</v>
      </c>
      <c r="K1400" s="9" t="s">
        <v>8987</v>
      </c>
    </row>
    <row r="1401" spans="1:11">
      <c r="A1401" s="7">
        <v>1399</v>
      </c>
      <c r="B1401" s="7" t="s">
        <v>10040</v>
      </c>
      <c r="C1401" s="7" t="s">
        <v>8984</v>
      </c>
      <c r="D1401" s="7" t="s">
        <v>7552</v>
      </c>
      <c r="E1401" s="7" t="s">
        <v>10996</v>
      </c>
      <c r="F1401" s="8" t="s">
        <v>10994</v>
      </c>
      <c r="G1401" s="7">
        <v>0</v>
      </c>
      <c r="H1401" s="7" t="s">
        <v>8984</v>
      </c>
      <c r="I1401" s="7">
        <v>1</v>
      </c>
      <c r="J1401" s="7" t="s">
        <v>7838</v>
      </c>
      <c r="K1401" s="9" t="s">
        <v>8987</v>
      </c>
    </row>
    <row r="1402" spans="1:11">
      <c r="A1402" s="7">
        <v>1400</v>
      </c>
      <c r="B1402" s="7" t="s">
        <v>10040</v>
      </c>
      <c r="C1402" s="7" t="s">
        <v>8984</v>
      </c>
      <c r="D1402" s="7" t="s">
        <v>7581</v>
      </c>
      <c r="E1402" s="7" t="s">
        <v>10997</v>
      </c>
      <c r="F1402" s="8" t="s">
        <v>10994</v>
      </c>
      <c r="G1402" s="7">
        <v>0</v>
      </c>
      <c r="H1402" s="7" t="s">
        <v>8984</v>
      </c>
      <c r="I1402" s="7">
        <v>1</v>
      </c>
      <c r="J1402" s="7" t="s">
        <v>7838</v>
      </c>
      <c r="K1402" s="9" t="s">
        <v>8987</v>
      </c>
    </row>
    <row r="1403" spans="1:11">
      <c r="A1403" s="7">
        <v>1401</v>
      </c>
      <c r="B1403" s="7" t="s">
        <v>10040</v>
      </c>
      <c r="C1403" s="7" t="s">
        <v>8984</v>
      </c>
      <c r="D1403" s="7" t="s">
        <v>7553</v>
      </c>
      <c r="E1403" s="7" t="s">
        <v>10998</v>
      </c>
      <c r="F1403" s="8" t="s">
        <v>10994</v>
      </c>
      <c r="G1403" s="7">
        <v>0</v>
      </c>
      <c r="H1403" s="7" t="s">
        <v>8984</v>
      </c>
      <c r="I1403" s="7">
        <v>1</v>
      </c>
      <c r="J1403" s="7" t="s">
        <v>7838</v>
      </c>
      <c r="K1403" s="9" t="s">
        <v>8987</v>
      </c>
    </row>
    <row r="1404" spans="1:11">
      <c r="A1404" s="7">
        <v>1402</v>
      </c>
      <c r="B1404" s="7" t="s">
        <v>10040</v>
      </c>
      <c r="C1404" s="7" t="s">
        <v>8984</v>
      </c>
      <c r="D1404" s="7" t="s">
        <v>7551</v>
      </c>
      <c r="E1404" s="7" t="s">
        <v>10999</v>
      </c>
      <c r="F1404" s="8" t="s">
        <v>10994</v>
      </c>
      <c r="G1404" s="7">
        <v>0</v>
      </c>
      <c r="H1404" s="7" t="s">
        <v>8984</v>
      </c>
      <c r="I1404" s="7">
        <v>1</v>
      </c>
      <c r="J1404" s="7" t="s">
        <v>7838</v>
      </c>
      <c r="K1404" s="9" t="s">
        <v>8987</v>
      </c>
    </row>
    <row r="1405" spans="1:11">
      <c r="A1405" s="7">
        <v>1403</v>
      </c>
      <c r="B1405" s="7" t="s">
        <v>10040</v>
      </c>
      <c r="C1405" s="7" t="s">
        <v>8984</v>
      </c>
      <c r="D1405" s="7" t="s">
        <v>7566</v>
      </c>
      <c r="E1405" s="7" t="s">
        <v>11000</v>
      </c>
      <c r="F1405" s="8" t="s">
        <v>11001</v>
      </c>
      <c r="G1405" s="7">
        <v>0</v>
      </c>
      <c r="H1405" s="7" t="s">
        <v>8984</v>
      </c>
      <c r="I1405" s="7">
        <v>1</v>
      </c>
      <c r="J1405" s="7" t="s">
        <v>7838</v>
      </c>
      <c r="K1405" s="9" t="s">
        <v>8987</v>
      </c>
    </row>
    <row r="1406" spans="1:11">
      <c r="A1406" s="7">
        <v>1404</v>
      </c>
      <c r="B1406" s="7" t="s">
        <v>10353</v>
      </c>
      <c r="C1406" s="7" t="s">
        <v>8984</v>
      </c>
      <c r="D1406" s="7" t="s">
        <v>7549</v>
      </c>
      <c r="E1406" s="7" t="s">
        <v>11002</v>
      </c>
      <c r="F1406" s="8" t="s">
        <v>11003</v>
      </c>
      <c r="G1406" s="7">
        <v>0</v>
      </c>
      <c r="H1406" s="7" t="s">
        <v>8984</v>
      </c>
      <c r="I1406" s="7">
        <v>1</v>
      </c>
      <c r="J1406" s="7" t="s">
        <v>7838</v>
      </c>
      <c r="K1406" s="9" t="s">
        <v>8987</v>
      </c>
    </row>
    <row r="1407" spans="1:11">
      <c r="A1407" s="7">
        <v>1405</v>
      </c>
      <c r="B1407" s="7" t="s">
        <v>10040</v>
      </c>
      <c r="C1407" s="7" t="s">
        <v>8984</v>
      </c>
      <c r="D1407" s="7" t="s">
        <v>7581</v>
      </c>
      <c r="E1407" s="7" t="s">
        <v>11004</v>
      </c>
      <c r="F1407" s="8" t="s">
        <v>11005</v>
      </c>
      <c r="G1407" s="7">
        <v>0</v>
      </c>
      <c r="H1407" s="7" t="s">
        <v>8984</v>
      </c>
      <c r="I1407" s="7">
        <v>1</v>
      </c>
      <c r="J1407" s="7" t="s">
        <v>7838</v>
      </c>
      <c r="K1407" s="9" t="s">
        <v>8987</v>
      </c>
    </row>
    <row r="1408" spans="1:11">
      <c r="A1408" s="7">
        <v>1406</v>
      </c>
      <c r="B1408" s="7" t="s">
        <v>8983</v>
      </c>
      <c r="C1408" s="7" t="s">
        <v>8984</v>
      </c>
      <c r="D1408" s="7" t="s">
        <v>7573</v>
      </c>
      <c r="E1408" s="7" t="s">
        <v>3329</v>
      </c>
      <c r="F1408" s="8" t="s">
        <v>11006</v>
      </c>
      <c r="G1408" s="7">
        <v>8</v>
      </c>
      <c r="H1408" s="7" t="s">
        <v>8991</v>
      </c>
      <c r="I1408" s="7">
        <v>3</v>
      </c>
      <c r="J1408" s="7" t="s">
        <v>7823</v>
      </c>
      <c r="K1408" s="9" t="s">
        <v>8987</v>
      </c>
    </row>
    <row r="1409" spans="1:11">
      <c r="A1409" s="7">
        <v>1407</v>
      </c>
      <c r="B1409" s="7" t="s">
        <v>8983</v>
      </c>
      <c r="C1409" s="7" t="s">
        <v>8984</v>
      </c>
      <c r="D1409" s="7" t="s">
        <v>7573</v>
      </c>
      <c r="E1409" s="7" t="s">
        <v>11007</v>
      </c>
      <c r="F1409" s="8" t="s">
        <v>11008</v>
      </c>
      <c r="G1409" s="7">
        <v>8</v>
      </c>
      <c r="H1409" s="7" t="s">
        <v>8991</v>
      </c>
      <c r="I1409" s="7">
        <v>3</v>
      </c>
      <c r="J1409" s="7" t="s">
        <v>7823</v>
      </c>
      <c r="K1409" s="9" t="s">
        <v>8987</v>
      </c>
    </row>
    <row r="1410" spans="1:11">
      <c r="A1410" s="7">
        <v>1408</v>
      </c>
      <c r="B1410" s="7" t="s">
        <v>8983</v>
      </c>
      <c r="C1410" s="7" t="s">
        <v>8984</v>
      </c>
      <c r="D1410" s="7" t="s">
        <v>7573</v>
      </c>
      <c r="E1410" s="7" t="s">
        <v>11009</v>
      </c>
      <c r="F1410" s="8" t="s">
        <v>11010</v>
      </c>
      <c r="G1410" s="7">
        <v>8</v>
      </c>
      <c r="H1410" s="7" t="s">
        <v>8991</v>
      </c>
      <c r="I1410" s="7">
        <v>3</v>
      </c>
      <c r="J1410" s="7" t="s">
        <v>7823</v>
      </c>
      <c r="K1410" s="9" t="s">
        <v>8987</v>
      </c>
    </row>
    <row r="1411" spans="1:11">
      <c r="A1411" s="7">
        <v>1409</v>
      </c>
      <c r="B1411" s="7" t="s">
        <v>8983</v>
      </c>
      <c r="C1411" s="7" t="s">
        <v>8984</v>
      </c>
      <c r="D1411" s="7" t="s">
        <v>7573</v>
      </c>
      <c r="E1411" s="7" t="s">
        <v>11011</v>
      </c>
      <c r="F1411" s="8" t="s">
        <v>11012</v>
      </c>
      <c r="G1411" s="7">
        <v>8</v>
      </c>
      <c r="H1411" s="7" t="s">
        <v>8991</v>
      </c>
      <c r="I1411" s="7">
        <v>3</v>
      </c>
      <c r="J1411" s="7" t="s">
        <v>7823</v>
      </c>
      <c r="K1411" s="9" t="s">
        <v>8987</v>
      </c>
    </row>
    <row r="1412" spans="1:11">
      <c r="A1412" s="7">
        <v>1410</v>
      </c>
      <c r="B1412" s="7" t="s">
        <v>8983</v>
      </c>
      <c r="C1412" s="7" t="s">
        <v>8984</v>
      </c>
      <c r="D1412" s="7" t="s">
        <v>7573</v>
      </c>
      <c r="E1412" s="7" t="s">
        <v>11013</v>
      </c>
      <c r="F1412" s="8" t="s">
        <v>11014</v>
      </c>
      <c r="G1412" s="7">
        <v>8</v>
      </c>
      <c r="H1412" s="7" t="s">
        <v>8991</v>
      </c>
      <c r="I1412" s="7">
        <v>3</v>
      </c>
      <c r="J1412" s="7" t="s">
        <v>7823</v>
      </c>
      <c r="K1412" s="9" t="s">
        <v>8987</v>
      </c>
    </row>
    <row r="1413" spans="1:11">
      <c r="A1413" s="7">
        <v>1411</v>
      </c>
      <c r="B1413" s="7" t="s">
        <v>9208</v>
      </c>
      <c r="C1413" s="7" t="s">
        <v>8984</v>
      </c>
      <c r="D1413" s="7" t="s">
        <v>7573</v>
      </c>
      <c r="E1413" s="7" t="s">
        <v>11015</v>
      </c>
      <c r="F1413" s="8" t="s">
        <v>11016</v>
      </c>
      <c r="G1413" s="7">
        <v>100</v>
      </c>
      <c r="H1413" s="7" t="s">
        <v>9046</v>
      </c>
      <c r="I1413" s="7">
        <v>21</v>
      </c>
      <c r="J1413" s="7" t="s">
        <v>7721</v>
      </c>
      <c r="K1413" s="9" t="s">
        <v>8987</v>
      </c>
    </row>
    <row r="1414" spans="1:11">
      <c r="A1414" s="7">
        <v>1412</v>
      </c>
      <c r="B1414" s="7" t="s">
        <v>8983</v>
      </c>
      <c r="C1414" s="7" t="s">
        <v>8984</v>
      </c>
      <c r="D1414" s="7" t="s">
        <v>7547</v>
      </c>
      <c r="E1414" s="7" t="s">
        <v>11017</v>
      </c>
      <c r="F1414" s="8" t="s">
        <v>11018</v>
      </c>
      <c r="G1414" s="7">
        <v>12</v>
      </c>
      <c r="H1414" s="7" t="s">
        <v>9213</v>
      </c>
      <c r="I1414" s="7">
        <v>4</v>
      </c>
      <c r="J1414" s="7" t="s">
        <v>9280</v>
      </c>
      <c r="K1414" s="9" t="s">
        <v>8987</v>
      </c>
    </row>
    <row r="1415" spans="1:11">
      <c r="A1415" s="7">
        <v>1413</v>
      </c>
      <c r="B1415" s="7" t="s">
        <v>8983</v>
      </c>
      <c r="C1415" s="7" t="s">
        <v>8984</v>
      </c>
      <c r="D1415" s="7" t="s">
        <v>7547</v>
      </c>
      <c r="E1415" s="7" t="s">
        <v>11019</v>
      </c>
      <c r="F1415" s="8" t="s">
        <v>11020</v>
      </c>
      <c r="G1415" s="7">
        <v>10</v>
      </c>
      <c r="H1415" s="7" t="s">
        <v>9292</v>
      </c>
      <c r="I1415" s="7">
        <v>3</v>
      </c>
      <c r="J1415" s="7" t="s">
        <v>7718</v>
      </c>
      <c r="K1415" s="9" t="s">
        <v>8987</v>
      </c>
    </row>
    <row r="1416" spans="1:11">
      <c r="A1416" s="7">
        <v>1414</v>
      </c>
      <c r="B1416" s="7" t="s">
        <v>8983</v>
      </c>
      <c r="C1416" s="7" t="s">
        <v>8984</v>
      </c>
      <c r="D1416" s="7" t="s">
        <v>7547</v>
      </c>
      <c r="E1416" s="7" t="s">
        <v>11021</v>
      </c>
      <c r="F1416" s="8" t="s">
        <v>11022</v>
      </c>
      <c r="G1416" s="7">
        <v>60</v>
      </c>
      <c r="H1416" s="7" t="s">
        <v>9289</v>
      </c>
      <c r="I1416" s="7">
        <v>13</v>
      </c>
      <c r="J1416" s="7" t="s">
        <v>7827</v>
      </c>
      <c r="K1416" s="9" t="s">
        <v>8987</v>
      </c>
    </row>
    <row r="1417" spans="1:11">
      <c r="A1417" s="7">
        <v>1415</v>
      </c>
      <c r="B1417" s="7" t="s">
        <v>9208</v>
      </c>
      <c r="C1417" s="7" t="s">
        <v>8998</v>
      </c>
      <c r="D1417" s="7" t="s">
        <v>7548</v>
      </c>
      <c r="E1417" s="7" t="s">
        <v>11023</v>
      </c>
      <c r="F1417" s="8" t="s">
        <v>11024</v>
      </c>
      <c r="G1417" s="7" t="s">
        <v>8987</v>
      </c>
      <c r="H1417" s="7" t="s">
        <v>8987</v>
      </c>
      <c r="I1417" s="7" t="s">
        <v>8987</v>
      </c>
      <c r="J1417" s="7" t="s">
        <v>8987</v>
      </c>
      <c r="K1417" s="9" t="s">
        <v>8987</v>
      </c>
    </row>
    <row r="1418" spans="1:11">
      <c r="A1418" s="7">
        <v>1416</v>
      </c>
      <c r="B1418" s="7" t="s">
        <v>8983</v>
      </c>
      <c r="C1418" s="7" t="s">
        <v>8998</v>
      </c>
      <c r="D1418" s="7" t="s">
        <v>7548</v>
      </c>
      <c r="E1418" s="7" t="s">
        <v>11025</v>
      </c>
      <c r="F1418" s="8" t="s">
        <v>11026</v>
      </c>
      <c r="G1418" s="7" t="s">
        <v>8987</v>
      </c>
      <c r="H1418" s="7" t="s">
        <v>8987</v>
      </c>
      <c r="I1418" s="7" t="s">
        <v>8987</v>
      </c>
      <c r="J1418" s="7" t="s">
        <v>8987</v>
      </c>
      <c r="K1418" s="9" t="s">
        <v>8987</v>
      </c>
    </row>
    <row r="1419" spans="1:11">
      <c r="A1419" s="7">
        <v>1417</v>
      </c>
      <c r="B1419" s="7" t="s">
        <v>9208</v>
      </c>
      <c r="C1419" s="7" t="s">
        <v>8984</v>
      </c>
      <c r="D1419" s="7" t="s">
        <v>7551</v>
      </c>
      <c r="E1419" s="7" t="s">
        <v>11027</v>
      </c>
      <c r="F1419" s="8" t="s">
        <v>11028</v>
      </c>
      <c r="G1419" s="7">
        <v>27</v>
      </c>
      <c r="H1419" s="7" t="s">
        <v>9130</v>
      </c>
      <c r="I1419" s="7">
        <v>9</v>
      </c>
      <c r="J1419" s="7" t="s">
        <v>9131</v>
      </c>
      <c r="K1419" s="9" t="s">
        <v>8987</v>
      </c>
    </row>
    <row r="1420" spans="1:11">
      <c r="A1420" s="7">
        <v>1418</v>
      </c>
      <c r="B1420" s="7" t="s">
        <v>9208</v>
      </c>
      <c r="C1420" s="7" t="s">
        <v>8984</v>
      </c>
      <c r="D1420" s="7" t="s">
        <v>7551</v>
      </c>
      <c r="E1420" s="7" t="s">
        <v>11029</v>
      </c>
      <c r="F1420" s="8" t="s">
        <v>11030</v>
      </c>
      <c r="G1420" s="7">
        <v>27</v>
      </c>
      <c r="H1420" s="7" t="s">
        <v>9130</v>
      </c>
      <c r="I1420" s="7">
        <v>9</v>
      </c>
      <c r="J1420" s="7" t="s">
        <v>9131</v>
      </c>
      <c r="K1420" s="9" t="s">
        <v>8987</v>
      </c>
    </row>
    <row r="1421" spans="1:11">
      <c r="A1421" s="7">
        <v>1419</v>
      </c>
      <c r="B1421" s="7" t="s">
        <v>9208</v>
      </c>
      <c r="C1421" s="7" t="s">
        <v>8984</v>
      </c>
      <c r="D1421" s="7" t="s">
        <v>7551</v>
      </c>
      <c r="E1421" s="7" t="s">
        <v>11031</v>
      </c>
      <c r="F1421" s="8" t="s">
        <v>11032</v>
      </c>
      <c r="G1421" s="7">
        <v>60</v>
      </c>
      <c r="H1421" s="7" t="s">
        <v>9289</v>
      </c>
      <c r="I1421" s="7">
        <v>13</v>
      </c>
      <c r="J1421" s="7" t="s">
        <v>7827</v>
      </c>
      <c r="K1421" s="9" t="s">
        <v>8987</v>
      </c>
    </row>
    <row r="1422" spans="1:11">
      <c r="A1422" s="7">
        <v>1420</v>
      </c>
      <c r="B1422" s="7" t="s">
        <v>9208</v>
      </c>
      <c r="C1422" s="7" t="s">
        <v>8998</v>
      </c>
      <c r="D1422" s="7" t="s">
        <v>7548</v>
      </c>
      <c r="E1422" s="7" t="s">
        <v>11033</v>
      </c>
      <c r="F1422" s="8" t="s">
        <v>11034</v>
      </c>
      <c r="G1422" s="7" t="s">
        <v>8987</v>
      </c>
      <c r="H1422" s="7" t="s">
        <v>8987</v>
      </c>
      <c r="I1422" s="7" t="s">
        <v>8987</v>
      </c>
      <c r="J1422" s="7" t="s">
        <v>8987</v>
      </c>
      <c r="K1422" s="9" t="s">
        <v>8987</v>
      </c>
    </row>
    <row r="1423" spans="1:11">
      <c r="A1423" s="7">
        <v>1421</v>
      </c>
      <c r="B1423" s="7" t="s">
        <v>10040</v>
      </c>
      <c r="C1423" s="7" t="s">
        <v>8998</v>
      </c>
      <c r="D1423" s="7" t="s">
        <v>7548</v>
      </c>
      <c r="E1423" s="7" t="s">
        <v>11035</v>
      </c>
      <c r="F1423" s="8" t="s">
        <v>11036</v>
      </c>
      <c r="G1423" s="7" t="s">
        <v>8987</v>
      </c>
      <c r="H1423" s="7" t="s">
        <v>8987</v>
      </c>
      <c r="I1423" s="7" t="s">
        <v>8987</v>
      </c>
      <c r="J1423" s="7" t="s">
        <v>8987</v>
      </c>
      <c r="K1423" s="9" t="s">
        <v>8987</v>
      </c>
    </row>
    <row r="1424" spans="1:11">
      <c r="A1424" s="7">
        <v>1422</v>
      </c>
      <c r="B1424" s="7" t="s">
        <v>9208</v>
      </c>
      <c r="C1424" s="7" t="s">
        <v>8998</v>
      </c>
      <c r="D1424" s="7" t="s">
        <v>7548</v>
      </c>
      <c r="E1424" s="7" t="s">
        <v>4292</v>
      </c>
      <c r="F1424" s="8" t="s">
        <v>11037</v>
      </c>
      <c r="G1424" s="7" t="s">
        <v>8987</v>
      </c>
      <c r="H1424" s="7" t="s">
        <v>8987</v>
      </c>
      <c r="I1424" s="7" t="s">
        <v>8987</v>
      </c>
      <c r="J1424" s="7" t="s">
        <v>8987</v>
      </c>
      <c r="K1424" s="9" t="s">
        <v>8987</v>
      </c>
    </row>
    <row r="1425" spans="1:11">
      <c r="A1425" s="7">
        <v>1423</v>
      </c>
      <c r="B1425" s="7" t="s">
        <v>9208</v>
      </c>
      <c r="C1425" s="7" t="s">
        <v>8998</v>
      </c>
      <c r="D1425" s="7" t="s">
        <v>7548</v>
      </c>
      <c r="E1425" s="7" t="s">
        <v>11038</v>
      </c>
      <c r="F1425" s="8" t="s">
        <v>11039</v>
      </c>
      <c r="G1425" s="7" t="s">
        <v>8987</v>
      </c>
      <c r="H1425" s="7" t="s">
        <v>8987</v>
      </c>
      <c r="I1425" s="7" t="s">
        <v>8987</v>
      </c>
      <c r="J1425" s="7" t="s">
        <v>8987</v>
      </c>
      <c r="K1425" s="9" t="s">
        <v>8987</v>
      </c>
    </row>
    <row r="1426" spans="1:11">
      <c r="A1426" s="7">
        <v>1424</v>
      </c>
      <c r="B1426" s="7" t="s">
        <v>10353</v>
      </c>
      <c r="C1426" s="7" t="s">
        <v>8984</v>
      </c>
      <c r="D1426" s="7" t="s">
        <v>7549</v>
      </c>
      <c r="E1426" s="7" t="s">
        <v>11040</v>
      </c>
      <c r="F1426" s="8" t="s">
        <v>11041</v>
      </c>
      <c r="G1426" s="7">
        <v>0</v>
      </c>
      <c r="H1426" s="7" t="s">
        <v>8984</v>
      </c>
      <c r="I1426" s="7">
        <v>1</v>
      </c>
      <c r="J1426" s="7" t="s">
        <v>7838</v>
      </c>
      <c r="K1426" s="9" t="s">
        <v>8987</v>
      </c>
    </row>
    <row r="1427" spans="1:11">
      <c r="A1427" s="7">
        <v>1425</v>
      </c>
      <c r="B1427" s="7" t="s">
        <v>9208</v>
      </c>
      <c r="C1427" s="7" t="s">
        <v>8984</v>
      </c>
      <c r="D1427" s="7" t="s">
        <v>7551</v>
      </c>
      <c r="E1427" s="7" t="s">
        <v>11042</v>
      </c>
      <c r="F1427" s="8" t="s">
        <v>11043</v>
      </c>
      <c r="G1427" s="7">
        <v>4</v>
      </c>
      <c r="H1427" s="7" t="s">
        <v>9579</v>
      </c>
      <c r="I1427" s="7">
        <v>2</v>
      </c>
      <c r="J1427" s="7" t="s">
        <v>11044</v>
      </c>
      <c r="K1427" s="9" t="s">
        <v>8987</v>
      </c>
    </row>
    <row r="1428" spans="1:11">
      <c r="A1428" s="7">
        <v>1426</v>
      </c>
      <c r="B1428" s="7" t="s">
        <v>9208</v>
      </c>
      <c r="C1428" s="7" t="s">
        <v>8984</v>
      </c>
      <c r="D1428" s="7" t="s">
        <v>7542</v>
      </c>
      <c r="E1428" s="7" t="s">
        <v>11045</v>
      </c>
      <c r="F1428" s="8" t="s">
        <v>11046</v>
      </c>
      <c r="G1428" s="7">
        <v>17</v>
      </c>
      <c r="H1428" s="7" t="s">
        <v>9146</v>
      </c>
      <c r="I1428" s="7">
        <v>4</v>
      </c>
      <c r="J1428" s="7" t="s">
        <v>9147</v>
      </c>
      <c r="K1428" s="9" t="s">
        <v>8987</v>
      </c>
    </row>
    <row r="1429" spans="1:11">
      <c r="A1429" s="7">
        <v>1427</v>
      </c>
      <c r="B1429" s="7" t="s">
        <v>9208</v>
      </c>
      <c r="C1429" s="7" t="s">
        <v>8984</v>
      </c>
      <c r="D1429" s="7" t="s">
        <v>7542</v>
      </c>
      <c r="E1429" s="7" t="s">
        <v>11047</v>
      </c>
      <c r="F1429" s="8" t="s">
        <v>11048</v>
      </c>
      <c r="G1429" s="7">
        <v>17</v>
      </c>
      <c r="H1429" s="7" t="s">
        <v>9146</v>
      </c>
      <c r="I1429" s="7">
        <v>4</v>
      </c>
      <c r="J1429" s="7" t="s">
        <v>9147</v>
      </c>
      <c r="K1429" s="9" t="s">
        <v>8987</v>
      </c>
    </row>
    <row r="1430" spans="1:11">
      <c r="A1430" s="7">
        <v>1428</v>
      </c>
      <c r="B1430" s="7" t="s">
        <v>9208</v>
      </c>
      <c r="C1430" s="7" t="s">
        <v>8991</v>
      </c>
      <c r="D1430" s="7" t="s">
        <v>7542</v>
      </c>
      <c r="E1430" s="7" t="s">
        <v>11049</v>
      </c>
      <c r="F1430" s="8" t="s">
        <v>11050</v>
      </c>
      <c r="G1430" s="7">
        <v>17</v>
      </c>
      <c r="H1430" s="7" t="s">
        <v>9146</v>
      </c>
      <c r="I1430" s="7">
        <v>4</v>
      </c>
      <c r="J1430" s="7" t="s">
        <v>9147</v>
      </c>
      <c r="K1430" s="9" t="s">
        <v>8987</v>
      </c>
    </row>
    <row r="1431" spans="1:11">
      <c r="A1431" s="7">
        <v>1429</v>
      </c>
      <c r="B1431" s="7" t="s">
        <v>9208</v>
      </c>
      <c r="C1431" s="7" t="s">
        <v>8984</v>
      </c>
      <c r="D1431" s="7" t="s">
        <v>7542</v>
      </c>
      <c r="E1431" s="7" t="s">
        <v>11051</v>
      </c>
      <c r="F1431" s="8" t="s">
        <v>11052</v>
      </c>
      <c r="G1431" s="7">
        <v>0</v>
      </c>
      <c r="H1431" s="7" t="s">
        <v>8984</v>
      </c>
      <c r="I1431" s="7">
        <v>1</v>
      </c>
      <c r="J1431" s="7" t="s">
        <v>7838</v>
      </c>
      <c r="K1431" s="9" t="s">
        <v>8987</v>
      </c>
    </row>
    <row r="1432" spans="1:11">
      <c r="A1432" s="7">
        <v>1430</v>
      </c>
      <c r="B1432" s="7" t="s">
        <v>9208</v>
      </c>
      <c r="C1432" s="7" t="s">
        <v>8984</v>
      </c>
      <c r="D1432" s="7" t="s">
        <v>7573</v>
      </c>
      <c r="E1432" s="7" t="s">
        <v>11053</v>
      </c>
      <c r="F1432" s="8" t="s">
        <v>11052</v>
      </c>
      <c r="G1432" s="7">
        <v>0</v>
      </c>
      <c r="H1432" s="7" t="s">
        <v>8984</v>
      </c>
      <c r="I1432" s="7">
        <v>1</v>
      </c>
      <c r="J1432" s="7" t="s">
        <v>7838</v>
      </c>
      <c r="K1432" s="9" t="s">
        <v>8987</v>
      </c>
    </row>
    <row r="1433" spans="1:11">
      <c r="A1433" s="7">
        <v>1431</v>
      </c>
      <c r="B1433" s="7" t="s">
        <v>9208</v>
      </c>
      <c r="C1433" s="7" t="s">
        <v>8984</v>
      </c>
      <c r="D1433" s="7" t="s">
        <v>7552</v>
      </c>
      <c r="E1433" s="7" t="s">
        <v>11054</v>
      </c>
      <c r="F1433" s="8" t="s">
        <v>11052</v>
      </c>
      <c r="G1433" s="7">
        <v>0</v>
      </c>
      <c r="H1433" s="7" t="s">
        <v>8984</v>
      </c>
      <c r="I1433" s="7">
        <v>1</v>
      </c>
      <c r="J1433" s="7" t="s">
        <v>7838</v>
      </c>
      <c r="K1433" s="9" t="s">
        <v>8987</v>
      </c>
    </row>
    <row r="1434" spans="1:11">
      <c r="A1434" s="7">
        <v>1432</v>
      </c>
      <c r="B1434" s="7" t="s">
        <v>9208</v>
      </c>
      <c r="C1434" s="7" t="s">
        <v>8984</v>
      </c>
      <c r="D1434" s="7" t="s">
        <v>7581</v>
      </c>
      <c r="E1434" s="7" t="s">
        <v>11055</v>
      </c>
      <c r="F1434" s="8" t="s">
        <v>11052</v>
      </c>
      <c r="G1434" s="7">
        <v>0</v>
      </c>
      <c r="H1434" s="7" t="s">
        <v>8984</v>
      </c>
      <c r="I1434" s="7">
        <v>1</v>
      </c>
      <c r="J1434" s="7" t="s">
        <v>7838</v>
      </c>
      <c r="K1434" s="9" t="s">
        <v>8987</v>
      </c>
    </row>
    <row r="1435" spans="1:11">
      <c r="A1435" s="7">
        <v>1433</v>
      </c>
      <c r="B1435" s="7" t="s">
        <v>9208</v>
      </c>
      <c r="C1435" s="7" t="s">
        <v>8984</v>
      </c>
      <c r="D1435" s="7" t="s">
        <v>7548</v>
      </c>
      <c r="E1435" s="7" t="s">
        <v>11056</v>
      </c>
      <c r="F1435" s="8" t="s">
        <v>11052</v>
      </c>
      <c r="G1435" s="7">
        <v>0</v>
      </c>
      <c r="H1435" s="7" t="s">
        <v>8984</v>
      </c>
      <c r="I1435" s="7">
        <v>1</v>
      </c>
      <c r="J1435" s="7" t="s">
        <v>7838</v>
      </c>
      <c r="K1435" s="9" t="s">
        <v>8987</v>
      </c>
    </row>
    <row r="1436" spans="1:11">
      <c r="A1436" s="7">
        <v>1434</v>
      </c>
      <c r="B1436" s="7" t="s">
        <v>9208</v>
      </c>
      <c r="C1436" s="7" t="s">
        <v>8984</v>
      </c>
      <c r="D1436" s="7" t="s">
        <v>7553</v>
      </c>
      <c r="E1436" s="7" t="s">
        <v>11057</v>
      </c>
      <c r="F1436" s="8" t="s">
        <v>11052</v>
      </c>
      <c r="G1436" s="7">
        <v>0</v>
      </c>
      <c r="H1436" s="7" t="s">
        <v>8984</v>
      </c>
      <c r="I1436" s="7">
        <v>1</v>
      </c>
      <c r="J1436" s="7" t="s">
        <v>7838</v>
      </c>
      <c r="K1436" s="9" t="s">
        <v>8987</v>
      </c>
    </row>
    <row r="1437" spans="1:11">
      <c r="A1437" s="7">
        <v>1435</v>
      </c>
      <c r="B1437" s="7" t="s">
        <v>9208</v>
      </c>
      <c r="C1437" s="7" t="s">
        <v>8984</v>
      </c>
      <c r="D1437" s="7" t="s">
        <v>7573</v>
      </c>
      <c r="E1437" s="7" t="s">
        <v>11058</v>
      </c>
      <c r="F1437" s="8" t="s">
        <v>11059</v>
      </c>
      <c r="G1437" s="7">
        <v>0</v>
      </c>
      <c r="H1437" s="7" t="s">
        <v>8984</v>
      </c>
      <c r="I1437" s="7">
        <v>1</v>
      </c>
      <c r="J1437" s="7" t="s">
        <v>7838</v>
      </c>
      <c r="K1437" s="9" t="s">
        <v>8987</v>
      </c>
    </row>
    <row r="1438" spans="1:11">
      <c r="A1438" s="7">
        <v>1436</v>
      </c>
      <c r="B1438" s="7" t="s">
        <v>9208</v>
      </c>
      <c r="C1438" s="7" t="s">
        <v>8984</v>
      </c>
      <c r="D1438" s="7" t="s">
        <v>7542</v>
      </c>
      <c r="E1438" s="7" t="s">
        <v>11060</v>
      </c>
      <c r="F1438" s="8" t="s">
        <v>11059</v>
      </c>
      <c r="G1438" s="7">
        <v>0</v>
      </c>
      <c r="H1438" s="7" t="s">
        <v>8984</v>
      </c>
      <c r="I1438" s="7">
        <v>1</v>
      </c>
      <c r="J1438" s="7" t="s">
        <v>7838</v>
      </c>
      <c r="K1438" s="9" t="s">
        <v>8987</v>
      </c>
    </row>
    <row r="1439" spans="1:11">
      <c r="A1439" s="7">
        <v>1437</v>
      </c>
      <c r="B1439" s="7" t="s">
        <v>9208</v>
      </c>
      <c r="C1439" s="7" t="s">
        <v>8984</v>
      </c>
      <c r="D1439" s="7" t="s">
        <v>7556</v>
      </c>
      <c r="E1439" s="7" t="s">
        <v>11061</v>
      </c>
      <c r="F1439" s="8" t="s">
        <v>11059</v>
      </c>
      <c r="G1439" s="7">
        <v>0</v>
      </c>
      <c r="H1439" s="7" t="s">
        <v>8984</v>
      </c>
      <c r="I1439" s="7">
        <v>1</v>
      </c>
      <c r="J1439" s="7" t="s">
        <v>7838</v>
      </c>
      <c r="K1439" s="9" t="s">
        <v>8987</v>
      </c>
    </row>
    <row r="1440" spans="1:11">
      <c r="A1440" s="7">
        <v>1438</v>
      </c>
      <c r="B1440" s="7" t="s">
        <v>9208</v>
      </c>
      <c r="C1440" s="7" t="s">
        <v>8984</v>
      </c>
      <c r="D1440" s="7" t="s">
        <v>7542</v>
      </c>
      <c r="E1440" s="7" t="s">
        <v>11062</v>
      </c>
      <c r="F1440" s="8" t="s">
        <v>11063</v>
      </c>
      <c r="G1440" s="7">
        <v>0</v>
      </c>
      <c r="H1440" s="7" t="s">
        <v>8984</v>
      </c>
      <c r="I1440" s="7">
        <v>1</v>
      </c>
      <c r="J1440" s="7" t="s">
        <v>7838</v>
      </c>
      <c r="K1440" s="9" t="s">
        <v>8987</v>
      </c>
    </row>
    <row r="1441" spans="1:11">
      <c r="A1441" s="7">
        <v>1439</v>
      </c>
      <c r="B1441" s="7" t="s">
        <v>9208</v>
      </c>
      <c r="C1441" s="7" t="s">
        <v>8984</v>
      </c>
      <c r="D1441" s="7" t="s">
        <v>7573</v>
      </c>
      <c r="E1441" s="7" t="s">
        <v>11064</v>
      </c>
      <c r="F1441" s="8" t="s">
        <v>11063</v>
      </c>
      <c r="G1441" s="7">
        <v>0</v>
      </c>
      <c r="H1441" s="7" t="s">
        <v>8984</v>
      </c>
      <c r="I1441" s="7">
        <v>1</v>
      </c>
      <c r="J1441" s="7" t="s">
        <v>7838</v>
      </c>
      <c r="K1441" s="9" t="s">
        <v>8987</v>
      </c>
    </row>
    <row r="1442" spans="1:11">
      <c r="A1442" s="7">
        <v>1440</v>
      </c>
      <c r="B1442" s="7" t="s">
        <v>9208</v>
      </c>
      <c r="C1442" s="7" t="s">
        <v>8984</v>
      </c>
      <c r="D1442" s="7" t="s">
        <v>7552</v>
      </c>
      <c r="E1442" s="7" t="s">
        <v>11065</v>
      </c>
      <c r="F1442" s="8" t="s">
        <v>11063</v>
      </c>
      <c r="G1442" s="7">
        <v>0</v>
      </c>
      <c r="H1442" s="7" t="s">
        <v>8984</v>
      </c>
      <c r="I1442" s="7">
        <v>1</v>
      </c>
      <c r="J1442" s="7" t="s">
        <v>7838</v>
      </c>
      <c r="K1442" s="9" t="s">
        <v>8987</v>
      </c>
    </row>
    <row r="1443" spans="1:11">
      <c r="A1443" s="7">
        <v>1441</v>
      </c>
      <c r="B1443" s="7" t="s">
        <v>9208</v>
      </c>
      <c r="C1443" s="7" t="s">
        <v>8984</v>
      </c>
      <c r="D1443" s="7" t="s">
        <v>7551</v>
      </c>
      <c r="E1443" s="7" t="s">
        <v>11066</v>
      </c>
      <c r="F1443" s="8" t="s">
        <v>11063</v>
      </c>
      <c r="G1443" s="7">
        <v>0</v>
      </c>
      <c r="H1443" s="7" t="s">
        <v>8984</v>
      </c>
      <c r="I1443" s="7">
        <v>1</v>
      </c>
      <c r="J1443" s="7" t="s">
        <v>7838</v>
      </c>
      <c r="K1443" s="9" t="s">
        <v>8987</v>
      </c>
    </row>
    <row r="1444" spans="1:11">
      <c r="A1444" s="7">
        <v>1442</v>
      </c>
      <c r="B1444" s="7" t="s">
        <v>9208</v>
      </c>
      <c r="C1444" s="7" t="s">
        <v>8984</v>
      </c>
      <c r="D1444" s="7" t="s">
        <v>7551</v>
      </c>
      <c r="E1444" s="7" t="s">
        <v>11067</v>
      </c>
      <c r="F1444" s="8" t="s">
        <v>11068</v>
      </c>
      <c r="G1444" s="7">
        <v>27</v>
      </c>
      <c r="H1444" s="7" t="s">
        <v>9130</v>
      </c>
      <c r="I1444" s="7">
        <v>9</v>
      </c>
      <c r="J1444" s="7" t="s">
        <v>9131</v>
      </c>
      <c r="K1444" s="9" t="s">
        <v>8987</v>
      </c>
    </row>
    <row r="1445" spans="1:11">
      <c r="A1445" s="7">
        <v>1443</v>
      </c>
      <c r="B1445" s="7" t="s">
        <v>9208</v>
      </c>
      <c r="C1445" s="7" t="s">
        <v>8984</v>
      </c>
      <c r="D1445" s="7" t="s">
        <v>7553</v>
      </c>
      <c r="E1445" s="7" t="s">
        <v>11069</v>
      </c>
      <c r="F1445" s="12" t="s">
        <v>11070</v>
      </c>
      <c r="G1445" s="7" t="s">
        <v>8987</v>
      </c>
      <c r="H1445" s="7" t="s">
        <v>8987</v>
      </c>
      <c r="I1445" s="7" t="s">
        <v>8987</v>
      </c>
      <c r="J1445" s="7" t="s">
        <v>8987</v>
      </c>
      <c r="K1445" s="9" t="s">
        <v>8987</v>
      </c>
    </row>
    <row r="1446" spans="1:11">
      <c r="A1446" s="7">
        <v>1444</v>
      </c>
      <c r="B1446" s="7" t="s">
        <v>9208</v>
      </c>
      <c r="C1446" s="7" t="s">
        <v>8984</v>
      </c>
      <c r="D1446" s="7" t="s">
        <v>7553</v>
      </c>
      <c r="E1446" s="7" t="s">
        <v>11071</v>
      </c>
      <c r="F1446" s="8" t="s">
        <v>10617</v>
      </c>
      <c r="G1446" s="7" t="s">
        <v>8987</v>
      </c>
      <c r="H1446" s="7" t="s">
        <v>8987</v>
      </c>
      <c r="I1446" s="7" t="s">
        <v>8987</v>
      </c>
      <c r="J1446" s="7" t="s">
        <v>8987</v>
      </c>
      <c r="K1446" s="9" t="s">
        <v>8987</v>
      </c>
    </row>
    <row r="1447" spans="1:11">
      <c r="A1447" s="7">
        <v>1445</v>
      </c>
      <c r="B1447" s="7" t="s">
        <v>9208</v>
      </c>
      <c r="C1447" s="7" t="s">
        <v>8984</v>
      </c>
      <c r="D1447" s="7" t="s">
        <v>7542</v>
      </c>
      <c r="E1447" s="7" t="s">
        <v>11072</v>
      </c>
      <c r="F1447" s="8" t="s">
        <v>11073</v>
      </c>
      <c r="G1447" s="7">
        <v>17</v>
      </c>
      <c r="H1447" s="7" t="s">
        <v>9146</v>
      </c>
      <c r="I1447" s="7">
        <v>4</v>
      </c>
      <c r="J1447" s="7" t="s">
        <v>9147</v>
      </c>
      <c r="K1447" s="9" t="s">
        <v>8987</v>
      </c>
    </row>
    <row r="1448" spans="1:11">
      <c r="A1448" s="7">
        <v>1446</v>
      </c>
      <c r="B1448" s="7" t="s">
        <v>9208</v>
      </c>
      <c r="C1448" s="7" t="s">
        <v>8984</v>
      </c>
      <c r="D1448" s="7" t="s">
        <v>7549</v>
      </c>
      <c r="E1448" s="7" t="s">
        <v>11074</v>
      </c>
      <c r="F1448" s="8" t="s">
        <v>11075</v>
      </c>
      <c r="G1448" s="7">
        <v>120</v>
      </c>
      <c r="H1448" s="7" t="s">
        <v>9036</v>
      </c>
      <c r="I1448" s="7">
        <v>1</v>
      </c>
      <c r="J1448" s="7" t="s">
        <v>11076</v>
      </c>
      <c r="K1448" s="9" t="s">
        <v>8987</v>
      </c>
    </row>
    <row r="1449" spans="1:11">
      <c r="A1449" s="7">
        <v>1447</v>
      </c>
      <c r="B1449" s="7" t="s">
        <v>9208</v>
      </c>
      <c r="C1449" s="7" t="s">
        <v>8984</v>
      </c>
      <c r="D1449" s="7" t="s">
        <v>7556</v>
      </c>
      <c r="E1449" s="7" t="s">
        <v>5498</v>
      </c>
      <c r="F1449" s="8" t="s">
        <v>11077</v>
      </c>
      <c r="G1449" s="7">
        <v>120</v>
      </c>
      <c r="H1449" s="7" t="s">
        <v>9036</v>
      </c>
      <c r="I1449" s="7">
        <v>1</v>
      </c>
      <c r="J1449" s="7" t="s">
        <v>11076</v>
      </c>
      <c r="K1449" s="9" t="s">
        <v>8987</v>
      </c>
    </row>
    <row r="1450" spans="1:11">
      <c r="A1450" s="7">
        <v>1448</v>
      </c>
      <c r="B1450" s="7" t="s">
        <v>9208</v>
      </c>
      <c r="C1450" s="7" t="s">
        <v>8984</v>
      </c>
      <c r="D1450" s="7" t="s">
        <v>7549</v>
      </c>
      <c r="E1450" s="7" t="s">
        <v>11078</v>
      </c>
      <c r="F1450" s="8" t="s">
        <v>11079</v>
      </c>
      <c r="G1450" s="7">
        <v>120</v>
      </c>
      <c r="H1450" s="7" t="s">
        <v>9036</v>
      </c>
      <c r="I1450" s="7">
        <v>1</v>
      </c>
      <c r="J1450" s="7" t="s">
        <v>11076</v>
      </c>
      <c r="K1450" s="9" t="s">
        <v>8987</v>
      </c>
    </row>
    <row r="1451" spans="1:11">
      <c r="A1451" s="7">
        <v>1449</v>
      </c>
      <c r="B1451" s="7" t="s">
        <v>9796</v>
      </c>
      <c r="C1451" s="7" t="s">
        <v>8984</v>
      </c>
      <c r="D1451" s="7" t="s">
        <v>7577</v>
      </c>
      <c r="E1451" s="7" t="s">
        <v>11080</v>
      </c>
      <c r="F1451" s="8" t="s">
        <v>11081</v>
      </c>
      <c r="G1451" s="7">
        <v>120</v>
      </c>
      <c r="H1451" s="7" t="s">
        <v>9036</v>
      </c>
      <c r="I1451" s="7">
        <v>1</v>
      </c>
      <c r="J1451" s="7" t="s">
        <v>11076</v>
      </c>
      <c r="K1451" s="9" t="s">
        <v>8987</v>
      </c>
    </row>
    <row r="1452" spans="1:11">
      <c r="A1452" s="7">
        <v>1450</v>
      </c>
      <c r="B1452" s="7" t="s">
        <v>9796</v>
      </c>
      <c r="C1452" s="7" t="s">
        <v>8984</v>
      </c>
      <c r="D1452" s="7" t="s">
        <v>7577</v>
      </c>
      <c r="E1452" s="7" t="s">
        <v>11082</v>
      </c>
      <c r="F1452" s="8" t="s">
        <v>11081</v>
      </c>
      <c r="G1452" s="7">
        <v>120</v>
      </c>
      <c r="H1452" s="7" t="s">
        <v>9036</v>
      </c>
      <c r="I1452" s="7">
        <v>1</v>
      </c>
      <c r="J1452" s="7" t="s">
        <v>11076</v>
      </c>
      <c r="K1452" s="9" t="s">
        <v>8987</v>
      </c>
    </row>
    <row r="1453" spans="1:11">
      <c r="A1453" s="7">
        <v>1451</v>
      </c>
      <c r="B1453" s="7" t="s">
        <v>9796</v>
      </c>
      <c r="C1453" s="7" t="s">
        <v>8984</v>
      </c>
      <c r="D1453" s="7" t="s">
        <v>7577</v>
      </c>
      <c r="E1453" s="7" t="s">
        <v>11083</v>
      </c>
      <c r="F1453" s="8" t="s">
        <v>11081</v>
      </c>
      <c r="G1453" s="7">
        <v>120</v>
      </c>
      <c r="H1453" s="7" t="s">
        <v>9036</v>
      </c>
      <c r="I1453" s="7">
        <v>1</v>
      </c>
      <c r="J1453" s="7" t="s">
        <v>11076</v>
      </c>
      <c r="K1453" s="9" t="s">
        <v>8987</v>
      </c>
    </row>
    <row r="1454" spans="1:11">
      <c r="A1454" s="7">
        <v>1452</v>
      </c>
      <c r="B1454" s="7" t="s">
        <v>9796</v>
      </c>
      <c r="C1454" s="7" t="s">
        <v>8991</v>
      </c>
      <c r="D1454" s="7" t="s">
        <v>7577</v>
      </c>
      <c r="E1454" s="7" t="s">
        <v>11084</v>
      </c>
      <c r="F1454" s="8" t="s">
        <v>11081</v>
      </c>
      <c r="G1454" s="7">
        <v>120</v>
      </c>
      <c r="H1454" s="7" t="s">
        <v>9036</v>
      </c>
      <c r="I1454" s="7">
        <v>1</v>
      </c>
      <c r="J1454" s="7" t="s">
        <v>11076</v>
      </c>
      <c r="K1454" s="9" t="s">
        <v>8987</v>
      </c>
    </row>
    <row r="1455" spans="1:11">
      <c r="A1455" s="7">
        <v>1453</v>
      </c>
      <c r="B1455" s="7" t="s">
        <v>9796</v>
      </c>
      <c r="C1455" s="7" t="s">
        <v>8984</v>
      </c>
      <c r="D1455" s="7" t="s">
        <v>7577</v>
      </c>
      <c r="E1455" s="7" t="s">
        <v>11085</v>
      </c>
      <c r="F1455" s="8" t="s">
        <v>11081</v>
      </c>
      <c r="G1455" s="7">
        <v>120</v>
      </c>
      <c r="H1455" s="7" t="s">
        <v>9036</v>
      </c>
      <c r="I1455" s="7">
        <v>1</v>
      </c>
      <c r="J1455" s="7" t="s">
        <v>11076</v>
      </c>
      <c r="K1455" s="9" t="s">
        <v>8987</v>
      </c>
    </row>
    <row r="1456" spans="1:11">
      <c r="A1456" s="7">
        <v>1454</v>
      </c>
      <c r="B1456" s="7" t="s">
        <v>9796</v>
      </c>
      <c r="C1456" s="7" t="s">
        <v>8984</v>
      </c>
      <c r="D1456" s="7" t="s">
        <v>7577</v>
      </c>
      <c r="E1456" s="7" t="s">
        <v>5247</v>
      </c>
      <c r="F1456" s="8" t="s">
        <v>11081</v>
      </c>
      <c r="G1456" s="7">
        <v>120</v>
      </c>
      <c r="H1456" s="7" t="s">
        <v>9036</v>
      </c>
      <c r="I1456" s="7">
        <v>1</v>
      </c>
      <c r="J1456" s="7" t="s">
        <v>11076</v>
      </c>
      <c r="K1456" s="9" t="s">
        <v>8987</v>
      </c>
    </row>
    <row r="1457" spans="1:11">
      <c r="A1457" s="7">
        <v>1455</v>
      </c>
      <c r="B1457" s="7" t="s">
        <v>9796</v>
      </c>
      <c r="C1457" s="7" t="s">
        <v>8984</v>
      </c>
      <c r="D1457" s="7" t="s">
        <v>7577</v>
      </c>
      <c r="E1457" s="7" t="s">
        <v>11086</v>
      </c>
      <c r="F1457" s="8" t="s">
        <v>11081</v>
      </c>
      <c r="G1457" s="7">
        <v>120</v>
      </c>
      <c r="H1457" s="7" t="s">
        <v>9036</v>
      </c>
      <c r="I1457" s="7">
        <v>1</v>
      </c>
      <c r="J1457" s="7" t="s">
        <v>11076</v>
      </c>
      <c r="K1457" s="9" t="s">
        <v>8987</v>
      </c>
    </row>
    <row r="1458" spans="1:11">
      <c r="A1458" s="7">
        <v>1456</v>
      </c>
      <c r="B1458" s="7" t="s">
        <v>9796</v>
      </c>
      <c r="C1458" s="7" t="s">
        <v>8984</v>
      </c>
      <c r="D1458" s="7" t="s">
        <v>7577</v>
      </c>
      <c r="E1458" s="7" t="s">
        <v>11087</v>
      </c>
      <c r="F1458" s="8" t="s">
        <v>11081</v>
      </c>
      <c r="G1458" s="7">
        <v>120</v>
      </c>
      <c r="H1458" s="7" t="s">
        <v>9036</v>
      </c>
      <c r="I1458" s="7">
        <v>1</v>
      </c>
      <c r="J1458" s="7" t="s">
        <v>11076</v>
      </c>
      <c r="K1458" s="9" t="s">
        <v>8987</v>
      </c>
    </row>
    <row r="1459" spans="1:11">
      <c r="A1459" s="7">
        <v>1457</v>
      </c>
      <c r="B1459" s="7" t="s">
        <v>9796</v>
      </c>
      <c r="C1459" s="7" t="s">
        <v>8984</v>
      </c>
      <c r="D1459" s="7" t="s">
        <v>7577</v>
      </c>
      <c r="E1459" s="7" t="s">
        <v>11088</v>
      </c>
      <c r="F1459" s="8" t="s">
        <v>11081</v>
      </c>
      <c r="G1459" s="7">
        <v>120</v>
      </c>
      <c r="H1459" s="7" t="s">
        <v>9036</v>
      </c>
      <c r="I1459" s="7">
        <v>1</v>
      </c>
      <c r="J1459" s="7" t="s">
        <v>11076</v>
      </c>
      <c r="K1459" s="9" t="s">
        <v>8987</v>
      </c>
    </row>
    <row r="1460" spans="1:11">
      <c r="A1460" s="7">
        <v>1458</v>
      </c>
      <c r="B1460" s="7" t="s">
        <v>9796</v>
      </c>
      <c r="C1460" s="7" t="s">
        <v>8984</v>
      </c>
      <c r="D1460" s="7" t="s">
        <v>7577</v>
      </c>
      <c r="E1460" s="7" t="s">
        <v>11089</v>
      </c>
      <c r="F1460" s="8" t="s">
        <v>11081</v>
      </c>
      <c r="G1460" s="7">
        <v>120</v>
      </c>
      <c r="H1460" s="7" t="s">
        <v>9036</v>
      </c>
      <c r="I1460" s="7">
        <v>1</v>
      </c>
      <c r="J1460" s="7" t="s">
        <v>11076</v>
      </c>
      <c r="K1460" s="9" t="s">
        <v>8987</v>
      </c>
    </row>
    <row r="1461" spans="1:11">
      <c r="A1461" s="7">
        <v>1459</v>
      </c>
      <c r="B1461" s="7" t="s">
        <v>9796</v>
      </c>
      <c r="C1461" s="7" t="s">
        <v>8984</v>
      </c>
      <c r="D1461" s="7" t="s">
        <v>7577</v>
      </c>
      <c r="E1461" s="7" t="s">
        <v>11090</v>
      </c>
      <c r="F1461" s="8" t="s">
        <v>11081</v>
      </c>
      <c r="G1461" s="7">
        <v>120</v>
      </c>
      <c r="H1461" s="7" t="s">
        <v>9036</v>
      </c>
      <c r="I1461" s="7">
        <v>1</v>
      </c>
      <c r="J1461" s="7" t="s">
        <v>11076</v>
      </c>
      <c r="K1461" s="9" t="s">
        <v>8987</v>
      </c>
    </row>
    <row r="1462" spans="1:11">
      <c r="A1462" s="7">
        <v>1460</v>
      </c>
      <c r="B1462" s="7" t="s">
        <v>9796</v>
      </c>
      <c r="C1462" s="7" t="s">
        <v>8984</v>
      </c>
      <c r="D1462" s="7" t="s">
        <v>7577</v>
      </c>
      <c r="E1462" s="7" t="s">
        <v>11091</v>
      </c>
      <c r="F1462" s="8" t="s">
        <v>11081</v>
      </c>
      <c r="G1462" s="7">
        <v>120</v>
      </c>
      <c r="H1462" s="7" t="s">
        <v>9036</v>
      </c>
      <c r="I1462" s="7">
        <v>1</v>
      </c>
      <c r="J1462" s="7" t="s">
        <v>11076</v>
      </c>
      <c r="K1462" s="9" t="s">
        <v>8987</v>
      </c>
    </row>
    <row r="1463" spans="1:11">
      <c r="A1463" s="7">
        <v>1461</v>
      </c>
      <c r="B1463" s="7" t="s">
        <v>9796</v>
      </c>
      <c r="C1463" s="7" t="s">
        <v>8984</v>
      </c>
      <c r="D1463" s="7" t="s">
        <v>7577</v>
      </c>
      <c r="E1463" s="7" t="s">
        <v>11092</v>
      </c>
      <c r="F1463" s="8" t="s">
        <v>11081</v>
      </c>
      <c r="G1463" s="7">
        <v>120</v>
      </c>
      <c r="H1463" s="7" t="s">
        <v>9036</v>
      </c>
      <c r="I1463" s="7">
        <v>1</v>
      </c>
      <c r="J1463" s="7" t="s">
        <v>11076</v>
      </c>
      <c r="K1463" s="9" t="s">
        <v>8987</v>
      </c>
    </row>
    <row r="1464" spans="1:11">
      <c r="A1464" s="7">
        <v>1462</v>
      </c>
      <c r="B1464" s="7" t="s">
        <v>9796</v>
      </c>
      <c r="C1464" s="7" t="s">
        <v>8984</v>
      </c>
      <c r="D1464" s="7" t="s">
        <v>7577</v>
      </c>
      <c r="E1464" s="7" t="s">
        <v>11093</v>
      </c>
      <c r="F1464" s="8" t="s">
        <v>11081</v>
      </c>
      <c r="G1464" s="7">
        <v>120</v>
      </c>
      <c r="H1464" s="7" t="s">
        <v>9036</v>
      </c>
      <c r="I1464" s="7">
        <v>1</v>
      </c>
      <c r="J1464" s="7" t="s">
        <v>11076</v>
      </c>
      <c r="K1464" s="9" t="s">
        <v>8987</v>
      </c>
    </row>
    <row r="1465" spans="1:11">
      <c r="A1465" s="7">
        <v>1463</v>
      </c>
      <c r="B1465" s="7" t="s">
        <v>9796</v>
      </c>
      <c r="C1465" s="7" t="s">
        <v>8984</v>
      </c>
      <c r="D1465" s="7" t="s">
        <v>7577</v>
      </c>
      <c r="E1465" s="7" t="s">
        <v>11094</v>
      </c>
      <c r="F1465" s="8" t="s">
        <v>11081</v>
      </c>
      <c r="G1465" s="7">
        <v>120</v>
      </c>
      <c r="H1465" s="7" t="s">
        <v>9036</v>
      </c>
      <c r="I1465" s="7">
        <v>1</v>
      </c>
      <c r="J1465" s="7" t="s">
        <v>11076</v>
      </c>
      <c r="K1465" s="9" t="s">
        <v>8987</v>
      </c>
    </row>
    <row r="1466" spans="1:11">
      <c r="A1466" s="7">
        <v>1464</v>
      </c>
      <c r="B1466" s="7" t="s">
        <v>9796</v>
      </c>
      <c r="C1466" s="7" t="s">
        <v>8984</v>
      </c>
      <c r="D1466" s="7" t="s">
        <v>7577</v>
      </c>
      <c r="E1466" s="7" t="s">
        <v>11095</v>
      </c>
      <c r="F1466" s="8" t="s">
        <v>11081</v>
      </c>
      <c r="G1466" s="7">
        <v>120</v>
      </c>
      <c r="H1466" s="7" t="s">
        <v>9036</v>
      </c>
      <c r="I1466" s="7">
        <v>1</v>
      </c>
      <c r="J1466" s="7" t="s">
        <v>11076</v>
      </c>
      <c r="K1466" s="9" t="s">
        <v>8987</v>
      </c>
    </row>
    <row r="1467" spans="1:11">
      <c r="A1467" s="7">
        <v>1465</v>
      </c>
      <c r="B1467" s="7" t="s">
        <v>9796</v>
      </c>
      <c r="C1467" s="7" t="s">
        <v>8984</v>
      </c>
      <c r="D1467" s="7" t="s">
        <v>7577</v>
      </c>
      <c r="E1467" s="7" t="s">
        <v>11096</v>
      </c>
      <c r="F1467" s="8" t="s">
        <v>11081</v>
      </c>
      <c r="G1467" s="7">
        <v>120</v>
      </c>
      <c r="H1467" s="7" t="s">
        <v>9036</v>
      </c>
      <c r="I1467" s="7">
        <v>1</v>
      </c>
      <c r="J1467" s="7" t="s">
        <v>11076</v>
      </c>
      <c r="K1467" s="9" t="s">
        <v>8987</v>
      </c>
    </row>
    <row r="1468" spans="1:11">
      <c r="A1468" s="7">
        <v>1466</v>
      </c>
      <c r="B1468" s="7" t="s">
        <v>9796</v>
      </c>
      <c r="C1468" s="7" t="s">
        <v>8984</v>
      </c>
      <c r="D1468" s="7" t="s">
        <v>7577</v>
      </c>
      <c r="E1468" s="7" t="s">
        <v>11097</v>
      </c>
      <c r="F1468" s="8" t="s">
        <v>11081</v>
      </c>
      <c r="G1468" s="7">
        <v>120</v>
      </c>
      <c r="H1468" s="7" t="s">
        <v>9036</v>
      </c>
      <c r="I1468" s="7">
        <v>1</v>
      </c>
      <c r="J1468" s="7" t="s">
        <v>11076</v>
      </c>
      <c r="K1468" s="9" t="s">
        <v>8987</v>
      </c>
    </row>
    <row r="1469" spans="1:11">
      <c r="A1469" s="7">
        <v>1467</v>
      </c>
      <c r="B1469" s="7" t="s">
        <v>9796</v>
      </c>
      <c r="C1469" s="7" t="s">
        <v>8984</v>
      </c>
      <c r="D1469" s="7" t="s">
        <v>7577</v>
      </c>
      <c r="E1469" s="7" t="s">
        <v>11098</v>
      </c>
      <c r="F1469" s="8" t="s">
        <v>11081</v>
      </c>
      <c r="G1469" s="7">
        <v>120</v>
      </c>
      <c r="H1469" s="7" t="s">
        <v>9036</v>
      </c>
      <c r="I1469" s="7">
        <v>1</v>
      </c>
      <c r="J1469" s="7" t="s">
        <v>11076</v>
      </c>
      <c r="K1469" s="9" t="s">
        <v>8987</v>
      </c>
    </row>
    <row r="1470" spans="1:11">
      <c r="A1470" s="7">
        <v>1468</v>
      </c>
      <c r="B1470" s="7" t="s">
        <v>9796</v>
      </c>
      <c r="C1470" s="7" t="s">
        <v>8984</v>
      </c>
      <c r="D1470" s="7" t="s">
        <v>7577</v>
      </c>
      <c r="E1470" s="7" t="s">
        <v>11099</v>
      </c>
      <c r="F1470" s="8" t="s">
        <v>11081</v>
      </c>
      <c r="G1470" s="7">
        <v>120</v>
      </c>
      <c r="H1470" s="7" t="s">
        <v>9036</v>
      </c>
      <c r="I1470" s="7">
        <v>1</v>
      </c>
      <c r="J1470" s="7" t="s">
        <v>11076</v>
      </c>
      <c r="K1470" s="9" t="s">
        <v>8987</v>
      </c>
    </row>
    <row r="1471" spans="1:11">
      <c r="A1471" s="7">
        <v>1469</v>
      </c>
      <c r="B1471" s="7" t="s">
        <v>9796</v>
      </c>
      <c r="C1471" s="7" t="s">
        <v>8984</v>
      </c>
      <c r="D1471" s="7" t="s">
        <v>7577</v>
      </c>
      <c r="E1471" s="7" t="s">
        <v>11100</v>
      </c>
      <c r="F1471" s="8" t="s">
        <v>11081</v>
      </c>
      <c r="G1471" s="7">
        <v>120</v>
      </c>
      <c r="H1471" s="7" t="s">
        <v>9036</v>
      </c>
      <c r="I1471" s="7">
        <v>1</v>
      </c>
      <c r="J1471" s="7" t="s">
        <v>11076</v>
      </c>
      <c r="K1471" s="9" t="s">
        <v>8987</v>
      </c>
    </row>
    <row r="1472" spans="1:11">
      <c r="A1472" s="7">
        <v>1470</v>
      </c>
      <c r="B1472" s="7" t="s">
        <v>9796</v>
      </c>
      <c r="C1472" s="7" t="s">
        <v>8984</v>
      </c>
      <c r="D1472" s="7" t="s">
        <v>7577</v>
      </c>
      <c r="E1472" s="7" t="s">
        <v>11101</v>
      </c>
      <c r="F1472" s="8" t="s">
        <v>11081</v>
      </c>
      <c r="G1472" s="7">
        <v>120</v>
      </c>
      <c r="H1472" s="7" t="s">
        <v>9036</v>
      </c>
      <c r="I1472" s="7">
        <v>1</v>
      </c>
      <c r="J1472" s="7" t="s">
        <v>11076</v>
      </c>
      <c r="K1472" s="9" t="s">
        <v>8987</v>
      </c>
    </row>
    <row r="1473" spans="1:11">
      <c r="A1473" s="7">
        <v>1471</v>
      </c>
      <c r="B1473" s="7" t="s">
        <v>9796</v>
      </c>
      <c r="C1473" s="7" t="s">
        <v>8984</v>
      </c>
      <c r="D1473" s="7" t="s">
        <v>7577</v>
      </c>
      <c r="E1473" s="7" t="s">
        <v>11102</v>
      </c>
      <c r="F1473" s="8" t="s">
        <v>11081</v>
      </c>
      <c r="G1473" s="7">
        <v>120</v>
      </c>
      <c r="H1473" s="7" t="s">
        <v>9036</v>
      </c>
      <c r="I1473" s="7">
        <v>1</v>
      </c>
      <c r="J1473" s="7" t="s">
        <v>11076</v>
      </c>
      <c r="K1473" s="9" t="s">
        <v>8987</v>
      </c>
    </row>
    <row r="1474" spans="1:11">
      <c r="A1474" s="7">
        <v>1472</v>
      </c>
      <c r="B1474" s="7" t="s">
        <v>9796</v>
      </c>
      <c r="C1474" s="7" t="s">
        <v>8984</v>
      </c>
      <c r="D1474" s="7" t="s">
        <v>7577</v>
      </c>
      <c r="E1474" s="7" t="s">
        <v>11103</v>
      </c>
      <c r="F1474" s="8" t="s">
        <v>11081</v>
      </c>
      <c r="G1474" s="7">
        <v>120</v>
      </c>
      <c r="H1474" s="7" t="s">
        <v>9036</v>
      </c>
      <c r="I1474" s="7">
        <v>1</v>
      </c>
      <c r="J1474" s="7" t="s">
        <v>11076</v>
      </c>
      <c r="K1474" s="9" t="s">
        <v>8987</v>
      </c>
    </row>
    <row r="1475" spans="1:11">
      <c r="A1475" s="7">
        <v>1473</v>
      </c>
      <c r="B1475" s="7" t="s">
        <v>9796</v>
      </c>
      <c r="C1475" s="7" t="s">
        <v>8984</v>
      </c>
      <c r="D1475" s="7" t="s">
        <v>7577</v>
      </c>
      <c r="E1475" s="7" t="s">
        <v>11104</v>
      </c>
      <c r="F1475" s="8" t="s">
        <v>11081</v>
      </c>
      <c r="G1475" s="7">
        <v>120</v>
      </c>
      <c r="H1475" s="7" t="s">
        <v>9036</v>
      </c>
      <c r="I1475" s="7">
        <v>1</v>
      </c>
      <c r="J1475" s="7" t="s">
        <v>11076</v>
      </c>
      <c r="K1475" s="9" t="s">
        <v>8987</v>
      </c>
    </row>
    <row r="1476" spans="1:11">
      <c r="A1476" s="7">
        <v>1474</v>
      </c>
      <c r="B1476" s="7" t="s">
        <v>11105</v>
      </c>
      <c r="C1476" s="7" t="s">
        <v>8984</v>
      </c>
      <c r="D1476" s="7" t="s">
        <v>7577</v>
      </c>
      <c r="E1476" s="7" t="s">
        <v>11106</v>
      </c>
      <c r="F1476" s="8" t="s">
        <v>11081</v>
      </c>
      <c r="G1476" s="7">
        <v>120</v>
      </c>
      <c r="H1476" s="7" t="s">
        <v>9036</v>
      </c>
      <c r="I1476" s="7">
        <v>1</v>
      </c>
      <c r="J1476" s="7" t="s">
        <v>11076</v>
      </c>
      <c r="K1476" s="9" t="s">
        <v>8987</v>
      </c>
    </row>
    <row r="1477" spans="1:11">
      <c r="A1477" s="7">
        <v>1475</v>
      </c>
      <c r="B1477" s="7" t="s">
        <v>9796</v>
      </c>
      <c r="C1477" s="7" t="s">
        <v>8984</v>
      </c>
      <c r="D1477" s="7" t="s">
        <v>7577</v>
      </c>
      <c r="E1477" s="7" t="s">
        <v>11107</v>
      </c>
      <c r="F1477" s="8" t="s">
        <v>11081</v>
      </c>
      <c r="G1477" s="7">
        <v>120</v>
      </c>
      <c r="H1477" s="7" t="s">
        <v>9036</v>
      </c>
      <c r="I1477" s="7">
        <v>1</v>
      </c>
      <c r="J1477" s="7" t="s">
        <v>11076</v>
      </c>
      <c r="K1477" s="9" t="s">
        <v>8987</v>
      </c>
    </row>
    <row r="1478" spans="1:11">
      <c r="A1478" s="7">
        <v>1476</v>
      </c>
      <c r="B1478" s="7" t="s">
        <v>9796</v>
      </c>
      <c r="C1478" s="7" t="s">
        <v>8984</v>
      </c>
      <c r="D1478" s="7" t="s">
        <v>7577</v>
      </c>
      <c r="E1478" s="7" t="s">
        <v>5885</v>
      </c>
      <c r="F1478" s="8" t="s">
        <v>11081</v>
      </c>
      <c r="G1478" s="7">
        <v>120</v>
      </c>
      <c r="H1478" s="7" t="s">
        <v>9036</v>
      </c>
      <c r="I1478" s="7">
        <v>1</v>
      </c>
      <c r="J1478" s="7" t="s">
        <v>11076</v>
      </c>
      <c r="K1478" s="9" t="s">
        <v>8987</v>
      </c>
    </row>
    <row r="1479" spans="1:11">
      <c r="A1479" s="7">
        <v>1477</v>
      </c>
      <c r="B1479" s="7" t="s">
        <v>9796</v>
      </c>
      <c r="C1479" s="7" t="s">
        <v>8984</v>
      </c>
      <c r="D1479" s="7" t="s">
        <v>7577</v>
      </c>
      <c r="E1479" s="7" t="s">
        <v>11108</v>
      </c>
      <c r="F1479" s="8" t="s">
        <v>11081</v>
      </c>
      <c r="G1479" s="7">
        <v>120</v>
      </c>
      <c r="H1479" s="7" t="s">
        <v>9036</v>
      </c>
      <c r="I1479" s="7">
        <v>1</v>
      </c>
      <c r="J1479" s="7" t="s">
        <v>11076</v>
      </c>
      <c r="K1479" s="9" t="s">
        <v>8987</v>
      </c>
    </row>
    <row r="1480" spans="1:11">
      <c r="A1480" s="7">
        <v>1478</v>
      </c>
      <c r="B1480" s="7" t="s">
        <v>9796</v>
      </c>
      <c r="C1480" s="7" t="s">
        <v>8984</v>
      </c>
      <c r="D1480" s="7" t="s">
        <v>7577</v>
      </c>
      <c r="E1480" s="7" t="s">
        <v>3956</v>
      </c>
      <c r="F1480" s="8" t="s">
        <v>11081</v>
      </c>
      <c r="G1480" s="7">
        <v>120</v>
      </c>
      <c r="H1480" s="7" t="s">
        <v>9036</v>
      </c>
      <c r="I1480" s="7">
        <v>1</v>
      </c>
      <c r="J1480" s="7" t="s">
        <v>11076</v>
      </c>
      <c r="K1480" s="9" t="s">
        <v>8987</v>
      </c>
    </row>
    <row r="1481" spans="1:11">
      <c r="A1481" s="7">
        <v>1479</v>
      </c>
      <c r="B1481" s="7" t="s">
        <v>9796</v>
      </c>
      <c r="C1481" s="7" t="s">
        <v>8984</v>
      </c>
      <c r="D1481" s="7" t="s">
        <v>7577</v>
      </c>
      <c r="E1481" s="7" t="s">
        <v>11109</v>
      </c>
      <c r="F1481" s="8" t="s">
        <v>11081</v>
      </c>
      <c r="G1481" s="7">
        <v>120</v>
      </c>
      <c r="H1481" s="7" t="s">
        <v>9036</v>
      </c>
      <c r="I1481" s="7">
        <v>1</v>
      </c>
      <c r="J1481" s="7" t="s">
        <v>11076</v>
      </c>
      <c r="K1481" s="9" t="s">
        <v>8987</v>
      </c>
    </row>
    <row r="1482" spans="1:11">
      <c r="A1482" s="7">
        <v>1480</v>
      </c>
      <c r="B1482" s="7" t="s">
        <v>9796</v>
      </c>
      <c r="C1482" s="7" t="s">
        <v>8984</v>
      </c>
      <c r="D1482" s="7" t="s">
        <v>7577</v>
      </c>
      <c r="E1482" s="7" t="s">
        <v>11110</v>
      </c>
      <c r="F1482" s="8" t="s">
        <v>11081</v>
      </c>
      <c r="G1482" s="7">
        <v>120</v>
      </c>
      <c r="H1482" s="7" t="s">
        <v>9036</v>
      </c>
      <c r="I1482" s="7">
        <v>1</v>
      </c>
      <c r="J1482" s="7" t="s">
        <v>11076</v>
      </c>
      <c r="K1482" s="9" t="s">
        <v>8987</v>
      </c>
    </row>
    <row r="1483" spans="1:11">
      <c r="A1483" s="7">
        <v>1481</v>
      </c>
      <c r="B1483" s="7" t="s">
        <v>9796</v>
      </c>
      <c r="C1483" s="7" t="s">
        <v>8984</v>
      </c>
      <c r="D1483" s="7" t="s">
        <v>7577</v>
      </c>
      <c r="E1483" s="7" t="s">
        <v>11111</v>
      </c>
      <c r="F1483" s="8" t="s">
        <v>11081</v>
      </c>
      <c r="G1483" s="7">
        <v>120</v>
      </c>
      <c r="H1483" s="7" t="s">
        <v>9036</v>
      </c>
      <c r="I1483" s="7">
        <v>1</v>
      </c>
      <c r="J1483" s="7" t="s">
        <v>11076</v>
      </c>
      <c r="K1483" s="9" t="s">
        <v>8987</v>
      </c>
    </row>
    <row r="1484" spans="1:11">
      <c r="A1484" s="7">
        <v>1482</v>
      </c>
      <c r="B1484" s="7" t="s">
        <v>9796</v>
      </c>
      <c r="C1484" s="7" t="s">
        <v>8984</v>
      </c>
      <c r="D1484" s="7" t="s">
        <v>7577</v>
      </c>
      <c r="E1484" s="7" t="s">
        <v>11112</v>
      </c>
      <c r="F1484" s="8" t="s">
        <v>11081</v>
      </c>
      <c r="G1484" s="7">
        <v>120</v>
      </c>
      <c r="H1484" s="7" t="s">
        <v>9036</v>
      </c>
      <c r="I1484" s="7">
        <v>1</v>
      </c>
      <c r="J1484" s="7" t="s">
        <v>11076</v>
      </c>
      <c r="K1484" s="9" t="s">
        <v>8987</v>
      </c>
    </row>
    <row r="1485" spans="1:11">
      <c r="A1485" s="7">
        <v>1483</v>
      </c>
      <c r="B1485" s="7" t="s">
        <v>9796</v>
      </c>
      <c r="C1485" s="7" t="s">
        <v>8984</v>
      </c>
      <c r="D1485" s="7" t="s">
        <v>7577</v>
      </c>
      <c r="E1485" s="7" t="s">
        <v>11113</v>
      </c>
      <c r="F1485" s="8" t="s">
        <v>11081</v>
      </c>
      <c r="G1485" s="7">
        <v>120</v>
      </c>
      <c r="H1485" s="7" t="s">
        <v>9036</v>
      </c>
      <c r="I1485" s="7">
        <v>1</v>
      </c>
      <c r="J1485" s="7" t="s">
        <v>11076</v>
      </c>
      <c r="K1485" s="9" t="s">
        <v>8987</v>
      </c>
    </row>
    <row r="1486" spans="1:11">
      <c r="A1486" s="7">
        <v>1484</v>
      </c>
      <c r="B1486" s="7" t="s">
        <v>9796</v>
      </c>
      <c r="C1486" s="7" t="s">
        <v>8984</v>
      </c>
      <c r="D1486" s="7" t="s">
        <v>7577</v>
      </c>
      <c r="E1486" s="7" t="s">
        <v>11114</v>
      </c>
      <c r="F1486" s="8" t="s">
        <v>11081</v>
      </c>
      <c r="G1486" s="7">
        <v>120</v>
      </c>
      <c r="H1486" s="7" t="s">
        <v>9036</v>
      </c>
      <c r="I1486" s="7">
        <v>1</v>
      </c>
      <c r="J1486" s="7" t="s">
        <v>11076</v>
      </c>
      <c r="K1486" s="9" t="s">
        <v>8987</v>
      </c>
    </row>
    <row r="1487" spans="1:11">
      <c r="A1487" s="7">
        <v>1485</v>
      </c>
      <c r="B1487" s="7" t="s">
        <v>9796</v>
      </c>
      <c r="C1487" s="7" t="s">
        <v>8984</v>
      </c>
      <c r="D1487" s="7" t="s">
        <v>7577</v>
      </c>
      <c r="E1487" s="7" t="s">
        <v>11115</v>
      </c>
      <c r="F1487" s="8" t="s">
        <v>11116</v>
      </c>
      <c r="G1487" s="7">
        <v>100</v>
      </c>
      <c r="H1487" s="7" t="s">
        <v>9046</v>
      </c>
      <c r="I1487" s="7">
        <v>1</v>
      </c>
      <c r="J1487" s="7" t="s">
        <v>7878</v>
      </c>
      <c r="K1487" s="9" t="s">
        <v>8987</v>
      </c>
    </row>
    <row r="1488" spans="1:11">
      <c r="A1488" s="7">
        <v>1486</v>
      </c>
      <c r="B1488" s="7" t="s">
        <v>9796</v>
      </c>
      <c r="C1488" s="7" t="s">
        <v>8984</v>
      </c>
      <c r="D1488" s="7" t="s">
        <v>7577</v>
      </c>
      <c r="E1488" s="7" t="s">
        <v>11117</v>
      </c>
      <c r="F1488" s="8" t="s">
        <v>11116</v>
      </c>
      <c r="G1488" s="7">
        <v>100</v>
      </c>
      <c r="H1488" s="7" t="s">
        <v>9046</v>
      </c>
      <c r="I1488" s="7">
        <v>1</v>
      </c>
      <c r="J1488" s="7" t="s">
        <v>7878</v>
      </c>
      <c r="K1488" s="9" t="s">
        <v>8987</v>
      </c>
    </row>
    <row r="1489" spans="1:11">
      <c r="A1489" s="7">
        <v>1487</v>
      </c>
      <c r="B1489" s="7" t="s">
        <v>9796</v>
      </c>
      <c r="C1489" s="7" t="s">
        <v>8984</v>
      </c>
      <c r="D1489" s="7" t="s">
        <v>7577</v>
      </c>
      <c r="E1489" s="7" t="s">
        <v>11118</v>
      </c>
      <c r="F1489" s="8" t="s">
        <v>11116</v>
      </c>
      <c r="G1489" s="7">
        <v>100</v>
      </c>
      <c r="H1489" s="7" t="s">
        <v>9046</v>
      </c>
      <c r="I1489" s="7">
        <v>1</v>
      </c>
      <c r="J1489" s="7" t="s">
        <v>7878</v>
      </c>
      <c r="K1489" s="9" t="s">
        <v>8987</v>
      </c>
    </row>
    <row r="1490" spans="1:11">
      <c r="A1490" s="7">
        <v>1488</v>
      </c>
      <c r="B1490" s="7" t="s">
        <v>9796</v>
      </c>
      <c r="C1490" s="7" t="s">
        <v>8991</v>
      </c>
      <c r="D1490" s="7" t="s">
        <v>7577</v>
      </c>
      <c r="E1490" s="7" t="s">
        <v>11119</v>
      </c>
      <c r="F1490" s="8" t="s">
        <v>11116</v>
      </c>
      <c r="G1490" s="7">
        <v>100</v>
      </c>
      <c r="H1490" s="7" t="s">
        <v>9046</v>
      </c>
      <c r="I1490" s="7">
        <v>1</v>
      </c>
      <c r="J1490" s="7" t="s">
        <v>7878</v>
      </c>
      <c r="K1490" s="9" t="s">
        <v>8987</v>
      </c>
    </row>
    <row r="1491" spans="1:11">
      <c r="A1491" s="7">
        <v>1489</v>
      </c>
      <c r="B1491" s="7" t="s">
        <v>9796</v>
      </c>
      <c r="C1491" s="7" t="s">
        <v>8984</v>
      </c>
      <c r="D1491" s="7" t="s">
        <v>7577</v>
      </c>
      <c r="E1491" s="7" t="s">
        <v>11120</v>
      </c>
      <c r="F1491" s="8" t="s">
        <v>11116</v>
      </c>
      <c r="G1491" s="7">
        <v>100</v>
      </c>
      <c r="H1491" s="7" t="s">
        <v>9046</v>
      </c>
      <c r="I1491" s="7">
        <v>1</v>
      </c>
      <c r="J1491" s="7" t="s">
        <v>7878</v>
      </c>
      <c r="K1491" s="9" t="s">
        <v>8987</v>
      </c>
    </row>
    <row r="1492" spans="1:11">
      <c r="A1492" s="7">
        <v>1490</v>
      </c>
      <c r="B1492" s="7" t="s">
        <v>9796</v>
      </c>
      <c r="C1492" s="7" t="s">
        <v>8984</v>
      </c>
      <c r="D1492" s="7" t="s">
        <v>7577</v>
      </c>
      <c r="E1492" s="7" t="s">
        <v>11121</v>
      </c>
      <c r="F1492" s="8" t="s">
        <v>11116</v>
      </c>
      <c r="G1492" s="7">
        <v>100</v>
      </c>
      <c r="H1492" s="7" t="s">
        <v>9046</v>
      </c>
      <c r="I1492" s="7">
        <v>1</v>
      </c>
      <c r="J1492" s="7" t="s">
        <v>7878</v>
      </c>
      <c r="K1492" s="9" t="s">
        <v>8987</v>
      </c>
    </row>
    <row r="1493" spans="1:11">
      <c r="A1493" s="7">
        <v>1491</v>
      </c>
      <c r="B1493" s="7" t="s">
        <v>9796</v>
      </c>
      <c r="C1493" s="7" t="s">
        <v>8984</v>
      </c>
      <c r="D1493" s="7" t="s">
        <v>7577</v>
      </c>
      <c r="E1493" s="7" t="s">
        <v>6208</v>
      </c>
      <c r="F1493" s="8" t="s">
        <v>11116</v>
      </c>
      <c r="G1493" s="7">
        <v>100</v>
      </c>
      <c r="H1493" s="7" t="s">
        <v>9046</v>
      </c>
      <c r="I1493" s="7">
        <v>1</v>
      </c>
      <c r="J1493" s="7" t="s">
        <v>7878</v>
      </c>
      <c r="K1493" s="9" t="s">
        <v>8987</v>
      </c>
    </row>
    <row r="1494" spans="1:11">
      <c r="A1494" s="7">
        <v>1492</v>
      </c>
      <c r="B1494" s="7" t="s">
        <v>9796</v>
      </c>
      <c r="C1494" s="7" t="s">
        <v>8984</v>
      </c>
      <c r="D1494" s="7" t="s">
        <v>7577</v>
      </c>
      <c r="E1494" s="7" t="s">
        <v>11122</v>
      </c>
      <c r="F1494" s="8" t="s">
        <v>11116</v>
      </c>
      <c r="G1494" s="7">
        <v>100</v>
      </c>
      <c r="H1494" s="7" t="s">
        <v>9046</v>
      </c>
      <c r="I1494" s="7">
        <v>1</v>
      </c>
      <c r="J1494" s="7" t="s">
        <v>7878</v>
      </c>
      <c r="K1494" s="9" t="s">
        <v>8987</v>
      </c>
    </row>
    <row r="1495" spans="1:11">
      <c r="A1495" s="7">
        <v>1493</v>
      </c>
      <c r="B1495" s="7" t="s">
        <v>9796</v>
      </c>
      <c r="C1495" s="7" t="s">
        <v>8984</v>
      </c>
      <c r="D1495" s="7" t="s">
        <v>7577</v>
      </c>
      <c r="E1495" s="7" t="s">
        <v>11123</v>
      </c>
      <c r="F1495" s="8" t="s">
        <v>11116</v>
      </c>
      <c r="G1495" s="7">
        <v>100</v>
      </c>
      <c r="H1495" s="7" t="s">
        <v>9046</v>
      </c>
      <c r="I1495" s="7">
        <v>1</v>
      </c>
      <c r="J1495" s="7" t="s">
        <v>7878</v>
      </c>
      <c r="K1495" s="9" t="s">
        <v>8987</v>
      </c>
    </row>
    <row r="1496" spans="1:11">
      <c r="A1496" s="7">
        <v>1494</v>
      </c>
      <c r="B1496" s="7" t="s">
        <v>9796</v>
      </c>
      <c r="C1496" s="7" t="s">
        <v>8984</v>
      </c>
      <c r="D1496" s="7" t="s">
        <v>7577</v>
      </c>
      <c r="E1496" s="7" t="s">
        <v>11124</v>
      </c>
      <c r="F1496" s="8" t="s">
        <v>11116</v>
      </c>
      <c r="G1496" s="7">
        <v>100</v>
      </c>
      <c r="H1496" s="7" t="s">
        <v>9046</v>
      </c>
      <c r="I1496" s="7">
        <v>1</v>
      </c>
      <c r="J1496" s="7" t="s">
        <v>7878</v>
      </c>
      <c r="K1496" s="9" t="s">
        <v>8987</v>
      </c>
    </row>
    <row r="1497" spans="1:11">
      <c r="A1497" s="7">
        <v>1495</v>
      </c>
      <c r="B1497" s="7" t="s">
        <v>9796</v>
      </c>
      <c r="C1497" s="7" t="s">
        <v>8984</v>
      </c>
      <c r="D1497" s="7" t="s">
        <v>7577</v>
      </c>
      <c r="E1497" s="7" t="s">
        <v>11125</v>
      </c>
      <c r="F1497" s="8" t="s">
        <v>11116</v>
      </c>
      <c r="G1497" s="7">
        <v>100</v>
      </c>
      <c r="H1497" s="7" t="s">
        <v>9046</v>
      </c>
      <c r="I1497" s="7">
        <v>1</v>
      </c>
      <c r="J1497" s="7" t="s">
        <v>7878</v>
      </c>
      <c r="K1497" s="9" t="s">
        <v>8987</v>
      </c>
    </row>
    <row r="1498" spans="1:11">
      <c r="A1498" s="7">
        <v>1496</v>
      </c>
      <c r="B1498" s="7" t="s">
        <v>9796</v>
      </c>
      <c r="C1498" s="7" t="s">
        <v>8984</v>
      </c>
      <c r="D1498" s="7" t="s">
        <v>7577</v>
      </c>
      <c r="E1498" s="7" t="s">
        <v>11126</v>
      </c>
      <c r="F1498" s="8" t="s">
        <v>11116</v>
      </c>
      <c r="G1498" s="7">
        <v>100</v>
      </c>
      <c r="H1498" s="7" t="s">
        <v>9046</v>
      </c>
      <c r="I1498" s="7">
        <v>1</v>
      </c>
      <c r="J1498" s="7" t="s">
        <v>7878</v>
      </c>
      <c r="K1498" s="9" t="s">
        <v>8987</v>
      </c>
    </row>
    <row r="1499" spans="1:11">
      <c r="A1499" s="7">
        <v>1497</v>
      </c>
      <c r="B1499" s="7" t="s">
        <v>9796</v>
      </c>
      <c r="C1499" s="7" t="s">
        <v>8984</v>
      </c>
      <c r="D1499" s="7" t="s">
        <v>7577</v>
      </c>
      <c r="E1499" s="7" t="s">
        <v>11127</v>
      </c>
      <c r="F1499" s="8" t="s">
        <v>11116</v>
      </c>
      <c r="G1499" s="7">
        <v>100</v>
      </c>
      <c r="H1499" s="7" t="s">
        <v>9046</v>
      </c>
      <c r="I1499" s="7">
        <v>1</v>
      </c>
      <c r="J1499" s="7" t="s">
        <v>7878</v>
      </c>
      <c r="K1499" s="9" t="s">
        <v>8987</v>
      </c>
    </row>
    <row r="1500" spans="1:11">
      <c r="A1500" s="7">
        <v>1498</v>
      </c>
      <c r="B1500" s="7" t="s">
        <v>9796</v>
      </c>
      <c r="C1500" s="7" t="s">
        <v>8984</v>
      </c>
      <c r="D1500" s="7" t="s">
        <v>7577</v>
      </c>
      <c r="E1500" s="7" t="s">
        <v>11128</v>
      </c>
      <c r="F1500" s="8" t="s">
        <v>11116</v>
      </c>
      <c r="G1500" s="7">
        <v>100</v>
      </c>
      <c r="H1500" s="7" t="s">
        <v>9046</v>
      </c>
      <c r="I1500" s="7">
        <v>1</v>
      </c>
      <c r="J1500" s="7" t="s">
        <v>7878</v>
      </c>
      <c r="K1500" s="9" t="s">
        <v>8987</v>
      </c>
    </row>
    <row r="1501" spans="1:11">
      <c r="A1501" s="7">
        <v>1499</v>
      </c>
      <c r="B1501" s="7" t="s">
        <v>9796</v>
      </c>
      <c r="C1501" s="7" t="s">
        <v>8984</v>
      </c>
      <c r="D1501" s="7" t="s">
        <v>7577</v>
      </c>
      <c r="E1501" s="7" t="s">
        <v>11129</v>
      </c>
      <c r="F1501" s="8" t="s">
        <v>11116</v>
      </c>
      <c r="G1501" s="7">
        <v>100</v>
      </c>
      <c r="H1501" s="7" t="s">
        <v>9046</v>
      </c>
      <c r="I1501" s="7">
        <v>1</v>
      </c>
      <c r="J1501" s="7" t="s">
        <v>7878</v>
      </c>
      <c r="K1501" s="9" t="s">
        <v>8987</v>
      </c>
    </row>
    <row r="1502" spans="1:11">
      <c r="A1502" s="7">
        <v>1500</v>
      </c>
      <c r="B1502" s="7" t="s">
        <v>9796</v>
      </c>
      <c r="C1502" s="7" t="s">
        <v>8984</v>
      </c>
      <c r="D1502" s="7" t="s">
        <v>7577</v>
      </c>
      <c r="E1502" s="7" t="s">
        <v>11130</v>
      </c>
      <c r="F1502" s="8" t="s">
        <v>11116</v>
      </c>
      <c r="G1502" s="7">
        <v>100</v>
      </c>
      <c r="H1502" s="7" t="s">
        <v>9046</v>
      </c>
      <c r="I1502" s="7">
        <v>1</v>
      </c>
      <c r="J1502" s="7" t="s">
        <v>7878</v>
      </c>
      <c r="K1502" s="9" t="s">
        <v>8987</v>
      </c>
    </row>
    <row r="1503" spans="1:11">
      <c r="A1503" s="7">
        <v>1501</v>
      </c>
      <c r="B1503" s="7" t="s">
        <v>9796</v>
      </c>
      <c r="C1503" s="7" t="s">
        <v>8984</v>
      </c>
      <c r="D1503" s="7" t="s">
        <v>7577</v>
      </c>
      <c r="E1503" s="7" t="s">
        <v>11131</v>
      </c>
      <c r="F1503" s="8" t="s">
        <v>11116</v>
      </c>
      <c r="G1503" s="7">
        <v>100</v>
      </c>
      <c r="H1503" s="7" t="s">
        <v>9046</v>
      </c>
      <c r="I1503" s="7">
        <v>1</v>
      </c>
      <c r="J1503" s="7" t="s">
        <v>7878</v>
      </c>
      <c r="K1503" s="9" t="s">
        <v>8987</v>
      </c>
    </row>
    <row r="1504" spans="1:11">
      <c r="A1504" s="7">
        <v>1502</v>
      </c>
      <c r="B1504" s="7" t="s">
        <v>9796</v>
      </c>
      <c r="C1504" s="7" t="s">
        <v>8984</v>
      </c>
      <c r="D1504" s="7" t="s">
        <v>7577</v>
      </c>
      <c r="E1504" s="7" t="s">
        <v>11132</v>
      </c>
      <c r="F1504" s="8" t="s">
        <v>11116</v>
      </c>
      <c r="G1504" s="7">
        <v>100</v>
      </c>
      <c r="H1504" s="7" t="s">
        <v>9046</v>
      </c>
      <c r="I1504" s="7">
        <v>1</v>
      </c>
      <c r="J1504" s="7" t="s">
        <v>7878</v>
      </c>
      <c r="K1504" s="9" t="s">
        <v>8987</v>
      </c>
    </row>
    <row r="1505" spans="1:11">
      <c r="A1505" s="7">
        <v>1503</v>
      </c>
      <c r="B1505" s="7" t="s">
        <v>9796</v>
      </c>
      <c r="C1505" s="7" t="s">
        <v>8984</v>
      </c>
      <c r="D1505" s="7" t="s">
        <v>7577</v>
      </c>
      <c r="E1505" s="7" t="s">
        <v>11133</v>
      </c>
      <c r="F1505" s="8" t="s">
        <v>11116</v>
      </c>
      <c r="G1505" s="7">
        <v>100</v>
      </c>
      <c r="H1505" s="7" t="s">
        <v>9046</v>
      </c>
      <c r="I1505" s="7">
        <v>1</v>
      </c>
      <c r="J1505" s="7" t="s">
        <v>7878</v>
      </c>
      <c r="K1505" s="9" t="s">
        <v>8987</v>
      </c>
    </row>
    <row r="1506" spans="1:11">
      <c r="A1506" s="7">
        <v>1504</v>
      </c>
      <c r="B1506" s="7" t="s">
        <v>9796</v>
      </c>
      <c r="C1506" s="7" t="s">
        <v>8984</v>
      </c>
      <c r="D1506" s="7" t="s">
        <v>7577</v>
      </c>
      <c r="E1506" s="7" t="s">
        <v>11134</v>
      </c>
      <c r="F1506" s="8" t="s">
        <v>11116</v>
      </c>
      <c r="G1506" s="7">
        <v>100</v>
      </c>
      <c r="H1506" s="7" t="s">
        <v>9046</v>
      </c>
      <c r="I1506" s="7">
        <v>1</v>
      </c>
      <c r="J1506" s="7" t="s">
        <v>7878</v>
      </c>
      <c r="K1506" s="9" t="s">
        <v>8987</v>
      </c>
    </row>
    <row r="1507" spans="1:11">
      <c r="A1507" s="7">
        <v>1505</v>
      </c>
      <c r="B1507" s="7" t="s">
        <v>9796</v>
      </c>
      <c r="C1507" s="7" t="s">
        <v>8984</v>
      </c>
      <c r="D1507" s="7" t="s">
        <v>7577</v>
      </c>
      <c r="E1507" s="7" t="s">
        <v>11135</v>
      </c>
      <c r="F1507" s="8" t="s">
        <v>11116</v>
      </c>
      <c r="G1507" s="7">
        <v>100</v>
      </c>
      <c r="H1507" s="7" t="s">
        <v>9046</v>
      </c>
      <c r="I1507" s="7">
        <v>1</v>
      </c>
      <c r="J1507" s="7" t="s">
        <v>7878</v>
      </c>
      <c r="K1507" s="9" t="s">
        <v>8987</v>
      </c>
    </row>
    <row r="1508" spans="1:11">
      <c r="A1508" s="7">
        <v>1506</v>
      </c>
      <c r="B1508" s="7" t="s">
        <v>9796</v>
      </c>
      <c r="C1508" s="7" t="s">
        <v>8984</v>
      </c>
      <c r="D1508" s="7" t="s">
        <v>7577</v>
      </c>
      <c r="E1508" s="7" t="s">
        <v>7054</v>
      </c>
      <c r="F1508" s="8" t="s">
        <v>11116</v>
      </c>
      <c r="G1508" s="7">
        <v>100</v>
      </c>
      <c r="H1508" s="7" t="s">
        <v>9046</v>
      </c>
      <c r="I1508" s="7">
        <v>1</v>
      </c>
      <c r="J1508" s="7" t="s">
        <v>7878</v>
      </c>
      <c r="K1508" s="9" t="s">
        <v>8987</v>
      </c>
    </row>
    <row r="1509" spans="1:11">
      <c r="A1509" s="7">
        <v>1507</v>
      </c>
      <c r="B1509" s="7" t="s">
        <v>9796</v>
      </c>
      <c r="C1509" s="7" t="s">
        <v>8984</v>
      </c>
      <c r="D1509" s="7" t="s">
        <v>7577</v>
      </c>
      <c r="E1509" s="7" t="s">
        <v>11136</v>
      </c>
      <c r="F1509" s="8" t="s">
        <v>11116</v>
      </c>
      <c r="G1509" s="7">
        <v>100</v>
      </c>
      <c r="H1509" s="7" t="s">
        <v>9046</v>
      </c>
      <c r="I1509" s="7">
        <v>1</v>
      </c>
      <c r="J1509" s="7" t="s">
        <v>7878</v>
      </c>
      <c r="K1509" s="9" t="s">
        <v>8987</v>
      </c>
    </row>
    <row r="1510" spans="1:11">
      <c r="A1510" s="7">
        <v>1508</v>
      </c>
      <c r="B1510" s="7" t="s">
        <v>9796</v>
      </c>
      <c r="C1510" s="7" t="s">
        <v>8984</v>
      </c>
      <c r="D1510" s="7" t="s">
        <v>7577</v>
      </c>
      <c r="E1510" s="7" t="s">
        <v>11137</v>
      </c>
      <c r="F1510" s="8" t="s">
        <v>11116</v>
      </c>
      <c r="G1510" s="7">
        <v>100</v>
      </c>
      <c r="H1510" s="7" t="s">
        <v>9046</v>
      </c>
      <c r="I1510" s="7">
        <v>1</v>
      </c>
      <c r="J1510" s="7" t="s">
        <v>7878</v>
      </c>
      <c r="K1510" s="9" t="s">
        <v>8987</v>
      </c>
    </row>
    <row r="1511" spans="1:11">
      <c r="A1511" s="7">
        <v>1509</v>
      </c>
      <c r="B1511" s="7" t="s">
        <v>9796</v>
      </c>
      <c r="C1511" s="7" t="s">
        <v>8984</v>
      </c>
      <c r="D1511" s="7" t="s">
        <v>7577</v>
      </c>
      <c r="E1511" s="7" t="s">
        <v>11138</v>
      </c>
      <c r="F1511" s="8" t="s">
        <v>11116</v>
      </c>
      <c r="G1511" s="7">
        <v>100</v>
      </c>
      <c r="H1511" s="7" t="s">
        <v>9046</v>
      </c>
      <c r="I1511" s="7">
        <v>1</v>
      </c>
      <c r="J1511" s="7" t="s">
        <v>7878</v>
      </c>
      <c r="K1511" s="9" t="s">
        <v>8987</v>
      </c>
    </row>
    <row r="1512" spans="1:11">
      <c r="A1512" s="7">
        <v>1510</v>
      </c>
      <c r="B1512" s="7" t="s">
        <v>9796</v>
      </c>
      <c r="C1512" s="7" t="s">
        <v>8984</v>
      </c>
      <c r="D1512" s="7" t="s">
        <v>7577</v>
      </c>
      <c r="E1512" s="7" t="s">
        <v>3676</v>
      </c>
      <c r="F1512" s="8" t="s">
        <v>11116</v>
      </c>
      <c r="G1512" s="7">
        <v>100</v>
      </c>
      <c r="H1512" s="7" t="s">
        <v>9046</v>
      </c>
      <c r="I1512" s="7">
        <v>1</v>
      </c>
      <c r="J1512" s="7" t="s">
        <v>7878</v>
      </c>
      <c r="K1512" s="9" t="s">
        <v>8987</v>
      </c>
    </row>
    <row r="1513" spans="1:11">
      <c r="A1513" s="7">
        <v>1511</v>
      </c>
      <c r="B1513" s="7" t="s">
        <v>9796</v>
      </c>
      <c r="C1513" s="7" t="s">
        <v>8984</v>
      </c>
      <c r="D1513" s="7" t="s">
        <v>7577</v>
      </c>
      <c r="E1513" s="7" t="s">
        <v>11139</v>
      </c>
      <c r="F1513" s="8" t="s">
        <v>11116</v>
      </c>
      <c r="G1513" s="7">
        <v>100</v>
      </c>
      <c r="H1513" s="7" t="s">
        <v>9046</v>
      </c>
      <c r="I1513" s="7">
        <v>1</v>
      </c>
      <c r="J1513" s="7" t="s">
        <v>7878</v>
      </c>
      <c r="K1513" s="9" t="s">
        <v>8987</v>
      </c>
    </row>
    <row r="1514" spans="1:11">
      <c r="A1514" s="7">
        <v>1512</v>
      </c>
      <c r="B1514" s="7" t="s">
        <v>9796</v>
      </c>
      <c r="C1514" s="7" t="s">
        <v>8984</v>
      </c>
      <c r="D1514" s="7" t="s">
        <v>7577</v>
      </c>
      <c r="E1514" s="7" t="s">
        <v>11140</v>
      </c>
      <c r="F1514" s="8" t="s">
        <v>11141</v>
      </c>
      <c r="G1514" s="7">
        <v>1</v>
      </c>
      <c r="H1514" s="7" t="s">
        <v>9112</v>
      </c>
      <c r="I1514" s="7">
        <v>1</v>
      </c>
      <c r="J1514" s="7" t="s">
        <v>9113</v>
      </c>
      <c r="K1514" s="9" t="s">
        <v>8987</v>
      </c>
    </row>
    <row r="1515" spans="1:11">
      <c r="A1515" s="7">
        <v>1513</v>
      </c>
      <c r="B1515" s="7" t="s">
        <v>9796</v>
      </c>
      <c r="C1515" s="7" t="s">
        <v>8984</v>
      </c>
      <c r="D1515" s="7" t="s">
        <v>7577</v>
      </c>
      <c r="E1515" s="7" t="s">
        <v>11142</v>
      </c>
      <c r="F1515" s="8" t="s">
        <v>11141</v>
      </c>
      <c r="G1515" s="7">
        <v>1</v>
      </c>
      <c r="H1515" s="7" t="s">
        <v>9112</v>
      </c>
      <c r="I1515" s="7">
        <v>1</v>
      </c>
      <c r="J1515" s="7" t="s">
        <v>9113</v>
      </c>
      <c r="K1515" s="9" t="s">
        <v>8987</v>
      </c>
    </row>
    <row r="1516" spans="1:11">
      <c r="A1516" s="7">
        <v>1514</v>
      </c>
      <c r="B1516" s="7" t="s">
        <v>9796</v>
      </c>
      <c r="C1516" s="7" t="s">
        <v>8984</v>
      </c>
      <c r="D1516" s="7" t="s">
        <v>7577</v>
      </c>
      <c r="E1516" s="7" t="s">
        <v>11143</v>
      </c>
      <c r="F1516" s="8" t="s">
        <v>11141</v>
      </c>
      <c r="G1516" s="7">
        <v>0</v>
      </c>
      <c r="H1516" s="7" t="s">
        <v>8984</v>
      </c>
      <c r="I1516" s="7">
        <v>1</v>
      </c>
      <c r="J1516" s="7" t="s">
        <v>7838</v>
      </c>
      <c r="K1516" s="9" t="s">
        <v>8987</v>
      </c>
    </row>
    <row r="1517" spans="1:11">
      <c r="A1517" s="7">
        <v>1515</v>
      </c>
      <c r="B1517" s="7" t="s">
        <v>9796</v>
      </c>
      <c r="C1517" s="7" t="s">
        <v>8984</v>
      </c>
      <c r="D1517" s="7" t="s">
        <v>7577</v>
      </c>
      <c r="E1517" s="7" t="s">
        <v>11144</v>
      </c>
      <c r="F1517" s="8" t="s">
        <v>11141</v>
      </c>
      <c r="G1517" s="7">
        <v>0</v>
      </c>
      <c r="H1517" s="7" t="s">
        <v>8984</v>
      </c>
      <c r="I1517" s="7">
        <v>1</v>
      </c>
      <c r="J1517" s="7" t="s">
        <v>7838</v>
      </c>
      <c r="K1517" s="9" t="s">
        <v>8987</v>
      </c>
    </row>
    <row r="1518" spans="1:11">
      <c r="A1518" s="7">
        <v>1516</v>
      </c>
      <c r="B1518" s="7" t="s">
        <v>9796</v>
      </c>
      <c r="C1518" s="7" t="s">
        <v>8984</v>
      </c>
      <c r="D1518" s="7" t="s">
        <v>7577</v>
      </c>
      <c r="E1518" s="7" t="s">
        <v>11145</v>
      </c>
      <c r="F1518" s="8" t="s">
        <v>11141</v>
      </c>
      <c r="G1518" s="7">
        <v>0</v>
      </c>
      <c r="H1518" s="7" t="s">
        <v>8984</v>
      </c>
      <c r="I1518" s="7">
        <v>1</v>
      </c>
      <c r="J1518" s="7" t="s">
        <v>7838</v>
      </c>
      <c r="K1518" s="9" t="s">
        <v>8987</v>
      </c>
    </row>
    <row r="1519" spans="1:11">
      <c r="A1519" s="7">
        <v>1517</v>
      </c>
      <c r="B1519" s="7" t="s">
        <v>9796</v>
      </c>
      <c r="C1519" s="7" t="s">
        <v>8984</v>
      </c>
      <c r="D1519" s="7" t="s">
        <v>7577</v>
      </c>
      <c r="E1519" s="7" t="s">
        <v>11146</v>
      </c>
      <c r="F1519" s="8" t="s">
        <v>11141</v>
      </c>
      <c r="G1519" s="7">
        <v>0</v>
      </c>
      <c r="H1519" s="7" t="s">
        <v>8984</v>
      </c>
      <c r="I1519" s="7">
        <v>1</v>
      </c>
      <c r="J1519" s="7" t="s">
        <v>7838</v>
      </c>
      <c r="K1519" s="9" t="s">
        <v>8987</v>
      </c>
    </row>
    <row r="1520" spans="1:11">
      <c r="A1520" s="7">
        <v>1518</v>
      </c>
      <c r="B1520" s="7" t="s">
        <v>9796</v>
      </c>
      <c r="C1520" s="7" t="s">
        <v>8984</v>
      </c>
      <c r="D1520" s="7" t="s">
        <v>7577</v>
      </c>
      <c r="E1520" s="7" t="s">
        <v>11147</v>
      </c>
      <c r="F1520" s="8" t="s">
        <v>11141</v>
      </c>
      <c r="G1520" s="7">
        <v>1</v>
      </c>
      <c r="H1520" s="7" t="s">
        <v>9112</v>
      </c>
      <c r="I1520" s="7">
        <v>1</v>
      </c>
      <c r="J1520" s="7" t="s">
        <v>9113</v>
      </c>
      <c r="K1520" s="9" t="s">
        <v>8987</v>
      </c>
    </row>
    <row r="1521" spans="1:11">
      <c r="A1521" s="7">
        <v>1519</v>
      </c>
      <c r="B1521" s="7" t="s">
        <v>9796</v>
      </c>
      <c r="C1521" s="7" t="s">
        <v>8984</v>
      </c>
      <c r="D1521" s="7" t="s">
        <v>7577</v>
      </c>
      <c r="E1521" s="7" t="s">
        <v>6579</v>
      </c>
      <c r="F1521" s="8" t="s">
        <v>11141</v>
      </c>
      <c r="G1521" s="7">
        <v>1</v>
      </c>
      <c r="H1521" s="7" t="s">
        <v>9112</v>
      </c>
      <c r="I1521" s="7">
        <v>1</v>
      </c>
      <c r="J1521" s="7" t="s">
        <v>9113</v>
      </c>
      <c r="K1521" s="9" t="s">
        <v>8987</v>
      </c>
    </row>
    <row r="1522" spans="1:11">
      <c r="A1522" s="7">
        <v>1520</v>
      </c>
      <c r="B1522" s="7" t="s">
        <v>9796</v>
      </c>
      <c r="C1522" s="7" t="s">
        <v>8984</v>
      </c>
      <c r="D1522" s="7" t="s">
        <v>7577</v>
      </c>
      <c r="E1522" s="7" t="s">
        <v>11148</v>
      </c>
      <c r="F1522" s="8" t="s">
        <v>11141</v>
      </c>
      <c r="G1522" s="7">
        <v>1</v>
      </c>
      <c r="H1522" s="7" t="s">
        <v>9112</v>
      </c>
      <c r="I1522" s="7">
        <v>1</v>
      </c>
      <c r="J1522" s="7" t="s">
        <v>9113</v>
      </c>
      <c r="K1522" s="9" t="s">
        <v>8987</v>
      </c>
    </row>
    <row r="1523" spans="1:11">
      <c r="A1523" s="7">
        <v>1521</v>
      </c>
      <c r="B1523" s="7" t="s">
        <v>9174</v>
      </c>
      <c r="C1523" s="7" t="s">
        <v>8984</v>
      </c>
      <c r="D1523" s="7" t="s">
        <v>7553</v>
      </c>
      <c r="E1523" s="7" t="s">
        <v>11149</v>
      </c>
      <c r="F1523" s="8" t="s">
        <v>10059</v>
      </c>
      <c r="G1523" s="7">
        <v>3</v>
      </c>
      <c r="H1523" s="7" t="s">
        <v>9187</v>
      </c>
      <c r="I1523" s="7">
        <v>1</v>
      </c>
      <c r="J1523" s="7" t="s">
        <v>7872</v>
      </c>
      <c r="K1523" s="9" t="s">
        <v>8987</v>
      </c>
    </row>
    <row r="1524" spans="1:11">
      <c r="A1524" s="7">
        <v>1522</v>
      </c>
      <c r="B1524" s="7" t="s">
        <v>9174</v>
      </c>
      <c r="C1524" s="7" t="s">
        <v>8984</v>
      </c>
      <c r="D1524" s="7" t="s">
        <v>7553</v>
      </c>
      <c r="E1524" s="7" t="s">
        <v>11150</v>
      </c>
      <c r="F1524" s="8" t="s">
        <v>10059</v>
      </c>
      <c r="G1524" s="7">
        <v>2</v>
      </c>
      <c r="H1524" s="7" t="s">
        <v>10476</v>
      </c>
      <c r="I1524" s="7">
        <v>1</v>
      </c>
      <c r="J1524" s="7" t="s">
        <v>7861</v>
      </c>
      <c r="K1524" s="9" t="s">
        <v>8987</v>
      </c>
    </row>
    <row r="1525" spans="1:11">
      <c r="A1525" s="7">
        <v>1523</v>
      </c>
      <c r="B1525" s="7" t="s">
        <v>9174</v>
      </c>
      <c r="C1525" s="7" t="s">
        <v>8984</v>
      </c>
      <c r="D1525" s="7" t="s">
        <v>7553</v>
      </c>
      <c r="E1525" s="7" t="s">
        <v>11151</v>
      </c>
      <c r="F1525" s="8" t="s">
        <v>10059</v>
      </c>
      <c r="G1525" s="7">
        <v>8</v>
      </c>
      <c r="H1525" s="7" t="s">
        <v>8991</v>
      </c>
      <c r="I1525" s="7">
        <v>1</v>
      </c>
      <c r="J1525" s="7" t="s">
        <v>7764</v>
      </c>
      <c r="K1525" s="9" t="s">
        <v>8987</v>
      </c>
    </row>
    <row r="1526" spans="1:11">
      <c r="A1526" s="7">
        <v>1524</v>
      </c>
      <c r="B1526" s="7" t="s">
        <v>9174</v>
      </c>
      <c r="C1526" s="7" t="s">
        <v>11152</v>
      </c>
      <c r="D1526" s="7" t="s">
        <v>7553</v>
      </c>
      <c r="E1526" s="7" t="s">
        <v>11153</v>
      </c>
      <c r="F1526" s="8" t="s">
        <v>10059</v>
      </c>
      <c r="G1526" s="7">
        <v>3</v>
      </c>
      <c r="H1526" s="7" t="s">
        <v>9187</v>
      </c>
      <c r="I1526" s="7">
        <v>1</v>
      </c>
      <c r="J1526" s="7" t="s">
        <v>7872</v>
      </c>
      <c r="K1526" s="9" t="s">
        <v>8987</v>
      </c>
    </row>
    <row r="1527" spans="1:11">
      <c r="A1527" s="7">
        <v>1525</v>
      </c>
      <c r="B1527" s="7" t="s">
        <v>9174</v>
      </c>
      <c r="C1527" s="7" t="s">
        <v>8984</v>
      </c>
      <c r="D1527" s="7" t="s">
        <v>7553</v>
      </c>
      <c r="E1527" s="7" t="s">
        <v>11154</v>
      </c>
      <c r="F1527" s="8" t="s">
        <v>9805</v>
      </c>
      <c r="G1527" s="7">
        <v>3</v>
      </c>
      <c r="H1527" s="7" t="s">
        <v>9187</v>
      </c>
      <c r="I1527" s="7">
        <v>1</v>
      </c>
      <c r="J1527" s="7" t="s">
        <v>7872</v>
      </c>
      <c r="K1527" s="9" t="s">
        <v>8987</v>
      </c>
    </row>
    <row r="1528" spans="1:11">
      <c r="A1528" s="7">
        <v>1526</v>
      </c>
      <c r="B1528" s="7" t="s">
        <v>9174</v>
      </c>
      <c r="C1528" s="7" t="s">
        <v>8984</v>
      </c>
      <c r="D1528" s="7" t="s">
        <v>7553</v>
      </c>
      <c r="E1528" s="7" t="s">
        <v>11155</v>
      </c>
      <c r="F1528" s="8" t="s">
        <v>9805</v>
      </c>
      <c r="G1528" s="7">
        <v>6</v>
      </c>
      <c r="H1528" s="7" t="s">
        <v>9218</v>
      </c>
      <c r="I1528" s="7">
        <v>1</v>
      </c>
      <c r="J1528" s="7" t="s">
        <v>7623</v>
      </c>
      <c r="K1528" s="9" t="s">
        <v>8987</v>
      </c>
    </row>
    <row r="1529" spans="1:11">
      <c r="A1529" s="7">
        <v>1527</v>
      </c>
      <c r="B1529" s="7" t="s">
        <v>9174</v>
      </c>
      <c r="C1529" s="7" t="s">
        <v>8984</v>
      </c>
      <c r="D1529" s="7" t="s">
        <v>7553</v>
      </c>
      <c r="E1529" s="7" t="s">
        <v>11156</v>
      </c>
      <c r="F1529" s="8" t="s">
        <v>9805</v>
      </c>
      <c r="G1529" s="7">
        <v>4</v>
      </c>
      <c r="H1529" s="7" t="s">
        <v>9579</v>
      </c>
      <c r="I1529" s="7">
        <v>1</v>
      </c>
      <c r="J1529" s="7" t="s">
        <v>7617</v>
      </c>
      <c r="K1529" s="9" t="s">
        <v>8987</v>
      </c>
    </row>
    <row r="1530" spans="1:11">
      <c r="A1530" s="7">
        <v>1528</v>
      </c>
      <c r="B1530" s="7" t="s">
        <v>9174</v>
      </c>
      <c r="C1530" s="7" t="s">
        <v>8984</v>
      </c>
      <c r="D1530" s="7" t="s">
        <v>7553</v>
      </c>
      <c r="E1530" s="7" t="s">
        <v>11157</v>
      </c>
      <c r="F1530" s="8" t="s">
        <v>9805</v>
      </c>
      <c r="G1530" s="7">
        <v>6</v>
      </c>
      <c r="H1530" s="7" t="s">
        <v>9218</v>
      </c>
      <c r="I1530" s="7">
        <v>1</v>
      </c>
      <c r="J1530" s="7" t="s">
        <v>7623</v>
      </c>
      <c r="K1530" s="9" t="s">
        <v>8987</v>
      </c>
    </row>
    <row r="1531" spans="1:11">
      <c r="A1531" s="7">
        <v>1529</v>
      </c>
      <c r="B1531" s="7" t="s">
        <v>9174</v>
      </c>
      <c r="C1531" s="7" t="s">
        <v>11152</v>
      </c>
      <c r="D1531" s="7" t="s">
        <v>7553</v>
      </c>
      <c r="E1531" s="7" t="s">
        <v>11158</v>
      </c>
      <c r="F1531" s="8" t="s">
        <v>9805</v>
      </c>
      <c r="G1531" s="7">
        <v>4</v>
      </c>
      <c r="H1531" s="7" t="s">
        <v>9579</v>
      </c>
      <c r="I1531" s="7">
        <v>1</v>
      </c>
      <c r="J1531" s="7" t="s">
        <v>7617</v>
      </c>
      <c r="K1531" s="9" t="s">
        <v>8987</v>
      </c>
    </row>
    <row r="1532" spans="1:11">
      <c r="A1532" s="7">
        <v>1530</v>
      </c>
      <c r="B1532" s="7" t="s">
        <v>9088</v>
      </c>
      <c r="C1532" s="7" t="s">
        <v>8984</v>
      </c>
      <c r="D1532" s="7" t="s">
        <v>7553</v>
      </c>
      <c r="E1532" s="7" t="s">
        <v>11159</v>
      </c>
      <c r="F1532" s="8" t="s">
        <v>10068</v>
      </c>
      <c r="G1532" s="7">
        <v>3</v>
      </c>
      <c r="H1532" s="7" t="s">
        <v>9187</v>
      </c>
      <c r="I1532" s="7">
        <v>1</v>
      </c>
      <c r="J1532" s="7" t="s">
        <v>7872</v>
      </c>
      <c r="K1532" s="9" t="s">
        <v>8987</v>
      </c>
    </row>
    <row r="1533" spans="1:11">
      <c r="A1533" s="7">
        <v>1531</v>
      </c>
      <c r="B1533" s="7" t="s">
        <v>9088</v>
      </c>
      <c r="C1533" s="7" t="s">
        <v>8984</v>
      </c>
      <c r="D1533" s="7" t="s">
        <v>7553</v>
      </c>
      <c r="E1533" s="7" t="s">
        <v>11160</v>
      </c>
      <c r="F1533" s="8" t="s">
        <v>10068</v>
      </c>
      <c r="G1533" s="7">
        <v>6</v>
      </c>
      <c r="H1533" s="7" t="s">
        <v>9218</v>
      </c>
      <c r="I1533" s="7">
        <v>1</v>
      </c>
      <c r="J1533" s="7" t="s">
        <v>7623</v>
      </c>
      <c r="K1533" s="9" t="s">
        <v>8987</v>
      </c>
    </row>
    <row r="1534" spans="1:11">
      <c r="A1534" s="7">
        <v>1532</v>
      </c>
      <c r="B1534" s="7" t="s">
        <v>9088</v>
      </c>
      <c r="C1534" s="7" t="s">
        <v>8984</v>
      </c>
      <c r="D1534" s="7" t="s">
        <v>7553</v>
      </c>
      <c r="E1534" s="7" t="s">
        <v>11161</v>
      </c>
      <c r="F1534" s="8" t="s">
        <v>10068</v>
      </c>
      <c r="G1534" s="7">
        <v>4</v>
      </c>
      <c r="H1534" s="7" t="s">
        <v>9579</v>
      </c>
      <c r="I1534" s="7">
        <v>1</v>
      </c>
      <c r="J1534" s="7" t="s">
        <v>7617</v>
      </c>
      <c r="K1534" s="9" t="s">
        <v>8987</v>
      </c>
    </row>
    <row r="1535" spans="1:11">
      <c r="A1535" s="7">
        <v>1533</v>
      </c>
      <c r="B1535" s="7" t="s">
        <v>9088</v>
      </c>
      <c r="C1535" s="7" t="s">
        <v>8984</v>
      </c>
      <c r="D1535" s="7" t="s">
        <v>7553</v>
      </c>
      <c r="E1535" s="7" t="s">
        <v>11162</v>
      </c>
      <c r="F1535" s="8" t="s">
        <v>10068</v>
      </c>
      <c r="G1535" s="7">
        <v>6</v>
      </c>
      <c r="H1535" s="7" t="s">
        <v>9218</v>
      </c>
      <c r="I1535" s="7">
        <v>1</v>
      </c>
      <c r="J1535" s="7" t="s">
        <v>7623</v>
      </c>
      <c r="K1535" s="9" t="s">
        <v>8987</v>
      </c>
    </row>
    <row r="1536" spans="1:11">
      <c r="A1536" s="7">
        <v>1534</v>
      </c>
      <c r="B1536" s="7" t="s">
        <v>9088</v>
      </c>
      <c r="C1536" s="7" t="s">
        <v>11152</v>
      </c>
      <c r="D1536" s="7" t="s">
        <v>7553</v>
      </c>
      <c r="E1536" s="7" t="s">
        <v>11163</v>
      </c>
      <c r="F1536" s="8" t="s">
        <v>10068</v>
      </c>
      <c r="G1536" s="7">
        <v>4</v>
      </c>
      <c r="H1536" s="7" t="s">
        <v>9579</v>
      </c>
      <c r="I1536" s="7">
        <v>1</v>
      </c>
      <c r="J1536" s="7" t="s">
        <v>7617</v>
      </c>
      <c r="K1536" s="9" t="s">
        <v>8987</v>
      </c>
    </row>
    <row r="1537" spans="1:11">
      <c r="A1537" s="7">
        <v>1535</v>
      </c>
      <c r="B1537" s="7" t="s">
        <v>11164</v>
      </c>
      <c r="C1537" s="7" t="s">
        <v>8984</v>
      </c>
      <c r="D1537" s="7" t="s">
        <v>7553</v>
      </c>
      <c r="E1537" s="7" t="s">
        <v>11165</v>
      </c>
      <c r="F1537" s="8" t="s">
        <v>10994</v>
      </c>
      <c r="G1537" s="7">
        <v>3</v>
      </c>
      <c r="H1537" s="7" t="s">
        <v>9187</v>
      </c>
      <c r="I1537" s="7">
        <v>1</v>
      </c>
      <c r="J1537" s="7" t="s">
        <v>7872</v>
      </c>
      <c r="K1537" s="9" t="s">
        <v>8987</v>
      </c>
    </row>
    <row r="1538" spans="1:11">
      <c r="A1538" s="7">
        <v>1536</v>
      </c>
      <c r="B1538" s="7" t="s">
        <v>11164</v>
      </c>
      <c r="C1538" s="7" t="s">
        <v>8984</v>
      </c>
      <c r="D1538" s="7" t="s">
        <v>7553</v>
      </c>
      <c r="E1538" s="7" t="s">
        <v>11166</v>
      </c>
      <c r="F1538" s="8" t="s">
        <v>10994</v>
      </c>
      <c r="G1538" s="7">
        <v>6</v>
      </c>
      <c r="H1538" s="7" t="s">
        <v>9218</v>
      </c>
      <c r="I1538" s="7">
        <v>1</v>
      </c>
      <c r="J1538" s="7" t="s">
        <v>7623</v>
      </c>
      <c r="K1538" s="9" t="s">
        <v>8987</v>
      </c>
    </row>
    <row r="1539" spans="1:11">
      <c r="A1539" s="7">
        <v>1537</v>
      </c>
      <c r="B1539" s="7" t="s">
        <v>11164</v>
      </c>
      <c r="C1539" s="7" t="s">
        <v>8984</v>
      </c>
      <c r="D1539" s="7" t="s">
        <v>7553</v>
      </c>
      <c r="E1539" s="7" t="s">
        <v>11167</v>
      </c>
      <c r="F1539" s="8" t="s">
        <v>10994</v>
      </c>
      <c r="G1539" s="7">
        <v>4</v>
      </c>
      <c r="H1539" s="7" t="s">
        <v>9579</v>
      </c>
      <c r="I1539" s="7">
        <v>1</v>
      </c>
      <c r="J1539" s="7" t="s">
        <v>7617</v>
      </c>
      <c r="K1539" s="9" t="s">
        <v>8987</v>
      </c>
    </row>
    <row r="1540" spans="1:11">
      <c r="A1540" s="7">
        <v>1538</v>
      </c>
      <c r="B1540" s="7" t="s">
        <v>11164</v>
      </c>
      <c r="C1540" s="7" t="s">
        <v>8984</v>
      </c>
      <c r="D1540" s="7" t="s">
        <v>7553</v>
      </c>
      <c r="E1540" s="7" t="s">
        <v>11168</v>
      </c>
      <c r="F1540" s="8" t="s">
        <v>10994</v>
      </c>
      <c r="G1540" s="7">
        <v>6</v>
      </c>
      <c r="H1540" s="7" t="s">
        <v>9218</v>
      </c>
      <c r="I1540" s="7">
        <v>1</v>
      </c>
      <c r="J1540" s="7" t="s">
        <v>7623</v>
      </c>
      <c r="K1540" s="9" t="s">
        <v>8987</v>
      </c>
    </row>
    <row r="1541" spans="1:11">
      <c r="A1541" s="7">
        <v>1539</v>
      </c>
      <c r="B1541" s="7" t="s">
        <v>11164</v>
      </c>
      <c r="C1541" s="7" t="s">
        <v>11152</v>
      </c>
      <c r="D1541" s="7" t="s">
        <v>7553</v>
      </c>
      <c r="E1541" s="7" t="s">
        <v>11169</v>
      </c>
      <c r="F1541" s="8" t="s">
        <v>10994</v>
      </c>
      <c r="G1541" s="7">
        <v>4</v>
      </c>
      <c r="H1541" s="7" t="s">
        <v>9579</v>
      </c>
      <c r="I1541" s="7">
        <v>1</v>
      </c>
      <c r="J1541" s="7" t="s">
        <v>7617</v>
      </c>
      <c r="K1541" s="9" t="s">
        <v>8987</v>
      </c>
    </row>
    <row r="1542" spans="1:11">
      <c r="A1542" s="7">
        <v>1540</v>
      </c>
      <c r="B1542" s="7" t="s">
        <v>9174</v>
      </c>
      <c r="C1542" s="7" t="s">
        <v>8984</v>
      </c>
      <c r="D1542" s="7" t="s">
        <v>7553</v>
      </c>
      <c r="E1542" s="7" t="s">
        <v>11170</v>
      </c>
      <c r="F1542" s="8" t="s">
        <v>10049</v>
      </c>
      <c r="G1542" s="7">
        <v>5</v>
      </c>
      <c r="H1542" s="7" t="s">
        <v>9336</v>
      </c>
      <c r="I1542" s="7">
        <v>1</v>
      </c>
      <c r="J1542" s="7" t="s">
        <v>7620</v>
      </c>
      <c r="K1542" s="9" t="s">
        <v>8987</v>
      </c>
    </row>
    <row r="1543" spans="1:11">
      <c r="A1543" s="7">
        <v>1541</v>
      </c>
      <c r="B1543" s="7" t="s">
        <v>9174</v>
      </c>
      <c r="C1543" s="7" t="s">
        <v>8984</v>
      </c>
      <c r="D1543" s="7" t="s">
        <v>7553</v>
      </c>
      <c r="E1543" s="7" t="s">
        <v>11171</v>
      </c>
      <c r="F1543" s="8" t="s">
        <v>10049</v>
      </c>
      <c r="G1543" s="7">
        <v>10</v>
      </c>
      <c r="H1543" s="7" t="s">
        <v>9292</v>
      </c>
      <c r="I1543" s="7">
        <v>1</v>
      </c>
      <c r="J1543" s="7" t="s">
        <v>7768</v>
      </c>
      <c r="K1543" s="9" t="s">
        <v>8987</v>
      </c>
    </row>
    <row r="1544" spans="1:11">
      <c r="A1544" s="7">
        <v>1542</v>
      </c>
      <c r="B1544" s="7" t="s">
        <v>9174</v>
      </c>
      <c r="C1544" s="7" t="s">
        <v>8984</v>
      </c>
      <c r="D1544" s="7" t="s">
        <v>7553</v>
      </c>
      <c r="E1544" s="7" t="s">
        <v>11172</v>
      </c>
      <c r="F1544" s="8" t="s">
        <v>10049</v>
      </c>
      <c r="G1544" s="7">
        <v>6</v>
      </c>
      <c r="H1544" s="7" t="s">
        <v>9218</v>
      </c>
      <c r="I1544" s="7">
        <v>1</v>
      </c>
      <c r="J1544" s="7" t="s">
        <v>7623</v>
      </c>
      <c r="K1544" s="9" t="s">
        <v>8987</v>
      </c>
    </row>
    <row r="1545" spans="1:11">
      <c r="A1545" s="7">
        <v>1543</v>
      </c>
      <c r="B1545" s="7" t="s">
        <v>9174</v>
      </c>
      <c r="C1545" s="7" t="s">
        <v>8984</v>
      </c>
      <c r="D1545" s="7" t="s">
        <v>7553</v>
      </c>
      <c r="E1545" s="7" t="s">
        <v>11173</v>
      </c>
      <c r="F1545" s="8" t="s">
        <v>10049</v>
      </c>
      <c r="G1545" s="7">
        <v>8</v>
      </c>
      <c r="H1545" s="7" t="s">
        <v>8991</v>
      </c>
      <c r="I1545" s="7">
        <v>1</v>
      </c>
      <c r="J1545" s="7" t="s">
        <v>7764</v>
      </c>
      <c r="K1545" s="9" t="s">
        <v>8987</v>
      </c>
    </row>
    <row r="1546" spans="1:11">
      <c r="A1546" s="7">
        <v>1544</v>
      </c>
      <c r="B1546" s="7" t="s">
        <v>9174</v>
      </c>
      <c r="C1546" s="7" t="s">
        <v>11152</v>
      </c>
      <c r="D1546" s="7" t="s">
        <v>7553</v>
      </c>
      <c r="E1546" s="7" t="s">
        <v>11174</v>
      </c>
      <c r="F1546" s="8" t="s">
        <v>10049</v>
      </c>
      <c r="G1546" s="7">
        <v>6</v>
      </c>
      <c r="H1546" s="7" t="s">
        <v>9218</v>
      </c>
      <c r="I1546" s="7">
        <v>1</v>
      </c>
      <c r="J1546" s="7" t="s">
        <v>7623</v>
      </c>
      <c r="K1546" s="9" t="s">
        <v>8987</v>
      </c>
    </row>
    <row r="1547" spans="1:11">
      <c r="A1547" s="7">
        <v>1545</v>
      </c>
      <c r="B1547" s="7" t="s">
        <v>9174</v>
      </c>
      <c r="C1547" s="7" t="s">
        <v>8984</v>
      </c>
      <c r="D1547" s="7" t="s">
        <v>7553</v>
      </c>
      <c r="E1547" s="7" t="s">
        <v>11175</v>
      </c>
      <c r="F1547" s="8" t="s">
        <v>9798</v>
      </c>
      <c r="G1547" s="7">
        <v>5</v>
      </c>
      <c r="H1547" s="7" t="s">
        <v>9336</v>
      </c>
      <c r="I1547" s="7">
        <v>1</v>
      </c>
      <c r="J1547" s="7" t="s">
        <v>7620</v>
      </c>
      <c r="K1547" s="9" t="s">
        <v>8987</v>
      </c>
    </row>
    <row r="1548" spans="1:11">
      <c r="A1548" s="7">
        <v>1546</v>
      </c>
      <c r="B1548" s="7" t="s">
        <v>9174</v>
      </c>
      <c r="C1548" s="7" t="s">
        <v>8984</v>
      </c>
      <c r="D1548" s="7" t="s">
        <v>7553</v>
      </c>
      <c r="E1548" s="7" t="s">
        <v>11176</v>
      </c>
      <c r="F1548" s="8" t="s">
        <v>9798</v>
      </c>
      <c r="G1548" s="7">
        <v>10</v>
      </c>
      <c r="H1548" s="7" t="s">
        <v>9292</v>
      </c>
      <c r="I1548" s="7">
        <v>1</v>
      </c>
      <c r="J1548" s="7" t="s">
        <v>7768</v>
      </c>
      <c r="K1548" s="9" t="s">
        <v>8987</v>
      </c>
    </row>
    <row r="1549" spans="1:11">
      <c r="A1549" s="7">
        <v>1547</v>
      </c>
      <c r="B1549" s="7" t="s">
        <v>9174</v>
      </c>
      <c r="C1549" s="7" t="s">
        <v>8984</v>
      </c>
      <c r="D1549" s="7" t="s">
        <v>7553</v>
      </c>
      <c r="E1549" s="7" t="s">
        <v>11177</v>
      </c>
      <c r="F1549" s="8" t="s">
        <v>9798</v>
      </c>
      <c r="G1549" s="7">
        <v>5</v>
      </c>
      <c r="H1549" s="7" t="s">
        <v>9336</v>
      </c>
      <c r="I1549" s="7">
        <v>1</v>
      </c>
      <c r="J1549" s="7" t="s">
        <v>7620</v>
      </c>
      <c r="K1549" s="9" t="s">
        <v>8987</v>
      </c>
    </row>
    <row r="1550" spans="1:11">
      <c r="A1550" s="7">
        <v>1548</v>
      </c>
      <c r="B1550" s="7" t="s">
        <v>9174</v>
      </c>
      <c r="C1550" s="7" t="s">
        <v>8984</v>
      </c>
      <c r="D1550" s="7" t="s">
        <v>7553</v>
      </c>
      <c r="E1550" s="7" t="s">
        <v>11178</v>
      </c>
      <c r="F1550" s="8" t="s">
        <v>9798</v>
      </c>
      <c r="G1550" s="7">
        <v>10</v>
      </c>
      <c r="H1550" s="7" t="s">
        <v>9292</v>
      </c>
      <c r="I1550" s="7">
        <v>1</v>
      </c>
      <c r="J1550" s="7" t="s">
        <v>7768</v>
      </c>
      <c r="K1550" s="9" t="s">
        <v>8987</v>
      </c>
    </row>
    <row r="1551" spans="1:11">
      <c r="A1551" s="7">
        <v>1549</v>
      </c>
      <c r="B1551" s="7" t="s">
        <v>9174</v>
      </c>
      <c r="C1551" s="7" t="s">
        <v>8984</v>
      </c>
      <c r="D1551" s="7" t="s">
        <v>7553</v>
      </c>
      <c r="E1551" s="7" t="s">
        <v>11179</v>
      </c>
      <c r="F1551" s="8" t="s">
        <v>9798</v>
      </c>
      <c r="G1551" s="7">
        <v>6</v>
      </c>
      <c r="H1551" s="7" t="s">
        <v>9218</v>
      </c>
      <c r="I1551" s="7">
        <v>1</v>
      </c>
      <c r="J1551" s="7" t="s">
        <v>7623</v>
      </c>
      <c r="K1551" s="9" t="s">
        <v>8987</v>
      </c>
    </row>
    <row r="1552" spans="1:11">
      <c r="A1552" s="7">
        <v>1550</v>
      </c>
      <c r="B1552" s="7" t="s">
        <v>9174</v>
      </c>
      <c r="C1552" s="7" t="s">
        <v>8984</v>
      </c>
      <c r="D1552" s="7" t="s">
        <v>7553</v>
      </c>
      <c r="E1552" s="7" t="s">
        <v>11180</v>
      </c>
      <c r="F1552" s="8" t="s">
        <v>9798</v>
      </c>
      <c r="G1552" s="7">
        <v>8</v>
      </c>
      <c r="H1552" s="7" t="s">
        <v>8991</v>
      </c>
      <c r="I1552" s="7">
        <v>1</v>
      </c>
      <c r="J1552" s="7" t="s">
        <v>7764</v>
      </c>
      <c r="K1552" s="9" t="s">
        <v>8987</v>
      </c>
    </row>
    <row r="1553" spans="1:11">
      <c r="A1553" s="7">
        <v>1551</v>
      </c>
      <c r="B1553" s="7" t="s">
        <v>9174</v>
      </c>
      <c r="C1553" s="7" t="s">
        <v>11152</v>
      </c>
      <c r="D1553" s="7" t="s">
        <v>7553</v>
      </c>
      <c r="E1553" s="7" t="s">
        <v>11181</v>
      </c>
      <c r="F1553" s="8" t="s">
        <v>9798</v>
      </c>
      <c r="G1553" s="7">
        <v>6</v>
      </c>
      <c r="H1553" s="7" t="s">
        <v>9218</v>
      </c>
      <c r="I1553" s="7">
        <v>1</v>
      </c>
      <c r="J1553" s="7" t="s">
        <v>7623</v>
      </c>
      <c r="K1553" s="9" t="s">
        <v>8987</v>
      </c>
    </row>
    <row r="1554" spans="1:11">
      <c r="A1554" s="7">
        <v>1552</v>
      </c>
      <c r="B1554" s="7" t="s">
        <v>9174</v>
      </c>
      <c r="C1554" s="7" t="s">
        <v>8984</v>
      </c>
      <c r="D1554" s="7" t="s">
        <v>7553</v>
      </c>
      <c r="E1554" s="7" t="s">
        <v>11182</v>
      </c>
      <c r="F1554" s="8" t="s">
        <v>9812</v>
      </c>
      <c r="G1554" s="7">
        <v>9</v>
      </c>
      <c r="H1554" s="7" t="s">
        <v>9030</v>
      </c>
      <c r="I1554" s="7">
        <v>1</v>
      </c>
      <c r="J1554" s="7" t="s">
        <v>7766</v>
      </c>
      <c r="K1554" s="9" t="s">
        <v>8987</v>
      </c>
    </row>
    <row r="1555" spans="1:11">
      <c r="A1555" s="7">
        <v>1553</v>
      </c>
      <c r="B1555" s="7" t="s">
        <v>9174</v>
      </c>
      <c r="C1555" s="7" t="s">
        <v>8984</v>
      </c>
      <c r="D1555" s="7" t="s">
        <v>7553</v>
      </c>
      <c r="E1555" s="7" t="s">
        <v>11183</v>
      </c>
      <c r="F1555" s="8" t="s">
        <v>9812</v>
      </c>
      <c r="G1555" s="7">
        <v>5</v>
      </c>
      <c r="H1555" s="7" t="s">
        <v>9336</v>
      </c>
      <c r="I1555" s="7">
        <v>1</v>
      </c>
      <c r="J1555" s="7" t="s">
        <v>7620</v>
      </c>
      <c r="K1555" s="9" t="s">
        <v>8987</v>
      </c>
    </row>
    <row r="1556" spans="1:11">
      <c r="A1556" s="7">
        <v>1554</v>
      </c>
      <c r="B1556" s="7" t="s">
        <v>9174</v>
      </c>
      <c r="C1556" s="7" t="s">
        <v>8984</v>
      </c>
      <c r="D1556" s="7" t="s">
        <v>7553</v>
      </c>
      <c r="E1556" s="7" t="s">
        <v>11184</v>
      </c>
      <c r="F1556" s="8" t="s">
        <v>9812</v>
      </c>
      <c r="G1556" s="7">
        <v>9</v>
      </c>
      <c r="H1556" s="7" t="s">
        <v>9030</v>
      </c>
      <c r="I1556" s="7">
        <v>1</v>
      </c>
      <c r="J1556" s="7" t="s">
        <v>7766</v>
      </c>
      <c r="K1556" s="9" t="s">
        <v>8987</v>
      </c>
    </row>
    <row r="1557" spans="1:11">
      <c r="A1557" s="7">
        <v>1555</v>
      </c>
      <c r="B1557" s="7" t="s">
        <v>9174</v>
      </c>
      <c r="C1557" s="7" t="s">
        <v>8984</v>
      </c>
      <c r="D1557" s="7" t="s">
        <v>7553</v>
      </c>
      <c r="E1557" s="7" t="s">
        <v>11185</v>
      </c>
      <c r="F1557" s="8" t="s">
        <v>9812</v>
      </c>
      <c r="G1557" s="7">
        <v>17</v>
      </c>
      <c r="H1557" s="7" t="s">
        <v>9146</v>
      </c>
      <c r="I1557" s="7">
        <v>1</v>
      </c>
      <c r="J1557" s="7" t="s">
        <v>7850</v>
      </c>
      <c r="K1557" s="9" t="s">
        <v>8987</v>
      </c>
    </row>
    <row r="1558" spans="1:11">
      <c r="A1558" s="7">
        <v>1556</v>
      </c>
      <c r="B1558" s="7" t="s">
        <v>9174</v>
      </c>
      <c r="C1558" s="7" t="s">
        <v>8984</v>
      </c>
      <c r="D1558" s="7" t="s">
        <v>7553</v>
      </c>
      <c r="E1558" s="7" t="s">
        <v>11186</v>
      </c>
      <c r="F1558" s="8" t="s">
        <v>9812</v>
      </c>
      <c r="G1558" s="7">
        <v>13</v>
      </c>
      <c r="H1558" s="7" t="s">
        <v>9077</v>
      </c>
      <c r="I1558" s="7">
        <v>1</v>
      </c>
      <c r="J1558" s="7" t="s">
        <v>11187</v>
      </c>
      <c r="K1558" s="9" t="s">
        <v>8987</v>
      </c>
    </row>
    <row r="1559" spans="1:11">
      <c r="A1559" s="7">
        <v>1557</v>
      </c>
      <c r="B1559" s="7" t="s">
        <v>9174</v>
      </c>
      <c r="C1559" s="7" t="s">
        <v>8984</v>
      </c>
      <c r="D1559" s="7" t="s">
        <v>7553</v>
      </c>
      <c r="E1559" s="7" t="s">
        <v>11188</v>
      </c>
      <c r="F1559" s="8" t="s">
        <v>9812</v>
      </c>
      <c r="G1559" s="7">
        <v>17</v>
      </c>
      <c r="H1559" s="7" t="s">
        <v>9146</v>
      </c>
      <c r="I1559" s="7">
        <v>1</v>
      </c>
      <c r="J1559" s="7" t="s">
        <v>7850</v>
      </c>
      <c r="K1559" s="9" t="s">
        <v>8987</v>
      </c>
    </row>
    <row r="1560" spans="1:11">
      <c r="A1560" s="7">
        <v>1558</v>
      </c>
      <c r="B1560" s="7" t="s">
        <v>9174</v>
      </c>
      <c r="C1560" s="7" t="s">
        <v>11152</v>
      </c>
      <c r="D1560" s="7" t="s">
        <v>7553</v>
      </c>
      <c r="E1560" s="7" t="s">
        <v>11189</v>
      </c>
      <c r="F1560" s="8" t="s">
        <v>9812</v>
      </c>
      <c r="G1560" s="7">
        <v>9</v>
      </c>
      <c r="H1560" s="7" t="s">
        <v>9030</v>
      </c>
      <c r="I1560" s="7">
        <v>1</v>
      </c>
      <c r="J1560" s="7" t="s">
        <v>7766</v>
      </c>
      <c r="K1560" s="9" t="s">
        <v>8987</v>
      </c>
    </row>
    <row r="1561" spans="1:11">
      <c r="A1561" s="7">
        <v>1559</v>
      </c>
      <c r="B1561" s="7" t="s">
        <v>9174</v>
      </c>
      <c r="C1561" s="7" t="s">
        <v>8984</v>
      </c>
      <c r="D1561" s="7" t="s">
        <v>7553</v>
      </c>
      <c r="E1561" s="7" t="s">
        <v>11190</v>
      </c>
      <c r="F1561" s="8" t="s">
        <v>9360</v>
      </c>
      <c r="G1561" s="7">
        <v>7</v>
      </c>
      <c r="H1561" s="7" t="s">
        <v>9182</v>
      </c>
      <c r="I1561" s="7">
        <v>1</v>
      </c>
      <c r="J1561" s="7" t="s">
        <v>7866</v>
      </c>
      <c r="K1561" s="9" t="s">
        <v>8987</v>
      </c>
    </row>
    <row r="1562" spans="1:11">
      <c r="A1562" s="7">
        <v>1560</v>
      </c>
      <c r="B1562" s="7" t="s">
        <v>9174</v>
      </c>
      <c r="C1562" s="7" t="s">
        <v>8984</v>
      </c>
      <c r="D1562" s="7" t="s">
        <v>7553</v>
      </c>
      <c r="E1562" s="7" t="s">
        <v>11191</v>
      </c>
      <c r="F1562" s="8" t="s">
        <v>9360</v>
      </c>
      <c r="G1562" s="7">
        <v>4</v>
      </c>
      <c r="H1562" s="7" t="s">
        <v>9579</v>
      </c>
      <c r="I1562" s="7">
        <v>1</v>
      </c>
      <c r="J1562" s="7" t="s">
        <v>7617</v>
      </c>
      <c r="K1562" s="9" t="s">
        <v>8987</v>
      </c>
    </row>
    <row r="1563" spans="1:11">
      <c r="A1563" s="7">
        <v>1561</v>
      </c>
      <c r="B1563" s="7" t="s">
        <v>9174</v>
      </c>
      <c r="C1563" s="7" t="s">
        <v>8984</v>
      </c>
      <c r="D1563" s="7" t="s">
        <v>7553</v>
      </c>
      <c r="E1563" s="7" t="s">
        <v>11192</v>
      </c>
      <c r="F1563" s="8" t="s">
        <v>9360</v>
      </c>
      <c r="G1563" s="7">
        <v>7</v>
      </c>
      <c r="H1563" s="7" t="s">
        <v>9182</v>
      </c>
      <c r="I1563" s="7">
        <v>1</v>
      </c>
      <c r="J1563" s="7" t="s">
        <v>7866</v>
      </c>
      <c r="K1563" s="9" t="s">
        <v>8987</v>
      </c>
    </row>
    <row r="1564" spans="1:11">
      <c r="A1564" s="7">
        <v>1562</v>
      </c>
      <c r="B1564" s="7" t="s">
        <v>9174</v>
      </c>
      <c r="C1564" s="7" t="s">
        <v>8984</v>
      </c>
      <c r="D1564" s="7" t="s">
        <v>7553</v>
      </c>
      <c r="E1564" s="7" t="s">
        <v>11193</v>
      </c>
      <c r="F1564" s="8" t="s">
        <v>9360</v>
      </c>
      <c r="G1564" s="7">
        <v>14</v>
      </c>
      <c r="H1564" s="7" t="s">
        <v>9397</v>
      </c>
      <c r="I1564" s="7">
        <v>1</v>
      </c>
      <c r="J1564" s="7" t="s">
        <v>7888</v>
      </c>
      <c r="K1564" s="9" t="s">
        <v>8987</v>
      </c>
    </row>
    <row r="1565" spans="1:11">
      <c r="A1565" s="7">
        <v>1563</v>
      </c>
      <c r="B1565" s="7" t="s">
        <v>9174</v>
      </c>
      <c r="C1565" s="7" t="s">
        <v>8984</v>
      </c>
      <c r="D1565" s="7" t="s">
        <v>7553</v>
      </c>
      <c r="E1565" s="7" t="s">
        <v>11194</v>
      </c>
      <c r="F1565" s="8" t="s">
        <v>9360</v>
      </c>
      <c r="G1565" s="7">
        <v>11</v>
      </c>
      <c r="H1565" s="7" t="s">
        <v>9386</v>
      </c>
      <c r="I1565" s="7">
        <v>1</v>
      </c>
      <c r="J1565" s="7" t="s">
        <v>7865</v>
      </c>
      <c r="K1565" s="9" t="s">
        <v>8987</v>
      </c>
    </row>
    <row r="1566" spans="1:11">
      <c r="A1566" s="7">
        <v>1564</v>
      </c>
      <c r="B1566" s="7" t="s">
        <v>9174</v>
      </c>
      <c r="C1566" s="7" t="s">
        <v>8984</v>
      </c>
      <c r="D1566" s="7" t="s">
        <v>7553</v>
      </c>
      <c r="E1566" s="7" t="s">
        <v>11195</v>
      </c>
      <c r="F1566" s="8" t="s">
        <v>9360</v>
      </c>
      <c r="G1566" s="7">
        <v>14</v>
      </c>
      <c r="H1566" s="7" t="s">
        <v>9397</v>
      </c>
      <c r="I1566" s="7">
        <v>1</v>
      </c>
      <c r="J1566" s="7" t="s">
        <v>7888</v>
      </c>
      <c r="K1566" s="9" t="s">
        <v>8987</v>
      </c>
    </row>
    <row r="1567" spans="1:11">
      <c r="A1567" s="7">
        <v>1565</v>
      </c>
      <c r="B1567" s="7" t="s">
        <v>9719</v>
      </c>
      <c r="C1567" s="7" t="s">
        <v>11152</v>
      </c>
      <c r="D1567" s="7" t="s">
        <v>7553</v>
      </c>
      <c r="E1567" s="7" t="s">
        <v>11196</v>
      </c>
      <c r="F1567" s="8" t="s">
        <v>9360</v>
      </c>
      <c r="G1567" s="7">
        <v>7</v>
      </c>
      <c r="H1567" s="7" t="s">
        <v>9182</v>
      </c>
      <c r="I1567" s="7">
        <v>1</v>
      </c>
      <c r="J1567" s="7" t="s">
        <v>7866</v>
      </c>
      <c r="K1567" s="9" t="s">
        <v>8987</v>
      </c>
    </row>
    <row r="1568" spans="1:11">
      <c r="A1568" s="7">
        <v>1566</v>
      </c>
      <c r="B1568" s="7" t="s">
        <v>9174</v>
      </c>
      <c r="C1568" s="7" t="s">
        <v>8984</v>
      </c>
      <c r="D1568" s="7" t="s">
        <v>7553</v>
      </c>
      <c r="E1568" s="7" t="s">
        <v>11197</v>
      </c>
      <c r="F1568" s="8" t="s">
        <v>10036</v>
      </c>
      <c r="G1568" s="7">
        <v>5</v>
      </c>
      <c r="H1568" s="7" t="s">
        <v>9336</v>
      </c>
      <c r="I1568" s="7">
        <v>1</v>
      </c>
      <c r="J1568" s="7" t="s">
        <v>7620</v>
      </c>
      <c r="K1568" s="9" t="s">
        <v>8987</v>
      </c>
    </row>
    <row r="1569" spans="1:11">
      <c r="A1569" s="7">
        <v>1567</v>
      </c>
      <c r="B1569" s="7" t="s">
        <v>9174</v>
      </c>
      <c r="C1569" s="7" t="s">
        <v>11152</v>
      </c>
      <c r="D1569" s="7" t="s">
        <v>7553</v>
      </c>
      <c r="E1569" s="7" t="s">
        <v>11198</v>
      </c>
      <c r="F1569" s="8" t="s">
        <v>10036</v>
      </c>
      <c r="G1569" s="7">
        <v>3</v>
      </c>
      <c r="H1569" s="7" t="s">
        <v>9187</v>
      </c>
      <c r="I1569" s="7">
        <v>1</v>
      </c>
      <c r="J1569" s="7" t="s">
        <v>7872</v>
      </c>
      <c r="K1569" s="9" t="s">
        <v>8987</v>
      </c>
    </row>
    <row r="1570" spans="1:11">
      <c r="A1570" s="7">
        <v>1568</v>
      </c>
      <c r="B1570" s="7" t="s">
        <v>9174</v>
      </c>
      <c r="C1570" s="7" t="s">
        <v>8984</v>
      </c>
      <c r="D1570" s="7" t="s">
        <v>7553</v>
      </c>
      <c r="E1570" s="7" t="s">
        <v>11199</v>
      </c>
      <c r="F1570" s="8" t="s">
        <v>10044</v>
      </c>
      <c r="G1570" s="7">
        <v>5</v>
      </c>
      <c r="H1570" s="7" t="s">
        <v>9336</v>
      </c>
      <c r="I1570" s="7">
        <v>1</v>
      </c>
      <c r="J1570" s="7" t="s">
        <v>7620</v>
      </c>
      <c r="K1570" s="9" t="s">
        <v>8987</v>
      </c>
    </row>
    <row r="1571" spans="1:11">
      <c r="A1571" s="7">
        <v>1569</v>
      </c>
      <c r="B1571" s="7" t="s">
        <v>9174</v>
      </c>
      <c r="C1571" s="7" t="s">
        <v>11152</v>
      </c>
      <c r="D1571" s="7" t="s">
        <v>7553</v>
      </c>
      <c r="E1571" s="7" t="s">
        <v>11200</v>
      </c>
      <c r="F1571" s="8" t="s">
        <v>10044</v>
      </c>
      <c r="G1571" s="7">
        <v>3</v>
      </c>
      <c r="H1571" s="7" t="s">
        <v>9187</v>
      </c>
      <c r="I1571" s="7">
        <v>1</v>
      </c>
      <c r="J1571" s="7" t="s">
        <v>7872</v>
      </c>
      <c r="K1571" s="9" t="s">
        <v>8987</v>
      </c>
    </row>
    <row r="1572" spans="1:11">
      <c r="A1572" s="7">
        <v>1570</v>
      </c>
      <c r="B1572" s="7" t="s">
        <v>9174</v>
      </c>
      <c r="C1572" s="7" t="s">
        <v>8984</v>
      </c>
      <c r="D1572" s="7" t="s">
        <v>7553</v>
      </c>
      <c r="E1572" s="7" t="s">
        <v>11201</v>
      </c>
      <c r="F1572" s="8" t="s">
        <v>10860</v>
      </c>
      <c r="G1572" s="7">
        <v>2</v>
      </c>
      <c r="H1572" s="7" t="s">
        <v>10476</v>
      </c>
      <c r="I1572" s="7">
        <v>1</v>
      </c>
      <c r="J1572" s="7" t="s">
        <v>7861</v>
      </c>
      <c r="K1572" s="9" t="s">
        <v>8987</v>
      </c>
    </row>
    <row r="1573" spans="1:11">
      <c r="A1573" s="7">
        <v>1571</v>
      </c>
      <c r="B1573" s="7" t="s">
        <v>9174</v>
      </c>
      <c r="C1573" s="7" t="s">
        <v>8984</v>
      </c>
      <c r="D1573" s="7" t="s">
        <v>7553</v>
      </c>
      <c r="E1573" s="7" t="s">
        <v>11202</v>
      </c>
      <c r="F1573" s="8" t="s">
        <v>10860</v>
      </c>
      <c r="G1573" s="7">
        <v>1</v>
      </c>
      <c r="H1573" s="7" t="s">
        <v>9112</v>
      </c>
      <c r="I1573" s="7">
        <v>1</v>
      </c>
      <c r="J1573" s="7" t="s">
        <v>9113</v>
      </c>
      <c r="K1573" s="9" t="s">
        <v>8987</v>
      </c>
    </row>
    <row r="1574" spans="1:11">
      <c r="A1574" s="7">
        <v>1572</v>
      </c>
      <c r="B1574" s="7" t="s">
        <v>9174</v>
      </c>
      <c r="C1574" s="7" t="s">
        <v>8984</v>
      </c>
      <c r="D1574" s="7" t="s">
        <v>7553</v>
      </c>
      <c r="E1574" s="7" t="s">
        <v>11203</v>
      </c>
      <c r="F1574" s="8" t="s">
        <v>10860</v>
      </c>
      <c r="G1574" s="7">
        <v>2</v>
      </c>
      <c r="H1574" s="7" t="s">
        <v>10476</v>
      </c>
      <c r="I1574" s="7">
        <v>1</v>
      </c>
      <c r="J1574" s="7" t="s">
        <v>7861</v>
      </c>
      <c r="K1574" s="9" t="s">
        <v>8987</v>
      </c>
    </row>
    <row r="1575" spans="1:11">
      <c r="A1575" s="7">
        <v>1573</v>
      </c>
      <c r="B1575" s="7" t="s">
        <v>9719</v>
      </c>
      <c r="C1575" s="7" t="s">
        <v>11152</v>
      </c>
      <c r="D1575" s="7" t="s">
        <v>7553</v>
      </c>
      <c r="E1575" s="7" t="s">
        <v>11204</v>
      </c>
      <c r="F1575" s="8" t="s">
        <v>10860</v>
      </c>
      <c r="G1575" s="7">
        <v>2</v>
      </c>
      <c r="H1575" s="7" t="s">
        <v>10476</v>
      </c>
      <c r="I1575" s="7">
        <v>1</v>
      </c>
      <c r="J1575" s="7" t="s">
        <v>7861</v>
      </c>
      <c r="K1575" s="9" t="s">
        <v>8987</v>
      </c>
    </row>
    <row r="1576" spans="1:11">
      <c r="A1576" s="7">
        <v>1574</v>
      </c>
      <c r="B1576" s="7" t="s">
        <v>9174</v>
      </c>
      <c r="C1576" s="7" t="s">
        <v>8984</v>
      </c>
      <c r="D1576" s="7" t="s">
        <v>7553</v>
      </c>
      <c r="E1576" s="7" t="s">
        <v>11205</v>
      </c>
      <c r="F1576" s="8" t="s">
        <v>10860</v>
      </c>
      <c r="G1576" s="7">
        <v>2</v>
      </c>
      <c r="H1576" s="7" t="s">
        <v>10476</v>
      </c>
      <c r="I1576" s="7">
        <v>1</v>
      </c>
      <c r="J1576" s="7" t="s">
        <v>7861</v>
      </c>
      <c r="K1576" s="9" t="s">
        <v>8987</v>
      </c>
    </row>
    <row r="1577" spans="1:11">
      <c r="A1577" s="7">
        <v>1575</v>
      </c>
      <c r="B1577" s="7" t="s">
        <v>9174</v>
      </c>
      <c r="C1577" s="7" t="s">
        <v>8984</v>
      </c>
      <c r="D1577" s="7" t="s">
        <v>7553</v>
      </c>
      <c r="E1577" s="7" t="s">
        <v>11206</v>
      </c>
      <c r="F1577" s="8" t="s">
        <v>10860</v>
      </c>
      <c r="G1577" s="7">
        <v>1</v>
      </c>
      <c r="H1577" s="7" t="s">
        <v>9112</v>
      </c>
      <c r="I1577" s="7">
        <v>1</v>
      </c>
      <c r="J1577" s="7" t="s">
        <v>9113</v>
      </c>
      <c r="K1577" s="9" t="s">
        <v>8987</v>
      </c>
    </row>
    <row r="1578" spans="1:11">
      <c r="A1578" s="7">
        <v>1576</v>
      </c>
      <c r="B1578" s="7" t="s">
        <v>9174</v>
      </c>
      <c r="C1578" s="7" t="s">
        <v>8984</v>
      </c>
      <c r="D1578" s="7" t="s">
        <v>7553</v>
      </c>
      <c r="E1578" s="7" t="s">
        <v>11207</v>
      </c>
      <c r="F1578" s="8" t="s">
        <v>10860</v>
      </c>
      <c r="G1578" s="7">
        <v>2</v>
      </c>
      <c r="H1578" s="7" t="s">
        <v>10476</v>
      </c>
      <c r="I1578" s="7">
        <v>1</v>
      </c>
      <c r="J1578" s="7" t="s">
        <v>7861</v>
      </c>
      <c r="K1578" s="9" t="s">
        <v>8987</v>
      </c>
    </row>
    <row r="1579" spans="1:11">
      <c r="A1579" s="7">
        <v>1577</v>
      </c>
      <c r="B1579" s="7" t="s">
        <v>9719</v>
      </c>
      <c r="C1579" s="7" t="s">
        <v>11152</v>
      </c>
      <c r="D1579" s="7" t="s">
        <v>7553</v>
      </c>
      <c r="E1579" s="7" t="s">
        <v>11208</v>
      </c>
      <c r="F1579" s="8" t="s">
        <v>10860</v>
      </c>
      <c r="G1579" s="7">
        <v>2</v>
      </c>
      <c r="H1579" s="7" t="s">
        <v>10476</v>
      </c>
      <c r="I1579" s="7">
        <v>1</v>
      </c>
      <c r="J1579" s="7" t="s">
        <v>7861</v>
      </c>
      <c r="K1579" s="9" t="s">
        <v>8987</v>
      </c>
    </row>
    <row r="1580" spans="1:11">
      <c r="A1580" s="7">
        <v>1578</v>
      </c>
      <c r="B1580" s="7" t="s">
        <v>9174</v>
      </c>
      <c r="C1580" s="7" t="s">
        <v>8984</v>
      </c>
      <c r="D1580" s="7" t="s">
        <v>7553</v>
      </c>
      <c r="E1580" s="7" t="s">
        <v>11209</v>
      </c>
      <c r="F1580" s="8" t="s">
        <v>10860</v>
      </c>
      <c r="G1580" s="7">
        <v>2</v>
      </c>
      <c r="H1580" s="7" t="s">
        <v>10476</v>
      </c>
      <c r="I1580" s="7">
        <v>1</v>
      </c>
      <c r="J1580" s="7" t="s">
        <v>7861</v>
      </c>
      <c r="K1580" s="9" t="s">
        <v>8987</v>
      </c>
    </row>
    <row r="1581" spans="1:11">
      <c r="A1581" s="7">
        <v>1579</v>
      </c>
      <c r="B1581" s="7" t="s">
        <v>9174</v>
      </c>
      <c r="C1581" s="7" t="s">
        <v>8984</v>
      </c>
      <c r="D1581" s="7" t="s">
        <v>7553</v>
      </c>
      <c r="E1581" s="7" t="s">
        <v>11210</v>
      </c>
      <c r="F1581" s="8" t="s">
        <v>10860</v>
      </c>
      <c r="G1581" s="7">
        <v>1</v>
      </c>
      <c r="H1581" s="7" t="s">
        <v>9112</v>
      </c>
      <c r="I1581" s="7">
        <v>1</v>
      </c>
      <c r="J1581" s="7" t="s">
        <v>9113</v>
      </c>
      <c r="K1581" s="9" t="s">
        <v>8987</v>
      </c>
    </row>
    <row r="1582" spans="1:11">
      <c r="A1582" s="7">
        <v>1580</v>
      </c>
      <c r="B1582" s="7" t="s">
        <v>9174</v>
      </c>
      <c r="C1582" s="7" t="s">
        <v>8984</v>
      </c>
      <c r="D1582" s="7" t="s">
        <v>7553</v>
      </c>
      <c r="E1582" s="7" t="s">
        <v>11211</v>
      </c>
      <c r="F1582" s="8" t="s">
        <v>10860</v>
      </c>
      <c r="G1582" s="7">
        <v>2</v>
      </c>
      <c r="H1582" s="7" t="s">
        <v>10476</v>
      </c>
      <c r="I1582" s="7">
        <v>1</v>
      </c>
      <c r="J1582" s="7" t="s">
        <v>7861</v>
      </c>
      <c r="K1582" s="9" t="s">
        <v>8987</v>
      </c>
    </row>
    <row r="1583" spans="1:11">
      <c r="A1583" s="7">
        <v>1581</v>
      </c>
      <c r="B1583" s="7" t="s">
        <v>9719</v>
      </c>
      <c r="C1583" s="7" t="s">
        <v>11152</v>
      </c>
      <c r="D1583" s="7" t="s">
        <v>7553</v>
      </c>
      <c r="E1583" s="7" t="s">
        <v>11212</v>
      </c>
      <c r="F1583" s="8" t="s">
        <v>10860</v>
      </c>
      <c r="G1583" s="7">
        <v>2</v>
      </c>
      <c r="H1583" s="7" t="s">
        <v>10476</v>
      </c>
      <c r="I1583" s="7">
        <v>1</v>
      </c>
      <c r="J1583" s="7" t="s">
        <v>7861</v>
      </c>
      <c r="K1583" s="9" t="s">
        <v>8987</v>
      </c>
    </row>
    <row r="1584" spans="1:11">
      <c r="A1584" s="7">
        <v>1582</v>
      </c>
      <c r="B1584" s="7" t="s">
        <v>9174</v>
      </c>
      <c r="C1584" s="7" t="s">
        <v>8984</v>
      </c>
      <c r="D1584" s="7" t="s">
        <v>7553</v>
      </c>
      <c r="E1584" s="7" t="s">
        <v>11213</v>
      </c>
      <c r="F1584" s="8" t="s">
        <v>10860</v>
      </c>
      <c r="G1584" s="7">
        <v>2</v>
      </c>
      <c r="H1584" s="7" t="s">
        <v>10476</v>
      </c>
      <c r="I1584" s="7">
        <v>1</v>
      </c>
      <c r="J1584" s="7" t="s">
        <v>7861</v>
      </c>
      <c r="K1584" s="9" t="s">
        <v>8987</v>
      </c>
    </row>
    <row r="1585" spans="1:11">
      <c r="A1585" s="7">
        <v>1583</v>
      </c>
      <c r="B1585" s="7" t="s">
        <v>9174</v>
      </c>
      <c r="C1585" s="7" t="s">
        <v>8984</v>
      </c>
      <c r="D1585" s="7" t="s">
        <v>7553</v>
      </c>
      <c r="E1585" s="7" t="s">
        <v>11214</v>
      </c>
      <c r="F1585" s="8" t="s">
        <v>10860</v>
      </c>
      <c r="G1585" s="7">
        <v>1</v>
      </c>
      <c r="H1585" s="7" t="s">
        <v>9112</v>
      </c>
      <c r="I1585" s="7">
        <v>1</v>
      </c>
      <c r="J1585" s="7" t="s">
        <v>9113</v>
      </c>
      <c r="K1585" s="9" t="s">
        <v>8987</v>
      </c>
    </row>
    <row r="1586" spans="1:11">
      <c r="A1586" s="7">
        <v>1584</v>
      </c>
      <c r="B1586" s="7" t="s">
        <v>9174</v>
      </c>
      <c r="C1586" s="7" t="s">
        <v>8984</v>
      </c>
      <c r="D1586" s="7" t="s">
        <v>7553</v>
      </c>
      <c r="E1586" s="7" t="s">
        <v>11215</v>
      </c>
      <c r="F1586" s="8" t="s">
        <v>10860</v>
      </c>
      <c r="G1586" s="7">
        <v>2</v>
      </c>
      <c r="H1586" s="7" t="s">
        <v>10476</v>
      </c>
      <c r="I1586" s="7">
        <v>1</v>
      </c>
      <c r="J1586" s="7" t="s">
        <v>7861</v>
      </c>
      <c r="K1586" s="9" t="s">
        <v>8987</v>
      </c>
    </row>
    <row r="1587" spans="1:11">
      <c r="A1587" s="7">
        <v>1585</v>
      </c>
      <c r="B1587" s="7" t="s">
        <v>9719</v>
      </c>
      <c r="C1587" s="7" t="s">
        <v>11152</v>
      </c>
      <c r="D1587" s="7" t="s">
        <v>7553</v>
      </c>
      <c r="E1587" s="7" t="s">
        <v>11216</v>
      </c>
      <c r="F1587" s="8" t="s">
        <v>10860</v>
      </c>
      <c r="G1587" s="7">
        <v>2</v>
      </c>
      <c r="H1587" s="7" t="s">
        <v>10476</v>
      </c>
      <c r="I1587" s="7">
        <v>1</v>
      </c>
      <c r="J1587" s="7" t="s">
        <v>7861</v>
      </c>
      <c r="K1587" s="9" t="s">
        <v>8987</v>
      </c>
    </row>
    <row r="1588" spans="1:11">
      <c r="A1588" s="7">
        <v>1586</v>
      </c>
      <c r="B1588" s="7" t="s">
        <v>9174</v>
      </c>
      <c r="C1588" s="7" t="s">
        <v>8984</v>
      </c>
      <c r="D1588" s="7" t="s">
        <v>7553</v>
      </c>
      <c r="E1588" s="7" t="s">
        <v>11217</v>
      </c>
      <c r="F1588" s="8" t="s">
        <v>10617</v>
      </c>
      <c r="G1588" s="7">
        <v>0</v>
      </c>
      <c r="H1588" s="7" t="s">
        <v>8984</v>
      </c>
      <c r="I1588" s="7">
        <v>1</v>
      </c>
      <c r="J1588" s="7" t="s">
        <v>7838</v>
      </c>
      <c r="K1588" s="9" t="s">
        <v>8987</v>
      </c>
    </row>
    <row r="1589" spans="1:11">
      <c r="A1589" s="7">
        <v>1587</v>
      </c>
      <c r="B1589" s="7" t="s">
        <v>9174</v>
      </c>
      <c r="C1589" s="7" t="s">
        <v>8984</v>
      </c>
      <c r="D1589" s="7" t="s">
        <v>7553</v>
      </c>
      <c r="E1589" s="7" t="s">
        <v>11218</v>
      </c>
      <c r="F1589" s="8" t="s">
        <v>10617</v>
      </c>
      <c r="G1589" s="7">
        <v>0</v>
      </c>
      <c r="H1589" s="7" t="s">
        <v>8984</v>
      </c>
      <c r="I1589" s="7">
        <v>1</v>
      </c>
      <c r="J1589" s="7" t="s">
        <v>7838</v>
      </c>
      <c r="K1589" s="9" t="s">
        <v>8987</v>
      </c>
    </row>
    <row r="1590" spans="1:11">
      <c r="A1590" s="7">
        <v>1588</v>
      </c>
      <c r="B1590" s="7" t="s">
        <v>9174</v>
      </c>
      <c r="C1590" s="7" t="s">
        <v>8984</v>
      </c>
      <c r="D1590" s="7" t="s">
        <v>7553</v>
      </c>
      <c r="E1590" s="7" t="s">
        <v>11219</v>
      </c>
      <c r="F1590" s="8" t="s">
        <v>10617</v>
      </c>
      <c r="G1590" s="7">
        <v>0</v>
      </c>
      <c r="H1590" s="7" t="s">
        <v>8984</v>
      </c>
      <c r="I1590" s="7">
        <v>1</v>
      </c>
      <c r="J1590" s="7" t="s">
        <v>7838</v>
      </c>
      <c r="K1590" s="9" t="s">
        <v>8987</v>
      </c>
    </row>
    <row r="1591" spans="1:11">
      <c r="A1591" s="7">
        <v>1589</v>
      </c>
      <c r="B1591" s="7" t="s">
        <v>9174</v>
      </c>
      <c r="C1591" s="7" t="s">
        <v>8984</v>
      </c>
      <c r="D1591" s="7" t="s">
        <v>7553</v>
      </c>
      <c r="E1591" s="7" t="s">
        <v>11220</v>
      </c>
      <c r="F1591" s="8" t="s">
        <v>10617</v>
      </c>
      <c r="G1591" s="7">
        <v>30</v>
      </c>
      <c r="H1591" s="7" t="s">
        <v>9015</v>
      </c>
      <c r="I1591" s="7">
        <v>1</v>
      </c>
      <c r="J1591" s="7" t="s">
        <v>7855</v>
      </c>
      <c r="K1591" s="9" t="s">
        <v>8987</v>
      </c>
    </row>
    <row r="1592" spans="1:11">
      <c r="A1592" s="7">
        <v>1590</v>
      </c>
      <c r="B1592" s="7" t="s">
        <v>9174</v>
      </c>
      <c r="C1592" s="7" t="s">
        <v>8984</v>
      </c>
      <c r="D1592" s="7" t="s">
        <v>7553</v>
      </c>
      <c r="E1592" s="7" t="s">
        <v>11221</v>
      </c>
      <c r="F1592" s="8" t="s">
        <v>10617</v>
      </c>
      <c r="G1592" s="7">
        <v>0</v>
      </c>
      <c r="H1592" s="7" t="s">
        <v>8984</v>
      </c>
      <c r="I1592" s="7">
        <v>1</v>
      </c>
      <c r="J1592" s="7" t="s">
        <v>7838</v>
      </c>
      <c r="K1592" s="9" t="s">
        <v>8987</v>
      </c>
    </row>
    <row r="1593" spans="1:11">
      <c r="A1593" s="7">
        <v>1591</v>
      </c>
      <c r="B1593" s="7" t="s">
        <v>9174</v>
      </c>
      <c r="C1593" s="7" t="s">
        <v>8984</v>
      </c>
      <c r="D1593" s="7" t="s">
        <v>7553</v>
      </c>
      <c r="E1593" s="7" t="s">
        <v>11222</v>
      </c>
      <c r="F1593" s="8" t="s">
        <v>10617</v>
      </c>
      <c r="G1593" s="7">
        <v>30</v>
      </c>
      <c r="H1593" s="7" t="s">
        <v>9015</v>
      </c>
      <c r="I1593" s="7">
        <v>1</v>
      </c>
      <c r="J1593" s="7" t="s">
        <v>7855</v>
      </c>
      <c r="K1593" s="9" t="s">
        <v>8987</v>
      </c>
    </row>
    <row r="1594" spans="1:11">
      <c r="A1594" s="7">
        <v>1592</v>
      </c>
      <c r="B1594" s="7" t="s">
        <v>9174</v>
      </c>
      <c r="C1594" s="7" t="s">
        <v>11152</v>
      </c>
      <c r="D1594" s="7" t="s">
        <v>7553</v>
      </c>
      <c r="E1594" s="7" t="s">
        <v>11223</v>
      </c>
      <c r="F1594" s="8" t="s">
        <v>10617</v>
      </c>
      <c r="G1594" s="7">
        <v>0</v>
      </c>
      <c r="H1594" s="7" t="s">
        <v>8984</v>
      </c>
      <c r="I1594" s="7">
        <v>1</v>
      </c>
      <c r="J1594" s="7" t="s">
        <v>7838</v>
      </c>
      <c r="K1594" s="9" t="s">
        <v>8987</v>
      </c>
    </row>
    <row r="1595" spans="1:11">
      <c r="A1595" s="7">
        <v>1593</v>
      </c>
      <c r="B1595" s="7" t="s">
        <v>9174</v>
      </c>
      <c r="C1595" s="7" t="s">
        <v>8984</v>
      </c>
      <c r="D1595" s="7" t="s">
        <v>7542</v>
      </c>
      <c r="E1595" s="7" t="s">
        <v>11224</v>
      </c>
      <c r="F1595" s="8" t="s">
        <v>11073</v>
      </c>
      <c r="G1595" s="7">
        <v>49</v>
      </c>
      <c r="H1595" s="7" t="s">
        <v>11225</v>
      </c>
      <c r="I1595" s="7">
        <v>1</v>
      </c>
      <c r="J1595" s="7" t="s">
        <v>7884</v>
      </c>
      <c r="K1595" s="9" t="s">
        <v>8987</v>
      </c>
    </row>
    <row r="1596" spans="1:11">
      <c r="A1596" s="7">
        <v>1594</v>
      </c>
      <c r="B1596" s="7" t="s">
        <v>9174</v>
      </c>
      <c r="C1596" s="7" t="s">
        <v>11152</v>
      </c>
      <c r="D1596" s="7" t="s">
        <v>7542</v>
      </c>
      <c r="E1596" s="7" t="s">
        <v>11226</v>
      </c>
      <c r="F1596" s="8" t="s">
        <v>11073</v>
      </c>
      <c r="G1596" s="7">
        <v>25</v>
      </c>
      <c r="H1596" s="7" t="s">
        <v>9011</v>
      </c>
      <c r="I1596" s="7">
        <v>1</v>
      </c>
      <c r="J1596" s="7" t="s">
        <v>7840</v>
      </c>
      <c r="K1596" s="9" t="s">
        <v>8987</v>
      </c>
    </row>
    <row r="1597" spans="1:11">
      <c r="A1597" s="7">
        <v>1595</v>
      </c>
      <c r="B1597" s="7" t="s">
        <v>9174</v>
      </c>
      <c r="C1597" s="7" t="s">
        <v>8984</v>
      </c>
      <c r="D1597" s="7" t="s">
        <v>7542</v>
      </c>
      <c r="E1597" s="7" t="s">
        <v>11227</v>
      </c>
      <c r="F1597" s="8" t="s">
        <v>11228</v>
      </c>
      <c r="G1597" s="7">
        <v>38</v>
      </c>
      <c r="H1597" s="7" t="s">
        <v>11229</v>
      </c>
      <c r="I1597" s="7">
        <v>1</v>
      </c>
      <c r="J1597" s="7" t="s">
        <v>7847</v>
      </c>
      <c r="K1597" s="9" t="s">
        <v>8987</v>
      </c>
    </row>
    <row r="1598" spans="1:11">
      <c r="A1598" s="7">
        <v>1596</v>
      </c>
      <c r="B1598" s="7" t="s">
        <v>9174</v>
      </c>
      <c r="C1598" s="7" t="s">
        <v>11152</v>
      </c>
      <c r="D1598" s="7" t="s">
        <v>7542</v>
      </c>
      <c r="E1598" s="7" t="s">
        <v>11230</v>
      </c>
      <c r="F1598" s="8" t="s">
        <v>11228</v>
      </c>
      <c r="G1598" s="7">
        <v>19</v>
      </c>
      <c r="H1598" s="7" t="s">
        <v>10462</v>
      </c>
      <c r="I1598" s="7">
        <v>1</v>
      </c>
      <c r="J1598" s="7" t="s">
        <v>7841</v>
      </c>
      <c r="K1598" s="9" t="s">
        <v>8987</v>
      </c>
    </row>
    <row r="1599" spans="1:11">
      <c r="A1599" s="7">
        <v>1597</v>
      </c>
      <c r="B1599" s="7" t="s">
        <v>9174</v>
      </c>
      <c r="C1599" s="7" t="s">
        <v>8984</v>
      </c>
      <c r="D1599" s="7" t="s">
        <v>7547</v>
      </c>
      <c r="E1599" s="7" t="s">
        <v>11231</v>
      </c>
      <c r="F1599" s="8" t="s">
        <v>10384</v>
      </c>
      <c r="G1599" s="7">
        <v>12</v>
      </c>
      <c r="H1599" s="7" t="s">
        <v>9213</v>
      </c>
      <c r="I1599" s="7">
        <v>1</v>
      </c>
      <c r="J1599" s="7" t="s">
        <v>7864</v>
      </c>
      <c r="K1599" s="9" t="s">
        <v>8987</v>
      </c>
    </row>
    <row r="1600" spans="1:11">
      <c r="A1600" s="7">
        <v>1598</v>
      </c>
      <c r="B1600" s="7" t="s">
        <v>9174</v>
      </c>
      <c r="C1600" s="7" t="s">
        <v>8984</v>
      </c>
      <c r="D1600" s="7" t="s">
        <v>7547</v>
      </c>
      <c r="E1600" s="7" t="s">
        <v>6483</v>
      </c>
      <c r="F1600" s="8" t="s">
        <v>10384</v>
      </c>
      <c r="G1600" s="7">
        <v>12</v>
      </c>
      <c r="H1600" s="7" t="s">
        <v>9213</v>
      </c>
      <c r="I1600" s="7">
        <v>1</v>
      </c>
      <c r="J1600" s="7" t="s">
        <v>7864</v>
      </c>
      <c r="K1600" s="9" t="s">
        <v>8987</v>
      </c>
    </row>
    <row r="1601" spans="1:11">
      <c r="A1601" s="7">
        <v>1599</v>
      </c>
      <c r="B1601" s="7" t="s">
        <v>9174</v>
      </c>
      <c r="C1601" s="7" t="s">
        <v>8984</v>
      </c>
      <c r="D1601" s="7" t="s">
        <v>7547</v>
      </c>
      <c r="E1601" s="7" t="s">
        <v>11232</v>
      </c>
      <c r="F1601" s="8" t="s">
        <v>10384</v>
      </c>
      <c r="G1601" s="7">
        <v>12</v>
      </c>
      <c r="H1601" s="7" t="s">
        <v>9213</v>
      </c>
      <c r="I1601" s="7">
        <v>1</v>
      </c>
      <c r="J1601" s="7" t="s">
        <v>7864</v>
      </c>
      <c r="K1601" s="9" t="s">
        <v>8987</v>
      </c>
    </row>
    <row r="1602" spans="1:11">
      <c r="A1602" s="7">
        <v>1600</v>
      </c>
      <c r="B1602" s="7" t="s">
        <v>9174</v>
      </c>
      <c r="C1602" s="7" t="s">
        <v>8984</v>
      </c>
      <c r="D1602" s="7" t="s">
        <v>7547</v>
      </c>
      <c r="E1602" s="7" t="s">
        <v>11233</v>
      </c>
      <c r="F1602" s="8" t="s">
        <v>10384</v>
      </c>
      <c r="G1602" s="7">
        <v>24</v>
      </c>
      <c r="H1602" s="7" t="s">
        <v>9418</v>
      </c>
      <c r="I1602" s="7">
        <v>1</v>
      </c>
      <c r="J1602" s="7" t="s">
        <v>7871</v>
      </c>
      <c r="K1602" s="9" t="s">
        <v>8987</v>
      </c>
    </row>
    <row r="1603" spans="1:11">
      <c r="A1603" s="7">
        <v>1601</v>
      </c>
      <c r="B1603" s="7" t="s">
        <v>9174</v>
      </c>
      <c r="C1603" s="7" t="s">
        <v>8984</v>
      </c>
      <c r="D1603" s="7" t="s">
        <v>7547</v>
      </c>
      <c r="E1603" s="7" t="s">
        <v>11234</v>
      </c>
      <c r="F1603" s="8" t="s">
        <v>10384</v>
      </c>
      <c r="G1603" s="7">
        <v>18</v>
      </c>
      <c r="H1603" s="7" t="s">
        <v>9422</v>
      </c>
      <c r="I1603" s="7">
        <v>1</v>
      </c>
      <c r="J1603" s="7" t="s">
        <v>7885</v>
      </c>
      <c r="K1603" s="9" t="s">
        <v>8987</v>
      </c>
    </row>
    <row r="1604" spans="1:11">
      <c r="A1604" s="7">
        <v>1602</v>
      </c>
      <c r="B1604" s="7" t="s">
        <v>9174</v>
      </c>
      <c r="C1604" s="7" t="s">
        <v>8984</v>
      </c>
      <c r="D1604" s="7" t="s">
        <v>7547</v>
      </c>
      <c r="E1604" s="7" t="s">
        <v>11235</v>
      </c>
      <c r="F1604" s="8" t="s">
        <v>10384</v>
      </c>
      <c r="G1604" s="7">
        <v>31</v>
      </c>
      <c r="H1604" s="7" t="s">
        <v>9666</v>
      </c>
      <c r="I1604" s="7">
        <v>1</v>
      </c>
      <c r="J1604" s="7" t="s">
        <v>11236</v>
      </c>
      <c r="K1604" s="9" t="s">
        <v>8987</v>
      </c>
    </row>
    <row r="1605" spans="1:11">
      <c r="A1605" s="7">
        <v>1603</v>
      </c>
      <c r="B1605" s="7" t="s">
        <v>9719</v>
      </c>
      <c r="C1605" s="7" t="s">
        <v>11152</v>
      </c>
      <c r="D1605" s="7" t="s">
        <v>7547</v>
      </c>
      <c r="E1605" s="7" t="s">
        <v>11237</v>
      </c>
      <c r="F1605" s="8" t="s">
        <v>10384</v>
      </c>
      <c r="G1605" s="7">
        <v>12</v>
      </c>
      <c r="H1605" s="7" t="s">
        <v>9213</v>
      </c>
      <c r="I1605" s="7">
        <v>1</v>
      </c>
      <c r="J1605" s="7" t="s">
        <v>7864</v>
      </c>
      <c r="K1605" s="9" t="s">
        <v>8987</v>
      </c>
    </row>
    <row r="1606" spans="1:11">
      <c r="A1606" s="7">
        <v>1604</v>
      </c>
      <c r="B1606" s="7" t="s">
        <v>9174</v>
      </c>
      <c r="C1606" s="7" t="s">
        <v>8984</v>
      </c>
      <c r="D1606" s="7" t="s">
        <v>7547</v>
      </c>
      <c r="E1606" s="7" t="s">
        <v>11238</v>
      </c>
      <c r="F1606" s="8" t="s">
        <v>10059</v>
      </c>
      <c r="G1606" s="7">
        <v>11</v>
      </c>
      <c r="H1606" s="7" t="s">
        <v>9386</v>
      </c>
      <c r="I1606" s="7">
        <v>1</v>
      </c>
      <c r="J1606" s="7" t="s">
        <v>7865</v>
      </c>
      <c r="K1606" s="9" t="s">
        <v>8987</v>
      </c>
    </row>
    <row r="1607" spans="1:11">
      <c r="A1607" s="7">
        <v>1605</v>
      </c>
      <c r="B1607" s="7" t="s">
        <v>9174</v>
      </c>
      <c r="C1607" s="7" t="s">
        <v>8984</v>
      </c>
      <c r="D1607" s="7" t="s">
        <v>7547</v>
      </c>
      <c r="E1607" s="7" t="s">
        <v>11239</v>
      </c>
      <c r="F1607" s="8" t="s">
        <v>10059</v>
      </c>
      <c r="G1607" s="7">
        <v>5</v>
      </c>
      <c r="H1607" s="7" t="s">
        <v>9336</v>
      </c>
      <c r="I1607" s="7">
        <v>1</v>
      </c>
      <c r="J1607" s="7" t="s">
        <v>7620</v>
      </c>
      <c r="K1607" s="9" t="s">
        <v>8987</v>
      </c>
    </row>
    <row r="1608" spans="1:11">
      <c r="A1608" s="7">
        <v>1606</v>
      </c>
      <c r="B1608" s="7" t="s">
        <v>9174</v>
      </c>
      <c r="C1608" s="7" t="s">
        <v>8984</v>
      </c>
      <c r="D1608" s="7" t="s">
        <v>7547</v>
      </c>
      <c r="E1608" s="7" t="s">
        <v>11240</v>
      </c>
      <c r="F1608" s="8" t="s">
        <v>10059</v>
      </c>
      <c r="G1608" s="7">
        <v>11</v>
      </c>
      <c r="H1608" s="7" t="s">
        <v>9386</v>
      </c>
      <c r="I1608" s="7">
        <v>1</v>
      </c>
      <c r="J1608" s="7" t="s">
        <v>7865</v>
      </c>
      <c r="K1608" s="9" t="s">
        <v>8987</v>
      </c>
    </row>
    <row r="1609" spans="1:11">
      <c r="A1609" s="7">
        <v>1607</v>
      </c>
      <c r="B1609" s="7" t="s">
        <v>9174</v>
      </c>
      <c r="C1609" s="7" t="s">
        <v>8984</v>
      </c>
      <c r="D1609" s="7" t="s">
        <v>7547</v>
      </c>
      <c r="E1609" s="7" t="s">
        <v>11241</v>
      </c>
      <c r="F1609" s="8" t="s">
        <v>10059</v>
      </c>
      <c r="G1609" s="7">
        <v>21</v>
      </c>
      <c r="H1609" s="7" t="s">
        <v>9116</v>
      </c>
      <c r="I1609" s="7">
        <v>1</v>
      </c>
      <c r="J1609" s="7" t="s">
        <v>7842</v>
      </c>
      <c r="K1609" s="9" t="s">
        <v>8987</v>
      </c>
    </row>
    <row r="1610" spans="1:11">
      <c r="A1610" s="7">
        <v>1608</v>
      </c>
      <c r="B1610" s="7" t="s">
        <v>9174</v>
      </c>
      <c r="C1610" s="7" t="s">
        <v>8984</v>
      </c>
      <c r="D1610" s="7" t="s">
        <v>7547</v>
      </c>
      <c r="E1610" s="7" t="s">
        <v>11242</v>
      </c>
      <c r="F1610" s="8" t="s">
        <v>10059</v>
      </c>
      <c r="G1610" s="7">
        <v>16</v>
      </c>
      <c r="H1610" s="7" t="s">
        <v>9215</v>
      </c>
      <c r="I1610" s="7">
        <v>1</v>
      </c>
      <c r="J1610" s="7" t="s">
        <v>7882</v>
      </c>
      <c r="K1610" s="9" t="s">
        <v>8987</v>
      </c>
    </row>
    <row r="1611" spans="1:11">
      <c r="A1611" s="7">
        <v>1609</v>
      </c>
      <c r="B1611" s="7" t="s">
        <v>9174</v>
      </c>
      <c r="C1611" s="7" t="s">
        <v>8984</v>
      </c>
      <c r="D1611" s="7" t="s">
        <v>7547</v>
      </c>
      <c r="E1611" s="7" t="s">
        <v>11243</v>
      </c>
      <c r="F1611" s="8" t="s">
        <v>10059</v>
      </c>
      <c r="G1611" s="7">
        <v>41</v>
      </c>
      <c r="H1611" s="7" t="s">
        <v>9200</v>
      </c>
      <c r="I1611" s="7">
        <v>1</v>
      </c>
      <c r="J1611" s="7" t="s">
        <v>11244</v>
      </c>
      <c r="K1611" s="9" t="s">
        <v>8987</v>
      </c>
    </row>
    <row r="1612" spans="1:11">
      <c r="A1612" s="7">
        <v>1610</v>
      </c>
      <c r="B1612" s="7" t="s">
        <v>9174</v>
      </c>
      <c r="C1612" s="7" t="s">
        <v>11152</v>
      </c>
      <c r="D1612" s="7" t="s">
        <v>7547</v>
      </c>
      <c r="E1612" s="7" t="s">
        <v>11245</v>
      </c>
      <c r="F1612" s="8" t="s">
        <v>10059</v>
      </c>
      <c r="G1612" s="7">
        <v>11</v>
      </c>
      <c r="H1612" s="7" t="s">
        <v>9386</v>
      </c>
      <c r="I1612" s="7">
        <v>1</v>
      </c>
      <c r="J1612" s="7" t="s">
        <v>7865</v>
      </c>
      <c r="K1612" s="9" t="s">
        <v>8987</v>
      </c>
    </row>
    <row r="1613" spans="1:11">
      <c r="A1613" s="7">
        <v>1611</v>
      </c>
      <c r="B1613" s="7" t="s">
        <v>9174</v>
      </c>
      <c r="C1613" s="7" t="s">
        <v>8984</v>
      </c>
      <c r="D1613" s="7" t="s">
        <v>7547</v>
      </c>
      <c r="E1613" s="7" t="s">
        <v>11246</v>
      </c>
      <c r="F1613" s="8" t="s">
        <v>10090</v>
      </c>
      <c r="G1613" s="7">
        <v>5</v>
      </c>
      <c r="H1613" s="7" t="s">
        <v>9336</v>
      </c>
      <c r="I1613" s="7">
        <v>1</v>
      </c>
      <c r="J1613" s="7" t="s">
        <v>7620</v>
      </c>
      <c r="K1613" s="9" t="s">
        <v>8987</v>
      </c>
    </row>
    <row r="1614" spans="1:11">
      <c r="A1614" s="7">
        <v>1612</v>
      </c>
      <c r="B1614" s="7" t="s">
        <v>9174</v>
      </c>
      <c r="C1614" s="7" t="s">
        <v>8984</v>
      </c>
      <c r="D1614" s="7" t="s">
        <v>7547</v>
      </c>
      <c r="E1614" s="7" t="s">
        <v>11247</v>
      </c>
      <c r="F1614" s="8" t="s">
        <v>10090</v>
      </c>
      <c r="G1614" s="7">
        <v>3</v>
      </c>
      <c r="H1614" s="7" t="s">
        <v>9187</v>
      </c>
      <c r="I1614" s="7">
        <v>1</v>
      </c>
      <c r="J1614" s="7" t="s">
        <v>7872</v>
      </c>
      <c r="K1614" s="9" t="s">
        <v>8987</v>
      </c>
    </row>
    <row r="1615" spans="1:11">
      <c r="A1615" s="7">
        <v>1613</v>
      </c>
      <c r="B1615" s="7" t="s">
        <v>9174</v>
      </c>
      <c r="C1615" s="7" t="s">
        <v>8984</v>
      </c>
      <c r="D1615" s="7" t="s">
        <v>7547</v>
      </c>
      <c r="E1615" s="7" t="s">
        <v>11248</v>
      </c>
      <c r="F1615" s="8" t="s">
        <v>10090</v>
      </c>
      <c r="G1615" s="7">
        <v>4</v>
      </c>
      <c r="H1615" s="7" t="s">
        <v>9579</v>
      </c>
      <c r="I1615" s="7">
        <v>1</v>
      </c>
      <c r="J1615" s="7" t="s">
        <v>7617</v>
      </c>
      <c r="K1615" s="9" t="s">
        <v>8987</v>
      </c>
    </row>
    <row r="1616" spans="1:11">
      <c r="A1616" s="7">
        <v>1614</v>
      </c>
      <c r="B1616" s="7" t="s">
        <v>9174</v>
      </c>
      <c r="C1616" s="7" t="s">
        <v>8984</v>
      </c>
      <c r="D1616" s="7" t="s">
        <v>7547</v>
      </c>
      <c r="E1616" s="7" t="s">
        <v>11249</v>
      </c>
      <c r="F1616" s="8" t="s">
        <v>10090</v>
      </c>
      <c r="G1616" s="7">
        <v>8</v>
      </c>
      <c r="H1616" s="7" t="s">
        <v>8991</v>
      </c>
      <c r="I1616" s="7">
        <v>1</v>
      </c>
      <c r="J1616" s="7" t="s">
        <v>7764</v>
      </c>
      <c r="K1616" s="9" t="s">
        <v>8987</v>
      </c>
    </row>
    <row r="1617" spans="1:11">
      <c r="A1617" s="7">
        <v>1615</v>
      </c>
      <c r="B1617" s="7" t="s">
        <v>9174</v>
      </c>
      <c r="C1617" s="7" t="s">
        <v>8984</v>
      </c>
      <c r="D1617" s="7" t="s">
        <v>7547</v>
      </c>
      <c r="E1617" s="7" t="s">
        <v>11250</v>
      </c>
      <c r="F1617" s="8" t="s">
        <v>10090</v>
      </c>
      <c r="G1617" s="7">
        <v>6</v>
      </c>
      <c r="H1617" s="7" t="s">
        <v>9218</v>
      </c>
      <c r="I1617" s="7">
        <v>1</v>
      </c>
      <c r="J1617" s="7" t="s">
        <v>7623</v>
      </c>
      <c r="K1617" s="9" t="s">
        <v>8987</v>
      </c>
    </row>
    <row r="1618" spans="1:11">
      <c r="A1618" s="7">
        <v>1616</v>
      </c>
      <c r="B1618" s="7" t="s">
        <v>9174</v>
      </c>
      <c r="C1618" s="7" t="s">
        <v>8984</v>
      </c>
      <c r="D1618" s="7" t="s">
        <v>7547</v>
      </c>
      <c r="E1618" s="7" t="s">
        <v>11251</v>
      </c>
      <c r="F1618" s="8" t="s">
        <v>10090</v>
      </c>
      <c r="G1618" s="7">
        <v>15</v>
      </c>
      <c r="H1618" s="7" t="s">
        <v>9053</v>
      </c>
      <c r="I1618" s="7">
        <v>1</v>
      </c>
      <c r="J1618" s="7" t="s">
        <v>7862</v>
      </c>
      <c r="K1618" s="9" t="s">
        <v>8987</v>
      </c>
    </row>
    <row r="1619" spans="1:11">
      <c r="A1619" s="7">
        <v>1617</v>
      </c>
      <c r="B1619" s="7" t="s">
        <v>9174</v>
      </c>
      <c r="C1619" s="7" t="s">
        <v>11152</v>
      </c>
      <c r="D1619" s="7" t="s">
        <v>7547</v>
      </c>
      <c r="E1619" s="7" t="s">
        <v>11252</v>
      </c>
      <c r="F1619" s="8" t="s">
        <v>10090</v>
      </c>
      <c r="G1619" s="7">
        <v>10</v>
      </c>
      <c r="H1619" s="7" t="s">
        <v>9292</v>
      </c>
      <c r="I1619" s="7">
        <v>1</v>
      </c>
      <c r="J1619" s="7" t="s">
        <v>7768</v>
      </c>
      <c r="K1619" s="9" t="s">
        <v>8987</v>
      </c>
    </row>
    <row r="1620" spans="1:11">
      <c r="A1620" s="7">
        <v>1618</v>
      </c>
      <c r="B1620" s="7" t="s">
        <v>9174</v>
      </c>
      <c r="C1620" s="7" t="s">
        <v>8984</v>
      </c>
      <c r="D1620" s="7" t="s">
        <v>7547</v>
      </c>
      <c r="E1620" s="7" t="s">
        <v>11253</v>
      </c>
      <c r="F1620" s="8" t="s">
        <v>11018</v>
      </c>
      <c r="G1620" s="7">
        <v>3</v>
      </c>
      <c r="H1620" s="7" t="s">
        <v>9187</v>
      </c>
      <c r="I1620" s="7">
        <v>1</v>
      </c>
      <c r="J1620" s="7" t="s">
        <v>7872</v>
      </c>
      <c r="K1620" s="9" t="s">
        <v>8987</v>
      </c>
    </row>
    <row r="1621" spans="1:11">
      <c r="A1621" s="7">
        <v>1619</v>
      </c>
      <c r="B1621" s="7" t="s">
        <v>9174</v>
      </c>
      <c r="C1621" s="7" t="s">
        <v>8984</v>
      </c>
      <c r="D1621" s="7" t="s">
        <v>7547</v>
      </c>
      <c r="E1621" s="7" t="s">
        <v>11254</v>
      </c>
      <c r="F1621" s="8" t="s">
        <v>11018</v>
      </c>
      <c r="G1621" s="7">
        <v>2</v>
      </c>
      <c r="H1621" s="7" t="s">
        <v>10476</v>
      </c>
      <c r="I1621" s="7">
        <v>1</v>
      </c>
      <c r="J1621" s="7" t="s">
        <v>7861</v>
      </c>
      <c r="K1621" s="9" t="s">
        <v>8987</v>
      </c>
    </row>
    <row r="1622" spans="1:11">
      <c r="A1622" s="7">
        <v>1620</v>
      </c>
      <c r="B1622" s="7" t="s">
        <v>9174</v>
      </c>
      <c r="C1622" s="7" t="s">
        <v>8984</v>
      </c>
      <c r="D1622" s="7" t="s">
        <v>7547</v>
      </c>
      <c r="E1622" s="7" t="s">
        <v>11255</v>
      </c>
      <c r="F1622" s="8" t="s">
        <v>11018</v>
      </c>
      <c r="G1622" s="7">
        <v>2</v>
      </c>
      <c r="H1622" s="7" t="s">
        <v>10476</v>
      </c>
      <c r="I1622" s="7">
        <v>1</v>
      </c>
      <c r="J1622" s="7" t="s">
        <v>7861</v>
      </c>
      <c r="K1622" s="9" t="s">
        <v>8987</v>
      </c>
    </row>
    <row r="1623" spans="1:11">
      <c r="A1623" s="7">
        <v>1621</v>
      </c>
      <c r="B1623" s="7" t="s">
        <v>9174</v>
      </c>
      <c r="C1623" s="7" t="s">
        <v>8984</v>
      </c>
      <c r="D1623" s="7" t="s">
        <v>7547</v>
      </c>
      <c r="E1623" s="7" t="s">
        <v>11256</v>
      </c>
      <c r="F1623" s="8" t="s">
        <v>11018</v>
      </c>
      <c r="G1623" s="7">
        <v>5</v>
      </c>
      <c r="H1623" s="7" t="s">
        <v>9336</v>
      </c>
      <c r="I1623" s="7">
        <v>1</v>
      </c>
      <c r="J1623" s="7" t="s">
        <v>7620</v>
      </c>
      <c r="K1623" s="9" t="s">
        <v>8987</v>
      </c>
    </row>
    <row r="1624" spans="1:11">
      <c r="A1624" s="7">
        <v>1622</v>
      </c>
      <c r="B1624" s="7" t="s">
        <v>9174</v>
      </c>
      <c r="C1624" s="7" t="s">
        <v>8984</v>
      </c>
      <c r="D1624" s="7" t="s">
        <v>7547</v>
      </c>
      <c r="E1624" s="7" t="s">
        <v>11257</v>
      </c>
      <c r="F1624" s="8" t="s">
        <v>11018</v>
      </c>
      <c r="G1624" s="7">
        <v>4</v>
      </c>
      <c r="H1624" s="7" t="s">
        <v>9579</v>
      </c>
      <c r="I1624" s="7">
        <v>1</v>
      </c>
      <c r="J1624" s="7" t="s">
        <v>7617</v>
      </c>
      <c r="K1624" s="9" t="s">
        <v>8987</v>
      </c>
    </row>
    <row r="1625" spans="1:11">
      <c r="A1625" s="7">
        <v>1623</v>
      </c>
      <c r="B1625" s="7" t="s">
        <v>9174</v>
      </c>
      <c r="C1625" s="7" t="s">
        <v>8984</v>
      </c>
      <c r="D1625" s="7" t="s">
        <v>7547</v>
      </c>
      <c r="E1625" s="7" t="s">
        <v>11258</v>
      </c>
      <c r="F1625" s="8" t="s">
        <v>11018</v>
      </c>
      <c r="G1625" s="7">
        <v>10</v>
      </c>
      <c r="H1625" s="7" t="s">
        <v>9292</v>
      </c>
      <c r="I1625" s="7">
        <v>1</v>
      </c>
      <c r="J1625" s="7" t="s">
        <v>7768</v>
      </c>
      <c r="K1625" s="9" t="s">
        <v>8987</v>
      </c>
    </row>
    <row r="1626" spans="1:11">
      <c r="A1626" s="7">
        <v>1624</v>
      </c>
      <c r="B1626" s="7" t="s">
        <v>9174</v>
      </c>
      <c r="C1626" s="7" t="s">
        <v>11152</v>
      </c>
      <c r="D1626" s="7" t="s">
        <v>7547</v>
      </c>
      <c r="E1626" s="7" t="s">
        <v>11259</v>
      </c>
      <c r="F1626" s="8" t="s">
        <v>11018</v>
      </c>
      <c r="G1626" s="7">
        <v>7</v>
      </c>
      <c r="H1626" s="7" t="s">
        <v>9182</v>
      </c>
      <c r="I1626" s="7">
        <v>1</v>
      </c>
      <c r="J1626" s="7" t="s">
        <v>7866</v>
      </c>
      <c r="K1626" s="9" t="s">
        <v>8987</v>
      </c>
    </row>
    <row r="1627" spans="1:11">
      <c r="A1627" s="7">
        <v>1625</v>
      </c>
      <c r="B1627" s="7" t="s">
        <v>9174</v>
      </c>
      <c r="C1627" s="7" t="s">
        <v>8984</v>
      </c>
      <c r="D1627" s="7" t="s">
        <v>7547</v>
      </c>
      <c r="E1627" s="7" t="s">
        <v>11260</v>
      </c>
      <c r="F1627" s="8" t="s">
        <v>9812</v>
      </c>
      <c r="G1627" s="7">
        <v>9</v>
      </c>
      <c r="H1627" s="7" t="s">
        <v>9030</v>
      </c>
      <c r="I1627" s="7">
        <v>1</v>
      </c>
      <c r="J1627" s="7" t="s">
        <v>7766</v>
      </c>
      <c r="K1627" s="9" t="s">
        <v>8987</v>
      </c>
    </row>
    <row r="1628" spans="1:11">
      <c r="A1628" s="7">
        <v>1626</v>
      </c>
      <c r="B1628" s="7" t="s">
        <v>9174</v>
      </c>
      <c r="C1628" s="7" t="s">
        <v>8984</v>
      </c>
      <c r="D1628" s="7" t="s">
        <v>7547</v>
      </c>
      <c r="E1628" s="7" t="s">
        <v>11261</v>
      </c>
      <c r="F1628" s="8" t="s">
        <v>9812</v>
      </c>
      <c r="G1628" s="7">
        <v>5</v>
      </c>
      <c r="H1628" s="7" t="s">
        <v>9336</v>
      </c>
      <c r="I1628" s="7">
        <v>1</v>
      </c>
      <c r="J1628" s="7" t="s">
        <v>7620</v>
      </c>
      <c r="K1628" s="9" t="s">
        <v>8987</v>
      </c>
    </row>
    <row r="1629" spans="1:11">
      <c r="A1629" s="7">
        <v>1627</v>
      </c>
      <c r="B1629" s="7" t="s">
        <v>9174</v>
      </c>
      <c r="C1629" s="7" t="s">
        <v>8984</v>
      </c>
      <c r="D1629" s="7" t="s">
        <v>7547</v>
      </c>
      <c r="E1629" s="7" t="s">
        <v>11262</v>
      </c>
      <c r="F1629" s="8" t="s">
        <v>9812</v>
      </c>
      <c r="G1629" s="7">
        <v>9</v>
      </c>
      <c r="H1629" s="7" t="s">
        <v>9030</v>
      </c>
      <c r="I1629" s="7">
        <v>1</v>
      </c>
      <c r="J1629" s="7" t="s">
        <v>7766</v>
      </c>
      <c r="K1629" s="9" t="s">
        <v>8987</v>
      </c>
    </row>
    <row r="1630" spans="1:11">
      <c r="A1630" s="7">
        <v>1628</v>
      </c>
      <c r="B1630" s="7" t="s">
        <v>9174</v>
      </c>
      <c r="C1630" s="7" t="s">
        <v>8984</v>
      </c>
      <c r="D1630" s="7" t="s">
        <v>7547</v>
      </c>
      <c r="E1630" s="7" t="s">
        <v>11263</v>
      </c>
      <c r="F1630" s="8" t="s">
        <v>9812</v>
      </c>
      <c r="G1630" s="7">
        <v>18</v>
      </c>
      <c r="H1630" s="7" t="s">
        <v>9422</v>
      </c>
      <c r="I1630" s="7">
        <v>1</v>
      </c>
      <c r="J1630" s="7" t="s">
        <v>7885</v>
      </c>
      <c r="K1630" s="9" t="s">
        <v>8987</v>
      </c>
    </row>
    <row r="1631" spans="1:11">
      <c r="A1631" s="7">
        <v>1629</v>
      </c>
      <c r="B1631" s="7" t="s">
        <v>9174</v>
      </c>
      <c r="C1631" s="7" t="s">
        <v>8984</v>
      </c>
      <c r="D1631" s="7" t="s">
        <v>7547</v>
      </c>
      <c r="E1631" s="7" t="s">
        <v>11264</v>
      </c>
      <c r="F1631" s="8" t="s">
        <v>9812</v>
      </c>
      <c r="G1631" s="7">
        <v>13</v>
      </c>
      <c r="H1631" s="7" t="s">
        <v>9077</v>
      </c>
      <c r="I1631" s="7">
        <v>1</v>
      </c>
      <c r="J1631" s="7" t="s">
        <v>11187</v>
      </c>
      <c r="K1631" s="9" t="s">
        <v>8987</v>
      </c>
    </row>
    <row r="1632" spans="1:11">
      <c r="A1632" s="7">
        <v>1630</v>
      </c>
      <c r="B1632" s="7" t="s">
        <v>9174</v>
      </c>
      <c r="C1632" s="7" t="s">
        <v>8984</v>
      </c>
      <c r="D1632" s="7" t="s">
        <v>7547</v>
      </c>
      <c r="E1632" s="7" t="s">
        <v>11265</v>
      </c>
      <c r="F1632" s="8" t="s">
        <v>9812</v>
      </c>
      <c r="G1632" s="7">
        <v>34</v>
      </c>
      <c r="H1632" s="7" t="s">
        <v>11266</v>
      </c>
      <c r="I1632" s="7">
        <v>1</v>
      </c>
      <c r="J1632" s="7" t="s">
        <v>11267</v>
      </c>
      <c r="K1632" s="9" t="s">
        <v>8987</v>
      </c>
    </row>
    <row r="1633" spans="1:11">
      <c r="A1633" s="7">
        <v>1631</v>
      </c>
      <c r="B1633" s="7" t="s">
        <v>9174</v>
      </c>
      <c r="C1633" s="7" t="s">
        <v>11152</v>
      </c>
      <c r="D1633" s="7" t="s">
        <v>7547</v>
      </c>
      <c r="E1633" s="7" t="s">
        <v>11268</v>
      </c>
      <c r="F1633" s="8" t="s">
        <v>9812</v>
      </c>
      <c r="G1633" s="7">
        <v>9</v>
      </c>
      <c r="H1633" s="7" t="s">
        <v>9030</v>
      </c>
      <c r="I1633" s="7">
        <v>1</v>
      </c>
      <c r="J1633" s="7" t="s">
        <v>7766</v>
      </c>
      <c r="K1633" s="9" t="s">
        <v>8987</v>
      </c>
    </row>
    <row r="1634" spans="1:11">
      <c r="A1634" s="7">
        <v>1632</v>
      </c>
      <c r="B1634" s="7" t="s">
        <v>9174</v>
      </c>
      <c r="C1634" s="7" t="s">
        <v>8984</v>
      </c>
      <c r="D1634" s="7" t="s">
        <v>7547</v>
      </c>
      <c r="E1634" s="7" t="s">
        <v>11269</v>
      </c>
      <c r="F1634" s="8" t="s">
        <v>10501</v>
      </c>
      <c r="G1634" s="7">
        <v>2</v>
      </c>
      <c r="H1634" s="7" t="s">
        <v>10476</v>
      </c>
      <c r="I1634" s="7">
        <v>1</v>
      </c>
      <c r="J1634" s="7" t="s">
        <v>7861</v>
      </c>
      <c r="K1634" s="9" t="s">
        <v>8987</v>
      </c>
    </row>
    <row r="1635" spans="1:11">
      <c r="A1635" s="7">
        <v>1633</v>
      </c>
      <c r="B1635" s="7" t="s">
        <v>9174</v>
      </c>
      <c r="C1635" s="7" t="s">
        <v>8984</v>
      </c>
      <c r="D1635" s="7" t="s">
        <v>7547</v>
      </c>
      <c r="E1635" s="7" t="s">
        <v>11270</v>
      </c>
      <c r="F1635" s="8" t="s">
        <v>10501</v>
      </c>
      <c r="G1635" s="7">
        <v>2</v>
      </c>
      <c r="H1635" s="7" t="s">
        <v>10476</v>
      </c>
      <c r="I1635" s="7">
        <v>1</v>
      </c>
      <c r="J1635" s="7" t="s">
        <v>7861</v>
      </c>
      <c r="K1635" s="9" t="s">
        <v>8987</v>
      </c>
    </row>
    <row r="1636" spans="1:11">
      <c r="A1636" s="7">
        <v>1634</v>
      </c>
      <c r="B1636" s="7" t="s">
        <v>9174</v>
      </c>
      <c r="C1636" s="7" t="s">
        <v>8984</v>
      </c>
      <c r="D1636" s="7" t="s">
        <v>7547</v>
      </c>
      <c r="E1636" s="7" t="s">
        <v>11271</v>
      </c>
      <c r="F1636" s="8" t="s">
        <v>10501</v>
      </c>
      <c r="G1636" s="7">
        <v>2</v>
      </c>
      <c r="H1636" s="7" t="s">
        <v>10476</v>
      </c>
      <c r="I1636" s="7">
        <v>1</v>
      </c>
      <c r="J1636" s="7" t="s">
        <v>7861</v>
      </c>
      <c r="K1636" s="9" t="s">
        <v>8987</v>
      </c>
    </row>
    <row r="1637" spans="1:11">
      <c r="A1637" s="7">
        <v>1635</v>
      </c>
      <c r="B1637" s="7" t="s">
        <v>9174</v>
      </c>
      <c r="C1637" s="7" t="s">
        <v>8984</v>
      </c>
      <c r="D1637" s="7" t="s">
        <v>7547</v>
      </c>
      <c r="E1637" s="7" t="s">
        <v>11272</v>
      </c>
      <c r="F1637" s="8" t="s">
        <v>10501</v>
      </c>
      <c r="G1637" s="7">
        <v>2</v>
      </c>
      <c r="H1637" s="7" t="s">
        <v>10476</v>
      </c>
      <c r="I1637" s="7">
        <v>1</v>
      </c>
      <c r="J1637" s="7" t="s">
        <v>7861</v>
      </c>
      <c r="K1637" s="9" t="s">
        <v>8987</v>
      </c>
    </row>
    <row r="1638" spans="1:11">
      <c r="A1638" s="7">
        <v>1636</v>
      </c>
      <c r="B1638" s="7" t="s">
        <v>9174</v>
      </c>
      <c r="C1638" s="7" t="s">
        <v>8984</v>
      </c>
      <c r="D1638" s="7" t="s">
        <v>7547</v>
      </c>
      <c r="E1638" s="7" t="s">
        <v>11273</v>
      </c>
      <c r="F1638" s="8" t="s">
        <v>10501</v>
      </c>
      <c r="G1638" s="7">
        <v>2</v>
      </c>
      <c r="H1638" s="7" t="s">
        <v>10476</v>
      </c>
      <c r="I1638" s="7">
        <v>1</v>
      </c>
      <c r="J1638" s="7" t="s">
        <v>7861</v>
      </c>
      <c r="K1638" s="9" t="s">
        <v>8987</v>
      </c>
    </row>
    <row r="1639" spans="1:11">
      <c r="A1639" s="7">
        <v>1637</v>
      </c>
      <c r="B1639" s="7" t="s">
        <v>9174</v>
      </c>
      <c r="C1639" s="7" t="s">
        <v>8984</v>
      </c>
      <c r="D1639" s="7" t="s">
        <v>7547</v>
      </c>
      <c r="E1639" s="7" t="s">
        <v>11274</v>
      </c>
      <c r="F1639" s="8" t="s">
        <v>10501</v>
      </c>
      <c r="G1639" s="7">
        <v>2</v>
      </c>
      <c r="H1639" s="7" t="s">
        <v>10476</v>
      </c>
      <c r="I1639" s="7">
        <v>1</v>
      </c>
      <c r="J1639" s="7" t="s">
        <v>7861</v>
      </c>
      <c r="K1639" s="9" t="s">
        <v>8987</v>
      </c>
    </row>
    <row r="1640" spans="1:11">
      <c r="A1640" s="7">
        <v>1638</v>
      </c>
      <c r="B1640" s="7" t="s">
        <v>9174</v>
      </c>
      <c r="C1640" s="7" t="s">
        <v>11152</v>
      </c>
      <c r="D1640" s="7" t="s">
        <v>7547</v>
      </c>
      <c r="E1640" s="7" t="s">
        <v>11275</v>
      </c>
      <c r="F1640" s="8" t="s">
        <v>10501</v>
      </c>
      <c r="G1640" s="7">
        <v>2</v>
      </c>
      <c r="H1640" s="7" t="s">
        <v>10476</v>
      </c>
      <c r="I1640" s="7">
        <v>1</v>
      </c>
      <c r="J1640" s="7" t="s">
        <v>7861</v>
      </c>
      <c r="K1640" s="9" t="s">
        <v>8987</v>
      </c>
    </row>
    <row r="1641" spans="1:11">
      <c r="A1641" s="7">
        <v>1639</v>
      </c>
      <c r="B1641" s="7" t="s">
        <v>9174</v>
      </c>
      <c r="C1641" s="7" t="s">
        <v>8984</v>
      </c>
      <c r="D1641" s="7" t="s">
        <v>7547</v>
      </c>
      <c r="E1641" s="7" t="s">
        <v>11276</v>
      </c>
      <c r="F1641" s="8" t="s">
        <v>10528</v>
      </c>
      <c r="G1641" s="7">
        <v>9</v>
      </c>
      <c r="H1641" s="7" t="s">
        <v>9030</v>
      </c>
      <c r="I1641" s="7">
        <v>1</v>
      </c>
      <c r="J1641" s="7" t="s">
        <v>7766</v>
      </c>
      <c r="K1641" s="9" t="s">
        <v>8987</v>
      </c>
    </row>
    <row r="1642" spans="1:11">
      <c r="A1642" s="7">
        <v>1640</v>
      </c>
      <c r="B1642" s="7" t="s">
        <v>9174</v>
      </c>
      <c r="C1642" s="7" t="s">
        <v>8984</v>
      </c>
      <c r="D1642" s="7" t="s">
        <v>7547</v>
      </c>
      <c r="E1642" s="7" t="s">
        <v>11277</v>
      </c>
      <c r="F1642" s="8" t="s">
        <v>10528</v>
      </c>
      <c r="G1642" s="7">
        <v>5</v>
      </c>
      <c r="H1642" s="7" t="s">
        <v>9336</v>
      </c>
      <c r="I1642" s="7">
        <v>1</v>
      </c>
      <c r="J1642" s="7" t="s">
        <v>7620</v>
      </c>
      <c r="K1642" s="9" t="s">
        <v>8987</v>
      </c>
    </row>
    <row r="1643" spans="1:11">
      <c r="A1643" s="7">
        <v>1641</v>
      </c>
      <c r="B1643" s="7" t="s">
        <v>9174</v>
      </c>
      <c r="C1643" s="7" t="s">
        <v>8984</v>
      </c>
      <c r="D1643" s="7" t="s">
        <v>7547</v>
      </c>
      <c r="E1643" s="7" t="s">
        <v>11278</v>
      </c>
      <c r="F1643" s="8" t="s">
        <v>10528</v>
      </c>
      <c r="G1643" s="7">
        <v>9</v>
      </c>
      <c r="H1643" s="7" t="s">
        <v>9030</v>
      </c>
      <c r="I1643" s="7">
        <v>1</v>
      </c>
      <c r="J1643" s="7" t="s">
        <v>7766</v>
      </c>
      <c r="K1643" s="9" t="s">
        <v>8987</v>
      </c>
    </row>
    <row r="1644" spans="1:11">
      <c r="A1644" s="7">
        <v>1642</v>
      </c>
      <c r="B1644" s="7" t="s">
        <v>9174</v>
      </c>
      <c r="C1644" s="7" t="s">
        <v>8984</v>
      </c>
      <c r="D1644" s="7" t="s">
        <v>7547</v>
      </c>
      <c r="E1644" s="7" t="s">
        <v>11279</v>
      </c>
      <c r="F1644" s="8" t="s">
        <v>10528</v>
      </c>
      <c r="G1644" s="7">
        <v>18</v>
      </c>
      <c r="H1644" s="7" t="s">
        <v>9422</v>
      </c>
      <c r="I1644" s="7">
        <v>1</v>
      </c>
      <c r="J1644" s="7" t="s">
        <v>7885</v>
      </c>
      <c r="K1644" s="9" t="s">
        <v>8987</v>
      </c>
    </row>
    <row r="1645" spans="1:11">
      <c r="A1645" s="7">
        <v>1643</v>
      </c>
      <c r="B1645" s="7" t="s">
        <v>9174</v>
      </c>
      <c r="C1645" s="7" t="s">
        <v>8984</v>
      </c>
      <c r="D1645" s="7" t="s">
        <v>7547</v>
      </c>
      <c r="E1645" s="7" t="s">
        <v>11280</v>
      </c>
      <c r="F1645" s="8" t="s">
        <v>10528</v>
      </c>
      <c r="G1645" s="7">
        <v>13</v>
      </c>
      <c r="H1645" s="7" t="s">
        <v>9077</v>
      </c>
      <c r="I1645" s="7">
        <v>1</v>
      </c>
      <c r="J1645" s="7" t="s">
        <v>11187</v>
      </c>
      <c r="K1645" s="9" t="s">
        <v>8987</v>
      </c>
    </row>
    <row r="1646" spans="1:11">
      <c r="A1646" s="7">
        <v>1644</v>
      </c>
      <c r="B1646" s="7" t="s">
        <v>9174</v>
      </c>
      <c r="C1646" s="7" t="s">
        <v>8984</v>
      </c>
      <c r="D1646" s="7" t="s">
        <v>7547</v>
      </c>
      <c r="E1646" s="7" t="s">
        <v>11281</v>
      </c>
      <c r="F1646" s="8" t="s">
        <v>10528</v>
      </c>
      <c r="G1646" s="7">
        <v>34</v>
      </c>
      <c r="H1646" s="7" t="s">
        <v>11266</v>
      </c>
      <c r="I1646" s="7">
        <v>1</v>
      </c>
      <c r="J1646" s="7" t="s">
        <v>11267</v>
      </c>
      <c r="K1646" s="9" t="s">
        <v>8987</v>
      </c>
    </row>
    <row r="1647" spans="1:11">
      <c r="A1647" s="7">
        <v>1645</v>
      </c>
      <c r="B1647" s="7" t="s">
        <v>9174</v>
      </c>
      <c r="C1647" s="7" t="s">
        <v>11152</v>
      </c>
      <c r="D1647" s="7" t="s">
        <v>7547</v>
      </c>
      <c r="E1647" s="7" t="s">
        <v>11282</v>
      </c>
      <c r="F1647" s="8" t="s">
        <v>10528</v>
      </c>
      <c r="G1647" s="7">
        <v>9</v>
      </c>
      <c r="H1647" s="7" t="s">
        <v>9030</v>
      </c>
      <c r="I1647" s="7">
        <v>1</v>
      </c>
      <c r="J1647" s="7" t="s">
        <v>7766</v>
      </c>
      <c r="K1647" s="9" t="s">
        <v>8987</v>
      </c>
    </row>
    <row r="1648" spans="1:11">
      <c r="A1648" s="7">
        <v>1646</v>
      </c>
      <c r="B1648" s="7" t="s">
        <v>9174</v>
      </c>
      <c r="C1648" s="7" t="s">
        <v>8984</v>
      </c>
      <c r="D1648" s="7" t="s">
        <v>7547</v>
      </c>
      <c r="E1648" s="7" t="s">
        <v>11283</v>
      </c>
      <c r="F1648" s="8" t="s">
        <v>9593</v>
      </c>
      <c r="G1648" s="7">
        <v>8</v>
      </c>
      <c r="H1648" s="7" t="s">
        <v>8991</v>
      </c>
      <c r="I1648" s="7">
        <v>1</v>
      </c>
      <c r="J1648" s="7" t="s">
        <v>7764</v>
      </c>
      <c r="K1648" s="9" t="s">
        <v>8987</v>
      </c>
    </row>
    <row r="1649" spans="1:11">
      <c r="A1649" s="7">
        <v>1647</v>
      </c>
      <c r="B1649" s="7" t="s">
        <v>9174</v>
      </c>
      <c r="C1649" s="7" t="s">
        <v>8984</v>
      </c>
      <c r="D1649" s="7" t="s">
        <v>7547</v>
      </c>
      <c r="E1649" s="7" t="s">
        <v>11284</v>
      </c>
      <c r="F1649" s="8" t="s">
        <v>9593</v>
      </c>
      <c r="G1649" s="7">
        <v>4</v>
      </c>
      <c r="H1649" s="7" t="s">
        <v>9579</v>
      </c>
      <c r="I1649" s="7">
        <v>1</v>
      </c>
      <c r="J1649" s="7" t="s">
        <v>7617</v>
      </c>
      <c r="K1649" s="9" t="s">
        <v>8987</v>
      </c>
    </row>
    <row r="1650" spans="1:11">
      <c r="A1650" s="7">
        <v>1648</v>
      </c>
      <c r="B1650" s="7" t="s">
        <v>9174</v>
      </c>
      <c r="C1650" s="7" t="s">
        <v>8984</v>
      </c>
      <c r="D1650" s="7" t="s">
        <v>7547</v>
      </c>
      <c r="E1650" s="7" t="s">
        <v>11285</v>
      </c>
      <c r="F1650" s="8" t="s">
        <v>9593</v>
      </c>
      <c r="G1650" s="7">
        <v>8</v>
      </c>
      <c r="H1650" s="7" t="s">
        <v>8991</v>
      </c>
      <c r="I1650" s="7">
        <v>1</v>
      </c>
      <c r="J1650" s="7" t="s">
        <v>7764</v>
      </c>
      <c r="K1650" s="9" t="s">
        <v>8987</v>
      </c>
    </row>
    <row r="1651" spans="1:11">
      <c r="A1651" s="7">
        <v>1649</v>
      </c>
      <c r="B1651" s="7" t="s">
        <v>9174</v>
      </c>
      <c r="C1651" s="7" t="s">
        <v>8984</v>
      </c>
      <c r="D1651" s="7" t="s">
        <v>7547</v>
      </c>
      <c r="E1651" s="7" t="s">
        <v>11286</v>
      </c>
      <c r="F1651" s="8" t="s">
        <v>9593</v>
      </c>
      <c r="G1651" s="7">
        <v>16</v>
      </c>
      <c r="H1651" s="7" t="s">
        <v>9215</v>
      </c>
      <c r="I1651" s="7">
        <v>1</v>
      </c>
      <c r="J1651" s="7" t="s">
        <v>7882</v>
      </c>
      <c r="K1651" s="9" t="s">
        <v>8987</v>
      </c>
    </row>
    <row r="1652" spans="1:11">
      <c r="A1652" s="7">
        <v>1650</v>
      </c>
      <c r="B1652" s="7" t="s">
        <v>9174</v>
      </c>
      <c r="C1652" s="7" t="s">
        <v>8984</v>
      </c>
      <c r="D1652" s="7" t="s">
        <v>7547</v>
      </c>
      <c r="E1652" s="7" t="s">
        <v>11287</v>
      </c>
      <c r="F1652" s="8" t="s">
        <v>9593</v>
      </c>
      <c r="G1652" s="7">
        <v>12</v>
      </c>
      <c r="H1652" s="7" t="s">
        <v>9213</v>
      </c>
      <c r="I1652" s="7">
        <v>1</v>
      </c>
      <c r="J1652" s="7" t="s">
        <v>7864</v>
      </c>
      <c r="K1652" s="9" t="s">
        <v>8987</v>
      </c>
    </row>
    <row r="1653" spans="1:11">
      <c r="A1653" s="7">
        <v>1651</v>
      </c>
      <c r="B1653" s="7" t="s">
        <v>9174</v>
      </c>
      <c r="C1653" s="7" t="s">
        <v>8984</v>
      </c>
      <c r="D1653" s="7" t="s">
        <v>7547</v>
      </c>
      <c r="E1653" s="7" t="s">
        <v>11288</v>
      </c>
      <c r="F1653" s="8" t="s">
        <v>9593</v>
      </c>
      <c r="G1653" s="7">
        <v>31</v>
      </c>
      <c r="H1653" s="7" t="s">
        <v>9666</v>
      </c>
      <c r="I1653" s="7">
        <v>1</v>
      </c>
      <c r="J1653" s="7" t="s">
        <v>11236</v>
      </c>
      <c r="K1653" s="9" t="s">
        <v>8987</v>
      </c>
    </row>
    <row r="1654" spans="1:11">
      <c r="A1654" s="7">
        <v>1652</v>
      </c>
      <c r="B1654" s="7" t="s">
        <v>9174</v>
      </c>
      <c r="C1654" s="7" t="s">
        <v>11152</v>
      </c>
      <c r="D1654" s="7" t="s">
        <v>7547</v>
      </c>
      <c r="E1654" s="7" t="s">
        <v>11289</v>
      </c>
      <c r="F1654" s="8" t="s">
        <v>9593</v>
      </c>
      <c r="G1654" s="7">
        <v>8</v>
      </c>
      <c r="H1654" s="7" t="s">
        <v>8991</v>
      </c>
      <c r="I1654" s="7">
        <v>1</v>
      </c>
      <c r="J1654" s="7" t="s">
        <v>7764</v>
      </c>
      <c r="K1654" s="9" t="s">
        <v>8987</v>
      </c>
    </row>
    <row r="1655" spans="1:11">
      <c r="A1655" s="7">
        <v>1653</v>
      </c>
      <c r="B1655" s="7" t="s">
        <v>9174</v>
      </c>
      <c r="C1655" s="7" t="s">
        <v>8984</v>
      </c>
      <c r="D1655" s="7" t="s">
        <v>7547</v>
      </c>
      <c r="E1655" s="7" t="s">
        <v>5746</v>
      </c>
      <c r="F1655" s="8" t="s">
        <v>11020</v>
      </c>
      <c r="G1655" s="7">
        <v>11</v>
      </c>
      <c r="H1655" s="7" t="s">
        <v>9386</v>
      </c>
      <c r="I1655" s="7">
        <v>1</v>
      </c>
      <c r="J1655" s="7" t="s">
        <v>7865</v>
      </c>
      <c r="K1655" s="9" t="s">
        <v>8987</v>
      </c>
    </row>
    <row r="1656" spans="1:11">
      <c r="A1656" s="7">
        <v>1654</v>
      </c>
      <c r="B1656" s="7" t="s">
        <v>9174</v>
      </c>
      <c r="C1656" s="7" t="s">
        <v>8984</v>
      </c>
      <c r="D1656" s="7" t="s">
        <v>7547</v>
      </c>
      <c r="E1656" s="7" t="s">
        <v>11290</v>
      </c>
      <c r="F1656" s="8" t="s">
        <v>11020</v>
      </c>
      <c r="G1656" s="7">
        <v>5</v>
      </c>
      <c r="H1656" s="7" t="s">
        <v>9336</v>
      </c>
      <c r="I1656" s="7">
        <v>1</v>
      </c>
      <c r="J1656" s="7" t="s">
        <v>7620</v>
      </c>
      <c r="K1656" s="9" t="s">
        <v>8987</v>
      </c>
    </row>
    <row r="1657" spans="1:11">
      <c r="A1657" s="7">
        <v>1655</v>
      </c>
      <c r="B1657" s="7" t="s">
        <v>9174</v>
      </c>
      <c r="C1657" s="7" t="s">
        <v>8984</v>
      </c>
      <c r="D1657" s="7" t="s">
        <v>7547</v>
      </c>
      <c r="E1657" s="7" t="s">
        <v>11291</v>
      </c>
      <c r="F1657" s="8" t="s">
        <v>11020</v>
      </c>
      <c r="G1657" s="7">
        <v>11</v>
      </c>
      <c r="H1657" s="7" t="s">
        <v>9386</v>
      </c>
      <c r="I1657" s="7">
        <v>1</v>
      </c>
      <c r="J1657" s="7" t="s">
        <v>7865</v>
      </c>
      <c r="K1657" s="9" t="s">
        <v>8987</v>
      </c>
    </row>
    <row r="1658" spans="1:11">
      <c r="A1658" s="7">
        <v>1656</v>
      </c>
      <c r="B1658" s="7" t="s">
        <v>9174</v>
      </c>
      <c r="C1658" s="7" t="s">
        <v>8984</v>
      </c>
      <c r="D1658" s="7" t="s">
        <v>7547</v>
      </c>
      <c r="E1658" s="7" t="s">
        <v>11292</v>
      </c>
      <c r="F1658" s="8" t="s">
        <v>11020</v>
      </c>
      <c r="G1658" s="7">
        <v>21</v>
      </c>
      <c r="H1658" s="7" t="s">
        <v>9116</v>
      </c>
      <c r="I1658" s="7">
        <v>1</v>
      </c>
      <c r="J1658" s="7" t="s">
        <v>7842</v>
      </c>
      <c r="K1658" s="9" t="s">
        <v>8987</v>
      </c>
    </row>
    <row r="1659" spans="1:11">
      <c r="A1659" s="7">
        <v>1657</v>
      </c>
      <c r="B1659" s="7" t="s">
        <v>9174</v>
      </c>
      <c r="C1659" s="7" t="s">
        <v>8984</v>
      </c>
      <c r="D1659" s="7" t="s">
        <v>7547</v>
      </c>
      <c r="E1659" s="7" t="s">
        <v>11293</v>
      </c>
      <c r="F1659" s="8" t="s">
        <v>11020</v>
      </c>
      <c r="G1659" s="7">
        <v>15</v>
      </c>
      <c r="H1659" s="7" t="s">
        <v>9053</v>
      </c>
      <c r="I1659" s="7">
        <v>1</v>
      </c>
      <c r="J1659" s="7" t="s">
        <v>7862</v>
      </c>
      <c r="K1659" s="9" t="s">
        <v>8987</v>
      </c>
    </row>
    <row r="1660" spans="1:11">
      <c r="A1660" s="7">
        <v>1658</v>
      </c>
      <c r="B1660" s="7" t="s">
        <v>9174</v>
      </c>
      <c r="C1660" s="7" t="s">
        <v>8984</v>
      </c>
      <c r="D1660" s="7" t="s">
        <v>7547</v>
      </c>
      <c r="E1660" s="7" t="s">
        <v>11294</v>
      </c>
      <c r="F1660" s="8" t="s">
        <v>11020</v>
      </c>
      <c r="G1660" s="7">
        <v>40</v>
      </c>
      <c r="H1660" s="7" t="s">
        <v>9003</v>
      </c>
      <c r="I1660" s="7">
        <v>1</v>
      </c>
      <c r="J1660" s="7" t="s">
        <v>7860</v>
      </c>
      <c r="K1660" s="9" t="s">
        <v>8987</v>
      </c>
    </row>
    <row r="1661" spans="1:11">
      <c r="A1661" s="7">
        <v>1659</v>
      </c>
      <c r="B1661" s="7" t="s">
        <v>9174</v>
      </c>
      <c r="C1661" s="7" t="s">
        <v>11152</v>
      </c>
      <c r="D1661" s="7" t="s">
        <v>7547</v>
      </c>
      <c r="E1661" s="7" t="s">
        <v>11295</v>
      </c>
      <c r="F1661" s="8" t="s">
        <v>11020</v>
      </c>
      <c r="G1661" s="7">
        <v>11</v>
      </c>
      <c r="H1661" s="7" t="s">
        <v>9386</v>
      </c>
      <c r="I1661" s="7">
        <v>1</v>
      </c>
      <c r="J1661" s="7" t="s">
        <v>7865</v>
      </c>
      <c r="K1661" s="9" t="s">
        <v>8987</v>
      </c>
    </row>
    <row r="1662" spans="1:11">
      <c r="A1662" s="7">
        <v>1660</v>
      </c>
      <c r="B1662" s="7" t="s">
        <v>9174</v>
      </c>
      <c r="C1662" s="7" t="s">
        <v>8984</v>
      </c>
      <c r="D1662" s="7" t="s">
        <v>7547</v>
      </c>
      <c r="E1662" s="7" t="s">
        <v>11296</v>
      </c>
      <c r="F1662" s="8" t="s">
        <v>9272</v>
      </c>
      <c r="G1662" s="7">
        <v>40</v>
      </c>
      <c r="H1662" s="7" t="s">
        <v>9003</v>
      </c>
      <c r="I1662" s="7">
        <v>1</v>
      </c>
      <c r="J1662" s="7" t="s">
        <v>7860</v>
      </c>
      <c r="K1662" s="9" t="s">
        <v>8987</v>
      </c>
    </row>
    <row r="1663" spans="1:11">
      <c r="A1663" s="7">
        <v>1661</v>
      </c>
      <c r="B1663" s="7" t="s">
        <v>9174</v>
      </c>
      <c r="C1663" s="7" t="s">
        <v>8984</v>
      </c>
      <c r="D1663" s="7" t="s">
        <v>7547</v>
      </c>
      <c r="E1663" s="7" t="s">
        <v>11297</v>
      </c>
      <c r="F1663" s="8" t="s">
        <v>9272</v>
      </c>
      <c r="G1663" s="7">
        <v>20</v>
      </c>
      <c r="H1663" s="7" t="s">
        <v>9394</v>
      </c>
      <c r="I1663" s="7">
        <v>1</v>
      </c>
      <c r="J1663" s="7" t="s">
        <v>7851</v>
      </c>
      <c r="K1663" s="9" t="s">
        <v>8987</v>
      </c>
    </row>
    <row r="1664" spans="1:11">
      <c r="A1664" s="7">
        <v>1662</v>
      </c>
      <c r="B1664" s="7" t="s">
        <v>9174</v>
      </c>
      <c r="C1664" s="7" t="s">
        <v>8984</v>
      </c>
      <c r="D1664" s="7" t="s">
        <v>7547</v>
      </c>
      <c r="E1664" s="7" t="s">
        <v>11298</v>
      </c>
      <c r="F1664" s="8" t="s">
        <v>9272</v>
      </c>
      <c r="G1664" s="7">
        <v>40</v>
      </c>
      <c r="H1664" s="7" t="s">
        <v>9003</v>
      </c>
      <c r="I1664" s="7">
        <v>1</v>
      </c>
      <c r="J1664" s="7" t="s">
        <v>7860</v>
      </c>
      <c r="K1664" s="9" t="s">
        <v>8987</v>
      </c>
    </row>
    <row r="1665" spans="1:11">
      <c r="A1665" s="7">
        <v>1663</v>
      </c>
      <c r="B1665" s="7" t="s">
        <v>9174</v>
      </c>
      <c r="C1665" s="7" t="s">
        <v>8984</v>
      </c>
      <c r="D1665" s="7" t="s">
        <v>7547</v>
      </c>
      <c r="E1665" s="7" t="s">
        <v>11299</v>
      </c>
      <c r="F1665" s="8" t="s">
        <v>9272</v>
      </c>
      <c r="G1665" s="7">
        <v>80</v>
      </c>
      <c r="H1665" s="7" t="s">
        <v>9153</v>
      </c>
      <c r="I1665" s="7">
        <v>1</v>
      </c>
      <c r="J1665" s="7" t="s">
        <v>7867</v>
      </c>
      <c r="K1665" s="9" t="s">
        <v>8987</v>
      </c>
    </row>
    <row r="1666" spans="1:11">
      <c r="A1666" s="7">
        <v>1664</v>
      </c>
      <c r="B1666" s="7" t="s">
        <v>9174</v>
      </c>
      <c r="C1666" s="7" t="s">
        <v>8984</v>
      </c>
      <c r="D1666" s="7" t="s">
        <v>7547</v>
      </c>
      <c r="E1666" s="7" t="s">
        <v>11300</v>
      </c>
      <c r="F1666" s="8" t="s">
        <v>9272</v>
      </c>
      <c r="G1666" s="7">
        <v>60</v>
      </c>
      <c r="H1666" s="7" t="s">
        <v>9289</v>
      </c>
      <c r="I1666" s="7">
        <v>1</v>
      </c>
      <c r="J1666" s="7" t="s">
        <v>7870</v>
      </c>
      <c r="K1666" s="9" t="s">
        <v>8987</v>
      </c>
    </row>
    <row r="1667" spans="1:11">
      <c r="A1667" s="7">
        <v>1665</v>
      </c>
      <c r="B1667" s="7" t="s">
        <v>9174</v>
      </c>
      <c r="C1667" s="7" t="s">
        <v>8984</v>
      </c>
      <c r="D1667" s="7" t="s">
        <v>7547</v>
      </c>
      <c r="E1667" s="7" t="s">
        <v>11301</v>
      </c>
      <c r="F1667" s="8" t="s">
        <v>9272</v>
      </c>
      <c r="G1667" s="7">
        <v>100</v>
      </c>
      <c r="H1667" s="7" t="s">
        <v>9046</v>
      </c>
      <c r="I1667" s="7">
        <v>1</v>
      </c>
      <c r="J1667" s="7" t="s">
        <v>7878</v>
      </c>
      <c r="K1667" s="9" t="s">
        <v>8987</v>
      </c>
    </row>
    <row r="1668" spans="1:11">
      <c r="A1668" s="7">
        <v>1666</v>
      </c>
      <c r="B1668" s="7" t="s">
        <v>9719</v>
      </c>
      <c r="C1668" s="7" t="s">
        <v>11152</v>
      </c>
      <c r="D1668" s="7" t="s">
        <v>7547</v>
      </c>
      <c r="E1668" s="7" t="s">
        <v>11302</v>
      </c>
      <c r="F1668" s="8" t="s">
        <v>9272</v>
      </c>
      <c r="G1668" s="7">
        <v>80</v>
      </c>
      <c r="H1668" s="7" t="s">
        <v>9153</v>
      </c>
      <c r="I1668" s="7">
        <v>1</v>
      </c>
      <c r="J1668" s="7" t="s">
        <v>7867</v>
      </c>
      <c r="K1668" s="9" t="s">
        <v>8987</v>
      </c>
    </row>
    <row r="1669" spans="1:11">
      <c r="A1669" s="7">
        <v>1667</v>
      </c>
      <c r="B1669" s="7" t="s">
        <v>9174</v>
      </c>
      <c r="C1669" s="7" t="s">
        <v>8984</v>
      </c>
      <c r="D1669" s="7" t="s">
        <v>7547</v>
      </c>
      <c r="E1669" s="7" t="s">
        <v>11303</v>
      </c>
      <c r="F1669" s="8" t="s">
        <v>9275</v>
      </c>
      <c r="G1669" s="7">
        <v>40</v>
      </c>
      <c r="H1669" s="7" t="s">
        <v>9003</v>
      </c>
      <c r="I1669" s="7">
        <v>1</v>
      </c>
      <c r="J1669" s="7" t="s">
        <v>7860</v>
      </c>
      <c r="K1669" s="9" t="s">
        <v>8987</v>
      </c>
    </row>
    <row r="1670" spans="1:11">
      <c r="A1670" s="7">
        <v>1668</v>
      </c>
      <c r="B1670" s="7" t="s">
        <v>9174</v>
      </c>
      <c r="C1670" s="7" t="s">
        <v>8984</v>
      </c>
      <c r="D1670" s="7" t="s">
        <v>7547</v>
      </c>
      <c r="E1670" s="7" t="s">
        <v>11304</v>
      </c>
      <c r="F1670" s="8" t="s">
        <v>9275</v>
      </c>
      <c r="G1670" s="7">
        <v>20</v>
      </c>
      <c r="H1670" s="7" t="s">
        <v>9394</v>
      </c>
      <c r="I1670" s="7">
        <v>1</v>
      </c>
      <c r="J1670" s="7" t="s">
        <v>7851</v>
      </c>
      <c r="K1670" s="9" t="s">
        <v>8987</v>
      </c>
    </row>
    <row r="1671" spans="1:11">
      <c r="A1671" s="7">
        <v>1669</v>
      </c>
      <c r="B1671" s="7" t="s">
        <v>9174</v>
      </c>
      <c r="C1671" s="7" t="s">
        <v>8984</v>
      </c>
      <c r="D1671" s="7" t="s">
        <v>7547</v>
      </c>
      <c r="E1671" s="7" t="s">
        <v>11305</v>
      </c>
      <c r="F1671" s="8" t="s">
        <v>9275</v>
      </c>
      <c r="G1671" s="7">
        <v>40</v>
      </c>
      <c r="H1671" s="7" t="s">
        <v>9003</v>
      </c>
      <c r="I1671" s="7">
        <v>1</v>
      </c>
      <c r="J1671" s="7" t="s">
        <v>7860</v>
      </c>
      <c r="K1671" s="9" t="s">
        <v>8987</v>
      </c>
    </row>
    <row r="1672" spans="1:11">
      <c r="A1672" s="7">
        <v>1670</v>
      </c>
      <c r="B1672" s="7" t="s">
        <v>9174</v>
      </c>
      <c r="C1672" s="7" t="s">
        <v>8984</v>
      </c>
      <c r="D1672" s="7" t="s">
        <v>7547</v>
      </c>
      <c r="E1672" s="7" t="s">
        <v>11306</v>
      </c>
      <c r="F1672" s="8" t="s">
        <v>9275</v>
      </c>
      <c r="G1672" s="7">
        <v>80</v>
      </c>
      <c r="H1672" s="7" t="s">
        <v>9153</v>
      </c>
      <c r="I1672" s="7">
        <v>1</v>
      </c>
      <c r="J1672" s="7" t="s">
        <v>7867</v>
      </c>
      <c r="K1672" s="9" t="s">
        <v>8987</v>
      </c>
    </row>
    <row r="1673" spans="1:11">
      <c r="A1673" s="7">
        <v>1671</v>
      </c>
      <c r="B1673" s="7" t="s">
        <v>9174</v>
      </c>
      <c r="C1673" s="7" t="s">
        <v>8984</v>
      </c>
      <c r="D1673" s="7" t="s">
        <v>7547</v>
      </c>
      <c r="E1673" s="7" t="s">
        <v>11307</v>
      </c>
      <c r="F1673" s="8" t="s">
        <v>9275</v>
      </c>
      <c r="G1673" s="7">
        <v>60</v>
      </c>
      <c r="H1673" s="7" t="s">
        <v>9289</v>
      </c>
      <c r="I1673" s="7">
        <v>1</v>
      </c>
      <c r="J1673" s="7" t="s">
        <v>7870</v>
      </c>
      <c r="K1673" s="9" t="s">
        <v>8987</v>
      </c>
    </row>
    <row r="1674" spans="1:11">
      <c r="A1674" s="7">
        <v>1672</v>
      </c>
      <c r="B1674" s="7" t="s">
        <v>9174</v>
      </c>
      <c r="C1674" s="7" t="s">
        <v>8984</v>
      </c>
      <c r="D1674" s="7" t="s">
        <v>7547</v>
      </c>
      <c r="E1674" s="7" t="s">
        <v>11308</v>
      </c>
      <c r="F1674" s="8" t="s">
        <v>9275</v>
      </c>
      <c r="G1674" s="7">
        <v>100</v>
      </c>
      <c r="H1674" s="7" t="s">
        <v>9046</v>
      </c>
      <c r="I1674" s="7">
        <v>1</v>
      </c>
      <c r="J1674" s="7" t="s">
        <v>7878</v>
      </c>
      <c r="K1674" s="9" t="s">
        <v>8987</v>
      </c>
    </row>
    <row r="1675" spans="1:11">
      <c r="A1675" s="7">
        <v>1673</v>
      </c>
      <c r="B1675" s="7" t="s">
        <v>9174</v>
      </c>
      <c r="C1675" s="7" t="s">
        <v>11152</v>
      </c>
      <c r="D1675" s="7" t="s">
        <v>7547</v>
      </c>
      <c r="E1675" s="7" t="s">
        <v>11309</v>
      </c>
      <c r="F1675" s="8" t="s">
        <v>9275</v>
      </c>
      <c r="G1675" s="7">
        <v>80</v>
      </c>
      <c r="H1675" s="7" t="s">
        <v>9153</v>
      </c>
      <c r="I1675" s="7">
        <v>1</v>
      </c>
      <c r="J1675" s="7" t="s">
        <v>7867</v>
      </c>
      <c r="K1675" s="9" t="s">
        <v>8987</v>
      </c>
    </row>
    <row r="1676" spans="1:11">
      <c r="A1676" s="7">
        <v>1674</v>
      </c>
      <c r="B1676" s="7" t="s">
        <v>9174</v>
      </c>
      <c r="C1676" s="7" t="s">
        <v>8998</v>
      </c>
      <c r="D1676" s="7" t="s">
        <v>7547</v>
      </c>
      <c r="E1676" s="7" t="s">
        <v>11310</v>
      </c>
      <c r="F1676" s="8" t="s">
        <v>11022</v>
      </c>
      <c r="G1676" s="7">
        <v>40</v>
      </c>
      <c r="H1676" s="7" t="s">
        <v>9003</v>
      </c>
      <c r="I1676" s="7">
        <v>1</v>
      </c>
      <c r="J1676" s="7" t="s">
        <v>7860</v>
      </c>
      <c r="K1676" s="9" t="s">
        <v>8987</v>
      </c>
    </row>
    <row r="1677" spans="1:11">
      <c r="A1677" s="7">
        <v>1675</v>
      </c>
      <c r="B1677" s="7" t="s">
        <v>9174</v>
      </c>
      <c r="C1677" s="7" t="s">
        <v>8998</v>
      </c>
      <c r="D1677" s="7" t="s">
        <v>7547</v>
      </c>
      <c r="E1677" s="7" t="s">
        <v>11311</v>
      </c>
      <c r="F1677" s="8" t="s">
        <v>11022</v>
      </c>
      <c r="G1677" s="7">
        <v>20</v>
      </c>
      <c r="H1677" s="7" t="s">
        <v>9394</v>
      </c>
      <c r="I1677" s="7">
        <v>1</v>
      </c>
      <c r="J1677" s="7" t="s">
        <v>7851</v>
      </c>
      <c r="K1677" s="9" t="s">
        <v>8987</v>
      </c>
    </row>
    <row r="1678" spans="1:11">
      <c r="A1678" s="7">
        <v>1676</v>
      </c>
      <c r="B1678" s="7" t="s">
        <v>9174</v>
      </c>
      <c r="C1678" s="7" t="s">
        <v>8998</v>
      </c>
      <c r="D1678" s="7" t="s">
        <v>7547</v>
      </c>
      <c r="E1678" s="7" t="s">
        <v>11312</v>
      </c>
      <c r="F1678" s="8" t="s">
        <v>11022</v>
      </c>
      <c r="G1678" s="7">
        <v>40</v>
      </c>
      <c r="H1678" s="7" t="s">
        <v>9003</v>
      </c>
      <c r="I1678" s="7">
        <v>1</v>
      </c>
      <c r="J1678" s="7" t="s">
        <v>7860</v>
      </c>
      <c r="K1678" s="9" t="s">
        <v>8987</v>
      </c>
    </row>
    <row r="1679" spans="1:11">
      <c r="A1679" s="7">
        <v>1677</v>
      </c>
      <c r="B1679" s="7" t="s">
        <v>9174</v>
      </c>
      <c r="C1679" s="7" t="s">
        <v>8998</v>
      </c>
      <c r="D1679" s="7" t="s">
        <v>7547</v>
      </c>
      <c r="E1679" s="7" t="s">
        <v>11313</v>
      </c>
      <c r="F1679" s="8" t="s">
        <v>11022</v>
      </c>
      <c r="G1679" s="7">
        <v>80</v>
      </c>
      <c r="H1679" s="7" t="s">
        <v>9153</v>
      </c>
      <c r="I1679" s="7">
        <v>1</v>
      </c>
      <c r="J1679" s="7" t="s">
        <v>7867</v>
      </c>
      <c r="K1679" s="9" t="s">
        <v>8987</v>
      </c>
    </row>
    <row r="1680" spans="1:11">
      <c r="A1680" s="7">
        <v>1678</v>
      </c>
      <c r="B1680" s="7" t="s">
        <v>9174</v>
      </c>
      <c r="C1680" s="7" t="s">
        <v>8998</v>
      </c>
      <c r="D1680" s="7" t="s">
        <v>7547</v>
      </c>
      <c r="E1680" s="7" t="s">
        <v>11314</v>
      </c>
      <c r="F1680" s="8" t="s">
        <v>11022</v>
      </c>
      <c r="G1680" s="7">
        <v>60</v>
      </c>
      <c r="H1680" s="7" t="s">
        <v>9289</v>
      </c>
      <c r="I1680" s="7">
        <v>1</v>
      </c>
      <c r="J1680" s="7" t="s">
        <v>7870</v>
      </c>
      <c r="K1680" s="9" t="s">
        <v>8987</v>
      </c>
    </row>
    <row r="1681" spans="1:11">
      <c r="A1681" s="7">
        <v>1679</v>
      </c>
      <c r="B1681" s="7" t="s">
        <v>9174</v>
      </c>
      <c r="C1681" s="7" t="s">
        <v>8998</v>
      </c>
      <c r="D1681" s="7" t="s">
        <v>7547</v>
      </c>
      <c r="E1681" s="7" t="s">
        <v>11315</v>
      </c>
      <c r="F1681" s="8" t="s">
        <v>11022</v>
      </c>
      <c r="G1681" s="7">
        <v>100</v>
      </c>
      <c r="H1681" s="7" t="s">
        <v>9046</v>
      </c>
      <c r="I1681" s="7">
        <v>1</v>
      </c>
      <c r="J1681" s="7" t="s">
        <v>7878</v>
      </c>
      <c r="K1681" s="9" t="s">
        <v>8987</v>
      </c>
    </row>
    <row r="1682" spans="1:11">
      <c r="A1682" s="7">
        <v>1680</v>
      </c>
      <c r="B1682" s="7" t="s">
        <v>9174</v>
      </c>
      <c r="C1682" s="7" t="s">
        <v>11152</v>
      </c>
      <c r="D1682" s="7" t="s">
        <v>7547</v>
      </c>
      <c r="E1682" s="7" t="s">
        <v>11316</v>
      </c>
      <c r="F1682" s="8" t="s">
        <v>11022</v>
      </c>
      <c r="G1682" s="7">
        <v>80</v>
      </c>
      <c r="H1682" s="7" t="s">
        <v>9153</v>
      </c>
      <c r="I1682" s="7">
        <v>1</v>
      </c>
      <c r="J1682" s="7" t="s">
        <v>7867</v>
      </c>
      <c r="K1682" s="9" t="s">
        <v>8987</v>
      </c>
    </row>
    <row r="1683" spans="1:11">
      <c r="A1683" s="7">
        <v>1681</v>
      </c>
      <c r="B1683" s="7" t="s">
        <v>9174</v>
      </c>
      <c r="C1683" s="7" t="s">
        <v>8984</v>
      </c>
      <c r="D1683" s="7" t="s">
        <v>7547</v>
      </c>
      <c r="E1683" s="7" t="s">
        <v>11317</v>
      </c>
      <c r="F1683" s="8" t="s">
        <v>9279</v>
      </c>
      <c r="G1683" s="7">
        <v>2</v>
      </c>
      <c r="H1683" s="7" t="s">
        <v>10476</v>
      </c>
      <c r="I1683" s="7">
        <v>1</v>
      </c>
      <c r="J1683" s="7" t="s">
        <v>7861</v>
      </c>
      <c r="K1683" s="9" t="s">
        <v>8987</v>
      </c>
    </row>
    <row r="1684" spans="1:11">
      <c r="A1684" s="7">
        <v>1682</v>
      </c>
      <c r="B1684" s="7" t="s">
        <v>9174</v>
      </c>
      <c r="C1684" s="7" t="s">
        <v>8984</v>
      </c>
      <c r="D1684" s="7" t="s">
        <v>7547</v>
      </c>
      <c r="E1684" s="7" t="s">
        <v>11318</v>
      </c>
      <c r="F1684" s="8" t="s">
        <v>9279</v>
      </c>
      <c r="G1684" s="7">
        <v>1</v>
      </c>
      <c r="H1684" s="7" t="s">
        <v>9112</v>
      </c>
      <c r="I1684" s="7">
        <v>1</v>
      </c>
      <c r="J1684" s="7" t="s">
        <v>9113</v>
      </c>
      <c r="K1684" s="9" t="s">
        <v>8987</v>
      </c>
    </row>
    <row r="1685" spans="1:11">
      <c r="A1685" s="7">
        <v>1683</v>
      </c>
      <c r="B1685" s="7" t="s">
        <v>9174</v>
      </c>
      <c r="C1685" s="7" t="s">
        <v>8984</v>
      </c>
      <c r="D1685" s="7" t="s">
        <v>7547</v>
      </c>
      <c r="E1685" s="7" t="s">
        <v>11319</v>
      </c>
      <c r="F1685" s="8" t="s">
        <v>9279</v>
      </c>
      <c r="G1685" s="7">
        <v>2</v>
      </c>
      <c r="H1685" s="7" t="s">
        <v>10476</v>
      </c>
      <c r="I1685" s="7">
        <v>1</v>
      </c>
      <c r="J1685" s="7" t="s">
        <v>7861</v>
      </c>
      <c r="K1685" s="9" t="s">
        <v>8987</v>
      </c>
    </row>
    <row r="1686" spans="1:11">
      <c r="A1686" s="7">
        <v>1684</v>
      </c>
      <c r="B1686" s="7" t="s">
        <v>9174</v>
      </c>
      <c r="C1686" s="7" t="s">
        <v>8984</v>
      </c>
      <c r="D1686" s="7" t="s">
        <v>7547</v>
      </c>
      <c r="E1686" s="7" t="s">
        <v>11320</v>
      </c>
      <c r="F1686" s="8" t="s">
        <v>9279</v>
      </c>
      <c r="G1686" s="7">
        <v>4</v>
      </c>
      <c r="H1686" s="7" t="s">
        <v>9579</v>
      </c>
      <c r="I1686" s="7">
        <v>1</v>
      </c>
      <c r="J1686" s="7" t="s">
        <v>7617</v>
      </c>
      <c r="K1686" s="9" t="s">
        <v>8987</v>
      </c>
    </row>
    <row r="1687" spans="1:11">
      <c r="A1687" s="7">
        <v>1685</v>
      </c>
      <c r="B1687" s="7" t="s">
        <v>9174</v>
      </c>
      <c r="C1687" s="7" t="s">
        <v>8984</v>
      </c>
      <c r="D1687" s="7" t="s">
        <v>7547</v>
      </c>
      <c r="E1687" s="7" t="s">
        <v>11321</v>
      </c>
      <c r="F1687" s="8" t="s">
        <v>9279</v>
      </c>
      <c r="G1687" s="7">
        <v>3</v>
      </c>
      <c r="H1687" s="7" t="s">
        <v>9187</v>
      </c>
      <c r="I1687" s="7">
        <v>1</v>
      </c>
      <c r="J1687" s="7" t="s">
        <v>7872</v>
      </c>
      <c r="K1687" s="9" t="s">
        <v>8987</v>
      </c>
    </row>
    <row r="1688" spans="1:11">
      <c r="A1688" s="7">
        <v>1686</v>
      </c>
      <c r="B1688" s="7" t="s">
        <v>9174</v>
      </c>
      <c r="C1688" s="7" t="s">
        <v>8984</v>
      </c>
      <c r="D1688" s="7" t="s">
        <v>7547</v>
      </c>
      <c r="E1688" s="7" t="s">
        <v>11322</v>
      </c>
      <c r="F1688" s="8" t="s">
        <v>9279</v>
      </c>
      <c r="G1688" s="7">
        <v>7</v>
      </c>
      <c r="H1688" s="7" t="s">
        <v>9182</v>
      </c>
      <c r="I1688" s="7">
        <v>1</v>
      </c>
      <c r="J1688" s="7" t="s">
        <v>7866</v>
      </c>
      <c r="K1688" s="9" t="s">
        <v>8987</v>
      </c>
    </row>
    <row r="1689" spans="1:11">
      <c r="A1689" s="7">
        <v>1687</v>
      </c>
      <c r="B1689" s="7" t="s">
        <v>9174</v>
      </c>
      <c r="C1689" s="7" t="s">
        <v>11152</v>
      </c>
      <c r="D1689" s="7" t="s">
        <v>7547</v>
      </c>
      <c r="E1689" s="7" t="s">
        <v>11323</v>
      </c>
      <c r="F1689" s="8" t="s">
        <v>9279</v>
      </c>
      <c r="G1689" s="7">
        <v>5</v>
      </c>
      <c r="H1689" s="7" t="s">
        <v>9336</v>
      </c>
      <c r="I1689" s="7">
        <v>1</v>
      </c>
      <c r="J1689" s="7" t="s">
        <v>7620</v>
      </c>
      <c r="K1689" s="9" t="s">
        <v>8987</v>
      </c>
    </row>
    <row r="1690" spans="1:11">
      <c r="A1690" s="7">
        <v>1688</v>
      </c>
      <c r="B1690" s="7" t="s">
        <v>9174</v>
      </c>
      <c r="C1690" s="7" t="s">
        <v>8984</v>
      </c>
      <c r="D1690" s="7" t="s">
        <v>7547</v>
      </c>
      <c r="E1690" s="7" t="s">
        <v>11324</v>
      </c>
      <c r="F1690" s="8" t="s">
        <v>11325</v>
      </c>
      <c r="G1690" s="7">
        <v>80</v>
      </c>
      <c r="H1690" s="7" t="s">
        <v>9153</v>
      </c>
      <c r="I1690" s="7">
        <v>1</v>
      </c>
      <c r="J1690" s="7" t="s">
        <v>7867</v>
      </c>
      <c r="K1690" s="9" t="s">
        <v>8987</v>
      </c>
    </row>
    <row r="1691" spans="1:11">
      <c r="A1691" s="7">
        <v>1689</v>
      </c>
      <c r="B1691" s="7" t="s">
        <v>9174</v>
      </c>
      <c r="C1691" s="7" t="s">
        <v>11152</v>
      </c>
      <c r="D1691" s="7" t="s">
        <v>7547</v>
      </c>
      <c r="E1691" s="7" t="s">
        <v>11326</v>
      </c>
      <c r="F1691" s="8" t="s">
        <v>11325</v>
      </c>
      <c r="G1691" s="7">
        <v>40</v>
      </c>
      <c r="H1691" s="7" t="s">
        <v>9003</v>
      </c>
      <c r="I1691" s="7">
        <v>1</v>
      </c>
      <c r="J1691" s="7" t="s">
        <v>7860</v>
      </c>
      <c r="K1691" s="9" t="s">
        <v>8987</v>
      </c>
    </row>
    <row r="1692" spans="1:11">
      <c r="A1692" s="7">
        <v>1690</v>
      </c>
      <c r="B1692" s="7" t="s">
        <v>9174</v>
      </c>
      <c r="C1692" s="7" t="s">
        <v>8984</v>
      </c>
      <c r="D1692" s="7" t="s">
        <v>7547</v>
      </c>
      <c r="E1692" s="7" t="s">
        <v>11327</v>
      </c>
      <c r="F1692" s="8" t="s">
        <v>11328</v>
      </c>
      <c r="G1692" s="7">
        <v>8</v>
      </c>
      <c r="H1692" s="7" t="s">
        <v>8991</v>
      </c>
      <c r="I1692" s="7">
        <v>1</v>
      </c>
      <c r="J1692" s="7" t="s">
        <v>7764</v>
      </c>
      <c r="K1692" s="9" t="s">
        <v>8987</v>
      </c>
    </row>
    <row r="1693" spans="1:11">
      <c r="A1693" s="7">
        <v>1691</v>
      </c>
      <c r="B1693" s="7" t="s">
        <v>9174</v>
      </c>
      <c r="C1693" s="7" t="s">
        <v>8984</v>
      </c>
      <c r="D1693" s="7" t="s">
        <v>7547</v>
      </c>
      <c r="E1693" s="7" t="s">
        <v>11329</v>
      </c>
      <c r="F1693" s="8" t="s">
        <v>11328</v>
      </c>
      <c r="G1693" s="7">
        <v>4</v>
      </c>
      <c r="H1693" s="7" t="s">
        <v>9579</v>
      </c>
      <c r="I1693" s="7">
        <v>1</v>
      </c>
      <c r="J1693" s="7" t="s">
        <v>7617</v>
      </c>
      <c r="K1693" s="9" t="s">
        <v>8987</v>
      </c>
    </row>
    <row r="1694" spans="1:11">
      <c r="A1694" s="7">
        <v>1692</v>
      </c>
      <c r="B1694" s="7" t="s">
        <v>9174</v>
      </c>
      <c r="C1694" s="7" t="s">
        <v>8984</v>
      </c>
      <c r="D1694" s="7" t="s">
        <v>7547</v>
      </c>
      <c r="E1694" s="7" t="s">
        <v>11330</v>
      </c>
      <c r="F1694" s="8" t="s">
        <v>11328</v>
      </c>
      <c r="G1694" s="7">
        <v>8</v>
      </c>
      <c r="H1694" s="7" t="s">
        <v>8991</v>
      </c>
      <c r="I1694" s="7">
        <v>1</v>
      </c>
      <c r="J1694" s="7" t="s">
        <v>7764</v>
      </c>
      <c r="K1694" s="9" t="s">
        <v>8987</v>
      </c>
    </row>
    <row r="1695" spans="1:11">
      <c r="A1695" s="7">
        <v>1693</v>
      </c>
      <c r="B1695" s="7" t="s">
        <v>9174</v>
      </c>
      <c r="C1695" s="7" t="s">
        <v>8984</v>
      </c>
      <c r="D1695" s="7" t="s">
        <v>7547</v>
      </c>
      <c r="E1695" s="7" t="s">
        <v>11331</v>
      </c>
      <c r="F1695" s="8" t="s">
        <v>11328</v>
      </c>
      <c r="G1695" s="7">
        <v>16</v>
      </c>
      <c r="H1695" s="7" t="s">
        <v>9215</v>
      </c>
      <c r="I1695" s="7">
        <v>1</v>
      </c>
      <c r="J1695" s="7" t="s">
        <v>7882</v>
      </c>
      <c r="K1695" s="9" t="s">
        <v>8987</v>
      </c>
    </row>
    <row r="1696" spans="1:11">
      <c r="A1696" s="7">
        <v>1694</v>
      </c>
      <c r="B1696" s="7" t="s">
        <v>9174</v>
      </c>
      <c r="C1696" s="7" t="s">
        <v>8984</v>
      </c>
      <c r="D1696" s="7" t="s">
        <v>7547</v>
      </c>
      <c r="E1696" s="7" t="s">
        <v>11332</v>
      </c>
      <c r="F1696" s="8" t="s">
        <v>11328</v>
      </c>
      <c r="G1696" s="7">
        <v>12</v>
      </c>
      <c r="H1696" s="7" t="s">
        <v>9213</v>
      </c>
      <c r="I1696" s="7">
        <v>1</v>
      </c>
      <c r="J1696" s="7" t="s">
        <v>7864</v>
      </c>
      <c r="K1696" s="9" t="s">
        <v>8987</v>
      </c>
    </row>
    <row r="1697" spans="1:11">
      <c r="A1697" s="7">
        <v>1695</v>
      </c>
      <c r="B1697" s="7" t="s">
        <v>9174</v>
      </c>
      <c r="C1697" s="7" t="s">
        <v>8984</v>
      </c>
      <c r="D1697" s="7" t="s">
        <v>7547</v>
      </c>
      <c r="E1697" s="7" t="s">
        <v>11333</v>
      </c>
      <c r="F1697" s="8" t="s">
        <v>11328</v>
      </c>
      <c r="G1697" s="7">
        <v>31</v>
      </c>
      <c r="H1697" s="7" t="s">
        <v>9666</v>
      </c>
      <c r="I1697" s="7">
        <v>1</v>
      </c>
      <c r="J1697" s="7" t="s">
        <v>11236</v>
      </c>
      <c r="K1697" s="9" t="s">
        <v>8987</v>
      </c>
    </row>
    <row r="1698" spans="1:11">
      <c r="A1698" s="7">
        <v>1696</v>
      </c>
      <c r="B1698" s="7" t="s">
        <v>9174</v>
      </c>
      <c r="C1698" s="7" t="s">
        <v>11152</v>
      </c>
      <c r="D1698" s="7" t="s">
        <v>7547</v>
      </c>
      <c r="E1698" s="7" t="s">
        <v>11334</v>
      </c>
      <c r="F1698" s="8" t="s">
        <v>11328</v>
      </c>
      <c r="G1698" s="7">
        <v>8</v>
      </c>
      <c r="H1698" s="7" t="s">
        <v>8991</v>
      </c>
      <c r="I1698" s="7">
        <v>1</v>
      </c>
      <c r="J1698" s="7" t="s">
        <v>7764</v>
      </c>
      <c r="K1698" s="9" t="s">
        <v>8987</v>
      </c>
    </row>
    <row r="1699" spans="1:11">
      <c r="A1699" s="7">
        <v>1697</v>
      </c>
      <c r="B1699" s="7" t="s">
        <v>11335</v>
      </c>
      <c r="C1699" s="7" t="s">
        <v>8984</v>
      </c>
      <c r="D1699" s="7" t="s">
        <v>7547</v>
      </c>
      <c r="E1699" s="7" t="s">
        <v>11336</v>
      </c>
      <c r="F1699" s="8" t="s">
        <v>11337</v>
      </c>
      <c r="G1699" s="7">
        <v>100</v>
      </c>
      <c r="H1699" s="7" t="s">
        <v>9046</v>
      </c>
      <c r="I1699" s="7">
        <v>1</v>
      </c>
      <c r="J1699" s="7" t="s">
        <v>7878</v>
      </c>
      <c r="K1699" s="9" t="s">
        <v>8987</v>
      </c>
    </row>
    <row r="1700" spans="1:11">
      <c r="A1700" s="7">
        <v>1698</v>
      </c>
      <c r="B1700" s="7" t="s">
        <v>11105</v>
      </c>
      <c r="C1700" s="7" t="s">
        <v>8984</v>
      </c>
      <c r="D1700" s="7" t="s">
        <v>7547</v>
      </c>
      <c r="E1700" s="7" t="s">
        <v>11338</v>
      </c>
      <c r="F1700" s="8" t="s">
        <v>11337</v>
      </c>
      <c r="G1700" s="7">
        <v>60</v>
      </c>
      <c r="H1700" s="7" t="s">
        <v>9289</v>
      </c>
      <c r="I1700" s="7">
        <v>1</v>
      </c>
      <c r="J1700" s="7" t="s">
        <v>7870</v>
      </c>
      <c r="K1700" s="9" t="s">
        <v>8987</v>
      </c>
    </row>
    <row r="1701" spans="1:11">
      <c r="A1701" s="7">
        <v>1699</v>
      </c>
      <c r="B1701" s="7" t="s">
        <v>9174</v>
      </c>
      <c r="C1701" s="7" t="s">
        <v>8984</v>
      </c>
      <c r="D1701" s="7" t="s">
        <v>7547</v>
      </c>
      <c r="E1701" s="7" t="s">
        <v>11339</v>
      </c>
      <c r="F1701" s="8" t="s">
        <v>11337</v>
      </c>
      <c r="G1701" s="7">
        <v>40</v>
      </c>
      <c r="H1701" s="7" t="s">
        <v>9003</v>
      </c>
      <c r="I1701" s="7">
        <v>1</v>
      </c>
      <c r="J1701" s="7" t="s">
        <v>7860</v>
      </c>
      <c r="K1701" s="9" t="s">
        <v>8987</v>
      </c>
    </row>
    <row r="1702" spans="1:11">
      <c r="A1702" s="7">
        <v>1700</v>
      </c>
      <c r="B1702" s="7" t="s">
        <v>9174</v>
      </c>
      <c r="C1702" s="7" t="s">
        <v>8984</v>
      </c>
      <c r="D1702" s="7" t="s">
        <v>7547</v>
      </c>
      <c r="E1702" s="7" t="s">
        <v>11340</v>
      </c>
      <c r="F1702" s="8" t="s">
        <v>11337</v>
      </c>
      <c r="G1702" s="7">
        <v>20</v>
      </c>
      <c r="H1702" s="7" t="s">
        <v>9394</v>
      </c>
      <c r="I1702" s="7">
        <v>1</v>
      </c>
      <c r="J1702" s="7" t="s">
        <v>7851</v>
      </c>
      <c r="K1702" s="9" t="s">
        <v>8987</v>
      </c>
    </row>
    <row r="1703" spans="1:11">
      <c r="A1703" s="7">
        <v>1701</v>
      </c>
      <c r="B1703" s="7" t="s">
        <v>9174</v>
      </c>
      <c r="C1703" s="7" t="s">
        <v>8984</v>
      </c>
      <c r="D1703" s="7" t="s">
        <v>7547</v>
      </c>
      <c r="E1703" s="7" t="s">
        <v>11341</v>
      </c>
      <c r="F1703" s="8" t="s">
        <v>11337</v>
      </c>
      <c r="G1703" s="7">
        <v>40</v>
      </c>
      <c r="H1703" s="7" t="s">
        <v>9003</v>
      </c>
      <c r="I1703" s="7">
        <v>1</v>
      </c>
      <c r="J1703" s="7" t="s">
        <v>7860</v>
      </c>
      <c r="K1703" s="9" t="s">
        <v>8987</v>
      </c>
    </row>
    <row r="1704" spans="1:11">
      <c r="A1704" s="7">
        <v>1702</v>
      </c>
      <c r="B1704" s="7" t="s">
        <v>9174</v>
      </c>
      <c r="C1704" s="7" t="s">
        <v>11152</v>
      </c>
      <c r="D1704" s="7" t="s">
        <v>7547</v>
      </c>
      <c r="E1704" s="7" t="s">
        <v>11342</v>
      </c>
      <c r="F1704" s="8" t="s">
        <v>11337</v>
      </c>
      <c r="G1704" s="7">
        <v>40</v>
      </c>
      <c r="H1704" s="7" t="s">
        <v>9003</v>
      </c>
      <c r="I1704" s="7">
        <v>1</v>
      </c>
      <c r="J1704" s="7" t="s">
        <v>7860</v>
      </c>
      <c r="K1704" s="9" t="s">
        <v>8987</v>
      </c>
    </row>
    <row r="1705" spans="1:11">
      <c r="A1705" s="7">
        <v>1703</v>
      </c>
      <c r="B1705" s="7" t="s">
        <v>9088</v>
      </c>
      <c r="C1705" s="7" t="s">
        <v>8984</v>
      </c>
      <c r="D1705" s="7" t="s">
        <v>7581</v>
      </c>
      <c r="E1705" s="7" t="s">
        <v>11343</v>
      </c>
      <c r="F1705" s="8" t="s">
        <v>10068</v>
      </c>
      <c r="G1705" s="7">
        <v>11</v>
      </c>
      <c r="H1705" s="7" t="s">
        <v>9386</v>
      </c>
      <c r="I1705" s="7">
        <v>1</v>
      </c>
      <c r="J1705" s="7" t="s">
        <v>7865</v>
      </c>
      <c r="K1705" s="9" t="s">
        <v>8987</v>
      </c>
    </row>
    <row r="1706" spans="1:11">
      <c r="A1706" s="7">
        <v>1704</v>
      </c>
      <c r="B1706" s="7" t="s">
        <v>9088</v>
      </c>
      <c r="C1706" s="7" t="s">
        <v>8984</v>
      </c>
      <c r="D1706" s="7" t="s">
        <v>7581</v>
      </c>
      <c r="E1706" s="7" t="s">
        <v>11344</v>
      </c>
      <c r="F1706" s="8" t="s">
        <v>10068</v>
      </c>
      <c r="G1706" s="7">
        <v>22</v>
      </c>
      <c r="H1706" s="7" t="s">
        <v>8994</v>
      </c>
      <c r="I1706" s="7">
        <v>1</v>
      </c>
      <c r="J1706" s="7" t="s">
        <v>7879</v>
      </c>
      <c r="K1706" s="9" t="s">
        <v>8987</v>
      </c>
    </row>
    <row r="1707" spans="1:11">
      <c r="A1707" s="7">
        <v>1705</v>
      </c>
      <c r="B1707" s="7" t="s">
        <v>9088</v>
      </c>
      <c r="C1707" s="7" t="s">
        <v>8984</v>
      </c>
      <c r="D1707" s="7" t="s">
        <v>7581</v>
      </c>
      <c r="E1707" s="7" t="s">
        <v>11345</v>
      </c>
      <c r="F1707" s="8" t="s">
        <v>10068</v>
      </c>
      <c r="G1707" s="7">
        <v>33</v>
      </c>
      <c r="H1707" s="7" t="s">
        <v>11346</v>
      </c>
      <c r="I1707" s="7">
        <v>1</v>
      </c>
      <c r="J1707" s="7" t="s">
        <v>7887</v>
      </c>
      <c r="K1707" s="9" t="s">
        <v>8987</v>
      </c>
    </row>
    <row r="1708" spans="1:11">
      <c r="A1708" s="7">
        <v>1706</v>
      </c>
      <c r="B1708" s="7" t="s">
        <v>9088</v>
      </c>
      <c r="C1708" s="7" t="s">
        <v>8984</v>
      </c>
      <c r="D1708" s="7" t="s">
        <v>7581</v>
      </c>
      <c r="E1708" s="7" t="s">
        <v>11347</v>
      </c>
      <c r="F1708" s="8" t="s">
        <v>10068</v>
      </c>
      <c r="G1708" s="7">
        <v>22</v>
      </c>
      <c r="H1708" s="7" t="s">
        <v>8994</v>
      </c>
      <c r="I1708" s="7">
        <v>1</v>
      </c>
      <c r="J1708" s="7" t="s">
        <v>7879</v>
      </c>
      <c r="K1708" s="9" t="s">
        <v>8987</v>
      </c>
    </row>
    <row r="1709" spans="1:11">
      <c r="A1709" s="7">
        <v>1707</v>
      </c>
      <c r="B1709" s="7" t="s">
        <v>9088</v>
      </c>
      <c r="C1709" s="7" t="s">
        <v>8984</v>
      </c>
      <c r="D1709" s="7" t="s">
        <v>7581</v>
      </c>
      <c r="E1709" s="7" t="s">
        <v>11348</v>
      </c>
      <c r="F1709" s="8" t="s">
        <v>10068</v>
      </c>
      <c r="G1709" s="7">
        <v>22</v>
      </c>
      <c r="H1709" s="7" t="s">
        <v>8994</v>
      </c>
      <c r="I1709" s="7">
        <v>1</v>
      </c>
      <c r="J1709" s="7" t="s">
        <v>7879</v>
      </c>
      <c r="K1709" s="9" t="s">
        <v>8987</v>
      </c>
    </row>
    <row r="1710" spans="1:11">
      <c r="A1710" s="7">
        <v>1708</v>
      </c>
      <c r="B1710" s="7" t="s">
        <v>9088</v>
      </c>
      <c r="C1710" s="7" t="s">
        <v>11152</v>
      </c>
      <c r="D1710" s="7" t="s">
        <v>7581</v>
      </c>
      <c r="E1710" s="7" t="s">
        <v>11349</v>
      </c>
      <c r="F1710" s="8" t="s">
        <v>10068</v>
      </c>
      <c r="G1710" s="7">
        <v>11</v>
      </c>
      <c r="H1710" s="7" t="s">
        <v>9386</v>
      </c>
      <c r="I1710" s="7">
        <v>1</v>
      </c>
      <c r="J1710" s="7" t="s">
        <v>7865</v>
      </c>
      <c r="K1710" s="9" t="s">
        <v>8987</v>
      </c>
    </row>
    <row r="1711" spans="1:11">
      <c r="A1711" s="7">
        <v>1709</v>
      </c>
      <c r="B1711" s="7" t="s">
        <v>11164</v>
      </c>
      <c r="C1711" s="7" t="s">
        <v>8984</v>
      </c>
      <c r="D1711" s="10" t="s">
        <v>7581</v>
      </c>
      <c r="E1711" s="7" t="s">
        <v>11350</v>
      </c>
      <c r="F1711" s="8" t="s">
        <v>10994</v>
      </c>
      <c r="G1711" s="7">
        <v>11</v>
      </c>
      <c r="H1711" s="7" t="s">
        <v>9386</v>
      </c>
      <c r="I1711" s="7">
        <v>1</v>
      </c>
      <c r="J1711" s="7" t="s">
        <v>7865</v>
      </c>
      <c r="K1711" s="9" t="s">
        <v>8987</v>
      </c>
    </row>
    <row r="1712" spans="1:11">
      <c r="A1712" s="7">
        <v>1710</v>
      </c>
      <c r="B1712" s="7" t="s">
        <v>11164</v>
      </c>
      <c r="C1712" s="7" t="s">
        <v>8984</v>
      </c>
      <c r="D1712" s="7" t="s">
        <v>7581</v>
      </c>
      <c r="E1712" s="7" t="s">
        <v>11351</v>
      </c>
      <c r="F1712" s="8" t="s">
        <v>10994</v>
      </c>
      <c r="G1712" s="7">
        <v>22</v>
      </c>
      <c r="H1712" s="7" t="s">
        <v>8994</v>
      </c>
      <c r="I1712" s="7">
        <v>1</v>
      </c>
      <c r="J1712" s="7" t="s">
        <v>7879</v>
      </c>
      <c r="K1712" s="9" t="s">
        <v>8987</v>
      </c>
    </row>
    <row r="1713" spans="1:11">
      <c r="A1713" s="7">
        <v>1711</v>
      </c>
      <c r="B1713" s="7" t="s">
        <v>11164</v>
      </c>
      <c r="C1713" s="7" t="s">
        <v>8984</v>
      </c>
      <c r="D1713" s="7" t="s">
        <v>7581</v>
      </c>
      <c r="E1713" s="7" t="s">
        <v>11352</v>
      </c>
      <c r="F1713" s="8" t="s">
        <v>10994</v>
      </c>
      <c r="G1713" s="7">
        <v>33</v>
      </c>
      <c r="H1713" s="7" t="s">
        <v>11346</v>
      </c>
      <c r="I1713" s="7">
        <v>1</v>
      </c>
      <c r="J1713" s="7" t="s">
        <v>7887</v>
      </c>
      <c r="K1713" s="9" t="s">
        <v>8987</v>
      </c>
    </row>
    <row r="1714" spans="1:11">
      <c r="A1714" s="7">
        <v>1712</v>
      </c>
      <c r="B1714" s="7" t="s">
        <v>11164</v>
      </c>
      <c r="C1714" s="7" t="s">
        <v>8984</v>
      </c>
      <c r="D1714" s="7" t="s">
        <v>7581</v>
      </c>
      <c r="E1714" s="7" t="s">
        <v>11353</v>
      </c>
      <c r="F1714" s="8" t="s">
        <v>10994</v>
      </c>
      <c r="G1714" s="7">
        <v>22</v>
      </c>
      <c r="H1714" s="7" t="s">
        <v>8994</v>
      </c>
      <c r="I1714" s="7">
        <v>1</v>
      </c>
      <c r="J1714" s="7" t="s">
        <v>7879</v>
      </c>
      <c r="K1714" s="9" t="s">
        <v>8987</v>
      </c>
    </row>
    <row r="1715" spans="1:11">
      <c r="A1715" s="7">
        <v>1713</v>
      </c>
      <c r="B1715" s="7" t="s">
        <v>11164</v>
      </c>
      <c r="C1715" s="7" t="s">
        <v>8984</v>
      </c>
      <c r="D1715" s="7" t="s">
        <v>7581</v>
      </c>
      <c r="E1715" s="7" t="s">
        <v>11354</v>
      </c>
      <c r="F1715" s="8" t="s">
        <v>10994</v>
      </c>
      <c r="G1715" s="7">
        <v>22</v>
      </c>
      <c r="H1715" s="7" t="s">
        <v>8994</v>
      </c>
      <c r="I1715" s="7">
        <v>1</v>
      </c>
      <c r="J1715" s="7" t="s">
        <v>7879</v>
      </c>
      <c r="K1715" s="9" t="s">
        <v>8987</v>
      </c>
    </row>
    <row r="1716" spans="1:11">
      <c r="A1716" s="7">
        <v>1714</v>
      </c>
      <c r="B1716" s="7" t="s">
        <v>11164</v>
      </c>
      <c r="C1716" s="7" t="s">
        <v>11152</v>
      </c>
      <c r="D1716" s="7" t="s">
        <v>7581</v>
      </c>
      <c r="E1716" s="7" t="s">
        <v>11355</v>
      </c>
      <c r="F1716" s="8" t="s">
        <v>10994</v>
      </c>
      <c r="G1716" s="7">
        <v>11</v>
      </c>
      <c r="H1716" s="7" t="s">
        <v>9386</v>
      </c>
      <c r="I1716" s="7">
        <v>1</v>
      </c>
      <c r="J1716" s="7" t="s">
        <v>7865</v>
      </c>
      <c r="K1716" s="9" t="s">
        <v>8987</v>
      </c>
    </row>
    <row r="1717" spans="1:11">
      <c r="A1717" s="7">
        <v>1715</v>
      </c>
      <c r="B1717" s="7" t="s">
        <v>9174</v>
      </c>
      <c r="C1717" s="7" t="s">
        <v>8984</v>
      </c>
      <c r="D1717" s="7" t="s">
        <v>7581</v>
      </c>
      <c r="E1717" s="7" t="s">
        <v>11356</v>
      </c>
      <c r="F1717" s="8" t="s">
        <v>9453</v>
      </c>
      <c r="G1717" s="7">
        <v>10</v>
      </c>
      <c r="H1717" s="7" t="s">
        <v>9292</v>
      </c>
      <c r="I1717" s="7">
        <v>1</v>
      </c>
      <c r="J1717" s="7" t="s">
        <v>7768</v>
      </c>
      <c r="K1717" s="9" t="s">
        <v>8987</v>
      </c>
    </row>
    <row r="1718" spans="1:11">
      <c r="A1718" s="7">
        <v>1716</v>
      </c>
      <c r="B1718" s="7" t="s">
        <v>9174</v>
      </c>
      <c r="C1718" s="7" t="s">
        <v>8984</v>
      </c>
      <c r="D1718" s="7" t="s">
        <v>7581</v>
      </c>
      <c r="E1718" s="7" t="s">
        <v>11357</v>
      </c>
      <c r="F1718" s="8" t="s">
        <v>9453</v>
      </c>
      <c r="G1718" s="7">
        <v>20</v>
      </c>
      <c r="H1718" s="7" t="s">
        <v>9394</v>
      </c>
      <c r="I1718" s="7">
        <v>1</v>
      </c>
      <c r="J1718" s="7" t="s">
        <v>7851</v>
      </c>
      <c r="K1718" s="9" t="s">
        <v>8987</v>
      </c>
    </row>
    <row r="1719" spans="1:11">
      <c r="A1719" s="7">
        <v>1717</v>
      </c>
      <c r="B1719" s="7" t="s">
        <v>9174</v>
      </c>
      <c r="C1719" s="7" t="s">
        <v>8984</v>
      </c>
      <c r="D1719" s="7" t="s">
        <v>7581</v>
      </c>
      <c r="E1719" s="7" t="s">
        <v>11358</v>
      </c>
      <c r="F1719" s="8" t="s">
        <v>9453</v>
      </c>
      <c r="G1719" s="7">
        <v>30</v>
      </c>
      <c r="H1719" s="7" t="s">
        <v>9015</v>
      </c>
      <c r="I1719" s="7">
        <v>1</v>
      </c>
      <c r="J1719" s="7" t="s">
        <v>7855</v>
      </c>
      <c r="K1719" s="9" t="s">
        <v>8987</v>
      </c>
    </row>
    <row r="1720" spans="1:11">
      <c r="A1720" s="7">
        <v>1718</v>
      </c>
      <c r="B1720" s="7" t="s">
        <v>9174</v>
      </c>
      <c r="C1720" s="7" t="s">
        <v>8984</v>
      </c>
      <c r="D1720" s="7" t="s">
        <v>7581</v>
      </c>
      <c r="E1720" s="7" t="s">
        <v>11359</v>
      </c>
      <c r="F1720" s="8" t="s">
        <v>9453</v>
      </c>
      <c r="G1720" s="7">
        <v>20</v>
      </c>
      <c r="H1720" s="7" t="s">
        <v>9394</v>
      </c>
      <c r="I1720" s="7">
        <v>1</v>
      </c>
      <c r="J1720" s="7" t="s">
        <v>7851</v>
      </c>
      <c r="K1720" s="9" t="s">
        <v>8987</v>
      </c>
    </row>
    <row r="1721" spans="1:11">
      <c r="A1721" s="7">
        <v>1719</v>
      </c>
      <c r="B1721" s="7" t="s">
        <v>9174</v>
      </c>
      <c r="C1721" s="7" t="s">
        <v>8984</v>
      </c>
      <c r="D1721" s="7" t="s">
        <v>7581</v>
      </c>
      <c r="E1721" s="7" t="s">
        <v>11360</v>
      </c>
      <c r="F1721" s="8" t="s">
        <v>9453</v>
      </c>
      <c r="G1721" s="7">
        <v>20</v>
      </c>
      <c r="H1721" s="7" t="s">
        <v>9394</v>
      </c>
      <c r="I1721" s="7">
        <v>1</v>
      </c>
      <c r="J1721" s="7" t="s">
        <v>7851</v>
      </c>
      <c r="K1721" s="9" t="s">
        <v>8987</v>
      </c>
    </row>
    <row r="1722" spans="1:11">
      <c r="A1722" s="7">
        <v>1720</v>
      </c>
      <c r="B1722" s="7" t="s">
        <v>9719</v>
      </c>
      <c r="C1722" s="7" t="s">
        <v>11152</v>
      </c>
      <c r="D1722" s="7" t="s">
        <v>7581</v>
      </c>
      <c r="E1722" s="7" t="s">
        <v>11361</v>
      </c>
      <c r="F1722" s="8" t="s">
        <v>9453</v>
      </c>
      <c r="G1722" s="7">
        <v>10</v>
      </c>
      <c r="H1722" s="7" t="s">
        <v>9292</v>
      </c>
      <c r="I1722" s="7">
        <v>1</v>
      </c>
      <c r="J1722" s="7" t="s">
        <v>7768</v>
      </c>
      <c r="K1722" s="9" t="s">
        <v>8987</v>
      </c>
    </row>
    <row r="1723" spans="1:11">
      <c r="A1723" s="7">
        <v>1721</v>
      </c>
      <c r="B1723" s="7" t="s">
        <v>9174</v>
      </c>
      <c r="C1723" s="7" t="s">
        <v>8984</v>
      </c>
      <c r="D1723" s="7" t="s">
        <v>7581</v>
      </c>
      <c r="E1723" s="7" t="s">
        <v>11362</v>
      </c>
      <c r="F1723" s="8" t="s">
        <v>9657</v>
      </c>
      <c r="G1723" s="7">
        <v>30</v>
      </c>
      <c r="H1723" s="7" t="s">
        <v>9015</v>
      </c>
      <c r="I1723" s="7">
        <v>1</v>
      </c>
      <c r="J1723" s="7" t="s">
        <v>7855</v>
      </c>
      <c r="K1723" s="9" t="s">
        <v>8987</v>
      </c>
    </row>
    <row r="1724" spans="1:11">
      <c r="A1724" s="7">
        <v>1722</v>
      </c>
      <c r="B1724" s="7" t="s">
        <v>9174</v>
      </c>
      <c r="C1724" s="7" t="s">
        <v>8984</v>
      </c>
      <c r="D1724" s="7" t="s">
        <v>7581</v>
      </c>
      <c r="E1724" s="7" t="s">
        <v>11363</v>
      </c>
      <c r="F1724" s="8" t="s">
        <v>9657</v>
      </c>
      <c r="G1724" s="7">
        <v>60</v>
      </c>
      <c r="H1724" s="7" t="s">
        <v>9289</v>
      </c>
      <c r="I1724" s="7">
        <v>1</v>
      </c>
      <c r="J1724" s="7" t="s">
        <v>7870</v>
      </c>
      <c r="K1724" s="9" t="s">
        <v>8987</v>
      </c>
    </row>
    <row r="1725" spans="1:11">
      <c r="A1725" s="7">
        <v>1723</v>
      </c>
      <c r="B1725" s="7" t="s">
        <v>9174</v>
      </c>
      <c r="C1725" s="7" t="s">
        <v>8984</v>
      </c>
      <c r="D1725" s="7" t="s">
        <v>7581</v>
      </c>
      <c r="E1725" s="7" t="s">
        <v>11364</v>
      </c>
      <c r="F1725" s="8" t="s">
        <v>9657</v>
      </c>
      <c r="G1725" s="7">
        <v>90</v>
      </c>
      <c r="H1725" s="7" t="s">
        <v>9642</v>
      </c>
      <c r="I1725" s="7">
        <v>1</v>
      </c>
      <c r="J1725" s="7" t="s">
        <v>7869</v>
      </c>
      <c r="K1725" s="9" t="s">
        <v>8987</v>
      </c>
    </row>
    <row r="1726" spans="1:11">
      <c r="A1726" s="7">
        <v>1724</v>
      </c>
      <c r="B1726" s="7" t="s">
        <v>9174</v>
      </c>
      <c r="C1726" s="7" t="s">
        <v>8984</v>
      </c>
      <c r="D1726" s="7" t="s">
        <v>7581</v>
      </c>
      <c r="E1726" s="7" t="s">
        <v>11365</v>
      </c>
      <c r="F1726" s="8" t="s">
        <v>9657</v>
      </c>
      <c r="G1726" s="7">
        <v>60</v>
      </c>
      <c r="H1726" s="7" t="s">
        <v>9289</v>
      </c>
      <c r="I1726" s="7">
        <v>1</v>
      </c>
      <c r="J1726" s="7" t="s">
        <v>7870</v>
      </c>
      <c r="K1726" s="9" t="s">
        <v>8987</v>
      </c>
    </row>
    <row r="1727" spans="1:11">
      <c r="A1727" s="7">
        <v>1725</v>
      </c>
      <c r="B1727" s="7" t="s">
        <v>9174</v>
      </c>
      <c r="C1727" s="7" t="s">
        <v>8984</v>
      </c>
      <c r="D1727" s="7" t="s">
        <v>7581</v>
      </c>
      <c r="E1727" s="7" t="s">
        <v>11366</v>
      </c>
      <c r="F1727" s="8" t="s">
        <v>9657</v>
      </c>
      <c r="G1727" s="7">
        <v>60</v>
      </c>
      <c r="H1727" s="7" t="s">
        <v>9289</v>
      </c>
      <c r="I1727" s="7">
        <v>1</v>
      </c>
      <c r="J1727" s="7" t="s">
        <v>7870</v>
      </c>
      <c r="K1727" s="9" t="s">
        <v>8987</v>
      </c>
    </row>
    <row r="1728" spans="1:11">
      <c r="A1728" s="7">
        <v>1726</v>
      </c>
      <c r="B1728" s="7" t="s">
        <v>9719</v>
      </c>
      <c r="C1728" s="7" t="s">
        <v>11152</v>
      </c>
      <c r="D1728" s="7" t="s">
        <v>7581</v>
      </c>
      <c r="E1728" s="7" t="s">
        <v>11367</v>
      </c>
      <c r="F1728" s="8" t="s">
        <v>9657</v>
      </c>
      <c r="G1728" s="7">
        <v>30</v>
      </c>
      <c r="H1728" s="7" t="s">
        <v>9015</v>
      </c>
      <c r="I1728" s="7">
        <v>1</v>
      </c>
      <c r="J1728" s="7" t="s">
        <v>7855</v>
      </c>
      <c r="K1728" s="9" t="s">
        <v>8987</v>
      </c>
    </row>
    <row r="1729" spans="1:11">
      <c r="A1729" s="7">
        <v>1727</v>
      </c>
      <c r="B1729" s="7" t="s">
        <v>9174</v>
      </c>
      <c r="C1729" s="7" t="s">
        <v>8984</v>
      </c>
      <c r="D1729" s="7" t="s">
        <v>7581</v>
      </c>
      <c r="E1729" s="7" t="s">
        <v>11368</v>
      </c>
      <c r="F1729" s="8" t="s">
        <v>10049</v>
      </c>
      <c r="G1729" s="7">
        <v>33</v>
      </c>
      <c r="H1729" s="7" t="s">
        <v>11346</v>
      </c>
      <c r="I1729" s="7">
        <v>1</v>
      </c>
      <c r="J1729" s="7" t="s">
        <v>7887</v>
      </c>
      <c r="K1729" s="9" t="s">
        <v>8987</v>
      </c>
    </row>
    <row r="1730" spans="1:11">
      <c r="A1730" s="7">
        <v>1728</v>
      </c>
      <c r="B1730" s="7" t="s">
        <v>9174</v>
      </c>
      <c r="C1730" s="7" t="s">
        <v>8984</v>
      </c>
      <c r="D1730" s="7" t="s">
        <v>7581</v>
      </c>
      <c r="E1730" s="7" t="s">
        <v>11369</v>
      </c>
      <c r="F1730" s="8" t="s">
        <v>10049</v>
      </c>
      <c r="G1730" s="7">
        <v>66</v>
      </c>
      <c r="H1730" s="7" t="s">
        <v>11370</v>
      </c>
      <c r="I1730" s="7">
        <v>1</v>
      </c>
      <c r="J1730" s="7" t="s">
        <v>11371</v>
      </c>
      <c r="K1730" s="9" t="s">
        <v>8987</v>
      </c>
    </row>
    <row r="1731" spans="1:11">
      <c r="A1731" s="7">
        <v>1729</v>
      </c>
      <c r="B1731" s="7" t="s">
        <v>9174</v>
      </c>
      <c r="C1731" s="7" t="s">
        <v>8984</v>
      </c>
      <c r="D1731" s="7" t="s">
        <v>7581</v>
      </c>
      <c r="E1731" s="7" t="s">
        <v>11372</v>
      </c>
      <c r="F1731" s="8" t="s">
        <v>10049</v>
      </c>
      <c r="G1731" s="7">
        <v>99</v>
      </c>
      <c r="H1731" s="7" t="s">
        <v>9374</v>
      </c>
      <c r="I1731" s="7">
        <v>1</v>
      </c>
      <c r="J1731" s="7" t="s">
        <v>11373</v>
      </c>
      <c r="K1731" s="9" t="s">
        <v>8987</v>
      </c>
    </row>
    <row r="1732" spans="1:11">
      <c r="A1732" s="7">
        <v>1730</v>
      </c>
      <c r="B1732" s="7" t="s">
        <v>9174</v>
      </c>
      <c r="C1732" s="7" t="s">
        <v>8984</v>
      </c>
      <c r="D1732" s="7" t="s">
        <v>7581</v>
      </c>
      <c r="E1732" s="7" t="s">
        <v>11374</v>
      </c>
      <c r="F1732" s="8" t="s">
        <v>10049</v>
      </c>
      <c r="G1732" s="7">
        <v>66</v>
      </c>
      <c r="H1732" s="7" t="s">
        <v>11370</v>
      </c>
      <c r="I1732" s="7">
        <v>1</v>
      </c>
      <c r="J1732" s="7" t="s">
        <v>11371</v>
      </c>
      <c r="K1732" s="9" t="s">
        <v>8987</v>
      </c>
    </row>
    <row r="1733" spans="1:11">
      <c r="A1733" s="7">
        <v>1731</v>
      </c>
      <c r="B1733" s="7" t="s">
        <v>9174</v>
      </c>
      <c r="C1733" s="7" t="s">
        <v>8984</v>
      </c>
      <c r="D1733" s="7" t="s">
        <v>7581</v>
      </c>
      <c r="E1733" s="7" t="s">
        <v>11375</v>
      </c>
      <c r="F1733" s="8" t="s">
        <v>10049</v>
      </c>
      <c r="G1733" s="7">
        <v>66</v>
      </c>
      <c r="H1733" s="7" t="s">
        <v>11370</v>
      </c>
      <c r="I1733" s="7">
        <v>1</v>
      </c>
      <c r="J1733" s="7" t="s">
        <v>11371</v>
      </c>
      <c r="K1733" s="9" t="s">
        <v>8987</v>
      </c>
    </row>
    <row r="1734" spans="1:11">
      <c r="A1734" s="7">
        <v>1732</v>
      </c>
      <c r="B1734" s="7" t="s">
        <v>9174</v>
      </c>
      <c r="C1734" s="7" t="s">
        <v>11152</v>
      </c>
      <c r="D1734" s="7" t="s">
        <v>7581</v>
      </c>
      <c r="E1734" s="7" t="s">
        <v>11376</v>
      </c>
      <c r="F1734" s="8" t="s">
        <v>10049</v>
      </c>
      <c r="G1734" s="7">
        <v>33</v>
      </c>
      <c r="H1734" s="7" t="s">
        <v>11346</v>
      </c>
      <c r="I1734" s="7">
        <v>1</v>
      </c>
      <c r="J1734" s="7" t="s">
        <v>7887</v>
      </c>
      <c r="K1734" s="9" t="s">
        <v>8987</v>
      </c>
    </row>
    <row r="1735" spans="1:11">
      <c r="A1735" s="7">
        <v>1733</v>
      </c>
      <c r="B1735" s="7" t="s">
        <v>9174</v>
      </c>
      <c r="C1735" s="7" t="s">
        <v>8984</v>
      </c>
      <c r="D1735" s="7" t="s">
        <v>7581</v>
      </c>
      <c r="E1735" s="7" t="s">
        <v>11377</v>
      </c>
      <c r="F1735" s="8" t="s">
        <v>10059</v>
      </c>
      <c r="G1735" s="7">
        <v>14</v>
      </c>
      <c r="H1735" s="7" t="s">
        <v>9397</v>
      </c>
      <c r="I1735" s="7">
        <v>1</v>
      </c>
      <c r="J1735" s="7" t="s">
        <v>7888</v>
      </c>
      <c r="K1735" s="9" t="s">
        <v>8987</v>
      </c>
    </row>
    <row r="1736" spans="1:11">
      <c r="A1736" s="7">
        <v>1734</v>
      </c>
      <c r="B1736" s="7" t="s">
        <v>9174</v>
      </c>
      <c r="C1736" s="7" t="s">
        <v>8984</v>
      </c>
      <c r="D1736" s="7" t="s">
        <v>7581</v>
      </c>
      <c r="E1736" s="7" t="s">
        <v>11378</v>
      </c>
      <c r="F1736" s="8" t="s">
        <v>10059</v>
      </c>
      <c r="G1736" s="7">
        <v>27</v>
      </c>
      <c r="H1736" s="7" t="s">
        <v>9130</v>
      </c>
      <c r="I1736" s="7">
        <v>1</v>
      </c>
      <c r="J1736" s="7" t="s">
        <v>7852</v>
      </c>
      <c r="K1736" s="9" t="s">
        <v>8987</v>
      </c>
    </row>
    <row r="1737" spans="1:11">
      <c r="A1737" s="7">
        <v>1735</v>
      </c>
      <c r="B1737" s="7" t="s">
        <v>9174</v>
      </c>
      <c r="C1737" s="7" t="s">
        <v>8984</v>
      </c>
      <c r="D1737" s="7" t="s">
        <v>7581</v>
      </c>
      <c r="E1737" s="7" t="s">
        <v>11379</v>
      </c>
      <c r="F1737" s="8" t="s">
        <v>10059</v>
      </c>
      <c r="G1737" s="7">
        <v>40</v>
      </c>
      <c r="H1737" s="7" t="s">
        <v>9003</v>
      </c>
      <c r="I1737" s="7">
        <v>1</v>
      </c>
      <c r="J1737" s="7" t="s">
        <v>7860</v>
      </c>
      <c r="K1737" s="9" t="s">
        <v>8987</v>
      </c>
    </row>
    <row r="1738" spans="1:11">
      <c r="A1738" s="7">
        <v>1736</v>
      </c>
      <c r="B1738" s="7" t="s">
        <v>9174</v>
      </c>
      <c r="C1738" s="7" t="s">
        <v>8984</v>
      </c>
      <c r="D1738" s="7" t="s">
        <v>7581</v>
      </c>
      <c r="E1738" s="7" t="s">
        <v>11380</v>
      </c>
      <c r="F1738" s="8" t="s">
        <v>10059</v>
      </c>
      <c r="G1738" s="7">
        <v>27</v>
      </c>
      <c r="H1738" s="7" t="s">
        <v>9130</v>
      </c>
      <c r="I1738" s="7">
        <v>1</v>
      </c>
      <c r="J1738" s="7" t="s">
        <v>7852</v>
      </c>
      <c r="K1738" s="9" t="s">
        <v>8987</v>
      </c>
    </row>
    <row r="1739" spans="1:11">
      <c r="A1739" s="7">
        <v>1737</v>
      </c>
      <c r="B1739" s="7" t="s">
        <v>9174</v>
      </c>
      <c r="C1739" s="7" t="s">
        <v>8984</v>
      </c>
      <c r="D1739" s="7" t="s">
        <v>7581</v>
      </c>
      <c r="E1739" s="7" t="s">
        <v>11381</v>
      </c>
      <c r="F1739" s="8" t="s">
        <v>10059</v>
      </c>
      <c r="G1739" s="7">
        <v>27</v>
      </c>
      <c r="H1739" s="7" t="s">
        <v>9130</v>
      </c>
      <c r="I1739" s="7">
        <v>1</v>
      </c>
      <c r="J1739" s="7" t="s">
        <v>7852</v>
      </c>
      <c r="K1739" s="9" t="s">
        <v>8987</v>
      </c>
    </row>
    <row r="1740" spans="1:11">
      <c r="A1740" s="7">
        <v>1738</v>
      </c>
      <c r="B1740" s="7" t="s">
        <v>9174</v>
      </c>
      <c r="C1740" s="7" t="s">
        <v>11152</v>
      </c>
      <c r="D1740" s="7" t="s">
        <v>7581</v>
      </c>
      <c r="E1740" s="7" t="s">
        <v>11382</v>
      </c>
      <c r="F1740" s="8" t="s">
        <v>10059</v>
      </c>
      <c r="G1740" s="7">
        <v>14</v>
      </c>
      <c r="H1740" s="7" t="s">
        <v>9397</v>
      </c>
      <c r="I1740" s="7">
        <v>1</v>
      </c>
      <c r="J1740" s="7" t="s">
        <v>7888</v>
      </c>
      <c r="K1740" s="9" t="s">
        <v>8987</v>
      </c>
    </row>
    <row r="1741" spans="1:11">
      <c r="A1741" s="7">
        <v>1739</v>
      </c>
      <c r="B1741" s="7" t="s">
        <v>9174</v>
      </c>
      <c r="C1741" s="7" t="s">
        <v>8984</v>
      </c>
      <c r="D1741" s="7" t="s">
        <v>7581</v>
      </c>
      <c r="E1741" s="7" t="s">
        <v>11383</v>
      </c>
      <c r="F1741" s="8" t="s">
        <v>9798</v>
      </c>
      <c r="G1741" s="7">
        <v>15</v>
      </c>
      <c r="H1741" s="7" t="s">
        <v>9053</v>
      </c>
      <c r="I1741" s="7">
        <v>1</v>
      </c>
      <c r="J1741" s="7" t="s">
        <v>7862</v>
      </c>
      <c r="K1741" s="9" t="s">
        <v>8987</v>
      </c>
    </row>
    <row r="1742" spans="1:11">
      <c r="A1742" s="7">
        <v>1740</v>
      </c>
      <c r="B1742" s="7" t="s">
        <v>9174</v>
      </c>
      <c r="C1742" s="7" t="s">
        <v>8984</v>
      </c>
      <c r="D1742" s="7" t="s">
        <v>7581</v>
      </c>
      <c r="E1742" s="7" t="s">
        <v>11384</v>
      </c>
      <c r="F1742" s="8" t="s">
        <v>9798</v>
      </c>
      <c r="G1742" s="7">
        <v>29</v>
      </c>
      <c r="H1742" s="7" t="s">
        <v>11385</v>
      </c>
      <c r="I1742" s="7">
        <v>1</v>
      </c>
      <c r="J1742" s="7" t="s">
        <v>7853</v>
      </c>
      <c r="K1742" s="9" t="s">
        <v>8987</v>
      </c>
    </row>
    <row r="1743" spans="1:11">
      <c r="A1743" s="7">
        <v>1741</v>
      </c>
      <c r="B1743" s="7" t="s">
        <v>9174</v>
      </c>
      <c r="C1743" s="7" t="s">
        <v>8984</v>
      </c>
      <c r="D1743" s="7" t="s">
        <v>7581</v>
      </c>
      <c r="E1743" s="7" t="s">
        <v>11386</v>
      </c>
      <c r="F1743" s="8" t="s">
        <v>9798</v>
      </c>
      <c r="G1743" s="7">
        <v>43</v>
      </c>
      <c r="H1743" s="7" t="s">
        <v>10315</v>
      </c>
      <c r="I1743" s="7">
        <v>1</v>
      </c>
      <c r="J1743" s="7" t="s">
        <v>11387</v>
      </c>
      <c r="K1743" s="9" t="s">
        <v>8987</v>
      </c>
    </row>
    <row r="1744" spans="1:11">
      <c r="A1744" s="7">
        <v>1742</v>
      </c>
      <c r="B1744" s="7" t="s">
        <v>9174</v>
      </c>
      <c r="C1744" s="7" t="s">
        <v>8984</v>
      </c>
      <c r="D1744" s="7" t="s">
        <v>7581</v>
      </c>
      <c r="E1744" s="7" t="s">
        <v>11388</v>
      </c>
      <c r="F1744" s="8" t="s">
        <v>9798</v>
      </c>
      <c r="G1744" s="7">
        <v>29</v>
      </c>
      <c r="H1744" s="7" t="s">
        <v>11385</v>
      </c>
      <c r="I1744" s="7">
        <v>1</v>
      </c>
      <c r="J1744" s="7" t="s">
        <v>7853</v>
      </c>
      <c r="K1744" s="9" t="s">
        <v>8987</v>
      </c>
    </row>
    <row r="1745" spans="1:11">
      <c r="A1745" s="7">
        <v>1743</v>
      </c>
      <c r="B1745" s="7" t="s">
        <v>9174</v>
      </c>
      <c r="C1745" s="7" t="s">
        <v>8984</v>
      </c>
      <c r="D1745" s="7" t="s">
        <v>7581</v>
      </c>
      <c r="E1745" s="7" t="s">
        <v>11389</v>
      </c>
      <c r="F1745" s="8" t="s">
        <v>9798</v>
      </c>
      <c r="G1745" s="7">
        <v>29</v>
      </c>
      <c r="H1745" s="7" t="s">
        <v>11385</v>
      </c>
      <c r="I1745" s="7">
        <v>1</v>
      </c>
      <c r="J1745" s="7" t="s">
        <v>7853</v>
      </c>
      <c r="K1745" s="9" t="s">
        <v>8987</v>
      </c>
    </row>
    <row r="1746" spans="1:11">
      <c r="A1746" s="7">
        <v>1744</v>
      </c>
      <c r="B1746" s="7" t="s">
        <v>9174</v>
      </c>
      <c r="C1746" s="7" t="s">
        <v>11152</v>
      </c>
      <c r="D1746" s="7" t="s">
        <v>7581</v>
      </c>
      <c r="E1746" s="7" t="s">
        <v>4783</v>
      </c>
      <c r="F1746" s="8" t="s">
        <v>9798</v>
      </c>
      <c r="G1746" s="7">
        <v>15</v>
      </c>
      <c r="H1746" s="7" t="s">
        <v>9053</v>
      </c>
      <c r="I1746" s="7">
        <v>1</v>
      </c>
      <c r="J1746" s="7" t="s">
        <v>7862</v>
      </c>
      <c r="K1746" s="9" t="s">
        <v>8987</v>
      </c>
    </row>
    <row r="1747" spans="1:11">
      <c r="A1747" s="7">
        <v>1745</v>
      </c>
      <c r="B1747" s="7" t="s">
        <v>9174</v>
      </c>
      <c r="C1747" s="7" t="s">
        <v>8984</v>
      </c>
      <c r="D1747" s="7" t="s">
        <v>7581</v>
      </c>
      <c r="E1747" s="7" t="s">
        <v>11390</v>
      </c>
      <c r="F1747" s="8" t="s">
        <v>9805</v>
      </c>
      <c r="G1747" s="7">
        <v>16</v>
      </c>
      <c r="H1747" s="7" t="s">
        <v>9215</v>
      </c>
      <c r="I1747" s="7">
        <v>1</v>
      </c>
      <c r="J1747" s="7" t="s">
        <v>7882</v>
      </c>
      <c r="K1747" s="9" t="s">
        <v>8987</v>
      </c>
    </row>
    <row r="1748" spans="1:11">
      <c r="A1748" s="7">
        <v>1746</v>
      </c>
      <c r="B1748" s="7" t="s">
        <v>9174</v>
      </c>
      <c r="C1748" s="7" t="s">
        <v>8984</v>
      </c>
      <c r="D1748" s="7" t="s">
        <v>7581</v>
      </c>
      <c r="E1748" s="7" t="s">
        <v>11391</v>
      </c>
      <c r="F1748" s="8" t="s">
        <v>9805</v>
      </c>
      <c r="G1748" s="7">
        <v>31</v>
      </c>
      <c r="H1748" s="7" t="s">
        <v>9666</v>
      </c>
      <c r="I1748" s="7">
        <v>1</v>
      </c>
      <c r="J1748" s="7" t="s">
        <v>11236</v>
      </c>
      <c r="K1748" s="9" t="s">
        <v>8987</v>
      </c>
    </row>
    <row r="1749" spans="1:11">
      <c r="A1749" s="7">
        <v>1747</v>
      </c>
      <c r="B1749" s="7" t="s">
        <v>9174</v>
      </c>
      <c r="C1749" s="7" t="s">
        <v>8984</v>
      </c>
      <c r="D1749" s="7" t="s">
        <v>7581</v>
      </c>
      <c r="E1749" s="7" t="s">
        <v>11392</v>
      </c>
      <c r="F1749" s="8" t="s">
        <v>9805</v>
      </c>
      <c r="G1749" s="7">
        <v>47</v>
      </c>
      <c r="H1749" s="7" t="s">
        <v>11393</v>
      </c>
      <c r="I1749" s="7">
        <v>1</v>
      </c>
      <c r="J1749" s="7" t="s">
        <v>11394</v>
      </c>
      <c r="K1749" s="9" t="s">
        <v>8987</v>
      </c>
    </row>
    <row r="1750" spans="1:11">
      <c r="A1750" s="7">
        <v>1748</v>
      </c>
      <c r="B1750" s="7" t="s">
        <v>9174</v>
      </c>
      <c r="C1750" s="7" t="s">
        <v>8984</v>
      </c>
      <c r="D1750" s="7" t="s">
        <v>7581</v>
      </c>
      <c r="E1750" s="7" t="s">
        <v>11395</v>
      </c>
      <c r="F1750" s="8" t="s">
        <v>9805</v>
      </c>
      <c r="G1750" s="7">
        <v>31</v>
      </c>
      <c r="H1750" s="7" t="s">
        <v>9666</v>
      </c>
      <c r="I1750" s="7">
        <v>1</v>
      </c>
      <c r="J1750" s="7" t="s">
        <v>11236</v>
      </c>
      <c r="K1750" s="9" t="s">
        <v>8987</v>
      </c>
    </row>
    <row r="1751" spans="1:11">
      <c r="A1751" s="7">
        <v>1749</v>
      </c>
      <c r="B1751" s="7" t="s">
        <v>9174</v>
      </c>
      <c r="C1751" s="7" t="s">
        <v>8984</v>
      </c>
      <c r="D1751" s="7" t="s">
        <v>7581</v>
      </c>
      <c r="E1751" s="7" t="s">
        <v>11396</v>
      </c>
      <c r="F1751" s="8" t="s">
        <v>9805</v>
      </c>
      <c r="G1751" s="7">
        <v>31</v>
      </c>
      <c r="H1751" s="7" t="s">
        <v>9666</v>
      </c>
      <c r="I1751" s="7">
        <v>1</v>
      </c>
      <c r="J1751" s="7" t="s">
        <v>11236</v>
      </c>
      <c r="K1751" s="9" t="s">
        <v>8987</v>
      </c>
    </row>
    <row r="1752" spans="1:11">
      <c r="A1752" s="7">
        <v>1750</v>
      </c>
      <c r="B1752" s="7" t="s">
        <v>9174</v>
      </c>
      <c r="C1752" s="7" t="s">
        <v>11152</v>
      </c>
      <c r="D1752" s="7" t="s">
        <v>7581</v>
      </c>
      <c r="E1752" s="7" t="s">
        <v>11397</v>
      </c>
      <c r="F1752" s="8" t="s">
        <v>9805</v>
      </c>
      <c r="G1752" s="7">
        <v>16</v>
      </c>
      <c r="H1752" s="7" t="s">
        <v>9215</v>
      </c>
      <c r="I1752" s="7">
        <v>1</v>
      </c>
      <c r="J1752" s="7" t="s">
        <v>7882</v>
      </c>
      <c r="K1752" s="9" t="s">
        <v>8987</v>
      </c>
    </row>
    <row r="1753" spans="1:11">
      <c r="A1753" s="7">
        <v>1751</v>
      </c>
      <c r="B1753" s="7" t="s">
        <v>9174</v>
      </c>
      <c r="C1753" s="7" t="s">
        <v>8984</v>
      </c>
      <c r="D1753" s="7" t="s">
        <v>7581</v>
      </c>
      <c r="E1753" s="7" t="s">
        <v>11398</v>
      </c>
      <c r="F1753" s="8" t="s">
        <v>9812</v>
      </c>
      <c r="G1753" s="7">
        <v>11</v>
      </c>
      <c r="H1753" s="7" t="s">
        <v>9386</v>
      </c>
      <c r="I1753" s="7">
        <v>1</v>
      </c>
      <c r="J1753" s="7" t="s">
        <v>7865</v>
      </c>
      <c r="K1753" s="9" t="s">
        <v>8987</v>
      </c>
    </row>
    <row r="1754" spans="1:11">
      <c r="A1754" s="7">
        <v>1752</v>
      </c>
      <c r="B1754" s="7" t="s">
        <v>9174</v>
      </c>
      <c r="C1754" s="7" t="s">
        <v>8984</v>
      </c>
      <c r="D1754" s="7" t="s">
        <v>7581</v>
      </c>
      <c r="E1754" s="7" t="s">
        <v>11399</v>
      </c>
      <c r="F1754" s="8" t="s">
        <v>9812</v>
      </c>
      <c r="G1754" s="7">
        <v>22</v>
      </c>
      <c r="H1754" s="7" t="s">
        <v>8994</v>
      </c>
      <c r="I1754" s="7">
        <v>1</v>
      </c>
      <c r="J1754" s="7" t="s">
        <v>7879</v>
      </c>
      <c r="K1754" s="9" t="s">
        <v>8987</v>
      </c>
    </row>
    <row r="1755" spans="1:11">
      <c r="A1755" s="7">
        <v>1753</v>
      </c>
      <c r="B1755" s="7" t="s">
        <v>9174</v>
      </c>
      <c r="C1755" s="7" t="s">
        <v>8984</v>
      </c>
      <c r="D1755" s="7" t="s">
        <v>7581</v>
      </c>
      <c r="E1755" s="7" t="s">
        <v>11400</v>
      </c>
      <c r="F1755" s="8" t="s">
        <v>9812</v>
      </c>
      <c r="G1755" s="7">
        <v>33</v>
      </c>
      <c r="H1755" s="7" t="s">
        <v>11346</v>
      </c>
      <c r="I1755" s="7">
        <v>1</v>
      </c>
      <c r="J1755" s="7" t="s">
        <v>7887</v>
      </c>
      <c r="K1755" s="9" t="s">
        <v>8987</v>
      </c>
    </row>
    <row r="1756" spans="1:11">
      <c r="A1756" s="7">
        <v>1754</v>
      </c>
      <c r="B1756" s="7" t="s">
        <v>9174</v>
      </c>
      <c r="C1756" s="7" t="s">
        <v>8984</v>
      </c>
      <c r="D1756" s="7" t="s">
        <v>7581</v>
      </c>
      <c r="E1756" s="7" t="s">
        <v>11401</v>
      </c>
      <c r="F1756" s="8" t="s">
        <v>9812</v>
      </c>
      <c r="G1756" s="7">
        <v>22</v>
      </c>
      <c r="H1756" s="7" t="s">
        <v>8994</v>
      </c>
      <c r="I1756" s="7">
        <v>1</v>
      </c>
      <c r="J1756" s="7" t="s">
        <v>7879</v>
      </c>
      <c r="K1756" s="9" t="s">
        <v>8987</v>
      </c>
    </row>
    <row r="1757" spans="1:11">
      <c r="A1757" s="7">
        <v>1755</v>
      </c>
      <c r="B1757" s="7" t="s">
        <v>9174</v>
      </c>
      <c r="C1757" s="7" t="s">
        <v>8984</v>
      </c>
      <c r="D1757" s="7" t="s">
        <v>7581</v>
      </c>
      <c r="E1757" s="7" t="s">
        <v>11402</v>
      </c>
      <c r="F1757" s="8" t="s">
        <v>9812</v>
      </c>
      <c r="G1757" s="7">
        <v>22</v>
      </c>
      <c r="H1757" s="7" t="s">
        <v>8994</v>
      </c>
      <c r="I1757" s="7">
        <v>1</v>
      </c>
      <c r="J1757" s="7" t="s">
        <v>7879</v>
      </c>
      <c r="K1757" s="9" t="s">
        <v>8987</v>
      </c>
    </row>
    <row r="1758" spans="1:11">
      <c r="A1758" s="7">
        <v>1756</v>
      </c>
      <c r="B1758" s="7" t="s">
        <v>9174</v>
      </c>
      <c r="C1758" s="7" t="s">
        <v>11152</v>
      </c>
      <c r="D1758" s="7" t="s">
        <v>7581</v>
      </c>
      <c r="E1758" s="7" t="s">
        <v>11403</v>
      </c>
      <c r="F1758" s="8" t="s">
        <v>9812</v>
      </c>
      <c r="G1758" s="7">
        <v>11</v>
      </c>
      <c r="H1758" s="7" t="s">
        <v>9386</v>
      </c>
      <c r="I1758" s="7">
        <v>1</v>
      </c>
      <c r="J1758" s="7" t="s">
        <v>7865</v>
      </c>
      <c r="K1758" s="9" t="s">
        <v>8987</v>
      </c>
    </row>
    <row r="1759" spans="1:11">
      <c r="A1759" s="7">
        <v>1757</v>
      </c>
      <c r="B1759" s="7" t="s">
        <v>9174</v>
      </c>
      <c r="C1759" s="7" t="s">
        <v>8984</v>
      </c>
      <c r="D1759" s="7" t="s">
        <v>7581</v>
      </c>
      <c r="E1759" s="7" t="s">
        <v>11404</v>
      </c>
      <c r="F1759" s="8" t="s">
        <v>10055</v>
      </c>
      <c r="G1759" s="7">
        <v>14</v>
      </c>
      <c r="H1759" s="7" t="s">
        <v>9397</v>
      </c>
      <c r="I1759" s="7">
        <v>1</v>
      </c>
      <c r="J1759" s="7" t="s">
        <v>7888</v>
      </c>
      <c r="K1759" s="9" t="s">
        <v>8987</v>
      </c>
    </row>
    <row r="1760" spans="1:11">
      <c r="A1760" s="7">
        <v>1758</v>
      </c>
      <c r="B1760" s="7" t="s">
        <v>9174</v>
      </c>
      <c r="C1760" s="7" t="s">
        <v>8984</v>
      </c>
      <c r="D1760" s="7" t="s">
        <v>7581</v>
      </c>
      <c r="E1760" s="7" t="s">
        <v>11405</v>
      </c>
      <c r="F1760" s="8" t="s">
        <v>10055</v>
      </c>
      <c r="G1760" s="7">
        <v>28</v>
      </c>
      <c r="H1760" s="7" t="s">
        <v>10468</v>
      </c>
      <c r="I1760" s="7">
        <v>1</v>
      </c>
      <c r="J1760" s="7" t="s">
        <v>7844</v>
      </c>
      <c r="K1760" s="9" t="s">
        <v>8987</v>
      </c>
    </row>
    <row r="1761" spans="1:11">
      <c r="A1761" s="7">
        <v>1759</v>
      </c>
      <c r="B1761" s="7" t="s">
        <v>9174</v>
      </c>
      <c r="C1761" s="7" t="s">
        <v>8984</v>
      </c>
      <c r="D1761" s="7" t="s">
        <v>7581</v>
      </c>
      <c r="E1761" s="7" t="s">
        <v>11406</v>
      </c>
      <c r="F1761" s="8" t="s">
        <v>10055</v>
      </c>
      <c r="G1761" s="7">
        <v>42</v>
      </c>
      <c r="H1761" s="7" t="s">
        <v>11407</v>
      </c>
      <c r="I1761" s="7">
        <v>1</v>
      </c>
      <c r="J1761" s="7" t="s">
        <v>7849</v>
      </c>
      <c r="K1761" s="9" t="s">
        <v>8987</v>
      </c>
    </row>
    <row r="1762" spans="1:11">
      <c r="A1762" s="7">
        <v>1760</v>
      </c>
      <c r="B1762" s="7" t="s">
        <v>9174</v>
      </c>
      <c r="C1762" s="7" t="s">
        <v>8984</v>
      </c>
      <c r="D1762" s="7" t="s">
        <v>7581</v>
      </c>
      <c r="E1762" s="7" t="s">
        <v>11408</v>
      </c>
      <c r="F1762" s="8" t="s">
        <v>10055</v>
      </c>
      <c r="G1762" s="7">
        <v>28</v>
      </c>
      <c r="H1762" s="7" t="s">
        <v>10468</v>
      </c>
      <c r="I1762" s="7">
        <v>1</v>
      </c>
      <c r="J1762" s="7" t="s">
        <v>7844</v>
      </c>
      <c r="K1762" s="9" t="s">
        <v>8987</v>
      </c>
    </row>
    <row r="1763" spans="1:11">
      <c r="A1763" s="7">
        <v>1761</v>
      </c>
      <c r="B1763" s="7" t="s">
        <v>9174</v>
      </c>
      <c r="C1763" s="7" t="s">
        <v>8984</v>
      </c>
      <c r="D1763" s="7" t="s">
        <v>7581</v>
      </c>
      <c r="E1763" s="7" t="s">
        <v>11409</v>
      </c>
      <c r="F1763" s="8" t="s">
        <v>10055</v>
      </c>
      <c r="G1763" s="7">
        <v>28</v>
      </c>
      <c r="H1763" s="7" t="s">
        <v>10468</v>
      </c>
      <c r="I1763" s="7">
        <v>1</v>
      </c>
      <c r="J1763" s="7" t="s">
        <v>7844</v>
      </c>
      <c r="K1763" s="9" t="s">
        <v>8987</v>
      </c>
    </row>
    <row r="1764" spans="1:11">
      <c r="A1764" s="7">
        <v>1762</v>
      </c>
      <c r="B1764" s="7" t="s">
        <v>9174</v>
      </c>
      <c r="C1764" s="7" t="s">
        <v>11152</v>
      </c>
      <c r="D1764" s="7" t="s">
        <v>7581</v>
      </c>
      <c r="E1764" s="7" t="s">
        <v>11410</v>
      </c>
      <c r="F1764" s="8" t="s">
        <v>10055</v>
      </c>
      <c r="G1764" s="7">
        <v>14</v>
      </c>
      <c r="H1764" s="7" t="s">
        <v>9397</v>
      </c>
      <c r="I1764" s="7">
        <v>1</v>
      </c>
      <c r="J1764" s="7" t="s">
        <v>7888</v>
      </c>
      <c r="K1764" s="9" t="s">
        <v>8987</v>
      </c>
    </row>
    <row r="1765" spans="1:11">
      <c r="A1765" s="7">
        <v>1763</v>
      </c>
      <c r="B1765" s="7" t="s">
        <v>9174</v>
      </c>
      <c r="C1765" s="7" t="s">
        <v>8984</v>
      </c>
      <c r="D1765" s="7" t="s">
        <v>7581</v>
      </c>
      <c r="E1765" s="7" t="s">
        <v>11411</v>
      </c>
      <c r="F1765" s="8" t="s">
        <v>10036</v>
      </c>
      <c r="G1765" s="7">
        <v>14</v>
      </c>
      <c r="H1765" s="7" t="s">
        <v>9397</v>
      </c>
      <c r="I1765" s="7">
        <v>1</v>
      </c>
      <c r="J1765" s="7" t="s">
        <v>7888</v>
      </c>
      <c r="K1765" s="9" t="s">
        <v>8987</v>
      </c>
    </row>
    <row r="1766" spans="1:11">
      <c r="A1766" s="7">
        <v>1764</v>
      </c>
      <c r="B1766" s="7" t="s">
        <v>9174</v>
      </c>
      <c r="C1766" s="7" t="s">
        <v>8984</v>
      </c>
      <c r="D1766" s="7" t="s">
        <v>7581</v>
      </c>
      <c r="E1766" s="7" t="s">
        <v>11412</v>
      </c>
      <c r="F1766" s="8" t="s">
        <v>10036</v>
      </c>
      <c r="G1766" s="7">
        <v>27</v>
      </c>
      <c r="H1766" s="7" t="s">
        <v>9130</v>
      </c>
      <c r="I1766" s="7">
        <v>1</v>
      </c>
      <c r="J1766" s="7" t="s">
        <v>7852</v>
      </c>
      <c r="K1766" s="9" t="s">
        <v>8987</v>
      </c>
    </row>
    <row r="1767" spans="1:11">
      <c r="A1767" s="7">
        <v>1765</v>
      </c>
      <c r="B1767" s="7" t="s">
        <v>9174</v>
      </c>
      <c r="C1767" s="7" t="s">
        <v>8984</v>
      </c>
      <c r="D1767" s="7" t="s">
        <v>7581</v>
      </c>
      <c r="E1767" s="7" t="s">
        <v>11413</v>
      </c>
      <c r="F1767" s="8" t="s">
        <v>10036</v>
      </c>
      <c r="G1767" s="7">
        <v>40</v>
      </c>
      <c r="H1767" s="7" t="s">
        <v>9003</v>
      </c>
      <c r="I1767" s="7">
        <v>1</v>
      </c>
      <c r="J1767" s="7" t="s">
        <v>7860</v>
      </c>
      <c r="K1767" s="9" t="s">
        <v>8987</v>
      </c>
    </row>
    <row r="1768" spans="1:11">
      <c r="A1768" s="7">
        <v>1766</v>
      </c>
      <c r="B1768" s="7" t="s">
        <v>9174</v>
      </c>
      <c r="C1768" s="7" t="s">
        <v>8984</v>
      </c>
      <c r="D1768" s="7" t="s">
        <v>7581</v>
      </c>
      <c r="E1768" s="7" t="s">
        <v>11414</v>
      </c>
      <c r="F1768" s="8" t="s">
        <v>10036</v>
      </c>
      <c r="G1768" s="7">
        <v>27</v>
      </c>
      <c r="H1768" s="7" t="s">
        <v>9130</v>
      </c>
      <c r="I1768" s="7">
        <v>1</v>
      </c>
      <c r="J1768" s="7" t="s">
        <v>7852</v>
      </c>
      <c r="K1768" s="9" t="s">
        <v>8987</v>
      </c>
    </row>
    <row r="1769" spans="1:11">
      <c r="A1769" s="7">
        <v>1767</v>
      </c>
      <c r="B1769" s="7" t="s">
        <v>9174</v>
      </c>
      <c r="C1769" s="7" t="s">
        <v>8984</v>
      </c>
      <c r="D1769" s="7" t="s">
        <v>7581</v>
      </c>
      <c r="E1769" s="7" t="s">
        <v>11415</v>
      </c>
      <c r="F1769" s="8" t="s">
        <v>10036</v>
      </c>
      <c r="G1769" s="7">
        <v>27</v>
      </c>
      <c r="H1769" s="7" t="s">
        <v>9130</v>
      </c>
      <c r="I1769" s="7">
        <v>1</v>
      </c>
      <c r="J1769" s="7" t="s">
        <v>7852</v>
      </c>
      <c r="K1769" s="9" t="s">
        <v>8987</v>
      </c>
    </row>
    <row r="1770" spans="1:11">
      <c r="A1770" s="7">
        <v>1768</v>
      </c>
      <c r="B1770" s="7" t="s">
        <v>9174</v>
      </c>
      <c r="C1770" s="7" t="s">
        <v>11152</v>
      </c>
      <c r="D1770" s="7" t="s">
        <v>7581</v>
      </c>
      <c r="E1770" s="7" t="s">
        <v>11416</v>
      </c>
      <c r="F1770" s="8" t="s">
        <v>10036</v>
      </c>
      <c r="G1770" s="7">
        <v>14</v>
      </c>
      <c r="H1770" s="7" t="s">
        <v>9397</v>
      </c>
      <c r="I1770" s="7">
        <v>1</v>
      </c>
      <c r="J1770" s="7" t="s">
        <v>7888</v>
      </c>
      <c r="K1770" s="9" t="s">
        <v>8987</v>
      </c>
    </row>
    <row r="1771" spans="1:11">
      <c r="A1771" s="7">
        <v>1769</v>
      </c>
      <c r="B1771" s="7" t="s">
        <v>11164</v>
      </c>
      <c r="C1771" s="7" t="s">
        <v>8984</v>
      </c>
      <c r="D1771" s="7" t="s">
        <v>7581</v>
      </c>
      <c r="E1771" s="7" t="s">
        <v>11417</v>
      </c>
      <c r="F1771" s="8" t="s">
        <v>10042</v>
      </c>
      <c r="G1771" s="7">
        <v>14</v>
      </c>
      <c r="H1771" s="7" t="s">
        <v>9397</v>
      </c>
      <c r="I1771" s="7">
        <v>1</v>
      </c>
      <c r="J1771" s="7" t="s">
        <v>7888</v>
      </c>
      <c r="K1771" s="9" t="s">
        <v>8987</v>
      </c>
    </row>
    <row r="1772" spans="1:11">
      <c r="A1772" s="7">
        <v>1770</v>
      </c>
      <c r="B1772" s="7" t="s">
        <v>11164</v>
      </c>
      <c r="C1772" s="7" t="s">
        <v>8984</v>
      </c>
      <c r="D1772" s="7" t="s">
        <v>7581</v>
      </c>
      <c r="E1772" s="7" t="s">
        <v>11418</v>
      </c>
      <c r="F1772" s="8" t="s">
        <v>10042</v>
      </c>
      <c r="G1772" s="7">
        <v>27</v>
      </c>
      <c r="H1772" s="7" t="s">
        <v>9130</v>
      </c>
      <c r="I1772" s="7">
        <v>1</v>
      </c>
      <c r="J1772" s="7" t="s">
        <v>7852</v>
      </c>
      <c r="K1772" s="9" t="s">
        <v>8987</v>
      </c>
    </row>
    <row r="1773" spans="1:11">
      <c r="A1773" s="7">
        <v>1771</v>
      </c>
      <c r="B1773" s="7" t="s">
        <v>11164</v>
      </c>
      <c r="C1773" s="7" t="s">
        <v>8984</v>
      </c>
      <c r="D1773" s="7" t="s">
        <v>7581</v>
      </c>
      <c r="E1773" s="7" t="s">
        <v>11419</v>
      </c>
      <c r="F1773" s="8" t="s">
        <v>10042</v>
      </c>
      <c r="G1773" s="7">
        <v>40</v>
      </c>
      <c r="H1773" s="7" t="s">
        <v>9003</v>
      </c>
      <c r="I1773" s="7">
        <v>1</v>
      </c>
      <c r="J1773" s="7" t="s">
        <v>7860</v>
      </c>
      <c r="K1773" s="9" t="s">
        <v>8987</v>
      </c>
    </row>
    <row r="1774" spans="1:11">
      <c r="A1774" s="7">
        <v>1772</v>
      </c>
      <c r="B1774" s="7" t="s">
        <v>11164</v>
      </c>
      <c r="C1774" s="7" t="s">
        <v>8984</v>
      </c>
      <c r="D1774" s="7" t="s">
        <v>7581</v>
      </c>
      <c r="E1774" s="7" t="s">
        <v>11420</v>
      </c>
      <c r="F1774" s="8" t="s">
        <v>10042</v>
      </c>
      <c r="G1774" s="7">
        <v>27</v>
      </c>
      <c r="H1774" s="7" t="s">
        <v>9130</v>
      </c>
      <c r="I1774" s="7">
        <v>1</v>
      </c>
      <c r="J1774" s="7" t="s">
        <v>7852</v>
      </c>
      <c r="K1774" s="9" t="s">
        <v>8987</v>
      </c>
    </row>
    <row r="1775" spans="1:11">
      <c r="A1775" s="7">
        <v>1773</v>
      </c>
      <c r="B1775" s="7" t="s">
        <v>11164</v>
      </c>
      <c r="C1775" s="7" t="s">
        <v>8984</v>
      </c>
      <c r="D1775" s="7" t="s">
        <v>7581</v>
      </c>
      <c r="E1775" s="7" t="s">
        <v>11421</v>
      </c>
      <c r="F1775" s="8" t="s">
        <v>10042</v>
      </c>
      <c r="G1775" s="7">
        <v>27</v>
      </c>
      <c r="H1775" s="7" t="s">
        <v>9130</v>
      </c>
      <c r="I1775" s="7">
        <v>1</v>
      </c>
      <c r="J1775" s="7" t="s">
        <v>7852</v>
      </c>
      <c r="K1775" s="9" t="s">
        <v>8987</v>
      </c>
    </row>
    <row r="1776" spans="1:11">
      <c r="A1776" s="7">
        <v>1774</v>
      </c>
      <c r="B1776" s="7" t="s">
        <v>11164</v>
      </c>
      <c r="C1776" s="7" t="s">
        <v>11152</v>
      </c>
      <c r="D1776" s="7" t="s">
        <v>7581</v>
      </c>
      <c r="E1776" s="7" t="s">
        <v>11422</v>
      </c>
      <c r="F1776" s="8" t="s">
        <v>10042</v>
      </c>
      <c r="G1776" s="7">
        <v>14</v>
      </c>
      <c r="H1776" s="7" t="s">
        <v>9397</v>
      </c>
      <c r="I1776" s="7">
        <v>1</v>
      </c>
      <c r="J1776" s="7" t="s">
        <v>7888</v>
      </c>
      <c r="K1776" s="9" t="s">
        <v>8987</v>
      </c>
    </row>
    <row r="1777" spans="1:11">
      <c r="A1777" s="7">
        <v>1775</v>
      </c>
      <c r="B1777" s="7" t="s">
        <v>9174</v>
      </c>
      <c r="C1777" s="7" t="s">
        <v>8984</v>
      </c>
      <c r="D1777" s="7" t="s">
        <v>7581</v>
      </c>
      <c r="E1777" s="7" t="s">
        <v>11423</v>
      </c>
      <c r="F1777" s="8" t="s">
        <v>10057</v>
      </c>
      <c r="G1777" s="7">
        <v>14</v>
      </c>
      <c r="H1777" s="7" t="s">
        <v>9397</v>
      </c>
      <c r="I1777" s="7">
        <v>1</v>
      </c>
      <c r="J1777" s="7" t="s">
        <v>7888</v>
      </c>
      <c r="K1777" s="9" t="s">
        <v>8987</v>
      </c>
    </row>
    <row r="1778" spans="1:11">
      <c r="A1778" s="7">
        <v>1776</v>
      </c>
      <c r="B1778" s="7" t="s">
        <v>9174</v>
      </c>
      <c r="C1778" s="7" t="s">
        <v>8984</v>
      </c>
      <c r="D1778" s="7" t="s">
        <v>7581</v>
      </c>
      <c r="E1778" s="7" t="s">
        <v>11424</v>
      </c>
      <c r="F1778" s="8" t="s">
        <v>10057</v>
      </c>
      <c r="G1778" s="7">
        <v>27</v>
      </c>
      <c r="H1778" s="7" t="s">
        <v>9130</v>
      </c>
      <c r="I1778" s="7">
        <v>1</v>
      </c>
      <c r="J1778" s="7" t="s">
        <v>7852</v>
      </c>
      <c r="K1778" s="9" t="s">
        <v>8987</v>
      </c>
    </row>
    <row r="1779" spans="1:11">
      <c r="A1779" s="7">
        <v>1777</v>
      </c>
      <c r="B1779" s="7" t="s">
        <v>9174</v>
      </c>
      <c r="C1779" s="7" t="s">
        <v>8984</v>
      </c>
      <c r="D1779" s="7" t="s">
        <v>7581</v>
      </c>
      <c r="E1779" s="7" t="s">
        <v>11425</v>
      </c>
      <c r="F1779" s="8" t="s">
        <v>10057</v>
      </c>
      <c r="G1779" s="7">
        <v>40</v>
      </c>
      <c r="H1779" s="7" t="s">
        <v>9003</v>
      </c>
      <c r="I1779" s="7">
        <v>1</v>
      </c>
      <c r="J1779" s="7" t="s">
        <v>7860</v>
      </c>
      <c r="K1779" s="9" t="s">
        <v>8987</v>
      </c>
    </row>
    <row r="1780" spans="1:11">
      <c r="A1780" s="7">
        <v>1778</v>
      </c>
      <c r="B1780" s="7" t="s">
        <v>9174</v>
      </c>
      <c r="C1780" s="7" t="s">
        <v>8984</v>
      </c>
      <c r="D1780" s="7" t="s">
        <v>7581</v>
      </c>
      <c r="E1780" s="7" t="s">
        <v>11426</v>
      </c>
      <c r="F1780" s="8" t="s">
        <v>10057</v>
      </c>
      <c r="G1780" s="7">
        <v>27</v>
      </c>
      <c r="H1780" s="7" t="s">
        <v>9130</v>
      </c>
      <c r="I1780" s="7">
        <v>1</v>
      </c>
      <c r="J1780" s="7" t="s">
        <v>7852</v>
      </c>
      <c r="K1780" s="9" t="s">
        <v>8987</v>
      </c>
    </row>
    <row r="1781" spans="1:11">
      <c r="A1781" s="7">
        <v>1779</v>
      </c>
      <c r="B1781" s="7" t="s">
        <v>9174</v>
      </c>
      <c r="C1781" s="7" t="s">
        <v>8984</v>
      </c>
      <c r="D1781" s="7" t="s">
        <v>7581</v>
      </c>
      <c r="E1781" s="7" t="s">
        <v>11427</v>
      </c>
      <c r="F1781" s="8" t="s">
        <v>10057</v>
      </c>
      <c r="G1781" s="7">
        <v>27</v>
      </c>
      <c r="H1781" s="7" t="s">
        <v>9130</v>
      </c>
      <c r="I1781" s="7">
        <v>1</v>
      </c>
      <c r="J1781" s="7" t="s">
        <v>7852</v>
      </c>
      <c r="K1781" s="9" t="s">
        <v>8987</v>
      </c>
    </row>
    <row r="1782" spans="1:11">
      <c r="A1782" s="7">
        <v>1780</v>
      </c>
      <c r="B1782" s="7" t="s">
        <v>9174</v>
      </c>
      <c r="C1782" s="7" t="s">
        <v>11152</v>
      </c>
      <c r="D1782" s="7" t="s">
        <v>7581</v>
      </c>
      <c r="E1782" s="7" t="s">
        <v>11428</v>
      </c>
      <c r="F1782" s="8" t="s">
        <v>10057</v>
      </c>
      <c r="G1782" s="7">
        <v>14</v>
      </c>
      <c r="H1782" s="7" t="s">
        <v>9397</v>
      </c>
      <c r="I1782" s="7">
        <v>1</v>
      </c>
      <c r="J1782" s="7" t="s">
        <v>7888</v>
      </c>
      <c r="K1782" s="9" t="s">
        <v>8987</v>
      </c>
    </row>
    <row r="1783" spans="1:11">
      <c r="A1783" s="7">
        <v>1781</v>
      </c>
      <c r="B1783" s="7" t="s">
        <v>9174</v>
      </c>
      <c r="C1783" s="7" t="s">
        <v>8984</v>
      </c>
      <c r="D1783" s="7" t="s">
        <v>7555</v>
      </c>
      <c r="E1783" s="7" t="s">
        <v>11429</v>
      </c>
      <c r="F1783" s="8" t="s">
        <v>9244</v>
      </c>
      <c r="G1783" s="7">
        <v>33</v>
      </c>
      <c r="H1783" s="7" t="s">
        <v>11346</v>
      </c>
      <c r="I1783" s="7">
        <v>1</v>
      </c>
      <c r="J1783" s="7" t="s">
        <v>7887</v>
      </c>
      <c r="K1783" s="9" t="s">
        <v>8987</v>
      </c>
    </row>
    <row r="1784" spans="1:11">
      <c r="A1784" s="7">
        <v>1782</v>
      </c>
      <c r="B1784" s="7" t="s">
        <v>9174</v>
      </c>
      <c r="C1784" s="7" t="s">
        <v>8984</v>
      </c>
      <c r="D1784" s="7" t="s">
        <v>7555</v>
      </c>
      <c r="E1784" s="7" t="s">
        <v>11430</v>
      </c>
      <c r="F1784" s="8" t="s">
        <v>9244</v>
      </c>
      <c r="G1784" s="7">
        <v>17</v>
      </c>
      <c r="H1784" s="7" t="s">
        <v>9146</v>
      </c>
      <c r="I1784" s="7">
        <v>1</v>
      </c>
      <c r="J1784" s="7" t="s">
        <v>7850</v>
      </c>
      <c r="K1784" s="9" t="s">
        <v>8987</v>
      </c>
    </row>
    <row r="1785" spans="1:11">
      <c r="A1785" s="7">
        <v>1783</v>
      </c>
      <c r="B1785" s="7" t="s">
        <v>9174</v>
      </c>
      <c r="C1785" s="7" t="s">
        <v>8984</v>
      </c>
      <c r="D1785" s="7" t="s">
        <v>7555</v>
      </c>
      <c r="E1785" s="7" t="s">
        <v>11431</v>
      </c>
      <c r="F1785" s="8" t="s">
        <v>9246</v>
      </c>
      <c r="G1785" s="7">
        <v>33</v>
      </c>
      <c r="H1785" s="7" t="s">
        <v>11346</v>
      </c>
      <c r="I1785" s="7">
        <v>1</v>
      </c>
      <c r="J1785" s="7" t="s">
        <v>7887</v>
      </c>
      <c r="K1785" s="9" t="s">
        <v>8987</v>
      </c>
    </row>
    <row r="1786" spans="1:11">
      <c r="A1786" s="7">
        <v>1784</v>
      </c>
      <c r="B1786" s="7" t="s">
        <v>9174</v>
      </c>
      <c r="C1786" s="7" t="s">
        <v>8984</v>
      </c>
      <c r="D1786" s="7" t="s">
        <v>7555</v>
      </c>
      <c r="E1786" s="7" t="s">
        <v>7076</v>
      </c>
      <c r="F1786" s="8" t="s">
        <v>9246</v>
      </c>
      <c r="G1786" s="7">
        <v>17</v>
      </c>
      <c r="H1786" s="7" t="s">
        <v>9146</v>
      </c>
      <c r="I1786" s="7">
        <v>1</v>
      </c>
      <c r="J1786" s="7" t="s">
        <v>7850</v>
      </c>
      <c r="K1786" s="9" t="s">
        <v>8987</v>
      </c>
    </row>
    <row r="1787" spans="1:11">
      <c r="A1787" s="7">
        <v>1785</v>
      </c>
      <c r="B1787" s="7" t="s">
        <v>9174</v>
      </c>
      <c r="C1787" s="7" t="s">
        <v>8984</v>
      </c>
      <c r="D1787" s="7" t="s">
        <v>7555</v>
      </c>
      <c r="E1787" s="7" t="s">
        <v>11432</v>
      </c>
      <c r="F1787" s="8" t="s">
        <v>9249</v>
      </c>
      <c r="G1787" s="7">
        <v>33</v>
      </c>
      <c r="H1787" s="7" t="s">
        <v>11346</v>
      </c>
      <c r="I1787" s="7">
        <v>1</v>
      </c>
      <c r="J1787" s="7" t="s">
        <v>7887</v>
      </c>
      <c r="K1787" s="9" t="s">
        <v>8987</v>
      </c>
    </row>
    <row r="1788" spans="1:11">
      <c r="A1788" s="7">
        <v>1786</v>
      </c>
      <c r="B1788" s="7" t="s">
        <v>9174</v>
      </c>
      <c r="C1788" s="7" t="s">
        <v>8984</v>
      </c>
      <c r="D1788" s="7" t="s">
        <v>7555</v>
      </c>
      <c r="E1788" s="7" t="s">
        <v>11433</v>
      </c>
      <c r="F1788" s="8" t="s">
        <v>9249</v>
      </c>
      <c r="G1788" s="7">
        <v>17</v>
      </c>
      <c r="H1788" s="7" t="s">
        <v>9146</v>
      </c>
      <c r="I1788" s="7">
        <v>1</v>
      </c>
      <c r="J1788" s="7" t="s">
        <v>7850</v>
      </c>
      <c r="K1788" s="9" t="s">
        <v>8987</v>
      </c>
    </row>
    <row r="1789" spans="1:11">
      <c r="A1789" s="7">
        <v>1787</v>
      </c>
      <c r="B1789" s="7" t="s">
        <v>9174</v>
      </c>
      <c r="C1789" s="7" t="s">
        <v>8984</v>
      </c>
      <c r="D1789" s="7" t="s">
        <v>7555</v>
      </c>
      <c r="E1789" s="7" t="s">
        <v>11434</v>
      </c>
      <c r="F1789" s="8" t="s">
        <v>9251</v>
      </c>
      <c r="G1789" s="7">
        <v>33</v>
      </c>
      <c r="H1789" s="7" t="s">
        <v>11346</v>
      </c>
      <c r="I1789" s="7">
        <v>1</v>
      </c>
      <c r="J1789" s="7" t="s">
        <v>7887</v>
      </c>
      <c r="K1789" s="9" t="s">
        <v>8987</v>
      </c>
    </row>
    <row r="1790" spans="1:11">
      <c r="A1790" s="7">
        <v>1788</v>
      </c>
      <c r="B1790" s="7" t="s">
        <v>9174</v>
      </c>
      <c r="C1790" s="7" t="s">
        <v>8984</v>
      </c>
      <c r="D1790" s="7" t="s">
        <v>7555</v>
      </c>
      <c r="E1790" s="7" t="s">
        <v>11435</v>
      </c>
      <c r="F1790" s="8" t="s">
        <v>9251</v>
      </c>
      <c r="G1790" s="7">
        <v>17</v>
      </c>
      <c r="H1790" s="7" t="s">
        <v>9146</v>
      </c>
      <c r="I1790" s="7">
        <v>1</v>
      </c>
      <c r="J1790" s="7" t="s">
        <v>7850</v>
      </c>
      <c r="K1790" s="9" t="s">
        <v>8987</v>
      </c>
    </row>
    <row r="1791" spans="1:11">
      <c r="A1791" s="7">
        <v>1789</v>
      </c>
      <c r="B1791" s="7" t="s">
        <v>9174</v>
      </c>
      <c r="C1791" s="7" t="s">
        <v>8984</v>
      </c>
      <c r="D1791" s="7" t="s">
        <v>7555</v>
      </c>
      <c r="E1791" s="7" t="s">
        <v>11436</v>
      </c>
      <c r="F1791" s="8" t="s">
        <v>9708</v>
      </c>
      <c r="G1791" s="7">
        <v>33</v>
      </c>
      <c r="H1791" s="7" t="s">
        <v>11346</v>
      </c>
      <c r="I1791" s="7">
        <v>1</v>
      </c>
      <c r="J1791" s="7" t="s">
        <v>7887</v>
      </c>
      <c r="K1791" s="9" t="s">
        <v>8987</v>
      </c>
    </row>
    <row r="1792" spans="1:11">
      <c r="A1792" s="7">
        <v>1790</v>
      </c>
      <c r="B1792" s="7" t="s">
        <v>9174</v>
      </c>
      <c r="C1792" s="7" t="s">
        <v>8984</v>
      </c>
      <c r="D1792" s="7" t="s">
        <v>7555</v>
      </c>
      <c r="E1792" s="7" t="s">
        <v>11437</v>
      </c>
      <c r="F1792" s="8" t="s">
        <v>9708</v>
      </c>
      <c r="G1792" s="7">
        <v>17</v>
      </c>
      <c r="H1792" s="7" t="s">
        <v>9146</v>
      </c>
      <c r="I1792" s="7">
        <v>1</v>
      </c>
      <c r="J1792" s="7" t="s">
        <v>7850</v>
      </c>
      <c r="K1792" s="9" t="s">
        <v>8987</v>
      </c>
    </row>
    <row r="1793" spans="1:11">
      <c r="A1793" s="7">
        <v>1791</v>
      </c>
      <c r="B1793" s="7" t="s">
        <v>9174</v>
      </c>
      <c r="C1793" s="7" t="s">
        <v>8984</v>
      </c>
      <c r="D1793" s="7" t="s">
        <v>7555</v>
      </c>
      <c r="E1793" s="7" t="s">
        <v>11438</v>
      </c>
      <c r="F1793" s="8" t="s">
        <v>9710</v>
      </c>
      <c r="G1793" s="7">
        <v>33</v>
      </c>
      <c r="H1793" s="7" t="s">
        <v>11346</v>
      </c>
      <c r="I1793" s="7">
        <v>1</v>
      </c>
      <c r="J1793" s="7" t="s">
        <v>7887</v>
      </c>
      <c r="K1793" s="9" t="s">
        <v>8987</v>
      </c>
    </row>
    <row r="1794" spans="1:11">
      <c r="A1794" s="7">
        <v>1792</v>
      </c>
      <c r="B1794" s="7" t="s">
        <v>9174</v>
      </c>
      <c r="C1794" s="7" t="s">
        <v>8984</v>
      </c>
      <c r="D1794" s="7" t="s">
        <v>7555</v>
      </c>
      <c r="E1794" s="7" t="s">
        <v>11439</v>
      </c>
      <c r="F1794" s="8" t="s">
        <v>9710</v>
      </c>
      <c r="G1794" s="7">
        <v>17</v>
      </c>
      <c r="H1794" s="7" t="s">
        <v>9146</v>
      </c>
      <c r="I1794" s="7">
        <v>1</v>
      </c>
      <c r="J1794" s="7" t="s">
        <v>7850</v>
      </c>
      <c r="K1794" s="9" t="s">
        <v>8987</v>
      </c>
    </row>
    <row r="1795" spans="1:11">
      <c r="A1795" s="7">
        <v>1793</v>
      </c>
      <c r="B1795" s="7" t="s">
        <v>9174</v>
      </c>
      <c r="C1795" s="7" t="s">
        <v>8984</v>
      </c>
      <c r="D1795" s="7" t="s">
        <v>7555</v>
      </c>
      <c r="E1795" s="7" t="s">
        <v>11440</v>
      </c>
      <c r="F1795" s="8" t="s">
        <v>9712</v>
      </c>
      <c r="G1795" s="7">
        <v>33</v>
      </c>
      <c r="H1795" s="7" t="s">
        <v>11346</v>
      </c>
      <c r="I1795" s="7">
        <v>1</v>
      </c>
      <c r="J1795" s="7" t="s">
        <v>7887</v>
      </c>
      <c r="K1795" s="9" t="s">
        <v>8987</v>
      </c>
    </row>
    <row r="1796" spans="1:11">
      <c r="A1796" s="7">
        <v>1794</v>
      </c>
      <c r="B1796" s="7" t="s">
        <v>9174</v>
      </c>
      <c r="C1796" s="7" t="s">
        <v>8984</v>
      </c>
      <c r="D1796" s="7" t="s">
        <v>7555</v>
      </c>
      <c r="E1796" s="7" t="s">
        <v>11441</v>
      </c>
      <c r="F1796" s="8" t="s">
        <v>9712</v>
      </c>
      <c r="G1796" s="7">
        <v>17</v>
      </c>
      <c r="H1796" s="7" t="s">
        <v>9146</v>
      </c>
      <c r="I1796" s="7">
        <v>1</v>
      </c>
      <c r="J1796" s="7" t="s">
        <v>7850</v>
      </c>
      <c r="K1796" s="9" t="s">
        <v>8987</v>
      </c>
    </row>
    <row r="1797" spans="1:11">
      <c r="A1797" s="7">
        <v>1795</v>
      </c>
      <c r="B1797" s="7" t="s">
        <v>9174</v>
      </c>
      <c r="C1797" s="7" t="s">
        <v>8984</v>
      </c>
      <c r="D1797" s="7" t="s">
        <v>7555</v>
      </c>
      <c r="E1797" s="7" t="s">
        <v>11442</v>
      </c>
      <c r="F1797" s="8" t="s">
        <v>10096</v>
      </c>
      <c r="G1797" s="7">
        <v>40</v>
      </c>
      <c r="H1797" s="7" t="s">
        <v>9003</v>
      </c>
      <c r="I1797" s="7">
        <v>1</v>
      </c>
      <c r="J1797" s="7" t="s">
        <v>7860</v>
      </c>
      <c r="K1797" s="9" t="s">
        <v>8987</v>
      </c>
    </row>
    <row r="1798" spans="1:11">
      <c r="A1798" s="7">
        <v>1796</v>
      </c>
      <c r="B1798" s="7" t="s">
        <v>9174</v>
      </c>
      <c r="C1798" s="7" t="s">
        <v>8984</v>
      </c>
      <c r="D1798" s="7" t="s">
        <v>7555</v>
      </c>
      <c r="E1798" s="7" t="s">
        <v>11443</v>
      </c>
      <c r="F1798" s="8" t="s">
        <v>10096</v>
      </c>
      <c r="G1798" s="7">
        <v>20</v>
      </c>
      <c r="H1798" s="7" t="s">
        <v>9394</v>
      </c>
      <c r="I1798" s="7">
        <v>1</v>
      </c>
      <c r="J1798" s="7" t="s">
        <v>7851</v>
      </c>
      <c r="K1798" s="9" t="s">
        <v>8987</v>
      </c>
    </row>
    <row r="1799" spans="1:11">
      <c r="A1799" s="7">
        <v>1797</v>
      </c>
      <c r="B1799" s="7" t="s">
        <v>9174</v>
      </c>
      <c r="C1799" s="7" t="s">
        <v>8984</v>
      </c>
      <c r="D1799" s="7" t="s">
        <v>7555</v>
      </c>
      <c r="E1799" s="7" t="s">
        <v>11444</v>
      </c>
      <c r="F1799" s="8" t="s">
        <v>9621</v>
      </c>
      <c r="G1799" s="7">
        <v>3</v>
      </c>
      <c r="H1799" s="7" t="s">
        <v>9187</v>
      </c>
      <c r="I1799" s="7">
        <v>1</v>
      </c>
      <c r="J1799" s="7" t="s">
        <v>7872</v>
      </c>
      <c r="K1799" s="9" t="s">
        <v>8987</v>
      </c>
    </row>
    <row r="1800" spans="1:11">
      <c r="A1800" s="7">
        <v>1798</v>
      </c>
      <c r="B1800" s="7" t="s">
        <v>9174</v>
      </c>
      <c r="C1800" s="7" t="s">
        <v>8984</v>
      </c>
      <c r="D1800" s="7" t="s">
        <v>7555</v>
      </c>
      <c r="E1800" s="7" t="s">
        <v>11445</v>
      </c>
      <c r="F1800" s="8" t="s">
        <v>9621</v>
      </c>
      <c r="G1800" s="7">
        <v>4</v>
      </c>
      <c r="H1800" s="7" t="s">
        <v>9579</v>
      </c>
      <c r="I1800" s="7">
        <v>1</v>
      </c>
      <c r="J1800" s="7" t="s">
        <v>7617</v>
      </c>
      <c r="K1800" s="9" t="s">
        <v>8987</v>
      </c>
    </row>
    <row r="1801" spans="1:11">
      <c r="A1801" s="7">
        <v>1799</v>
      </c>
      <c r="B1801" s="7" t="s">
        <v>9174</v>
      </c>
      <c r="C1801" s="7" t="s">
        <v>8984</v>
      </c>
      <c r="D1801" s="7" t="s">
        <v>7555</v>
      </c>
      <c r="E1801" s="7" t="s">
        <v>11446</v>
      </c>
      <c r="F1801" s="8" t="s">
        <v>11447</v>
      </c>
      <c r="G1801" s="7">
        <v>1</v>
      </c>
      <c r="H1801" s="7" t="s">
        <v>9112</v>
      </c>
      <c r="I1801" s="7">
        <v>1</v>
      </c>
      <c r="J1801" s="7" t="s">
        <v>9113</v>
      </c>
      <c r="K1801" s="9" t="s">
        <v>8987</v>
      </c>
    </row>
    <row r="1802" spans="1:11">
      <c r="A1802" s="7">
        <v>1800</v>
      </c>
      <c r="B1802" s="7" t="s">
        <v>9174</v>
      </c>
      <c r="C1802" s="7" t="s">
        <v>8984</v>
      </c>
      <c r="D1802" s="7" t="s">
        <v>7555</v>
      </c>
      <c r="E1802" s="7" t="s">
        <v>11448</v>
      </c>
      <c r="F1802" s="8" t="s">
        <v>11447</v>
      </c>
      <c r="G1802" s="7">
        <v>2</v>
      </c>
      <c r="H1802" s="7" t="s">
        <v>10476</v>
      </c>
      <c r="I1802" s="7">
        <v>1</v>
      </c>
      <c r="J1802" s="7" t="s">
        <v>7861</v>
      </c>
      <c r="K1802" s="9" t="s">
        <v>8987</v>
      </c>
    </row>
    <row r="1803" spans="1:11">
      <c r="A1803" s="7">
        <v>1801</v>
      </c>
      <c r="B1803" s="7" t="s">
        <v>9174</v>
      </c>
      <c r="C1803" s="7" t="s">
        <v>8984</v>
      </c>
      <c r="D1803" s="7" t="s">
        <v>7555</v>
      </c>
      <c r="E1803" s="7" t="s">
        <v>11449</v>
      </c>
      <c r="F1803" s="8" t="s">
        <v>11450</v>
      </c>
      <c r="G1803" s="7">
        <v>1</v>
      </c>
      <c r="H1803" s="7" t="s">
        <v>9112</v>
      </c>
      <c r="I1803" s="7">
        <v>1</v>
      </c>
      <c r="J1803" s="7" t="s">
        <v>9113</v>
      </c>
      <c r="K1803" s="9" t="s">
        <v>8987</v>
      </c>
    </row>
    <row r="1804" spans="1:11">
      <c r="A1804" s="7">
        <v>1802</v>
      </c>
      <c r="B1804" s="7" t="s">
        <v>9174</v>
      </c>
      <c r="C1804" s="7" t="s">
        <v>8984</v>
      </c>
      <c r="D1804" s="7" t="s">
        <v>7555</v>
      </c>
      <c r="E1804" s="7" t="s">
        <v>11451</v>
      </c>
      <c r="F1804" s="8" t="s">
        <v>11450</v>
      </c>
      <c r="G1804" s="7">
        <v>2</v>
      </c>
      <c r="H1804" s="7" t="s">
        <v>10476</v>
      </c>
      <c r="I1804" s="7">
        <v>1</v>
      </c>
      <c r="J1804" s="7" t="s">
        <v>7861</v>
      </c>
      <c r="K1804" s="9" t="s">
        <v>8987</v>
      </c>
    </row>
    <row r="1805" spans="1:11">
      <c r="A1805" s="7">
        <v>1803</v>
      </c>
      <c r="B1805" s="7" t="s">
        <v>9174</v>
      </c>
      <c r="C1805" s="7" t="s">
        <v>8984</v>
      </c>
      <c r="D1805" s="7" t="s">
        <v>7555</v>
      </c>
      <c r="E1805" s="7" t="s">
        <v>11452</v>
      </c>
      <c r="F1805" s="8" t="s">
        <v>11453</v>
      </c>
      <c r="G1805" s="7">
        <v>1</v>
      </c>
      <c r="H1805" s="7" t="s">
        <v>9112</v>
      </c>
      <c r="I1805" s="7">
        <v>1</v>
      </c>
      <c r="J1805" s="7" t="s">
        <v>9113</v>
      </c>
      <c r="K1805" s="9" t="s">
        <v>8987</v>
      </c>
    </row>
    <row r="1806" spans="1:11">
      <c r="A1806" s="7">
        <v>1804</v>
      </c>
      <c r="B1806" s="7" t="s">
        <v>9174</v>
      </c>
      <c r="C1806" s="7" t="s">
        <v>8984</v>
      </c>
      <c r="D1806" s="7" t="s">
        <v>7555</v>
      </c>
      <c r="E1806" s="7" t="s">
        <v>11454</v>
      </c>
      <c r="F1806" s="8" t="s">
        <v>11453</v>
      </c>
      <c r="G1806" s="7">
        <v>2</v>
      </c>
      <c r="H1806" s="7" t="s">
        <v>10476</v>
      </c>
      <c r="I1806" s="7">
        <v>1</v>
      </c>
      <c r="J1806" s="7" t="s">
        <v>7861</v>
      </c>
      <c r="K1806" s="9" t="s">
        <v>8987</v>
      </c>
    </row>
    <row r="1807" spans="1:11">
      <c r="A1807" s="7">
        <v>1805</v>
      </c>
      <c r="B1807" s="7" t="s">
        <v>9174</v>
      </c>
      <c r="C1807" s="7" t="s">
        <v>8984</v>
      </c>
      <c r="D1807" s="7" t="s">
        <v>7555</v>
      </c>
      <c r="E1807" s="7" t="s">
        <v>11455</v>
      </c>
      <c r="F1807" s="8" t="s">
        <v>9325</v>
      </c>
      <c r="G1807" s="7">
        <v>75</v>
      </c>
      <c r="H1807" s="7" t="s">
        <v>9265</v>
      </c>
      <c r="I1807" s="7">
        <v>1</v>
      </c>
      <c r="J1807" s="7" t="s">
        <v>7859</v>
      </c>
      <c r="K1807" s="9" t="s">
        <v>8987</v>
      </c>
    </row>
    <row r="1808" spans="1:11">
      <c r="A1808" s="7">
        <v>1806</v>
      </c>
      <c r="B1808" s="7" t="s">
        <v>9174</v>
      </c>
      <c r="C1808" s="7" t="s">
        <v>8984</v>
      </c>
      <c r="D1808" s="7" t="s">
        <v>7555</v>
      </c>
      <c r="E1808" s="7" t="s">
        <v>11456</v>
      </c>
      <c r="F1808" s="8" t="s">
        <v>9325</v>
      </c>
      <c r="G1808" s="7">
        <v>50</v>
      </c>
      <c r="H1808" s="7" t="s">
        <v>9021</v>
      </c>
      <c r="I1808" s="7">
        <v>1</v>
      </c>
      <c r="J1808" s="7" t="s">
        <v>7881</v>
      </c>
      <c r="K1808" s="9" t="s">
        <v>8987</v>
      </c>
    </row>
    <row r="1809" spans="1:11">
      <c r="A1809" s="7">
        <v>1807</v>
      </c>
      <c r="B1809" s="7" t="s">
        <v>9174</v>
      </c>
      <c r="C1809" s="7" t="s">
        <v>8984</v>
      </c>
      <c r="D1809" s="7" t="s">
        <v>7555</v>
      </c>
      <c r="E1809" s="7" t="s">
        <v>6035</v>
      </c>
      <c r="F1809" s="8" t="s">
        <v>11457</v>
      </c>
      <c r="G1809" s="7">
        <v>80</v>
      </c>
      <c r="H1809" s="7" t="s">
        <v>9153</v>
      </c>
      <c r="I1809" s="7">
        <v>1</v>
      </c>
      <c r="J1809" s="7" t="s">
        <v>7867</v>
      </c>
      <c r="K1809" s="9" t="s">
        <v>8987</v>
      </c>
    </row>
    <row r="1810" spans="1:11">
      <c r="A1810" s="7">
        <v>1808</v>
      </c>
      <c r="B1810" s="7" t="s">
        <v>9174</v>
      </c>
      <c r="C1810" s="7" t="s">
        <v>8984</v>
      </c>
      <c r="D1810" s="7" t="s">
        <v>7555</v>
      </c>
      <c r="E1810" s="7" t="s">
        <v>11458</v>
      </c>
      <c r="F1810" s="8" t="s">
        <v>11457</v>
      </c>
      <c r="G1810" s="7">
        <v>55</v>
      </c>
      <c r="H1810" s="7" t="s">
        <v>9548</v>
      </c>
      <c r="I1810" s="7">
        <v>1</v>
      </c>
      <c r="J1810" s="7" t="s">
        <v>7858</v>
      </c>
      <c r="K1810" s="9" t="s">
        <v>8987</v>
      </c>
    </row>
    <row r="1811" spans="1:11">
      <c r="A1811" s="7">
        <v>1809</v>
      </c>
      <c r="B1811" s="7" t="s">
        <v>9174</v>
      </c>
      <c r="C1811" s="7" t="s">
        <v>8984</v>
      </c>
      <c r="D1811" s="7" t="s">
        <v>7552</v>
      </c>
      <c r="E1811" s="7" t="s">
        <v>11459</v>
      </c>
      <c r="F1811" s="8" t="s">
        <v>11460</v>
      </c>
      <c r="G1811" s="7">
        <v>10</v>
      </c>
      <c r="H1811" s="7" t="s">
        <v>9292</v>
      </c>
      <c r="I1811" s="7">
        <v>1</v>
      </c>
      <c r="J1811" s="7" t="s">
        <v>7768</v>
      </c>
      <c r="K1811" s="9" t="s">
        <v>8987</v>
      </c>
    </row>
    <row r="1812" spans="1:11">
      <c r="A1812" s="7">
        <v>1810</v>
      </c>
      <c r="B1812" s="7" t="s">
        <v>9174</v>
      </c>
      <c r="C1812" s="7" t="s">
        <v>8984</v>
      </c>
      <c r="D1812" s="7" t="s">
        <v>7552</v>
      </c>
      <c r="E1812" s="7" t="s">
        <v>11461</v>
      </c>
      <c r="F1812" s="8" t="s">
        <v>11460</v>
      </c>
      <c r="G1812" s="7">
        <v>23</v>
      </c>
      <c r="H1812" s="7" t="s">
        <v>9120</v>
      </c>
      <c r="I1812" s="7">
        <v>1</v>
      </c>
      <c r="J1812" s="7" t="s">
        <v>7848</v>
      </c>
      <c r="K1812" s="9" t="s">
        <v>8987</v>
      </c>
    </row>
    <row r="1813" spans="1:11">
      <c r="A1813" s="7">
        <v>1811</v>
      </c>
      <c r="B1813" s="7" t="s">
        <v>9174</v>
      </c>
      <c r="C1813" s="7" t="s">
        <v>8984</v>
      </c>
      <c r="D1813" s="7" t="s">
        <v>7552</v>
      </c>
      <c r="E1813" s="7" t="s">
        <v>11462</v>
      </c>
      <c r="F1813" s="8" t="s">
        <v>11460</v>
      </c>
      <c r="G1813" s="7">
        <v>30</v>
      </c>
      <c r="H1813" s="7" t="s">
        <v>9015</v>
      </c>
      <c r="I1813" s="7">
        <v>1</v>
      </c>
      <c r="J1813" s="7" t="s">
        <v>7855</v>
      </c>
      <c r="K1813" s="9" t="s">
        <v>8987</v>
      </c>
    </row>
    <row r="1814" spans="1:11">
      <c r="A1814" s="7">
        <v>1812</v>
      </c>
      <c r="B1814" s="7" t="s">
        <v>9174</v>
      </c>
      <c r="C1814" s="7" t="s">
        <v>8984</v>
      </c>
      <c r="D1814" s="7" t="s">
        <v>7552</v>
      </c>
      <c r="E1814" s="7" t="s">
        <v>11463</v>
      </c>
      <c r="F1814" s="8" t="s">
        <v>11460</v>
      </c>
      <c r="G1814" s="7">
        <v>23</v>
      </c>
      <c r="H1814" s="7" t="s">
        <v>9120</v>
      </c>
      <c r="I1814" s="7">
        <v>1</v>
      </c>
      <c r="J1814" s="7" t="s">
        <v>7848</v>
      </c>
      <c r="K1814" s="9" t="s">
        <v>8987</v>
      </c>
    </row>
    <row r="1815" spans="1:11">
      <c r="A1815" s="7">
        <v>1813</v>
      </c>
      <c r="B1815" s="7" t="s">
        <v>9174</v>
      </c>
      <c r="C1815" s="7" t="s">
        <v>8984</v>
      </c>
      <c r="D1815" s="7" t="s">
        <v>7552</v>
      </c>
      <c r="E1815" s="7" t="s">
        <v>11464</v>
      </c>
      <c r="F1815" s="8" t="s">
        <v>11460</v>
      </c>
      <c r="G1815" s="7">
        <v>30</v>
      </c>
      <c r="H1815" s="7" t="s">
        <v>9015</v>
      </c>
      <c r="I1815" s="7">
        <v>1</v>
      </c>
      <c r="J1815" s="7" t="s">
        <v>7855</v>
      </c>
      <c r="K1815" s="9" t="s">
        <v>8987</v>
      </c>
    </row>
    <row r="1816" spans="1:11">
      <c r="A1816" s="7">
        <v>1814</v>
      </c>
      <c r="B1816" s="7" t="s">
        <v>9174</v>
      </c>
      <c r="C1816" s="7" t="s">
        <v>11152</v>
      </c>
      <c r="D1816" s="7" t="s">
        <v>7552</v>
      </c>
      <c r="E1816" s="7" t="s">
        <v>11465</v>
      </c>
      <c r="F1816" s="8" t="s">
        <v>11460</v>
      </c>
      <c r="G1816" s="7">
        <v>15</v>
      </c>
      <c r="H1816" s="7" t="s">
        <v>9053</v>
      </c>
      <c r="I1816" s="7">
        <v>1</v>
      </c>
      <c r="J1816" s="7" t="s">
        <v>7862</v>
      </c>
      <c r="K1816" s="9" t="s">
        <v>8987</v>
      </c>
    </row>
    <row r="1817" spans="1:11">
      <c r="A1817" s="7">
        <v>1815</v>
      </c>
      <c r="B1817" s="7" t="s">
        <v>9088</v>
      </c>
      <c r="C1817" s="7" t="s">
        <v>8984</v>
      </c>
      <c r="D1817" s="7" t="s">
        <v>7552</v>
      </c>
      <c r="E1817" s="7" t="s">
        <v>11466</v>
      </c>
      <c r="F1817" s="8" t="s">
        <v>11467</v>
      </c>
      <c r="G1817" s="7">
        <v>4</v>
      </c>
      <c r="H1817" s="7" t="s">
        <v>9579</v>
      </c>
      <c r="I1817" s="7">
        <v>1</v>
      </c>
      <c r="J1817" s="7" t="s">
        <v>7617</v>
      </c>
      <c r="K1817" s="9" t="s">
        <v>8987</v>
      </c>
    </row>
    <row r="1818" spans="1:11">
      <c r="A1818" s="7">
        <v>1816</v>
      </c>
      <c r="B1818" s="7" t="s">
        <v>9088</v>
      </c>
      <c r="C1818" s="7" t="s">
        <v>8984</v>
      </c>
      <c r="D1818" s="7" t="s">
        <v>7552</v>
      </c>
      <c r="E1818" s="7" t="s">
        <v>11468</v>
      </c>
      <c r="F1818" s="8" t="s">
        <v>11467</v>
      </c>
      <c r="G1818" s="7">
        <v>10</v>
      </c>
      <c r="H1818" s="7" t="s">
        <v>9292</v>
      </c>
      <c r="I1818" s="7">
        <v>1</v>
      </c>
      <c r="J1818" s="7" t="s">
        <v>7768</v>
      </c>
      <c r="K1818" s="9" t="s">
        <v>8987</v>
      </c>
    </row>
    <row r="1819" spans="1:11">
      <c r="A1819" s="7">
        <v>1817</v>
      </c>
      <c r="B1819" s="7" t="s">
        <v>9088</v>
      </c>
      <c r="C1819" s="7" t="s">
        <v>8984</v>
      </c>
      <c r="D1819" s="7" t="s">
        <v>7552</v>
      </c>
      <c r="E1819" s="7" t="s">
        <v>4879</v>
      </c>
      <c r="F1819" s="8" t="s">
        <v>11467</v>
      </c>
      <c r="G1819" s="7">
        <v>13</v>
      </c>
      <c r="H1819" s="7" t="s">
        <v>9077</v>
      </c>
      <c r="I1819" s="7">
        <v>1</v>
      </c>
      <c r="J1819" s="7" t="s">
        <v>11187</v>
      </c>
      <c r="K1819" s="9" t="s">
        <v>8987</v>
      </c>
    </row>
    <row r="1820" spans="1:11">
      <c r="A1820" s="7">
        <v>1818</v>
      </c>
      <c r="B1820" s="7" t="s">
        <v>9088</v>
      </c>
      <c r="C1820" s="7" t="s">
        <v>8984</v>
      </c>
      <c r="D1820" s="7" t="s">
        <v>7552</v>
      </c>
      <c r="E1820" s="7" t="s">
        <v>11469</v>
      </c>
      <c r="F1820" s="8" t="s">
        <v>11467</v>
      </c>
      <c r="G1820" s="7">
        <v>10</v>
      </c>
      <c r="H1820" s="7" t="s">
        <v>9292</v>
      </c>
      <c r="I1820" s="7">
        <v>1</v>
      </c>
      <c r="J1820" s="7" t="s">
        <v>7768</v>
      </c>
      <c r="K1820" s="9" t="s">
        <v>8987</v>
      </c>
    </row>
    <row r="1821" spans="1:11">
      <c r="A1821" s="7">
        <v>1819</v>
      </c>
      <c r="B1821" s="7" t="s">
        <v>9088</v>
      </c>
      <c r="C1821" s="7" t="s">
        <v>8984</v>
      </c>
      <c r="D1821" s="7" t="s">
        <v>7552</v>
      </c>
      <c r="E1821" s="7" t="s">
        <v>11470</v>
      </c>
      <c r="F1821" s="8" t="s">
        <v>11467</v>
      </c>
      <c r="G1821" s="7">
        <v>13</v>
      </c>
      <c r="H1821" s="7" t="s">
        <v>9077</v>
      </c>
      <c r="I1821" s="7">
        <v>1</v>
      </c>
      <c r="J1821" s="7" t="s">
        <v>11187</v>
      </c>
      <c r="K1821" s="9" t="s">
        <v>8987</v>
      </c>
    </row>
    <row r="1822" spans="1:11">
      <c r="A1822" s="7">
        <v>1820</v>
      </c>
      <c r="B1822" s="7" t="s">
        <v>9088</v>
      </c>
      <c r="C1822" s="7" t="s">
        <v>11152</v>
      </c>
      <c r="D1822" s="7" t="s">
        <v>7552</v>
      </c>
      <c r="E1822" s="7" t="s">
        <v>11471</v>
      </c>
      <c r="F1822" s="8" t="s">
        <v>11467</v>
      </c>
      <c r="G1822" s="7">
        <v>7</v>
      </c>
      <c r="H1822" s="7" t="s">
        <v>9182</v>
      </c>
      <c r="I1822" s="7">
        <v>1</v>
      </c>
      <c r="J1822" s="7" t="s">
        <v>7866</v>
      </c>
      <c r="K1822" s="9" t="s">
        <v>8987</v>
      </c>
    </row>
    <row r="1823" spans="1:11">
      <c r="A1823" s="7">
        <v>1821</v>
      </c>
      <c r="B1823" s="7" t="s">
        <v>9174</v>
      </c>
      <c r="C1823" s="7" t="s">
        <v>8984</v>
      </c>
      <c r="D1823" s="7" t="s">
        <v>7552</v>
      </c>
      <c r="E1823" s="7" t="s">
        <v>11472</v>
      </c>
      <c r="F1823" s="8" t="s">
        <v>9450</v>
      </c>
      <c r="G1823" s="7">
        <v>10</v>
      </c>
      <c r="H1823" s="7" t="s">
        <v>9292</v>
      </c>
      <c r="I1823" s="7">
        <v>1</v>
      </c>
      <c r="J1823" s="7" t="s">
        <v>7768</v>
      </c>
      <c r="K1823" s="9" t="s">
        <v>8987</v>
      </c>
    </row>
    <row r="1824" spans="1:11">
      <c r="A1824" s="7">
        <v>1822</v>
      </c>
      <c r="B1824" s="7" t="s">
        <v>9174</v>
      </c>
      <c r="C1824" s="7" t="s">
        <v>8984</v>
      </c>
      <c r="D1824" s="7" t="s">
        <v>7552</v>
      </c>
      <c r="E1824" s="7" t="s">
        <v>11473</v>
      </c>
      <c r="F1824" s="8" t="s">
        <v>9450</v>
      </c>
      <c r="G1824" s="7">
        <v>23</v>
      </c>
      <c r="H1824" s="7" t="s">
        <v>9120</v>
      </c>
      <c r="I1824" s="7">
        <v>1</v>
      </c>
      <c r="J1824" s="7" t="s">
        <v>7848</v>
      </c>
      <c r="K1824" s="9" t="s">
        <v>8987</v>
      </c>
    </row>
    <row r="1825" spans="1:11">
      <c r="A1825" s="7">
        <v>1823</v>
      </c>
      <c r="B1825" s="7" t="s">
        <v>9174</v>
      </c>
      <c r="C1825" s="7" t="s">
        <v>8984</v>
      </c>
      <c r="D1825" s="7" t="s">
        <v>7552</v>
      </c>
      <c r="E1825" s="7" t="s">
        <v>11474</v>
      </c>
      <c r="F1825" s="8" t="s">
        <v>9450</v>
      </c>
      <c r="G1825" s="7">
        <v>30</v>
      </c>
      <c r="H1825" s="7" t="s">
        <v>9015</v>
      </c>
      <c r="I1825" s="7">
        <v>1</v>
      </c>
      <c r="J1825" s="7" t="s">
        <v>7855</v>
      </c>
      <c r="K1825" s="9" t="s">
        <v>8987</v>
      </c>
    </row>
    <row r="1826" spans="1:11">
      <c r="A1826" s="7">
        <v>1824</v>
      </c>
      <c r="B1826" s="7" t="s">
        <v>9174</v>
      </c>
      <c r="C1826" s="7" t="s">
        <v>8984</v>
      </c>
      <c r="D1826" s="7" t="s">
        <v>7552</v>
      </c>
      <c r="E1826" s="7" t="s">
        <v>11475</v>
      </c>
      <c r="F1826" s="8" t="s">
        <v>9450</v>
      </c>
      <c r="G1826" s="7">
        <v>23</v>
      </c>
      <c r="H1826" s="7" t="s">
        <v>9120</v>
      </c>
      <c r="I1826" s="7">
        <v>1</v>
      </c>
      <c r="J1826" s="7" t="s">
        <v>7848</v>
      </c>
      <c r="K1826" s="9" t="s">
        <v>8987</v>
      </c>
    </row>
    <row r="1827" spans="1:11">
      <c r="A1827" s="7">
        <v>1825</v>
      </c>
      <c r="B1827" s="7" t="s">
        <v>9174</v>
      </c>
      <c r="C1827" s="7" t="s">
        <v>8984</v>
      </c>
      <c r="D1827" s="7" t="s">
        <v>7552</v>
      </c>
      <c r="E1827" s="7" t="s">
        <v>11476</v>
      </c>
      <c r="F1827" s="8" t="s">
        <v>9450</v>
      </c>
      <c r="G1827" s="7">
        <v>30</v>
      </c>
      <c r="H1827" s="7" t="s">
        <v>9015</v>
      </c>
      <c r="I1827" s="7">
        <v>1</v>
      </c>
      <c r="J1827" s="7" t="s">
        <v>7855</v>
      </c>
      <c r="K1827" s="9" t="s">
        <v>8987</v>
      </c>
    </row>
    <row r="1828" spans="1:11">
      <c r="A1828" s="7">
        <v>1826</v>
      </c>
      <c r="B1828" s="7" t="s">
        <v>9719</v>
      </c>
      <c r="C1828" s="7" t="s">
        <v>11152</v>
      </c>
      <c r="D1828" s="7" t="s">
        <v>7552</v>
      </c>
      <c r="E1828" s="7" t="s">
        <v>11477</v>
      </c>
      <c r="F1828" s="8" t="s">
        <v>9450</v>
      </c>
      <c r="G1828" s="7">
        <v>15</v>
      </c>
      <c r="H1828" s="7" t="s">
        <v>9053</v>
      </c>
      <c r="I1828" s="7">
        <v>1</v>
      </c>
      <c r="J1828" s="7" t="s">
        <v>7862</v>
      </c>
      <c r="K1828" s="9" t="s">
        <v>8987</v>
      </c>
    </row>
    <row r="1829" spans="1:11">
      <c r="A1829" s="7">
        <v>1827</v>
      </c>
      <c r="B1829" s="7" t="s">
        <v>9174</v>
      </c>
      <c r="C1829" s="7" t="s">
        <v>8984</v>
      </c>
      <c r="D1829" s="7" t="s">
        <v>7552</v>
      </c>
      <c r="E1829" s="7" t="s">
        <v>11478</v>
      </c>
      <c r="F1829" s="8" t="s">
        <v>10049</v>
      </c>
      <c r="G1829" s="7">
        <v>25</v>
      </c>
      <c r="H1829" s="7" t="s">
        <v>9011</v>
      </c>
      <c r="I1829" s="7">
        <v>1</v>
      </c>
      <c r="J1829" s="7" t="s">
        <v>7840</v>
      </c>
      <c r="K1829" s="9" t="s">
        <v>8987</v>
      </c>
    </row>
    <row r="1830" spans="1:11">
      <c r="A1830" s="7">
        <v>1828</v>
      </c>
      <c r="B1830" s="7" t="s">
        <v>9174</v>
      </c>
      <c r="C1830" s="7" t="s">
        <v>8984</v>
      </c>
      <c r="D1830" s="7" t="s">
        <v>7552</v>
      </c>
      <c r="E1830" s="7" t="s">
        <v>11479</v>
      </c>
      <c r="F1830" s="8" t="s">
        <v>10049</v>
      </c>
      <c r="G1830" s="7">
        <v>74</v>
      </c>
      <c r="H1830" s="7" t="s">
        <v>11480</v>
      </c>
      <c r="I1830" s="7">
        <v>1</v>
      </c>
      <c r="J1830" s="7" t="s">
        <v>11481</v>
      </c>
      <c r="K1830" s="9" t="s">
        <v>8987</v>
      </c>
    </row>
    <row r="1831" spans="1:11">
      <c r="A1831" s="7">
        <v>1829</v>
      </c>
      <c r="B1831" s="7" t="s">
        <v>9174</v>
      </c>
      <c r="C1831" s="7" t="s">
        <v>8984</v>
      </c>
      <c r="D1831" s="7" t="s">
        <v>7552</v>
      </c>
      <c r="E1831" s="7" t="s">
        <v>11482</v>
      </c>
      <c r="F1831" s="8" t="s">
        <v>10049</v>
      </c>
      <c r="G1831" s="7">
        <v>98</v>
      </c>
      <c r="H1831" s="7" t="s">
        <v>11483</v>
      </c>
      <c r="I1831" s="7">
        <v>1</v>
      </c>
      <c r="J1831" s="7" t="s">
        <v>11484</v>
      </c>
      <c r="K1831" s="9" t="s">
        <v>8987</v>
      </c>
    </row>
    <row r="1832" spans="1:11">
      <c r="A1832" s="7">
        <v>1830</v>
      </c>
      <c r="B1832" s="7" t="s">
        <v>9174</v>
      </c>
      <c r="C1832" s="7" t="s">
        <v>8984</v>
      </c>
      <c r="D1832" s="7" t="s">
        <v>7552</v>
      </c>
      <c r="E1832" s="7" t="s">
        <v>11485</v>
      </c>
      <c r="F1832" s="8" t="s">
        <v>10049</v>
      </c>
      <c r="G1832" s="7">
        <v>74</v>
      </c>
      <c r="H1832" s="7" t="s">
        <v>11480</v>
      </c>
      <c r="I1832" s="7">
        <v>1</v>
      </c>
      <c r="J1832" s="7" t="s">
        <v>11481</v>
      </c>
      <c r="K1832" s="9" t="s">
        <v>8987</v>
      </c>
    </row>
    <row r="1833" spans="1:11">
      <c r="A1833" s="7">
        <v>1831</v>
      </c>
      <c r="B1833" s="7" t="s">
        <v>9174</v>
      </c>
      <c r="C1833" s="7" t="s">
        <v>8984</v>
      </c>
      <c r="D1833" s="7" t="s">
        <v>7552</v>
      </c>
      <c r="E1833" s="7" t="s">
        <v>11486</v>
      </c>
      <c r="F1833" s="8" t="s">
        <v>10049</v>
      </c>
      <c r="G1833" s="7">
        <v>98</v>
      </c>
      <c r="H1833" s="7" t="s">
        <v>11483</v>
      </c>
      <c r="I1833" s="7">
        <v>1</v>
      </c>
      <c r="J1833" s="7" t="s">
        <v>11484</v>
      </c>
      <c r="K1833" s="9" t="s">
        <v>8987</v>
      </c>
    </row>
    <row r="1834" spans="1:11">
      <c r="A1834" s="7">
        <v>1832</v>
      </c>
      <c r="B1834" s="7" t="s">
        <v>9174</v>
      </c>
      <c r="C1834" s="7" t="s">
        <v>11152</v>
      </c>
      <c r="D1834" s="7" t="s">
        <v>7552</v>
      </c>
      <c r="E1834" s="7" t="s">
        <v>11487</v>
      </c>
      <c r="F1834" s="8" t="s">
        <v>10049</v>
      </c>
      <c r="G1834" s="7">
        <v>49</v>
      </c>
      <c r="H1834" s="7" t="s">
        <v>11225</v>
      </c>
      <c r="I1834" s="7">
        <v>1</v>
      </c>
      <c r="J1834" s="7" t="s">
        <v>7884</v>
      </c>
      <c r="K1834" s="9" t="s">
        <v>8987</v>
      </c>
    </row>
    <row r="1835" spans="1:11">
      <c r="A1835" s="7">
        <v>1833</v>
      </c>
      <c r="B1835" s="7" t="s">
        <v>9174</v>
      </c>
      <c r="C1835" s="7" t="s">
        <v>8984</v>
      </c>
      <c r="D1835" s="7" t="s">
        <v>7552</v>
      </c>
      <c r="E1835" s="7" t="s">
        <v>11488</v>
      </c>
      <c r="F1835" s="8" t="s">
        <v>10102</v>
      </c>
      <c r="G1835" s="7">
        <v>13</v>
      </c>
      <c r="H1835" s="7" t="s">
        <v>9077</v>
      </c>
      <c r="I1835" s="7">
        <v>1</v>
      </c>
      <c r="J1835" s="7" t="s">
        <v>11187</v>
      </c>
      <c r="K1835" s="9" t="s">
        <v>8987</v>
      </c>
    </row>
    <row r="1836" spans="1:11">
      <c r="A1836" s="7">
        <v>1834</v>
      </c>
      <c r="B1836" s="7" t="s">
        <v>9174</v>
      </c>
      <c r="C1836" s="7" t="s">
        <v>8984</v>
      </c>
      <c r="D1836" s="7" t="s">
        <v>7552</v>
      </c>
      <c r="E1836" s="7" t="s">
        <v>11489</v>
      </c>
      <c r="F1836" s="8" t="s">
        <v>10102</v>
      </c>
      <c r="G1836" s="7">
        <v>13</v>
      </c>
      <c r="H1836" s="7" t="s">
        <v>9077</v>
      </c>
      <c r="I1836" s="7">
        <v>1</v>
      </c>
      <c r="J1836" s="7" t="s">
        <v>11187</v>
      </c>
      <c r="K1836" s="9" t="s">
        <v>8987</v>
      </c>
    </row>
    <row r="1837" spans="1:11">
      <c r="A1837" s="7">
        <v>1835</v>
      </c>
      <c r="B1837" s="7" t="s">
        <v>9174</v>
      </c>
      <c r="C1837" s="7" t="s">
        <v>8984</v>
      </c>
      <c r="D1837" s="7" t="s">
        <v>7552</v>
      </c>
      <c r="E1837" s="7" t="s">
        <v>11490</v>
      </c>
      <c r="F1837" s="8" t="s">
        <v>10102</v>
      </c>
      <c r="G1837" s="7">
        <v>27</v>
      </c>
      <c r="H1837" s="7" t="s">
        <v>9130</v>
      </c>
      <c r="I1837" s="7">
        <v>1</v>
      </c>
      <c r="J1837" s="7" t="s">
        <v>7852</v>
      </c>
      <c r="K1837" s="9" t="s">
        <v>8987</v>
      </c>
    </row>
    <row r="1838" spans="1:11">
      <c r="A1838" s="7">
        <v>1836</v>
      </c>
      <c r="B1838" s="7" t="s">
        <v>9174</v>
      </c>
      <c r="C1838" s="7" t="s">
        <v>8984</v>
      </c>
      <c r="D1838" s="7" t="s">
        <v>7552</v>
      </c>
      <c r="E1838" s="7" t="s">
        <v>11491</v>
      </c>
      <c r="F1838" s="8" t="s">
        <v>10102</v>
      </c>
      <c r="G1838" s="7">
        <v>36</v>
      </c>
      <c r="H1838" s="7" t="s">
        <v>10305</v>
      </c>
      <c r="I1838" s="7">
        <v>1</v>
      </c>
      <c r="J1838" s="7" t="s">
        <v>11492</v>
      </c>
      <c r="K1838" s="9" t="s">
        <v>8987</v>
      </c>
    </row>
    <row r="1839" spans="1:11">
      <c r="A1839" s="7">
        <v>1837</v>
      </c>
      <c r="B1839" s="7" t="s">
        <v>9174</v>
      </c>
      <c r="C1839" s="7" t="s">
        <v>8984</v>
      </c>
      <c r="D1839" s="7" t="s">
        <v>7552</v>
      </c>
      <c r="E1839" s="7" t="s">
        <v>11493</v>
      </c>
      <c r="F1839" s="8" t="s">
        <v>10102</v>
      </c>
      <c r="G1839" s="7">
        <v>27</v>
      </c>
      <c r="H1839" s="7" t="s">
        <v>9130</v>
      </c>
      <c r="I1839" s="7">
        <v>1</v>
      </c>
      <c r="J1839" s="7" t="s">
        <v>7852</v>
      </c>
      <c r="K1839" s="9" t="s">
        <v>8987</v>
      </c>
    </row>
    <row r="1840" spans="1:11">
      <c r="A1840" s="7">
        <v>1838</v>
      </c>
      <c r="B1840" s="7" t="s">
        <v>9174</v>
      </c>
      <c r="C1840" s="7" t="s">
        <v>8984</v>
      </c>
      <c r="D1840" s="7" t="s">
        <v>7552</v>
      </c>
      <c r="E1840" s="7" t="s">
        <v>11494</v>
      </c>
      <c r="F1840" s="8" t="s">
        <v>10102</v>
      </c>
      <c r="G1840" s="7">
        <v>36</v>
      </c>
      <c r="H1840" s="7" t="s">
        <v>10305</v>
      </c>
      <c r="I1840" s="7">
        <v>1</v>
      </c>
      <c r="J1840" s="7" t="s">
        <v>11492</v>
      </c>
      <c r="K1840" s="9" t="s">
        <v>8987</v>
      </c>
    </row>
    <row r="1841" spans="1:11">
      <c r="A1841" s="7">
        <v>1839</v>
      </c>
      <c r="B1841" s="7" t="s">
        <v>9174</v>
      </c>
      <c r="C1841" s="7" t="s">
        <v>11152</v>
      </c>
      <c r="D1841" s="7" t="s">
        <v>7552</v>
      </c>
      <c r="E1841" s="7" t="s">
        <v>11495</v>
      </c>
      <c r="F1841" s="8" t="s">
        <v>10102</v>
      </c>
      <c r="G1841" s="7">
        <v>18</v>
      </c>
      <c r="H1841" s="7" t="s">
        <v>9422</v>
      </c>
      <c r="I1841" s="7">
        <v>1</v>
      </c>
      <c r="J1841" s="7" t="s">
        <v>7885</v>
      </c>
      <c r="K1841" s="9" t="s">
        <v>8987</v>
      </c>
    </row>
    <row r="1842" spans="1:11">
      <c r="A1842" s="7">
        <v>1840</v>
      </c>
      <c r="B1842" s="7" t="s">
        <v>9174</v>
      </c>
      <c r="C1842" s="7" t="s">
        <v>8984</v>
      </c>
      <c r="D1842" s="7" t="s">
        <v>7552</v>
      </c>
      <c r="E1842" s="7" t="s">
        <v>11496</v>
      </c>
      <c r="F1842" s="8" t="s">
        <v>10142</v>
      </c>
      <c r="G1842" s="7">
        <v>23</v>
      </c>
      <c r="H1842" s="7" t="s">
        <v>9120</v>
      </c>
      <c r="I1842" s="7">
        <v>1</v>
      </c>
      <c r="J1842" s="7" t="s">
        <v>7848</v>
      </c>
      <c r="K1842" s="9" t="s">
        <v>8987</v>
      </c>
    </row>
    <row r="1843" spans="1:11">
      <c r="A1843" s="7">
        <v>1841</v>
      </c>
      <c r="B1843" s="7" t="s">
        <v>9174</v>
      </c>
      <c r="C1843" s="7" t="s">
        <v>8984</v>
      </c>
      <c r="D1843" s="7" t="s">
        <v>7552</v>
      </c>
      <c r="E1843" s="7" t="s">
        <v>11497</v>
      </c>
      <c r="F1843" s="8" t="s">
        <v>10142</v>
      </c>
      <c r="G1843" s="7">
        <v>67</v>
      </c>
      <c r="H1843" s="7" t="s">
        <v>11498</v>
      </c>
      <c r="I1843" s="7">
        <v>1</v>
      </c>
      <c r="J1843" s="7" t="s">
        <v>11499</v>
      </c>
      <c r="K1843" s="9" t="s">
        <v>8987</v>
      </c>
    </row>
    <row r="1844" spans="1:11">
      <c r="A1844" s="7">
        <v>1842</v>
      </c>
      <c r="B1844" s="7" t="s">
        <v>9174</v>
      </c>
      <c r="C1844" s="7" t="s">
        <v>8984</v>
      </c>
      <c r="D1844" s="7" t="s">
        <v>7552</v>
      </c>
      <c r="E1844" s="7" t="s">
        <v>11500</v>
      </c>
      <c r="F1844" s="8" t="s">
        <v>10142</v>
      </c>
      <c r="G1844" s="7">
        <v>89</v>
      </c>
      <c r="H1844" s="7" t="s">
        <v>9570</v>
      </c>
      <c r="I1844" s="7">
        <v>1</v>
      </c>
      <c r="J1844" s="7" t="s">
        <v>11501</v>
      </c>
      <c r="K1844" s="9" t="s">
        <v>8987</v>
      </c>
    </row>
    <row r="1845" spans="1:11">
      <c r="A1845" s="7">
        <v>1843</v>
      </c>
      <c r="B1845" s="7" t="s">
        <v>9174</v>
      </c>
      <c r="C1845" s="7" t="s">
        <v>8984</v>
      </c>
      <c r="D1845" s="7" t="s">
        <v>7552</v>
      </c>
      <c r="E1845" s="7" t="s">
        <v>11502</v>
      </c>
      <c r="F1845" s="8" t="s">
        <v>10142</v>
      </c>
      <c r="G1845" s="7">
        <v>67</v>
      </c>
      <c r="H1845" s="7" t="s">
        <v>11498</v>
      </c>
      <c r="I1845" s="7">
        <v>1</v>
      </c>
      <c r="J1845" s="7" t="s">
        <v>11499</v>
      </c>
      <c r="K1845" s="9" t="s">
        <v>8987</v>
      </c>
    </row>
    <row r="1846" spans="1:11">
      <c r="A1846" s="7">
        <v>1844</v>
      </c>
      <c r="B1846" s="7" t="s">
        <v>9174</v>
      </c>
      <c r="C1846" s="7" t="s">
        <v>8984</v>
      </c>
      <c r="D1846" s="7" t="s">
        <v>7552</v>
      </c>
      <c r="E1846" s="7" t="s">
        <v>11503</v>
      </c>
      <c r="F1846" s="8" t="s">
        <v>10142</v>
      </c>
      <c r="G1846" s="7">
        <v>89</v>
      </c>
      <c r="H1846" s="7" t="s">
        <v>9570</v>
      </c>
      <c r="I1846" s="7">
        <v>1</v>
      </c>
      <c r="J1846" s="7" t="s">
        <v>11501</v>
      </c>
      <c r="K1846" s="9" t="s">
        <v>8987</v>
      </c>
    </row>
    <row r="1847" spans="1:11">
      <c r="A1847" s="7">
        <v>1845</v>
      </c>
      <c r="B1847" s="7" t="s">
        <v>9174</v>
      </c>
      <c r="C1847" s="7" t="s">
        <v>11152</v>
      </c>
      <c r="D1847" s="7" t="s">
        <v>7552</v>
      </c>
      <c r="E1847" s="7" t="s">
        <v>11504</v>
      </c>
      <c r="F1847" s="8" t="s">
        <v>10142</v>
      </c>
      <c r="G1847" s="7">
        <v>45</v>
      </c>
      <c r="H1847" s="7" t="s">
        <v>9750</v>
      </c>
      <c r="I1847" s="7">
        <v>1</v>
      </c>
      <c r="J1847" s="7" t="s">
        <v>7880</v>
      </c>
      <c r="K1847" s="9" t="s">
        <v>8987</v>
      </c>
    </row>
    <row r="1848" spans="1:11">
      <c r="A1848" s="7">
        <v>1846</v>
      </c>
      <c r="B1848" s="7" t="s">
        <v>9088</v>
      </c>
      <c r="C1848" s="7" t="s">
        <v>8984</v>
      </c>
      <c r="D1848" s="7" t="s">
        <v>7552</v>
      </c>
      <c r="E1848" s="7" t="s">
        <v>11505</v>
      </c>
      <c r="F1848" s="8" t="s">
        <v>10150</v>
      </c>
      <c r="G1848" s="7">
        <v>3</v>
      </c>
      <c r="H1848" s="7" t="s">
        <v>9187</v>
      </c>
      <c r="I1848" s="7">
        <v>1</v>
      </c>
      <c r="J1848" s="7" t="s">
        <v>7872</v>
      </c>
      <c r="K1848" s="9" t="s">
        <v>8987</v>
      </c>
    </row>
    <row r="1849" spans="1:11">
      <c r="A1849" s="7">
        <v>1847</v>
      </c>
      <c r="B1849" s="7" t="s">
        <v>9088</v>
      </c>
      <c r="C1849" s="7" t="s">
        <v>8984</v>
      </c>
      <c r="D1849" s="7" t="s">
        <v>7552</v>
      </c>
      <c r="E1849" s="7" t="s">
        <v>11506</v>
      </c>
      <c r="F1849" s="8" t="s">
        <v>10150</v>
      </c>
      <c r="G1849" s="7">
        <v>3</v>
      </c>
      <c r="H1849" s="7" t="s">
        <v>9187</v>
      </c>
      <c r="I1849" s="7">
        <v>1</v>
      </c>
      <c r="J1849" s="7" t="s">
        <v>7872</v>
      </c>
      <c r="K1849" s="9" t="s">
        <v>8987</v>
      </c>
    </row>
    <row r="1850" spans="1:11">
      <c r="A1850" s="7">
        <v>1848</v>
      </c>
      <c r="B1850" s="7" t="s">
        <v>9088</v>
      </c>
      <c r="C1850" s="7" t="s">
        <v>8984</v>
      </c>
      <c r="D1850" s="7" t="s">
        <v>7552</v>
      </c>
      <c r="E1850" s="7" t="s">
        <v>11507</v>
      </c>
      <c r="F1850" s="8" t="s">
        <v>10150</v>
      </c>
      <c r="G1850" s="7">
        <v>9</v>
      </c>
      <c r="H1850" s="7" t="s">
        <v>9030</v>
      </c>
      <c r="I1850" s="7">
        <v>1</v>
      </c>
      <c r="J1850" s="7" t="s">
        <v>7766</v>
      </c>
      <c r="K1850" s="9" t="s">
        <v>8987</v>
      </c>
    </row>
    <row r="1851" spans="1:11">
      <c r="A1851" s="7">
        <v>1849</v>
      </c>
      <c r="B1851" s="7" t="s">
        <v>9088</v>
      </c>
      <c r="C1851" s="7" t="s">
        <v>8984</v>
      </c>
      <c r="D1851" s="7" t="s">
        <v>7552</v>
      </c>
      <c r="E1851" s="7" t="s">
        <v>11508</v>
      </c>
      <c r="F1851" s="8" t="s">
        <v>10150</v>
      </c>
      <c r="G1851" s="7">
        <v>12</v>
      </c>
      <c r="H1851" s="7" t="s">
        <v>9213</v>
      </c>
      <c r="I1851" s="7">
        <v>1</v>
      </c>
      <c r="J1851" s="7" t="s">
        <v>7864</v>
      </c>
      <c r="K1851" s="9" t="s">
        <v>8987</v>
      </c>
    </row>
    <row r="1852" spans="1:11">
      <c r="A1852" s="7">
        <v>1850</v>
      </c>
      <c r="B1852" s="7" t="s">
        <v>9088</v>
      </c>
      <c r="C1852" s="7" t="s">
        <v>8984</v>
      </c>
      <c r="D1852" s="7" t="s">
        <v>7552</v>
      </c>
      <c r="E1852" s="7" t="s">
        <v>11509</v>
      </c>
      <c r="F1852" s="8" t="s">
        <v>10150</v>
      </c>
      <c r="G1852" s="7">
        <v>9</v>
      </c>
      <c r="H1852" s="7" t="s">
        <v>9030</v>
      </c>
      <c r="I1852" s="7">
        <v>1</v>
      </c>
      <c r="J1852" s="7" t="s">
        <v>7766</v>
      </c>
      <c r="K1852" s="9" t="s">
        <v>8987</v>
      </c>
    </row>
    <row r="1853" spans="1:11">
      <c r="A1853" s="7">
        <v>1851</v>
      </c>
      <c r="B1853" s="7" t="s">
        <v>9088</v>
      </c>
      <c r="C1853" s="7" t="s">
        <v>8984</v>
      </c>
      <c r="D1853" s="7" t="s">
        <v>7552</v>
      </c>
      <c r="E1853" s="7" t="s">
        <v>11510</v>
      </c>
      <c r="F1853" s="8" t="s">
        <v>10150</v>
      </c>
      <c r="G1853" s="7">
        <v>12</v>
      </c>
      <c r="H1853" s="7" t="s">
        <v>9213</v>
      </c>
      <c r="I1853" s="7">
        <v>1</v>
      </c>
      <c r="J1853" s="7" t="s">
        <v>7864</v>
      </c>
      <c r="K1853" s="9" t="s">
        <v>8987</v>
      </c>
    </row>
    <row r="1854" spans="1:11">
      <c r="A1854" s="7">
        <v>1852</v>
      </c>
      <c r="B1854" s="7" t="s">
        <v>9088</v>
      </c>
      <c r="C1854" s="7" t="s">
        <v>11152</v>
      </c>
      <c r="D1854" s="7" t="s">
        <v>7552</v>
      </c>
      <c r="E1854" s="7" t="s">
        <v>11511</v>
      </c>
      <c r="F1854" s="8" t="s">
        <v>10150</v>
      </c>
      <c r="G1854" s="7">
        <v>6</v>
      </c>
      <c r="H1854" s="7" t="s">
        <v>9218</v>
      </c>
      <c r="I1854" s="7">
        <v>1</v>
      </c>
      <c r="J1854" s="7" t="s">
        <v>7623</v>
      </c>
      <c r="K1854" s="9" t="s">
        <v>8987</v>
      </c>
    </row>
    <row r="1855" spans="1:11">
      <c r="A1855" s="7">
        <v>1853</v>
      </c>
      <c r="B1855" s="7" t="s">
        <v>9174</v>
      </c>
      <c r="C1855" s="7" t="s">
        <v>8984</v>
      </c>
      <c r="D1855" s="7" t="s">
        <v>7552</v>
      </c>
      <c r="E1855" s="7" t="s">
        <v>11512</v>
      </c>
      <c r="F1855" s="8" t="s">
        <v>9297</v>
      </c>
      <c r="G1855" s="7">
        <v>2</v>
      </c>
      <c r="H1855" s="7" t="s">
        <v>10476</v>
      </c>
      <c r="I1855" s="7">
        <v>1</v>
      </c>
      <c r="J1855" s="7" t="s">
        <v>7861</v>
      </c>
      <c r="K1855" s="9" t="s">
        <v>8987</v>
      </c>
    </row>
    <row r="1856" spans="1:11">
      <c r="A1856" s="7">
        <v>1854</v>
      </c>
      <c r="B1856" s="7" t="s">
        <v>9174</v>
      </c>
      <c r="C1856" s="7" t="s">
        <v>8984</v>
      </c>
      <c r="D1856" s="7" t="s">
        <v>7552</v>
      </c>
      <c r="E1856" s="7" t="s">
        <v>11513</v>
      </c>
      <c r="F1856" s="8" t="s">
        <v>9297</v>
      </c>
      <c r="G1856" s="7">
        <v>4</v>
      </c>
      <c r="H1856" s="7" t="s">
        <v>9579</v>
      </c>
      <c r="I1856" s="7">
        <v>1</v>
      </c>
      <c r="J1856" s="7" t="s">
        <v>7617</v>
      </c>
      <c r="K1856" s="9" t="s">
        <v>8987</v>
      </c>
    </row>
    <row r="1857" spans="1:11">
      <c r="A1857" s="7">
        <v>1855</v>
      </c>
      <c r="B1857" s="7" t="s">
        <v>9174</v>
      </c>
      <c r="C1857" s="7" t="s">
        <v>8984</v>
      </c>
      <c r="D1857" s="7" t="s">
        <v>7552</v>
      </c>
      <c r="E1857" s="7" t="s">
        <v>11514</v>
      </c>
      <c r="F1857" s="8" t="s">
        <v>9297</v>
      </c>
      <c r="G1857" s="7">
        <v>5</v>
      </c>
      <c r="H1857" s="7" t="s">
        <v>9336</v>
      </c>
      <c r="I1857" s="7">
        <v>1</v>
      </c>
      <c r="J1857" s="7" t="s">
        <v>7620</v>
      </c>
      <c r="K1857" s="9" t="s">
        <v>8987</v>
      </c>
    </row>
    <row r="1858" spans="1:11">
      <c r="A1858" s="7">
        <v>1856</v>
      </c>
      <c r="B1858" s="7" t="s">
        <v>9174</v>
      </c>
      <c r="C1858" s="7" t="s">
        <v>8984</v>
      </c>
      <c r="D1858" s="7" t="s">
        <v>7552</v>
      </c>
      <c r="E1858" s="7" t="s">
        <v>11515</v>
      </c>
      <c r="F1858" s="8" t="s">
        <v>9297</v>
      </c>
      <c r="G1858" s="7">
        <v>4</v>
      </c>
      <c r="H1858" s="7" t="s">
        <v>9579</v>
      </c>
      <c r="I1858" s="7">
        <v>1</v>
      </c>
      <c r="J1858" s="7" t="s">
        <v>7617</v>
      </c>
      <c r="K1858" s="9" t="s">
        <v>8987</v>
      </c>
    </row>
    <row r="1859" spans="1:11">
      <c r="A1859" s="7">
        <v>1857</v>
      </c>
      <c r="B1859" s="7" t="s">
        <v>9174</v>
      </c>
      <c r="C1859" s="7" t="s">
        <v>8984</v>
      </c>
      <c r="D1859" s="7" t="s">
        <v>7552</v>
      </c>
      <c r="E1859" s="7" t="s">
        <v>11516</v>
      </c>
      <c r="F1859" s="8" t="s">
        <v>9297</v>
      </c>
      <c r="G1859" s="7">
        <v>5</v>
      </c>
      <c r="H1859" s="7" t="s">
        <v>9336</v>
      </c>
      <c r="I1859" s="7">
        <v>1</v>
      </c>
      <c r="J1859" s="7" t="s">
        <v>7620</v>
      </c>
      <c r="K1859" s="9" t="s">
        <v>8987</v>
      </c>
    </row>
    <row r="1860" spans="1:11">
      <c r="A1860" s="7">
        <v>1858</v>
      </c>
      <c r="B1860" s="7" t="s">
        <v>9719</v>
      </c>
      <c r="C1860" s="7" t="s">
        <v>11152</v>
      </c>
      <c r="D1860" s="7" t="s">
        <v>7552</v>
      </c>
      <c r="E1860" s="7" t="s">
        <v>11517</v>
      </c>
      <c r="F1860" s="8" t="s">
        <v>9297</v>
      </c>
      <c r="G1860" s="7">
        <v>3</v>
      </c>
      <c r="H1860" s="7" t="s">
        <v>9187</v>
      </c>
      <c r="I1860" s="7">
        <v>1</v>
      </c>
      <c r="J1860" s="7" t="s">
        <v>7872</v>
      </c>
      <c r="K1860" s="9" t="s">
        <v>8987</v>
      </c>
    </row>
    <row r="1861" spans="1:11">
      <c r="A1861" s="7">
        <v>1859</v>
      </c>
      <c r="B1861" s="7" t="s">
        <v>9174</v>
      </c>
      <c r="C1861" s="7" t="s">
        <v>8984</v>
      </c>
      <c r="D1861" s="7" t="s">
        <v>7551</v>
      </c>
      <c r="E1861" s="7" t="s">
        <v>5181</v>
      </c>
      <c r="F1861" s="8" t="s">
        <v>9111</v>
      </c>
      <c r="G1861" s="7">
        <v>2</v>
      </c>
      <c r="H1861" s="7" t="s">
        <v>10476</v>
      </c>
      <c r="I1861" s="7">
        <v>1</v>
      </c>
      <c r="J1861" s="7" t="s">
        <v>7861</v>
      </c>
      <c r="K1861" s="9" t="s">
        <v>8987</v>
      </c>
    </row>
    <row r="1862" spans="1:11">
      <c r="A1862" s="7">
        <v>1860</v>
      </c>
      <c r="B1862" s="7" t="s">
        <v>9174</v>
      </c>
      <c r="C1862" s="7" t="s">
        <v>8984</v>
      </c>
      <c r="D1862" s="7" t="s">
        <v>7551</v>
      </c>
      <c r="E1862" s="7" t="s">
        <v>11518</v>
      </c>
      <c r="F1862" s="8" t="s">
        <v>9111</v>
      </c>
      <c r="G1862" s="7">
        <v>1</v>
      </c>
      <c r="H1862" s="7" t="s">
        <v>9112</v>
      </c>
      <c r="I1862" s="7">
        <v>1</v>
      </c>
      <c r="J1862" s="7" t="s">
        <v>9113</v>
      </c>
      <c r="K1862" s="9" t="s">
        <v>8987</v>
      </c>
    </row>
    <row r="1863" spans="1:11">
      <c r="A1863" s="7">
        <v>1861</v>
      </c>
      <c r="B1863" s="7" t="s">
        <v>9174</v>
      </c>
      <c r="C1863" s="7" t="s">
        <v>11152</v>
      </c>
      <c r="D1863" s="7" t="s">
        <v>7551</v>
      </c>
      <c r="E1863" s="7" t="s">
        <v>11519</v>
      </c>
      <c r="F1863" s="8" t="s">
        <v>9111</v>
      </c>
      <c r="G1863" s="7">
        <v>1</v>
      </c>
      <c r="H1863" s="7" t="s">
        <v>9112</v>
      </c>
      <c r="I1863" s="7">
        <v>1</v>
      </c>
      <c r="J1863" s="7" t="s">
        <v>9113</v>
      </c>
      <c r="K1863" s="9" t="s">
        <v>8987</v>
      </c>
    </row>
    <row r="1864" spans="1:11">
      <c r="A1864" s="7">
        <v>1862</v>
      </c>
      <c r="B1864" s="7" t="s">
        <v>9088</v>
      </c>
      <c r="C1864" s="7" t="s">
        <v>8984</v>
      </c>
      <c r="D1864" s="7" t="s">
        <v>7551</v>
      </c>
      <c r="E1864" s="7" t="s">
        <v>11520</v>
      </c>
      <c r="F1864" s="8" t="s">
        <v>9115</v>
      </c>
      <c r="G1864" s="7">
        <v>3</v>
      </c>
      <c r="H1864" s="7" t="s">
        <v>9187</v>
      </c>
      <c r="I1864" s="7">
        <v>1</v>
      </c>
      <c r="J1864" s="7" t="s">
        <v>7872</v>
      </c>
      <c r="K1864" s="9" t="s">
        <v>8987</v>
      </c>
    </row>
    <row r="1865" spans="1:11">
      <c r="A1865" s="7">
        <v>1863</v>
      </c>
      <c r="B1865" s="7" t="s">
        <v>9088</v>
      </c>
      <c r="C1865" s="7" t="s">
        <v>8984</v>
      </c>
      <c r="D1865" s="7" t="s">
        <v>7551</v>
      </c>
      <c r="E1865" s="7" t="s">
        <v>11521</v>
      </c>
      <c r="F1865" s="8" t="s">
        <v>9115</v>
      </c>
      <c r="G1865" s="7">
        <v>2</v>
      </c>
      <c r="H1865" s="7" t="s">
        <v>10476</v>
      </c>
      <c r="I1865" s="7">
        <v>1</v>
      </c>
      <c r="J1865" s="7" t="s">
        <v>7861</v>
      </c>
      <c r="K1865" s="9" t="s">
        <v>8987</v>
      </c>
    </row>
    <row r="1866" spans="1:11">
      <c r="A1866" s="7">
        <v>1864</v>
      </c>
      <c r="B1866" s="7" t="s">
        <v>9088</v>
      </c>
      <c r="C1866" s="7" t="s">
        <v>11152</v>
      </c>
      <c r="D1866" s="7" t="s">
        <v>7551</v>
      </c>
      <c r="E1866" s="7" t="s">
        <v>11522</v>
      </c>
      <c r="F1866" s="8" t="s">
        <v>9115</v>
      </c>
      <c r="G1866" s="7">
        <v>2</v>
      </c>
      <c r="H1866" s="7" t="s">
        <v>10476</v>
      </c>
      <c r="I1866" s="7">
        <v>1</v>
      </c>
      <c r="J1866" s="7" t="s">
        <v>7861</v>
      </c>
      <c r="K1866" s="9" t="s">
        <v>8987</v>
      </c>
    </row>
    <row r="1867" spans="1:11">
      <c r="A1867" s="7">
        <v>1865</v>
      </c>
      <c r="B1867" s="7" t="s">
        <v>9088</v>
      </c>
      <c r="C1867" s="7" t="s">
        <v>8984</v>
      </c>
      <c r="D1867" s="7" t="s">
        <v>7551</v>
      </c>
      <c r="E1867" s="7" t="s">
        <v>11523</v>
      </c>
      <c r="F1867" s="8" t="s">
        <v>9119</v>
      </c>
      <c r="G1867" s="7">
        <v>3</v>
      </c>
      <c r="H1867" s="7" t="s">
        <v>9187</v>
      </c>
      <c r="I1867" s="7">
        <v>1</v>
      </c>
      <c r="J1867" s="7" t="s">
        <v>7872</v>
      </c>
      <c r="K1867" s="9" t="s">
        <v>8987</v>
      </c>
    </row>
    <row r="1868" spans="1:11">
      <c r="A1868" s="7">
        <v>1866</v>
      </c>
      <c r="B1868" s="7" t="s">
        <v>9088</v>
      </c>
      <c r="C1868" s="7" t="s">
        <v>8984</v>
      </c>
      <c r="D1868" s="7" t="s">
        <v>7551</v>
      </c>
      <c r="E1868" s="7" t="s">
        <v>11524</v>
      </c>
      <c r="F1868" s="8" t="s">
        <v>9119</v>
      </c>
      <c r="G1868" s="7">
        <v>2</v>
      </c>
      <c r="H1868" s="7" t="s">
        <v>10476</v>
      </c>
      <c r="I1868" s="7">
        <v>1</v>
      </c>
      <c r="J1868" s="7" t="s">
        <v>7861</v>
      </c>
      <c r="K1868" s="9" t="s">
        <v>8987</v>
      </c>
    </row>
    <row r="1869" spans="1:11">
      <c r="A1869" s="7">
        <v>1867</v>
      </c>
      <c r="B1869" s="7" t="s">
        <v>9088</v>
      </c>
      <c r="C1869" s="7" t="s">
        <v>11152</v>
      </c>
      <c r="D1869" s="7" t="s">
        <v>7551</v>
      </c>
      <c r="E1869" s="7" t="s">
        <v>11525</v>
      </c>
      <c r="F1869" s="8" t="s">
        <v>9119</v>
      </c>
      <c r="G1869" s="7">
        <v>2</v>
      </c>
      <c r="H1869" s="7" t="s">
        <v>10476</v>
      </c>
      <c r="I1869" s="7">
        <v>1</v>
      </c>
      <c r="J1869" s="7" t="s">
        <v>7861</v>
      </c>
      <c r="K1869" s="9" t="s">
        <v>8987</v>
      </c>
    </row>
    <row r="1870" spans="1:11">
      <c r="A1870" s="7">
        <v>1868</v>
      </c>
      <c r="B1870" s="7" t="s">
        <v>9088</v>
      </c>
      <c r="C1870" s="7" t="s">
        <v>8984</v>
      </c>
      <c r="D1870" s="7" t="s">
        <v>7551</v>
      </c>
      <c r="E1870" s="7" t="s">
        <v>11526</v>
      </c>
      <c r="F1870" s="8" t="s">
        <v>9123</v>
      </c>
      <c r="G1870" s="7">
        <v>3</v>
      </c>
      <c r="H1870" s="7" t="s">
        <v>9187</v>
      </c>
      <c r="I1870" s="7">
        <v>1</v>
      </c>
      <c r="J1870" s="7" t="s">
        <v>7872</v>
      </c>
      <c r="K1870" s="9" t="s">
        <v>8987</v>
      </c>
    </row>
    <row r="1871" spans="1:11">
      <c r="A1871" s="7">
        <v>1869</v>
      </c>
      <c r="B1871" s="7" t="s">
        <v>9088</v>
      </c>
      <c r="C1871" s="7" t="s">
        <v>8984</v>
      </c>
      <c r="D1871" s="7" t="s">
        <v>7551</v>
      </c>
      <c r="E1871" s="7" t="s">
        <v>11527</v>
      </c>
      <c r="F1871" s="8" t="s">
        <v>9123</v>
      </c>
      <c r="G1871" s="7">
        <v>2</v>
      </c>
      <c r="H1871" s="7" t="s">
        <v>10476</v>
      </c>
      <c r="I1871" s="7">
        <v>1</v>
      </c>
      <c r="J1871" s="7" t="s">
        <v>7861</v>
      </c>
      <c r="K1871" s="9" t="s">
        <v>8987</v>
      </c>
    </row>
    <row r="1872" spans="1:11">
      <c r="A1872" s="7">
        <v>1870</v>
      </c>
      <c r="B1872" s="7" t="s">
        <v>9088</v>
      </c>
      <c r="C1872" s="7" t="s">
        <v>11152</v>
      </c>
      <c r="D1872" s="7" t="s">
        <v>7551</v>
      </c>
      <c r="E1872" s="7" t="s">
        <v>11528</v>
      </c>
      <c r="F1872" s="8" t="s">
        <v>9123</v>
      </c>
      <c r="G1872" s="7">
        <v>2</v>
      </c>
      <c r="H1872" s="7" t="s">
        <v>10476</v>
      </c>
      <c r="I1872" s="7">
        <v>1</v>
      </c>
      <c r="J1872" s="7" t="s">
        <v>7861</v>
      </c>
      <c r="K1872" s="9" t="s">
        <v>8987</v>
      </c>
    </row>
    <row r="1873" spans="1:11">
      <c r="A1873" s="7">
        <v>1871</v>
      </c>
      <c r="B1873" s="7" t="s">
        <v>9174</v>
      </c>
      <c r="C1873" s="7" t="s">
        <v>8984</v>
      </c>
      <c r="D1873" s="7" t="s">
        <v>7551</v>
      </c>
      <c r="E1873" s="7" t="s">
        <v>11529</v>
      </c>
      <c r="F1873" s="8" t="s">
        <v>9133</v>
      </c>
      <c r="G1873" s="7">
        <v>4</v>
      </c>
      <c r="H1873" s="7" t="s">
        <v>9579</v>
      </c>
      <c r="I1873" s="7">
        <v>1</v>
      </c>
      <c r="J1873" s="7" t="s">
        <v>7617</v>
      </c>
      <c r="K1873" s="9" t="s">
        <v>8987</v>
      </c>
    </row>
    <row r="1874" spans="1:11">
      <c r="A1874" s="7">
        <v>1872</v>
      </c>
      <c r="B1874" s="7" t="s">
        <v>9174</v>
      </c>
      <c r="C1874" s="7" t="s">
        <v>8984</v>
      </c>
      <c r="D1874" s="7" t="s">
        <v>7551</v>
      </c>
      <c r="E1874" s="7" t="s">
        <v>11530</v>
      </c>
      <c r="F1874" s="8" t="s">
        <v>9133</v>
      </c>
      <c r="G1874" s="7">
        <v>2</v>
      </c>
      <c r="H1874" s="7" t="s">
        <v>10476</v>
      </c>
      <c r="I1874" s="7">
        <v>1</v>
      </c>
      <c r="J1874" s="7" t="s">
        <v>7861</v>
      </c>
      <c r="K1874" s="9" t="s">
        <v>8987</v>
      </c>
    </row>
    <row r="1875" spans="1:11">
      <c r="A1875" s="7">
        <v>1873</v>
      </c>
      <c r="B1875" s="7" t="s">
        <v>9174</v>
      </c>
      <c r="C1875" s="7" t="s">
        <v>11152</v>
      </c>
      <c r="D1875" s="7" t="s">
        <v>7551</v>
      </c>
      <c r="E1875" s="7" t="s">
        <v>11531</v>
      </c>
      <c r="F1875" s="8" t="s">
        <v>9133</v>
      </c>
      <c r="G1875" s="7">
        <v>2</v>
      </c>
      <c r="H1875" s="7" t="s">
        <v>10476</v>
      </c>
      <c r="I1875" s="7">
        <v>1</v>
      </c>
      <c r="J1875" s="7" t="s">
        <v>7861</v>
      </c>
      <c r="K1875" s="9" t="s">
        <v>8987</v>
      </c>
    </row>
    <row r="1876" spans="1:11">
      <c r="A1876" s="7">
        <v>1874</v>
      </c>
      <c r="B1876" s="7" t="s">
        <v>9174</v>
      </c>
      <c r="C1876" s="7" t="s">
        <v>8984</v>
      </c>
      <c r="D1876" s="7" t="s">
        <v>7551</v>
      </c>
      <c r="E1876" s="7" t="s">
        <v>11532</v>
      </c>
      <c r="F1876" s="8" t="s">
        <v>9135</v>
      </c>
      <c r="G1876" s="7">
        <v>3</v>
      </c>
      <c r="H1876" s="7" t="s">
        <v>9187</v>
      </c>
      <c r="I1876" s="7">
        <v>1</v>
      </c>
      <c r="J1876" s="7" t="s">
        <v>7872</v>
      </c>
      <c r="K1876" s="9" t="s">
        <v>8987</v>
      </c>
    </row>
    <row r="1877" spans="1:11">
      <c r="A1877" s="7">
        <v>1875</v>
      </c>
      <c r="B1877" s="7" t="s">
        <v>9174</v>
      </c>
      <c r="C1877" s="7" t="s">
        <v>8984</v>
      </c>
      <c r="D1877" s="7" t="s">
        <v>7551</v>
      </c>
      <c r="E1877" s="7" t="s">
        <v>11533</v>
      </c>
      <c r="F1877" s="8" t="s">
        <v>9135</v>
      </c>
      <c r="G1877" s="7">
        <v>1</v>
      </c>
      <c r="H1877" s="7" t="s">
        <v>9112</v>
      </c>
      <c r="I1877" s="7">
        <v>1</v>
      </c>
      <c r="J1877" s="7" t="s">
        <v>9113</v>
      </c>
      <c r="K1877" s="9" t="s">
        <v>8987</v>
      </c>
    </row>
    <row r="1878" spans="1:11">
      <c r="A1878" s="7">
        <v>1876</v>
      </c>
      <c r="B1878" s="7" t="s">
        <v>9174</v>
      </c>
      <c r="C1878" s="7" t="s">
        <v>11152</v>
      </c>
      <c r="D1878" s="7" t="s">
        <v>7551</v>
      </c>
      <c r="E1878" s="7" t="s">
        <v>11534</v>
      </c>
      <c r="F1878" s="8" t="s">
        <v>9135</v>
      </c>
      <c r="G1878" s="7">
        <v>1</v>
      </c>
      <c r="H1878" s="7" t="s">
        <v>9112</v>
      </c>
      <c r="I1878" s="7">
        <v>1</v>
      </c>
      <c r="J1878" s="7" t="s">
        <v>9113</v>
      </c>
      <c r="K1878" s="9" t="s">
        <v>8987</v>
      </c>
    </row>
    <row r="1879" spans="1:11">
      <c r="A1879" s="7">
        <v>1877</v>
      </c>
      <c r="B1879" s="7" t="s">
        <v>9174</v>
      </c>
      <c r="C1879" s="7" t="s">
        <v>8984</v>
      </c>
      <c r="D1879" s="7" t="s">
        <v>7551</v>
      </c>
      <c r="E1879" s="7" t="s">
        <v>11535</v>
      </c>
      <c r="F1879" s="8" t="s">
        <v>9141</v>
      </c>
      <c r="G1879" s="7">
        <v>30</v>
      </c>
      <c r="H1879" s="7" t="s">
        <v>9015</v>
      </c>
      <c r="I1879" s="7">
        <v>1</v>
      </c>
      <c r="J1879" s="7" t="s">
        <v>7855</v>
      </c>
      <c r="K1879" s="9" t="s">
        <v>8987</v>
      </c>
    </row>
    <row r="1880" spans="1:11">
      <c r="A1880" s="7">
        <v>1878</v>
      </c>
      <c r="B1880" s="7" t="s">
        <v>9174</v>
      </c>
      <c r="C1880" s="7" t="s">
        <v>8984</v>
      </c>
      <c r="D1880" s="7" t="s">
        <v>7551</v>
      </c>
      <c r="E1880" s="7" t="s">
        <v>11536</v>
      </c>
      <c r="F1880" s="8" t="s">
        <v>9141</v>
      </c>
      <c r="G1880" s="7">
        <v>30</v>
      </c>
      <c r="H1880" s="7" t="s">
        <v>9015</v>
      </c>
      <c r="I1880" s="7">
        <v>1</v>
      </c>
      <c r="J1880" s="7" t="s">
        <v>7855</v>
      </c>
      <c r="K1880" s="9" t="s">
        <v>8987</v>
      </c>
    </row>
    <row r="1881" spans="1:11">
      <c r="A1881" s="7">
        <v>1879</v>
      </c>
      <c r="B1881" s="7" t="s">
        <v>9174</v>
      </c>
      <c r="C1881" s="7" t="s">
        <v>11152</v>
      </c>
      <c r="D1881" s="7" t="s">
        <v>7551</v>
      </c>
      <c r="E1881" s="7" t="s">
        <v>11537</v>
      </c>
      <c r="F1881" s="8" t="s">
        <v>9141</v>
      </c>
      <c r="G1881" s="7">
        <v>15</v>
      </c>
      <c r="H1881" s="7" t="s">
        <v>9053</v>
      </c>
      <c r="I1881" s="7">
        <v>1</v>
      </c>
      <c r="J1881" s="7" t="s">
        <v>7862</v>
      </c>
      <c r="K1881" s="9" t="s">
        <v>8987</v>
      </c>
    </row>
    <row r="1882" spans="1:11">
      <c r="A1882" s="7">
        <v>1880</v>
      </c>
      <c r="B1882" s="7" t="s">
        <v>9174</v>
      </c>
      <c r="C1882" s="7" t="s">
        <v>8984</v>
      </c>
      <c r="D1882" s="7" t="s">
        <v>7551</v>
      </c>
      <c r="E1882" s="7" t="s">
        <v>11538</v>
      </c>
      <c r="F1882" s="8" t="s">
        <v>10059</v>
      </c>
      <c r="G1882" s="7">
        <v>33</v>
      </c>
      <c r="H1882" s="7" t="s">
        <v>11346</v>
      </c>
      <c r="I1882" s="7">
        <v>1</v>
      </c>
      <c r="J1882" s="7" t="s">
        <v>7887</v>
      </c>
      <c r="K1882" s="9" t="s">
        <v>8987</v>
      </c>
    </row>
    <row r="1883" spans="1:11">
      <c r="A1883" s="7">
        <v>1881</v>
      </c>
      <c r="B1883" s="7" t="s">
        <v>9174</v>
      </c>
      <c r="C1883" s="7" t="s">
        <v>8984</v>
      </c>
      <c r="D1883" s="7" t="s">
        <v>7551</v>
      </c>
      <c r="E1883" s="7" t="s">
        <v>11539</v>
      </c>
      <c r="F1883" s="8" t="s">
        <v>10059</v>
      </c>
      <c r="G1883" s="7">
        <v>10</v>
      </c>
      <c r="H1883" s="7" t="s">
        <v>9292</v>
      </c>
      <c r="I1883" s="7">
        <v>1</v>
      </c>
      <c r="J1883" s="7" t="s">
        <v>7768</v>
      </c>
      <c r="K1883" s="9" t="s">
        <v>8987</v>
      </c>
    </row>
    <row r="1884" spans="1:11">
      <c r="A1884" s="7">
        <v>1882</v>
      </c>
      <c r="B1884" s="7" t="s">
        <v>9174</v>
      </c>
      <c r="C1884" s="7" t="s">
        <v>8984</v>
      </c>
      <c r="D1884" s="7" t="s">
        <v>7551</v>
      </c>
      <c r="E1884" s="7" t="s">
        <v>11540</v>
      </c>
      <c r="F1884" s="8" t="s">
        <v>10059</v>
      </c>
      <c r="G1884" s="7">
        <v>33</v>
      </c>
      <c r="H1884" s="7" t="s">
        <v>11346</v>
      </c>
      <c r="I1884" s="7">
        <v>1</v>
      </c>
      <c r="J1884" s="7" t="s">
        <v>7887</v>
      </c>
      <c r="K1884" s="9" t="s">
        <v>8987</v>
      </c>
    </row>
    <row r="1885" spans="1:11">
      <c r="A1885" s="7">
        <v>1883</v>
      </c>
      <c r="B1885" s="7" t="s">
        <v>9174</v>
      </c>
      <c r="C1885" s="7" t="s">
        <v>11152</v>
      </c>
      <c r="D1885" s="7" t="s">
        <v>7551</v>
      </c>
      <c r="E1885" s="7" t="s">
        <v>11541</v>
      </c>
      <c r="F1885" s="8" t="s">
        <v>10059</v>
      </c>
      <c r="G1885" s="7">
        <v>17</v>
      </c>
      <c r="H1885" s="7" t="s">
        <v>9146</v>
      </c>
      <c r="I1885" s="7">
        <v>1</v>
      </c>
      <c r="J1885" s="7" t="s">
        <v>7850</v>
      </c>
      <c r="K1885" s="9" t="s">
        <v>8987</v>
      </c>
    </row>
    <row r="1886" spans="1:11">
      <c r="A1886" s="7">
        <v>1884</v>
      </c>
      <c r="B1886" s="7" t="s">
        <v>9174</v>
      </c>
      <c r="C1886" s="7" t="s">
        <v>8984</v>
      </c>
      <c r="D1886" s="7" t="s">
        <v>7551</v>
      </c>
      <c r="E1886" s="7" t="s">
        <v>11542</v>
      </c>
      <c r="F1886" s="8" t="s">
        <v>10205</v>
      </c>
      <c r="G1886" s="7">
        <v>4</v>
      </c>
      <c r="H1886" s="7" t="s">
        <v>9579</v>
      </c>
      <c r="I1886" s="7">
        <v>1</v>
      </c>
      <c r="J1886" s="7" t="s">
        <v>7617</v>
      </c>
      <c r="K1886" s="9" t="s">
        <v>8987</v>
      </c>
    </row>
    <row r="1887" spans="1:11">
      <c r="A1887" s="7">
        <v>1885</v>
      </c>
      <c r="B1887" s="7" t="s">
        <v>9174</v>
      </c>
      <c r="C1887" s="7" t="s">
        <v>8984</v>
      </c>
      <c r="D1887" s="7" t="s">
        <v>7551</v>
      </c>
      <c r="E1887" s="7" t="s">
        <v>11543</v>
      </c>
      <c r="F1887" s="8" t="s">
        <v>10205</v>
      </c>
      <c r="G1887" s="7">
        <v>4</v>
      </c>
      <c r="H1887" s="7" t="s">
        <v>9579</v>
      </c>
      <c r="I1887" s="7">
        <v>1</v>
      </c>
      <c r="J1887" s="7" t="s">
        <v>7617</v>
      </c>
      <c r="K1887" s="9" t="s">
        <v>8987</v>
      </c>
    </row>
    <row r="1888" spans="1:11">
      <c r="A1888" s="7">
        <v>1886</v>
      </c>
      <c r="B1888" s="7" t="s">
        <v>9174</v>
      </c>
      <c r="C1888" s="7" t="s">
        <v>11152</v>
      </c>
      <c r="D1888" s="7" t="s">
        <v>7551</v>
      </c>
      <c r="E1888" s="7" t="s">
        <v>11544</v>
      </c>
      <c r="F1888" s="8" t="s">
        <v>10205</v>
      </c>
      <c r="G1888" s="7">
        <v>4</v>
      </c>
      <c r="H1888" s="7" t="s">
        <v>9579</v>
      </c>
      <c r="I1888" s="7">
        <v>1</v>
      </c>
      <c r="J1888" s="7" t="s">
        <v>7617</v>
      </c>
      <c r="K1888" s="9" t="s">
        <v>8987</v>
      </c>
    </row>
    <row r="1889" spans="1:11">
      <c r="A1889" s="7">
        <v>1887</v>
      </c>
      <c r="B1889" s="7" t="s">
        <v>9174</v>
      </c>
      <c r="C1889" s="7" t="s">
        <v>8984</v>
      </c>
      <c r="D1889" s="7" t="s">
        <v>7551</v>
      </c>
      <c r="E1889" s="7" t="s">
        <v>11545</v>
      </c>
      <c r="F1889" s="8" t="s">
        <v>10208</v>
      </c>
      <c r="G1889" s="7">
        <v>4</v>
      </c>
      <c r="H1889" s="7" t="s">
        <v>9579</v>
      </c>
      <c r="I1889" s="7">
        <v>1</v>
      </c>
      <c r="J1889" s="7" t="s">
        <v>7617</v>
      </c>
      <c r="K1889" s="9" t="s">
        <v>8987</v>
      </c>
    </row>
    <row r="1890" spans="1:11">
      <c r="A1890" s="7">
        <v>1888</v>
      </c>
      <c r="B1890" s="7" t="s">
        <v>9174</v>
      </c>
      <c r="C1890" s="7" t="s">
        <v>8984</v>
      </c>
      <c r="D1890" s="7" t="s">
        <v>7551</v>
      </c>
      <c r="E1890" s="7" t="s">
        <v>11546</v>
      </c>
      <c r="F1890" s="8" t="s">
        <v>10208</v>
      </c>
      <c r="G1890" s="7">
        <v>4</v>
      </c>
      <c r="H1890" s="7" t="s">
        <v>9579</v>
      </c>
      <c r="I1890" s="7">
        <v>1</v>
      </c>
      <c r="J1890" s="7" t="s">
        <v>7617</v>
      </c>
      <c r="K1890" s="9" t="s">
        <v>8987</v>
      </c>
    </row>
    <row r="1891" spans="1:11">
      <c r="A1891" s="7">
        <v>1889</v>
      </c>
      <c r="B1891" s="7" t="s">
        <v>9174</v>
      </c>
      <c r="C1891" s="7" t="s">
        <v>11152</v>
      </c>
      <c r="D1891" s="7" t="s">
        <v>7551</v>
      </c>
      <c r="E1891" s="7" t="s">
        <v>11547</v>
      </c>
      <c r="F1891" s="8" t="s">
        <v>10208</v>
      </c>
      <c r="G1891" s="7">
        <v>4</v>
      </c>
      <c r="H1891" s="7" t="s">
        <v>9579</v>
      </c>
      <c r="I1891" s="7">
        <v>1</v>
      </c>
      <c r="J1891" s="7" t="s">
        <v>7617</v>
      </c>
      <c r="K1891" s="9" t="s">
        <v>8987</v>
      </c>
    </row>
    <row r="1892" spans="1:11">
      <c r="A1892" s="7">
        <v>1890</v>
      </c>
      <c r="B1892" s="7" t="s">
        <v>9174</v>
      </c>
      <c r="C1892" s="7" t="s">
        <v>8984</v>
      </c>
      <c r="D1892" s="7" t="s">
        <v>7551</v>
      </c>
      <c r="E1892" s="7" t="s">
        <v>11548</v>
      </c>
      <c r="F1892" s="8" t="s">
        <v>10211</v>
      </c>
      <c r="G1892" s="7">
        <v>4</v>
      </c>
      <c r="H1892" s="7" t="s">
        <v>9579</v>
      </c>
      <c r="I1892" s="7">
        <v>1</v>
      </c>
      <c r="J1892" s="7" t="s">
        <v>7617</v>
      </c>
      <c r="K1892" s="9" t="s">
        <v>8987</v>
      </c>
    </row>
    <row r="1893" spans="1:11">
      <c r="A1893" s="7">
        <v>1891</v>
      </c>
      <c r="B1893" s="7" t="s">
        <v>9174</v>
      </c>
      <c r="C1893" s="7" t="s">
        <v>8984</v>
      </c>
      <c r="D1893" s="7" t="s">
        <v>7551</v>
      </c>
      <c r="E1893" s="7" t="s">
        <v>11549</v>
      </c>
      <c r="F1893" s="8" t="s">
        <v>10211</v>
      </c>
      <c r="G1893" s="7">
        <v>4</v>
      </c>
      <c r="H1893" s="7" t="s">
        <v>9579</v>
      </c>
      <c r="I1893" s="7">
        <v>1</v>
      </c>
      <c r="J1893" s="7" t="s">
        <v>7617</v>
      </c>
      <c r="K1893" s="9" t="s">
        <v>8987</v>
      </c>
    </row>
    <row r="1894" spans="1:11">
      <c r="A1894" s="7">
        <v>1892</v>
      </c>
      <c r="B1894" s="7" t="s">
        <v>9174</v>
      </c>
      <c r="C1894" s="7" t="s">
        <v>11152</v>
      </c>
      <c r="D1894" s="7" t="s">
        <v>7551</v>
      </c>
      <c r="E1894" s="7" t="s">
        <v>11550</v>
      </c>
      <c r="F1894" s="8" t="s">
        <v>10211</v>
      </c>
      <c r="G1894" s="7">
        <v>4</v>
      </c>
      <c r="H1894" s="7" t="s">
        <v>9579</v>
      </c>
      <c r="I1894" s="7">
        <v>1</v>
      </c>
      <c r="J1894" s="7" t="s">
        <v>7617</v>
      </c>
      <c r="K1894" s="9" t="s">
        <v>8987</v>
      </c>
    </row>
    <row r="1895" spans="1:11">
      <c r="A1895" s="7">
        <v>1893</v>
      </c>
      <c r="B1895" s="7" t="s">
        <v>9174</v>
      </c>
      <c r="C1895" s="7" t="s">
        <v>8984</v>
      </c>
      <c r="D1895" s="7" t="s">
        <v>7551</v>
      </c>
      <c r="E1895" s="7" t="s">
        <v>11551</v>
      </c>
      <c r="F1895" s="8" t="s">
        <v>10674</v>
      </c>
      <c r="G1895" s="7">
        <v>4</v>
      </c>
      <c r="H1895" s="7" t="s">
        <v>9579</v>
      </c>
      <c r="I1895" s="7">
        <v>1</v>
      </c>
      <c r="J1895" s="7" t="s">
        <v>7617</v>
      </c>
      <c r="K1895" s="9" t="s">
        <v>8987</v>
      </c>
    </row>
    <row r="1896" spans="1:11">
      <c r="A1896" s="7">
        <v>1894</v>
      </c>
      <c r="B1896" s="7" t="s">
        <v>9174</v>
      </c>
      <c r="C1896" s="7" t="s">
        <v>8984</v>
      </c>
      <c r="D1896" s="7" t="s">
        <v>7551</v>
      </c>
      <c r="E1896" s="7" t="s">
        <v>11552</v>
      </c>
      <c r="F1896" s="8" t="s">
        <v>10674</v>
      </c>
      <c r="G1896" s="7">
        <v>4</v>
      </c>
      <c r="H1896" s="7" t="s">
        <v>9579</v>
      </c>
      <c r="I1896" s="7">
        <v>1</v>
      </c>
      <c r="J1896" s="7" t="s">
        <v>7617</v>
      </c>
      <c r="K1896" s="9" t="s">
        <v>8987</v>
      </c>
    </row>
    <row r="1897" spans="1:11">
      <c r="A1897" s="7">
        <v>1895</v>
      </c>
      <c r="B1897" s="7" t="s">
        <v>9174</v>
      </c>
      <c r="C1897" s="7" t="s">
        <v>11152</v>
      </c>
      <c r="D1897" s="7" t="s">
        <v>7551</v>
      </c>
      <c r="E1897" s="7" t="s">
        <v>11553</v>
      </c>
      <c r="F1897" s="8" t="s">
        <v>10674</v>
      </c>
      <c r="G1897" s="7">
        <v>4</v>
      </c>
      <c r="H1897" s="7" t="s">
        <v>9579</v>
      </c>
      <c r="I1897" s="7">
        <v>1</v>
      </c>
      <c r="J1897" s="7" t="s">
        <v>7617</v>
      </c>
      <c r="K1897" s="9" t="s">
        <v>8987</v>
      </c>
    </row>
    <row r="1898" spans="1:11">
      <c r="A1898" s="7">
        <v>1896</v>
      </c>
      <c r="B1898" s="7" t="s">
        <v>9174</v>
      </c>
      <c r="C1898" s="7" t="s">
        <v>8984</v>
      </c>
      <c r="D1898" s="7" t="s">
        <v>7551</v>
      </c>
      <c r="E1898" s="7" t="s">
        <v>11554</v>
      </c>
      <c r="F1898" s="8" t="s">
        <v>10213</v>
      </c>
      <c r="G1898" s="7">
        <v>2</v>
      </c>
      <c r="H1898" s="7" t="s">
        <v>10476</v>
      </c>
      <c r="I1898" s="7">
        <v>1</v>
      </c>
      <c r="J1898" s="7" t="s">
        <v>7861</v>
      </c>
      <c r="K1898" s="9" t="s">
        <v>8987</v>
      </c>
    </row>
    <row r="1899" spans="1:11">
      <c r="A1899" s="7">
        <v>1897</v>
      </c>
      <c r="B1899" s="7" t="s">
        <v>9174</v>
      </c>
      <c r="C1899" s="7" t="s">
        <v>8984</v>
      </c>
      <c r="D1899" s="7" t="s">
        <v>7551</v>
      </c>
      <c r="E1899" s="7" t="s">
        <v>11555</v>
      </c>
      <c r="F1899" s="8" t="s">
        <v>10213</v>
      </c>
      <c r="G1899" s="7">
        <v>2</v>
      </c>
      <c r="H1899" s="7" t="s">
        <v>10476</v>
      </c>
      <c r="I1899" s="7">
        <v>1</v>
      </c>
      <c r="J1899" s="7" t="s">
        <v>7861</v>
      </c>
      <c r="K1899" s="9" t="s">
        <v>8987</v>
      </c>
    </row>
    <row r="1900" spans="1:11">
      <c r="A1900" s="7">
        <v>1898</v>
      </c>
      <c r="B1900" s="7" t="s">
        <v>9174</v>
      </c>
      <c r="C1900" s="7" t="s">
        <v>11152</v>
      </c>
      <c r="D1900" s="7" t="s">
        <v>7551</v>
      </c>
      <c r="E1900" s="7" t="s">
        <v>11556</v>
      </c>
      <c r="F1900" s="8" t="s">
        <v>10213</v>
      </c>
      <c r="G1900" s="7">
        <v>2</v>
      </c>
      <c r="H1900" s="7" t="s">
        <v>10476</v>
      </c>
      <c r="I1900" s="7">
        <v>1</v>
      </c>
      <c r="J1900" s="7" t="s">
        <v>7861</v>
      </c>
      <c r="K1900" s="9" t="s">
        <v>8987</v>
      </c>
    </row>
    <row r="1901" spans="1:11">
      <c r="A1901" s="7">
        <v>1899</v>
      </c>
      <c r="B1901" s="7" t="s">
        <v>9088</v>
      </c>
      <c r="C1901" s="7" t="s">
        <v>8984</v>
      </c>
      <c r="D1901" s="7" t="s">
        <v>7551</v>
      </c>
      <c r="E1901" s="7" t="s">
        <v>11557</v>
      </c>
      <c r="F1901" s="8" t="s">
        <v>10068</v>
      </c>
      <c r="G1901" s="7">
        <v>31</v>
      </c>
      <c r="H1901" s="7" t="s">
        <v>9666</v>
      </c>
      <c r="I1901" s="7">
        <v>1</v>
      </c>
      <c r="J1901" s="7" t="s">
        <v>11236</v>
      </c>
      <c r="K1901" s="9" t="s">
        <v>8987</v>
      </c>
    </row>
    <row r="1902" spans="1:11">
      <c r="A1902" s="7">
        <v>1900</v>
      </c>
      <c r="B1902" s="7" t="s">
        <v>9088</v>
      </c>
      <c r="C1902" s="7" t="s">
        <v>8984</v>
      </c>
      <c r="D1902" s="7" t="s">
        <v>7551</v>
      </c>
      <c r="E1902" s="7" t="s">
        <v>11558</v>
      </c>
      <c r="F1902" s="8" t="s">
        <v>10068</v>
      </c>
      <c r="G1902" s="7">
        <v>16</v>
      </c>
      <c r="H1902" s="7" t="s">
        <v>9215</v>
      </c>
      <c r="I1902" s="7">
        <v>1</v>
      </c>
      <c r="J1902" s="7" t="s">
        <v>7882</v>
      </c>
      <c r="K1902" s="9" t="s">
        <v>8987</v>
      </c>
    </row>
    <row r="1903" spans="1:11">
      <c r="A1903" s="7">
        <v>1901</v>
      </c>
      <c r="B1903" s="7" t="s">
        <v>9088</v>
      </c>
      <c r="C1903" s="7" t="s">
        <v>8984</v>
      </c>
      <c r="D1903" s="7" t="s">
        <v>7551</v>
      </c>
      <c r="E1903" s="7" t="s">
        <v>11559</v>
      </c>
      <c r="F1903" s="8" t="s">
        <v>10068</v>
      </c>
      <c r="G1903" s="7">
        <v>31</v>
      </c>
      <c r="H1903" s="7" t="s">
        <v>9666</v>
      </c>
      <c r="I1903" s="7">
        <v>1</v>
      </c>
      <c r="J1903" s="7" t="s">
        <v>11236</v>
      </c>
      <c r="K1903" s="9" t="s">
        <v>8987</v>
      </c>
    </row>
    <row r="1904" spans="1:11">
      <c r="A1904" s="7">
        <v>1902</v>
      </c>
      <c r="B1904" s="7" t="s">
        <v>9088</v>
      </c>
      <c r="C1904" s="7" t="s">
        <v>8984</v>
      </c>
      <c r="D1904" s="7" t="s">
        <v>7551</v>
      </c>
      <c r="E1904" s="7" t="s">
        <v>11560</v>
      </c>
      <c r="F1904" s="8" t="s">
        <v>10068</v>
      </c>
      <c r="G1904" s="7">
        <v>25</v>
      </c>
      <c r="H1904" s="7" t="s">
        <v>9011</v>
      </c>
      <c r="I1904" s="7">
        <v>1</v>
      </c>
      <c r="J1904" s="7" t="s">
        <v>7840</v>
      </c>
      <c r="K1904" s="9" t="s">
        <v>8987</v>
      </c>
    </row>
    <row r="1905" spans="1:11">
      <c r="A1905" s="7">
        <v>1903</v>
      </c>
      <c r="B1905" s="7" t="s">
        <v>9088</v>
      </c>
      <c r="C1905" s="7" t="s">
        <v>8984</v>
      </c>
      <c r="D1905" s="7" t="s">
        <v>7551</v>
      </c>
      <c r="E1905" s="7" t="s">
        <v>11561</v>
      </c>
      <c r="F1905" s="8" t="s">
        <v>10068</v>
      </c>
      <c r="G1905" s="7">
        <v>31</v>
      </c>
      <c r="H1905" s="7" t="s">
        <v>9666</v>
      </c>
      <c r="I1905" s="7">
        <v>1</v>
      </c>
      <c r="J1905" s="7" t="s">
        <v>11236</v>
      </c>
      <c r="K1905" s="9" t="s">
        <v>8987</v>
      </c>
    </row>
    <row r="1906" spans="1:11">
      <c r="A1906" s="7">
        <v>1904</v>
      </c>
      <c r="B1906" s="7" t="s">
        <v>9088</v>
      </c>
      <c r="C1906" s="7" t="s">
        <v>11152</v>
      </c>
      <c r="D1906" s="7" t="s">
        <v>7551</v>
      </c>
      <c r="E1906" s="7" t="s">
        <v>11562</v>
      </c>
      <c r="F1906" s="8" t="s">
        <v>10068</v>
      </c>
      <c r="G1906" s="7">
        <v>16</v>
      </c>
      <c r="H1906" s="7" t="s">
        <v>9215</v>
      </c>
      <c r="I1906" s="7">
        <v>1</v>
      </c>
      <c r="J1906" s="7" t="s">
        <v>7882</v>
      </c>
      <c r="K1906" s="9" t="s">
        <v>8987</v>
      </c>
    </row>
    <row r="1907" spans="1:11">
      <c r="A1907" s="7">
        <v>1905</v>
      </c>
      <c r="B1907" s="7" t="s">
        <v>11164</v>
      </c>
      <c r="C1907" s="7" t="s">
        <v>8984</v>
      </c>
      <c r="D1907" s="7" t="s">
        <v>7551</v>
      </c>
      <c r="E1907" s="7" t="s">
        <v>11563</v>
      </c>
      <c r="F1907" s="8" t="s">
        <v>10994</v>
      </c>
      <c r="G1907" s="7">
        <v>31</v>
      </c>
      <c r="H1907" s="7" t="s">
        <v>9666</v>
      </c>
      <c r="I1907" s="7">
        <v>1</v>
      </c>
      <c r="J1907" s="7" t="s">
        <v>11236</v>
      </c>
      <c r="K1907" s="9" t="s">
        <v>8987</v>
      </c>
    </row>
    <row r="1908" spans="1:11">
      <c r="A1908" s="7">
        <v>1906</v>
      </c>
      <c r="B1908" s="7" t="s">
        <v>11164</v>
      </c>
      <c r="C1908" s="7" t="s">
        <v>8984</v>
      </c>
      <c r="D1908" s="7" t="s">
        <v>7551</v>
      </c>
      <c r="E1908" s="7" t="s">
        <v>11564</v>
      </c>
      <c r="F1908" s="8" t="s">
        <v>10994</v>
      </c>
      <c r="G1908" s="7">
        <v>16</v>
      </c>
      <c r="H1908" s="7" t="s">
        <v>9215</v>
      </c>
      <c r="I1908" s="7">
        <v>1</v>
      </c>
      <c r="J1908" s="7" t="s">
        <v>7882</v>
      </c>
      <c r="K1908" s="9" t="s">
        <v>8987</v>
      </c>
    </row>
    <row r="1909" spans="1:11">
      <c r="A1909" s="7">
        <v>1907</v>
      </c>
      <c r="B1909" s="7" t="s">
        <v>11164</v>
      </c>
      <c r="C1909" s="7" t="s">
        <v>8984</v>
      </c>
      <c r="D1909" s="7" t="s">
        <v>7551</v>
      </c>
      <c r="E1909" s="7" t="s">
        <v>11565</v>
      </c>
      <c r="F1909" s="8" t="s">
        <v>10994</v>
      </c>
      <c r="G1909" s="7">
        <v>31</v>
      </c>
      <c r="H1909" s="7" t="s">
        <v>9666</v>
      </c>
      <c r="I1909" s="7">
        <v>1</v>
      </c>
      <c r="J1909" s="7" t="s">
        <v>11236</v>
      </c>
      <c r="K1909" s="9" t="s">
        <v>8987</v>
      </c>
    </row>
    <row r="1910" spans="1:11">
      <c r="A1910" s="7">
        <v>1908</v>
      </c>
      <c r="B1910" s="7" t="s">
        <v>11164</v>
      </c>
      <c r="C1910" s="7" t="s">
        <v>8984</v>
      </c>
      <c r="D1910" s="7" t="s">
        <v>7551</v>
      </c>
      <c r="E1910" s="7" t="s">
        <v>11566</v>
      </c>
      <c r="F1910" s="8" t="s">
        <v>10994</v>
      </c>
      <c r="G1910" s="7">
        <v>25</v>
      </c>
      <c r="H1910" s="7" t="s">
        <v>9011</v>
      </c>
      <c r="I1910" s="7">
        <v>1</v>
      </c>
      <c r="J1910" s="7" t="s">
        <v>7840</v>
      </c>
      <c r="K1910" s="9" t="s">
        <v>8987</v>
      </c>
    </row>
    <row r="1911" spans="1:11">
      <c r="A1911" s="7">
        <v>1909</v>
      </c>
      <c r="B1911" s="7" t="s">
        <v>11164</v>
      </c>
      <c r="C1911" s="7" t="s">
        <v>8984</v>
      </c>
      <c r="D1911" s="7" t="s">
        <v>7551</v>
      </c>
      <c r="E1911" s="7" t="s">
        <v>11567</v>
      </c>
      <c r="F1911" s="8" t="s">
        <v>10994</v>
      </c>
      <c r="G1911" s="7">
        <v>31</v>
      </c>
      <c r="H1911" s="7" t="s">
        <v>9666</v>
      </c>
      <c r="I1911" s="7">
        <v>1</v>
      </c>
      <c r="J1911" s="7" t="s">
        <v>11236</v>
      </c>
      <c r="K1911" s="9" t="s">
        <v>8987</v>
      </c>
    </row>
    <row r="1912" spans="1:11">
      <c r="A1912" s="7">
        <v>1910</v>
      </c>
      <c r="B1912" s="7" t="s">
        <v>11164</v>
      </c>
      <c r="C1912" s="7" t="s">
        <v>11152</v>
      </c>
      <c r="D1912" s="7" t="s">
        <v>7551</v>
      </c>
      <c r="E1912" s="7" t="s">
        <v>11568</v>
      </c>
      <c r="F1912" s="8" t="s">
        <v>10994</v>
      </c>
      <c r="G1912" s="7">
        <v>16</v>
      </c>
      <c r="H1912" s="7" t="s">
        <v>9215</v>
      </c>
      <c r="I1912" s="7">
        <v>1</v>
      </c>
      <c r="J1912" s="7" t="s">
        <v>7882</v>
      </c>
      <c r="K1912" s="9" t="s">
        <v>8987</v>
      </c>
    </row>
    <row r="1913" spans="1:11">
      <c r="A1913" s="7">
        <v>1911</v>
      </c>
      <c r="B1913" s="7" t="s">
        <v>9174</v>
      </c>
      <c r="C1913" s="7" t="s">
        <v>8984</v>
      </c>
      <c r="D1913" s="7" t="s">
        <v>7551</v>
      </c>
      <c r="E1913" s="7" t="s">
        <v>11569</v>
      </c>
      <c r="F1913" s="8" t="s">
        <v>11028</v>
      </c>
      <c r="G1913" s="7">
        <v>30</v>
      </c>
      <c r="H1913" s="7" t="s">
        <v>9015</v>
      </c>
      <c r="I1913" s="7">
        <v>1</v>
      </c>
      <c r="J1913" s="7" t="s">
        <v>7855</v>
      </c>
      <c r="K1913" s="9" t="s">
        <v>8987</v>
      </c>
    </row>
    <row r="1914" spans="1:11">
      <c r="A1914" s="7">
        <v>1912</v>
      </c>
      <c r="B1914" s="7" t="s">
        <v>9174</v>
      </c>
      <c r="C1914" s="7" t="s">
        <v>8984</v>
      </c>
      <c r="D1914" s="7" t="s">
        <v>7551</v>
      </c>
      <c r="E1914" s="7" t="s">
        <v>11570</v>
      </c>
      <c r="F1914" s="8" t="s">
        <v>11028</v>
      </c>
      <c r="G1914" s="7">
        <v>30</v>
      </c>
      <c r="H1914" s="7" t="s">
        <v>9015</v>
      </c>
      <c r="I1914" s="7">
        <v>1</v>
      </c>
      <c r="J1914" s="7" t="s">
        <v>7855</v>
      </c>
      <c r="K1914" s="9" t="s">
        <v>8987</v>
      </c>
    </row>
    <row r="1915" spans="1:11">
      <c r="A1915" s="7">
        <v>1913</v>
      </c>
      <c r="B1915" s="7" t="s">
        <v>9174</v>
      </c>
      <c r="C1915" s="7" t="s">
        <v>11152</v>
      </c>
      <c r="D1915" s="7" t="s">
        <v>7551</v>
      </c>
      <c r="E1915" s="7" t="s">
        <v>5881</v>
      </c>
      <c r="F1915" s="8" t="s">
        <v>11028</v>
      </c>
      <c r="G1915" s="7">
        <v>15</v>
      </c>
      <c r="H1915" s="7" t="s">
        <v>9053</v>
      </c>
      <c r="I1915" s="7">
        <v>1</v>
      </c>
      <c r="J1915" s="7" t="s">
        <v>7862</v>
      </c>
      <c r="K1915" s="9" t="s">
        <v>8987</v>
      </c>
    </row>
    <row r="1916" spans="1:11">
      <c r="A1916" s="7">
        <v>1914</v>
      </c>
      <c r="B1916" s="7" t="s">
        <v>9174</v>
      </c>
      <c r="C1916" s="7" t="s">
        <v>11152</v>
      </c>
      <c r="D1916" s="7" t="s">
        <v>7551</v>
      </c>
      <c r="E1916" s="7" t="s">
        <v>11571</v>
      </c>
      <c r="F1916" s="8" t="s">
        <v>11030</v>
      </c>
      <c r="G1916" s="7">
        <v>230</v>
      </c>
      <c r="H1916" s="7" t="s">
        <v>11572</v>
      </c>
      <c r="I1916" s="7">
        <v>41</v>
      </c>
      <c r="J1916" s="7" t="s">
        <v>7883</v>
      </c>
      <c r="K1916" s="9" t="s">
        <v>8987</v>
      </c>
    </row>
    <row r="1917" spans="1:11">
      <c r="A1917" s="7">
        <v>1915</v>
      </c>
      <c r="B1917" s="7" t="s">
        <v>9719</v>
      </c>
      <c r="C1917" s="7" t="s">
        <v>11152</v>
      </c>
      <c r="D1917" s="7" t="s">
        <v>7551</v>
      </c>
      <c r="E1917" s="7" t="s">
        <v>11573</v>
      </c>
      <c r="F1917" s="8" t="s">
        <v>11030</v>
      </c>
      <c r="G1917" s="7">
        <v>230</v>
      </c>
      <c r="H1917" s="7" t="s">
        <v>11572</v>
      </c>
      <c r="I1917" s="7">
        <v>41</v>
      </c>
      <c r="J1917" s="7" t="s">
        <v>7883</v>
      </c>
      <c r="K1917" s="9" t="s">
        <v>8987</v>
      </c>
    </row>
    <row r="1918" spans="1:11">
      <c r="A1918" s="7">
        <v>1916</v>
      </c>
      <c r="B1918" s="7" t="s">
        <v>9174</v>
      </c>
      <c r="C1918" s="7" t="s">
        <v>8984</v>
      </c>
      <c r="D1918" s="7" t="s">
        <v>7551</v>
      </c>
      <c r="E1918" s="7" t="s">
        <v>11574</v>
      </c>
      <c r="F1918" s="8" t="s">
        <v>11575</v>
      </c>
      <c r="G1918" s="7">
        <v>17</v>
      </c>
      <c r="H1918" s="7" t="s">
        <v>9146</v>
      </c>
      <c r="I1918" s="7">
        <v>1</v>
      </c>
      <c r="J1918" s="7" t="s">
        <v>7850</v>
      </c>
      <c r="K1918" s="9" t="s">
        <v>8987</v>
      </c>
    </row>
    <row r="1919" spans="1:11">
      <c r="A1919" s="7">
        <v>1917</v>
      </c>
      <c r="B1919" s="7" t="s">
        <v>9174</v>
      </c>
      <c r="C1919" s="7" t="s">
        <v>8984</v>
      </c>
      <c r="D1919" s="7" t="s">
        <v>7551</v>
      </c>
      <c r="E1919" s="7" t="s">
        <v>11576</v>
      </c>
      <c r="F1919" s="8" t="s">
        <v>11575</v>
      </c>
      <c r="G1919" s="7">
        <v>33</v>
      </c>
      <c r="H1919" s="7" t="s">
        <v>11346</v>
      </c>
      <c r="I1919" s="7">
        <v>1</v>
      </c>
      <c r="J1919" s="7" t="s">
        <v>7887</v>
      </c>
      <c r="K1919" s="9" t="s">
        <v>8987</v>
      </c>
    </row>
    <row r="1920" spans="1:11">
      <c r="A1920" s="7">
        <v>1918</v>
      </c>
      <c r="B1920" s="7" t="s">
        <v>9174</v>
      </c>
      <c r="C1920" s="7" t="s">
        <v>8984</v>
      </c>
      <c r="D1920" s="7" t="s">
        <v>7551</v>
      </c>
      <c r="E1920" s="7" t="s">
        <v>11577</v>
      </c>
      <c r="F1920" s="8" t="s">
        <v>11575</v>
      </c>
      <c r="G1920" s="7">
        <v>26</v>
      </c>
      <c r="H1920" s="7" t="s">
        <v>9136</v>
      </c>
      <c r="I1920" s="7">
        <v>1</v>
      </c>
      <c r="J1920" s="7" t="s">
        <v>10966</v>
      </c>
      <c r="K1920" s="9" t="s">
        <v>8987</v>
      </c>
    </row>
    <row r="1921" spans="1:11">
      <c r="A1921" s="7">
        <v>1919</v>
      </c>
      <c r="B1921" s="7" t="s">
        <v>9174</v>
      </c>
      <c r="C1921" s="7" t="s">
        <v>8984</v>
      </c>
      <c r="D1921" s="7" t="s">
        <v>7551</v>
      </c>
      <c r="E1921" s="7" t="s">
        <v>11578</v>
      </c>
      <c r="F1921" s="8" t="s">
        <v>11575</v>
      </c>
      <c r="G1921" s="7">
        <v>33</v>
      </c>
      <c r="H1921" s="7" t="s">
        <v>11346</v>
      </c>
      <c r="I1921" s="7">
        <v>1</v>
      </c>
      <c r="J1921" s="7" t="s">
        <v>7887</v>
      </c>
      <c r="K1921" s="9" t="s">
        <v>8987</v>
      </c>
    </row>
    <row r="1922" spans="1:11">
      <c r="A1922" s="7">
        <v>1920</v>
      </c>
      <c r="B1922" s="7" t="s">
        <v>9719</v>
      </c>
      <c r="C1922" s="7" t="s">
        <v>11152</v>
      </c>
      <c r="D1922" s="7" t="s">
        <v>7551</v>
      </c>
      <c r="E1922" s="7" t="s">
        <v>11579</v>
      </c>
      <c r="F1922" s="8" t="s">
        <v>11575</v>
      </c>
      <c r="G1922" s="7">
        <v>17</v>
      </c>
      <c r="H1922" s="7" t="s">
        <v>9146</v>
      </c>
      <c r="I1922" s="7">
        <v>1</v>
      </c>
      <c r="J1922" s="7" t="s">
        <v>7850</v>
      </c>
      <c r="K1922" s="9" t="s">
        <v>8987</v>
      </c>
    </row>
    <row r="1923" spans="1:11">
      <c r="A1923" s="7">
        <v>1921</v>
      </c>
      <c r="B1923" s="7" t="s">
        <v>9174</v>
      </c>
      <c r="C1923" s="7" t="s">
        <v>8984</v>
      </c>
      <c r="D1923" s="7" t="s">
        <v>7551</v>
      </c>
      <c r="E1923" s="7" t="s">
        <v>11580</v>
      </c>
      <c r="F1923" s="8" t="s">
        <v>9354</v>
      </c>
      <c r="G1923" s="7">
        <v>42</v>
      </c>
      <c r="H1923" s="7" t="s">
        <v>11407</v>
      </c>
      <c r="I1923" s="7">
        <v>1</v>
      </c>
      <c r="J1923" s="7" t="s">
        <v>7849</v>
      </c>
      <c r="K1923" s="9" t="s">
        <v>8987</v>
      </c>
    </row>
    <row r="1924" spans="1:11">
      <c r="A1924" s="7">
        <v>1922</v>
      </c>
      <c r="B1924" s="7" t="s">
        <v>9174</v>
      </c>
      <c r="C1924" s="7" t="s">
        <v>8984</v>
      </c>
      <c r="D1924" s="7" t="s">
        <v>7551</v>
      </c>
      <c r="E1924" s="7" t="s">
        <v>11581</v>
      </c>
      <c r="F1924" s="8" t="s">
        <v>9354</v>
      </c>
      <c r="G1924" s="7">
        <v>13</v>
      </c>
      <c r="H1924" s="7" t="s">
        <v>9077</v>
      </c>
      <c r="I1924" s="7">
        <v>1</v>
      </c>
      <c r="J1924" s="7" t="s">
        <v>11187</v>
      </c>
      <c r="K1924" s="9" t="s">
        <v>8987</v>
      </c>
    </row>
    <row r="1925" spans="1:11">
      <c r="A1925" s="7">
        <v>1923</v>
      </c>
      <c r="B1925" s="7" t="s">
        <v>9174</v>
      </c>
      <c r="C1925" s="7" t="s">
        <v>8984</v>
      </c>
      <c r="D1925" s="7" t="s">
        <v>7551</v>
      </c>
      <c r="E1925" s="7" t="s">
        <v>11582</v>
      </c>
      <c r="F1925" s="8" t="s">
        <v>9354</v>
      </c>
      <c r="G1925" s="7">
        <v>42</v>
      </c>
      <c r="H1925" s="7" t="s">
        <v>11407</v>
      </c>
      <c r="I1925" s="7">
        <v>1</v>
      </c>
      <c r="J1925" s="7" t="s">
        <v>7849</v>
      </c>
      <c r="K1925" s="9" t="s">
        <v>8987</v>
      </c>
    </row>
    <row r="1926" spans="1:11">
      <c r="A1926" s="7">
        <v>1924</v>
      </c>
      <c r="B1926" s="7" t="s">
        <v>9174</v>
      </c>
      <c r="C1926" s="7" t="s">
        <v>11152</v>
      </c>
      <c r="D1926" s="7" t="s">
        <v>7551</v>
      </c>
      <c r="E1926" s="7" t="s">
        <v>11583</v>
      </c>
      <c r="F1926" s="8" t="s">
        <v>9354</v>
      </c>
      <c r="G1926" s="7">
        <v>21</v>
      </c>
      <c r="H1926" s="7" t="s">
        <v>9116</v>
      </c>
      <c r="I1926" s="7">
        <v>1</v>
      </c>
      <c r="J1926" s="7" t="s">
        <v>7842</v>
      </c>
      <c r="K1926" s="9" t="s">
        <v>8987</v>
      </c>
    </row>
    <row r="1927" spans="1:11">
      <c r="A1927" s="7">
        <v>1925</v>
      </c>
      <c r="B1927" s="7" t="s">
        <v>9174</v>
      </c>
      <c r="C1927" s="7" t="s">
        <v>8984</v>
      </c>
      <c r="D1927" s="7" t="s">
        <v>7551</v>
      </c>
      <c r="E1927" s="7" t="s">
        <v>11584</v>
      </c>
      <c r="F1927" s="8" t="s">
        <v>9357</v>
      </c>
      <c r="G1927" s="7">
        <v>6</v>
      </c>
      <c r="H1927" s="7" t="s">
        <v>9218</v>
      </c>
      <c r="I1927" s="7">
        <v>1</v>
      </c>
      <c r="J1927" s="7" t="s">
        <v>7623</v>
      </c>
      <c r="K1927" s="9" t="s">
        <v>8987</v>
      </c>
    </row>
    <row r="1928" spans="1:11">
      <c r="A1928" s="7">
        <v>1926</v>
      </c>
      <c r="B1928" s="7" t="s">
        <v>9174</v>
      </c>
      <c r="C1928" s="7" t="s">
        <v>8984</v>
      </c>
      <c r="D1928" s="7" t="s">
        <v>7551</v>
      </c>
      <c r="E1928" s="7" t="s">
        <v>11585</v>
      </c>
      <c r="F1928" s="8" t="s">
        <v>9357</v>
      </c>
      <c r="G1928" s="7">
        <v>2</v>
      </c>
      <c r="H1928" s="7" t="s">
        <v>10476</v>
      </c>
      <c r="I1928" s="7">
        <v>1</v>
      </c>
      <c r="J1928" s="7" t="s">
        <v>7861</v>
      </c>
      <c r="K1928" s="9" t="s">
        <v>8987</v>
      </c>
    </row>
    <row r="1929" spans="1:11">
      <c r="A1929" s="7">
        <v>1927</v>
      </c>
      <c r="B1929" s="7" t="s">
        <v>9174</v>
      </c>
      <c r="C1929" s="7" t="s">
        <v>8984</v>
      </c>
      <c r="D1929" s="7" t="s">
        <v>7551</v>
      </c>
      <c r="E1929" s="7" t="s">
        <v>11586</v>
      </c>
      <c r="F1929" s="8" t="s">
        <v>9357</v>
      </c>
      <c r="G1929" s="7">
        <v>3</v>
      </c>
      <c r="H1929" s="7" t="s">
        <v>9187</v>
      </c>
      <c r="I1929" s="7">
        <v>1</v>
      </c>
      <c r="J1929" s="7" t="s">
        <v>7872</v>
      </c>
      <c r="K1929" s="9" t="s">
        <v>8987</v>
      </c>
    </row>
    <row r="1930" spans="1:11">
      <c r="A1930" s="7">
        <v>1928</v>
      </c>
      <c r="B1930" s="7" t="s">
        <v>9174</v>
      </c>
      <c r="C1930" s="7" t="s">
        <v>8984</v>
      </c>
      <c r="D1930" s="7" t="s">
        <v>7551</v>
      </c>
      <c r="E1930" s="7" t="s">
        <v>11587</v>
      </c>
      <c r="F1930" s="8" t="s">
        <v>9357</v>
      </c>
      <c r="G1930" s="7">
        <v>6</v>
      </c>
      <c r="H1930" s="7" t="s">
        <v>9218</v>
      </c>
      <c r="I1930" s="7">
        <v>1</v>
      </c>
      <c r="J1930" s="7" t="s">
        <v>7623</v>
      </c>
      <c r="K1930" s="9" t="s">
        <v>8987</v>
      </c>
    </row>
    <row r="1931" spans="1:11">
      <c r="A1931" s="7">
        <v>1929</v>
      </c>
      <c r="B1931" s="7" t="s">
        <v>9174</v>
      </c>
      <c r="C1931" s="7" t="s">
        <v>8984</v>
      </c>
      <c r="D1931" s="7" t="s">
        <v>7551</v>
      </c>
      <c r="E1931" s="7" t="s">
        <v>11588</v>
      </c>
      <c r="F1931" s="8" t="s">
        <v>9357</v>
      </c>
      <c r="G1931" s="7">
        <v>3</v>
      </c>
      <c r="H1931" s="7" t="s">
        <v>9187</v>
      </c>
      <c r="I1931" s="7">
        <v>1</v>
      </c>
      <c r="J1931" s="7" t="s">
        <v>7872</v>
      </c>
      <c r="K1931" s="9" t="s">
        <v>8987</v>
      </c>
    </row>
    <row r="1932" spans="1:11">
      <c r="A1932" s="7">
        <v>1930</v>
      </c>
      <c r="B1932" s="7" t="s">
        <v>9174</v>
      </c>
      <c r="C1932" s="7" t="s">
        <v>8984</v>
      </c>
      <c r="D1932" s="7" t="s">
        <v>7551</v>
      </c>
      <c r="E1932" s="7" t="s">
        <v>11589</v>
      </c>
      <c r="F1932" s="8" t="s">
        <v>9357</v>
      </c>
      <c r="G1932" s="7">
        <v>6</v>
      </c>
      <c r="H1932" s="7" t="s">
        <v>9218</v>
      </c>
      <c r="I1932" s="7">
        <v>1</v>
      </c>
      <c r="J1932" s="7" t="s">
        <v>7623</v>
      </c>
      <c r="K1932" s="9" t="s">
        <v>8987</v>
      </c>
    </row>
    <row r="1933" spans="1:11">
      <c r="A1933" s="7">
        <v>1931</v>
      </c>
      <c r="B1933" s="7" t="s">
        <v>9174</v>
      </c>
      <c r="C1933" s="7" t="s">
        <v>11152</v>
      </c>
      <c r="D1933" s="7" t="s">
        <v>7551</v>
      </c>
      <c r="E1933" s="7" t="s">
        <v>11590</v>
      </c>
      <c r="F1933" s="8" t="s">
        <v>9357</v>
      </c>
      <c r="G1933" s="7">
        <v>3</v>
      </c>
      <c r="H1933" s="7" t="s">
        <v>9187</v>
      </c>
      <c r="I1933" s="7">
        <v>1</v>
      </c>
      <c r="J1933" s="7" t="s">
        <v>7872</v>
      </c>
      <c r="K1933" s="9" t="s">
        <v>8987</v>
      </c>
    </row>
    <row r="1934" spans="1:11">
      <c r="A1934" s="7">
        <v>1932</v>
      </c>
      <c r="B1934" s="7" t="s">
        <v>9174</v>
      </c>
      <c r="C1934" s="7" t="s">
        <v>8984</v>
      </c>
      <c r="D1934" s="7" t="s">
        <v>7551</v>
      </c>
      <c r="E1934" s="7" t="s">
        <v>11591</v>
      </c>
      <c r="F1934" s="8" t="s">
        <v>9129</v>
      </c>
      <c r="G1934" s="7">
        <v>3</v>
      </c>
      <c r="H1934" s="7" t="s">
        <v>9187</v>
      </c>
      <c r="I1934" s="7">
        <v>1</v>
      </c>
      <c r="J1934" s="7" t="s">
        <v>7872</v>
      </c>
      <c r="K1934" s="9" t="s">
        <v>8987</v>
      </c>
    </row>
    <row r="1935" spans="1:11">
      <c r="A1935" s="7">
        <v>1933</v>
      </c>
      <c r="B1935" s="7" t="s">
        <v>9174</v>
      </c>
      <c r="C1935" s="7" t="s">
        <v>8984</v>
      </c>
      <c r="D1935" s="7" t="s">
        <v>7551</v>
      </c>
      <c r="E1935" s="7" t="s">
        <v>11592</v>
      </c>
      <c r="F1935" s="8" t="s">
        <v>9129</v>
      </c>
      <c r="G1935" s="7">
        <v>1</v>
      </c>
      <c r="H1935" s="7" t="s">
        <v>9112</v>
      </c>
      <c r="I1935" s="7">
        <v>1</v>
      </c>
      <c r="J1935" s="7" t="s">
        <v>9113</v>
      </c>
      <c r="K1935" s="9" t="s">
        <v>8987</v>
      </c>
    </row>
    <row r="1936" spans="1:11">
      <c r="A1936" s="7">
        <v>1934</v>
      </c>
      <c r="B1936" s="7" t="s">
        <v>9174</v>
      </c>
      <c r="C1936" s="7" t="s">
        <v>11152</v>
      </c>
      <c r="D1936" s="7" t="s">
        <v>7551</v>
      </c>
      <c r="E1936" s="7" t="s">
        <v>11593</v>
      </c>
      <c r="F1936" s="8" t="s">
        <v>9129</v>
      </c>
      <c r="G1936" s="7">
        <v>1</v>
      </c>
      <c r="H1936" s="7" t="s">
        <v>9112</v>
      </c>
      <c r="I1936" s="7">
        <v>1</v>
      </c>
      <c r="J1936" s="7" t="s">
        <v>9113</v>
      </c>
      <c r="K1936" s="9" t="s">
        <v>8987</v>
      </c>
    </row>
    <row r="1937" spans="1:11">
      <c r="A1937" s="7">
        <v>1935</v>
      </c>
      <c r="B1937" s="7" t="s">
        <v>9174</v>
      </c>
      <c r="C1937" s="7" t="s">
        <v>8984</v>
      </c>
      <c r="D1937" s="7" t="s">
        <v>7551</v>
      </c>
      <c r="E1937" s="7" t="s">
        <v>11594</v>
      </c>
      <c r="F1937" s="8" t="s">
        <v>11595</v>
      </c>
      <c r="G1937" s="7">
        <v>30</v>
      </c>
      <c r="H1937" s="7" t="s">
        <v>9015</v>
      </c>
      <c r="I1937" s="7">
        <v>1</v>
      </c>
      <c r="J1937" s="7" t="s">
        <v>7855</v>
      </c>
      <c r="K1937" s="9" t="s">
        <v>8987</v>
      </c>
    </row>
    <row r="1938" spans="1:11">
      <c r="A1938" s="7">
        <v>1936</v>
      </c>
      <c r="B1938" s="7" t="s">
        <v>9174</v>
      </c>
      <c r="C1938" s="7" t="s">
        <v>8984</v>
      </c>
      <c r="D1938" s="7" t="s">
        <v>7551</v>
      </c>
      <c r="E1938" s="7" t="s">
        <v>11596</v>
      </c>
      <c r="F1938" s="8" t="s">
        <v>11595</v>
      </c>
      <c r="G1938" s="7">
        <v>9</v>
      </c>
      <c r="H1938" s="7" t="s">
        <v>9030</v>
      </c>
      <c r="I1938" s="7">
        <v>1</v>
      </c>
      <c r="J1938" s="7" t="s">
        <v>7766</v>
      </c>
      <c r="K1938" s="9" t="s">
        <v>8987</v>
      </c>
    </row>
    <row r="1939" spans="1:11">
      <c r="A1939" s="7">
        <v>1937</v>
      </c>
      <c r="B1939" s="7" t="s">
        <v>9174</v>
      </c>
      <c r="C1939" s="7" t="s">
        <v>8984</v>
      </c>
      <c r="D1939" s="7" t="s">
        <v>7551</v>
      </c>
      <c r="E1939" s="7" t="s">
        <v>11597</v>
      </c>
      <c r="F1939" s="8" t="s">
        <v>11595</v>
      </c>
      <c r="G1939" s="7">
        <v>15</v>
      </c>
      <c r="H1939" s="7" t="s">
        <v>9053</v>
      </c>
      <c r="I1939" s="7">
        <v>1</v>
      </c>
      <c r="J1939" s="7" t="s">
        <v>7862</v>
      </c>
      <c r="K1939" s="9" t="s">
        <v>8987</v>
      </c>
    </row>
    <row r="1940" spans="1:11">
      <c r="A1940" s="7">
        <v>1938</v>
      </c>
      <c r="B1940" s="7" t="s">
        <v>9174</v>
      </c>
      <c r="C1940" s="7" t="s">
        <v>8984</v>
      </c>
      <c r="D1940" s="7" t="s">
        <v>7551</v>
      </c>
      <c r="E1940" s="7" t="s">
        <v>11598</v>
      </c>
      <c r="F1940" s="8" t="s">
        <v>11595</v>
      </c>
      <c r="G1940" s="7">
        <v>30</v>
      </c>
      <c r="H1940" s="7" t="s">
        <v>9015</v>
      </c>
      <c r="I1940" s="7">
        <v>1</v>
      </c>
      <c r="J1940" s="7" t="s">
        <v>7855</v>
      </c>
      <c r="K1940" s="9" t="s">
        <v>8987</v>
      </c>
    </row>
    <row r="1941" spans="1:11">
      <c r="A1941" s="7">
        <v>1939</v>
      </c>
      <c r="B1941" s="7" t="s">
        <v>9174</v>
      </c>
      <c r="C1941" s="7" t="s">
        <v>8984</v>
      </c>
      <c r="D1941" s="7" t="s">
        <v>7551</v>
      </c>
      <c r="E1941" s="7" t="s">
        <v>11599</v>
      </c>
      <c r="F1941" s="8" t="s">
        <v>11595</v>
      </c>
      <c r="G1941" s="7">
        <v>24</v>
      </c>
      <c r="H1941" s="7" t="s">
        <v>9418</v>
      </c>
      <c r="I1941" s="7">
        <v>1</v>
      </c>
      <c r="J1941" s="7" t="s">
        <v>7871</v>
      </c>
      <c r="K1941" s="9" t="s">
        <v>8987</v>
      </c>
    </row>
    <row r="1942" spans="1:11">
      <c r="A1942" s="7">
        <v>1940</v>
      </c>
      <c r="B1942" s="7" t="s">
        <v>9174</v>
      </c>
      <c r="C1942" s="7" t="s">
        <v>8984</v>
      </c>
      <c r="D1942" s="7" t="s">
        <v>7551</v>
      </c>
      <c r="E1942" s="7" t="s">
        <v>11600</v>
      </c>
      <c r="F1942" s="8" t="s">
        <v>11595</v>
      </c>
      <c r="G1942" s="7">
        <v>30</v>
      </c>
      <c r="H1942" s="7" t="s">
        <v>9015</v>
      </c>
      <c r="I1942" s="7">
        <v>1</v>
      </c>
      <c r="J1942" s="7" t="s">
        <v>7855</v>
      </c>
      <c r="K1942" s="9" t="s">
        <v>8987</v>
      </c>
    </row>
    <row r="1943" spans="1:11">
      <c r="A1943" s="7">
        <v>1941</v>
      </c>
      <c r="B1943" s="7" t="s">
        <v>9174</v>
      </c>
      <c r="C1943" s="7" t="s">
        <v>11152</v>
      </c>
      <c r="D1943" s="7" t="s">
        <v>7551</v>
      </c>
      <c r="E1943" s="7" t="s">
        <v>11601</v>
      </c>
      <c r="F1943" s="8" t="s">
        <v>11595</v>
      </c>
      <c r="G1943" s="7">
        <v>15</v>
      </c>
      <c r="H1943" s="7" t="s">
        <v>9053</v>
      </c>
      <c r="I1943" s="7">
        <v>1</v>
      </c>
      <c r="J1943" s="7" t="s">
        <v>7862</v>
      </c>
      <c r="K1943" s="9" t="s">
        <v>8987</v>
      </c>
    </row>
    <row r="1944" spans="1:11">
      <c r="A1944" s="7">
        <v>1942</v>
      </c>
      <c r="B1944" s="7" t="s">
        <v>11164</v>
      </c>
      <c r="C1944" s="7" t="s">
        <v>8984</v>
      </c>
      <c r="D1944" s="7" t="s">
        <v>7551</v>
      </c>
      <c r="E1944" s="7" t="s">
        <v>11602</v>
      </c>
      <c r="F1944" s="8" t="s">
        <v>1783</v>
      </c>
      <c r="G1944" s="7">
        <v>6</v>
      </c>
      <c r="H1944" s="7" t="s">
        <v>9218</v>
      </c>
      <c r="I1944" s="7">
        <v>1</v>
      </c>
      <c r="J1944" s="7" t="s">
        <v>7623</v>
      </c>
      <c r="K1944" s="9" t="s">
        <v>8987</v>
      </c>
    </row>
    <row r="1945" spans="1:11">
      <c r="A1945" s="7">
        <v>1943</v>
      </c>
      <c r="B1945" s="7" t="s">
        <v>11164</v>
      </c>
      <c r="C1945" s="7" t="s">
        <v>11152</v>
      </c>
      <c r="D1945" s="7" t="s">
        <v>7551</v>
      </c>
      <c r="E1945" s="7" t="s">
        <v>11603</v>
      </c>
      <c r="F1945" s="8" t="s">
        <v>1783</v>
      </c>
      <c r="G1945" s="7">
        <v>6</v>
      </c>
      <c r="H1945" s="7" t="s">
        <v>9218</v>
      </c>
      <c r="I1945" s="7">
        <v>1</v>
      </c>
      <c r="J1945" s="7" t="s">
        <v>7623</v>
      </c>
      <c r="K1945" s="9" t="s">
        <v>8987</v>
      </c>
    </row>
    <row r="1946" spans="1:11">
      <c r="A1946" s="7">
        <v>1944</v>
      </c>
      <c r="B1946" s="7" t="s">
        <v>9174</v>
      </c>
      <c r="C1946" s="7" t="s">
        <v>8984</v>
      </c>
      <c r="D1946" s="7" t="s">
        <v>7551</v>
      </c>
      <c r="E1946" s="7" t="s">
        <v>11604</v>
      </c>
      <c r="F1946" s="8" t="s">
        <v>9731</v>
      </c>
      <c r="G1946" s="7">
        <v>6</v>
      </c>
      <c r="H1946" s="7" t="s">
        <v>9218</v>
      </c>
      <c r="I1946" s="7">
        <v>1</v>
      </c>
      <c r="J1946" s="7" t="s">
        <v>7623</v>
      </c>
      <c r="K1946" s="9" t="s">
        <v>8987</v>
      </c>
    </row>
    <row r="1947" spans="1:11">
      <c r="A1947" s="7">
        <v>1945</v>
      </c>
      <c r="B1947" s="7" t="s">
        <v>9174</v>
      </c>
      <c r="C1947" s="7" t="s">
        <v>11152</v>
      </c>
      <c r="D1947" s="7" t="s">
        <v>7551</v>
      </c>
      <c r="E1947" s="7" t="s">
        <v>11605</v>
      </c>
      <c r="F1947" s="8" t="s">
        <v>9731</v>
      </c>
      <c r="G1947" s="7">
        <v>6</v>
      </c>
      <c r="H1947" s="7" t="s">
        <v>9218</v>
      </c>
      <c r="I1947" s="7">
        <v>1</v>
      </c>
      <c r="J1947" s="7" t="s">
        <v>7623</v>
      </c>
      <c r="K1947" s="9" t="s">
        <v>8987</v>
      </c>
    </row>
    <row r="1948" spans="1:11">
      <c r="A1948" s="7">
        <v>1946</v>
      </c>
      <c r="B1948" s="7" t="s">
        <v>9174</v>
      </c>
      <c r="C1948" s="7" t="s">
        <v>8984</v>
      </c>
      <c r="D1948" s="7" t="s">
        <v>7551</v>
      </c>
      <c r="E1948" s="7" t="s">
        <v>11606</v>
      </c>
      <c r="F1948" s="8" t="s">
        <v>9192</v>
      </c>
      <c r="G1948" s="7">
        <v>25</v>
      </c>
      <c r="H1948" s="7" t="s">
        <v>9011</v>
      </c>
      <c r="I1948" s="7">
        <v>1</v>
      </c>
      <c r="J1948" s="7" t="s">
        <v>7840</v>
      </c>
      <c r="K1948" s="9" t="s">
        <v>8987</v>
      </c>
    </row>
    <row r="1949" spans="1:11">
      <c r="A1949" s="7">
        <v>1947</v>
      </c>
      <c r="B1949" s="7" t="s">
        <v>9174</v>
      </c>
      <c r="C1949" s="7" t="s">
        <v>8984</v>
      </c>
      <c r="D1949" s="7" t="s">
        <v>7551</v>
      </c>
      <c r="E1949" s="7" t="s">
        <v>11607</v>
      </c>
      <c r="F1949" s="8" t="s">
        <v>9192</v>
      </c>
      <c r="G1949" s="7">
        <v>50</v>
      </c>
      <c r="H1949" s="7" t="s">
        <v>9021</v>
      </c>
      <c r="I1949" s="7">
        <v>1</v>
      </c>
      <c r="J1949" s="7" t="s">
        <v>7881</v>
      </c>
      <c r="K1949" s="9" t="s">
        <v>8987</v>
      </c>
    </row>
    <row r="1950" spans="1:11">
      <c r="A1950" s="7">
        <v>1948</v>
      </c>
      <c r="B1950" s="7" t="s">
        <v>9174</v>
      </c>
      <c r="C1950" s="7" t="s">
        <v>8984</v>
      </c>
      <c r="D1950" s="7" t="s">
        <v>7551</v>
      </c>
      <c r="E1950" s="7" t="s">
        <v>11608</v>
      </c>
      <c r="F1950" s="8" t="s">
        <v>9192</v>
      </c>
      <c r="G1950" s="7">
        <v>38</v>
      </c>
      <c r="H1950" s="7" t="s">
        <v>11229</v>
      </c>
      <c r="I1950" s="7">
        <v>1</v>
      </c>
      <c r="J1950" s="7" t="s">
        <v>7847</v>
      </c>
      <c r="K1950" s="9" t="s">
        <v>8987</v>
      </c>
    </row>
    <row r="1951" spans="1:11">
      <c r="A1951" s="7">
        <v>1949</v>
      </c>
      <c r="B1951" s="7" t="s">
        <v>9174</v>
      </c>
      <c r="C1951" s="7" t="s">
        <v>8984</v>
      </c>
      <c r="D1951" s="7" t="s">
        <v>7551</v>
      </c>
      <c r="E1951" s="7" t="s">
        <v>11609</v>
      </c>
      <c r="F1951" s="8" t="s">
        <v>9192</v>
      </c>
      <c r="G1951" s="7">
        <v>25</v>
      </c>
      <c r="H1951" s="7" t="s">
        <v>9011</v>
      </c>
      <c r="I1951" s="7">
        <v>1</v>
      </c>
      <c r="J1951" s="7" t="s">
        <v>7840</v>
      </c>
      <c r="K1951" s="9" t="s">
        <v>8987</v>
      </c>
    </row>
    <row r="1952" spans="1:11">
      <c r="A1952" s="7">
        <v>1950</v>
      </c>
      <c r="B1952" s="7" t="s">
        <v>9174</v>
      </c>
      <c r="C1952" s="7" t="s">
        <v>11152</v>
      </c>
      <c r="D1952" s="7" t="s">
        <v>7551</v>
      </c>
      <c r="E1952" s="7" t="s">
        <v>11610</v>
      </c>
      <c r="F1952" s="8" t="s">
        <v>9192</v>
      </c>
      <c r="G1952" s="7">
        <v>25</v>
      </c>
      <c r="H1952" s="7" t="s">
        <v>9011</v>
      </c>
      <c r="I1952" s="7">
        <v>1</v>
      </c>
      <c r="J1952" s="7" t="s">
        <v>7840</v>
      </c>
      <c r="K1952" s="9" t="s">
        <v>8987</v>
      </c>
    </row>
    <row r="1953" spans="1:11">
      <c r="A1953" s="7">
        <v>1951</v>
      </c>
      <c r="B1953" s="7" t="s">
        <v>9174</v>
      </c>
      <c r="C1953" s="7" t="s">
        <v>8984</v>
      </c>
      <c r="D1953" s="7" t="s">
        <v>7549</v>
      </c>
      <c r="E1953" s="7" t="s">
        <v>11611</v>
      </c>
      <c r="F1953" s="8" t="s">
        <v>10111</v>
      </c>
      <c r="G1953" s="7">
        <v>17</v>
      </c>
      <c r="H1953" s="7" t="s">
        <v>9146</v>
      </c>
      <c r="I1953" s="7">
        <v>1</v>
      </c>
      <c r="J1953" s="7" t="s">
        <v>7850</v>
      </c>
      <c r="K1953" s="9" t="s">
        <v>8987</v>
      </c>
    </row>
    <row r="1954" spans="1:11">
      <c r="A1954" s="7">
        <v>1952</v>
      </c>
      <c r="B1954" s="7" t="s">
        <v>9174</v>
      </c>
      <c r="C1954" s="7" t="s">
        <v>8984</v>
      </c>
      <c r="D1954" s="7" t="s">
        <v>7549</v>
      </c>
      <c r="E1954" s="7" t="s">
        <v>11612</v>
      </c>
      <c r="F1954" s="8" t="s">
        <v>10111</v>
      </c>
      <c r="G1954" s="7">
        <v>33</v>
      </c>
      <c r="H1954" s="7" t="s">
        <v>11346</v>
      </c>
      <c r="I1954" s="7">
        <v>1</v>
      </c>
      <c r="J1954" s="7" t="s">
        <v>7887</v>
      </c>
      <c r="K1954" s="9" t="s">
        <v>8987</v>
      </c>
    </row>
    <row r="1955" spans="1:11">
      <c r="A1955" s="7">
        <v>1953</v>
      </c>
      <c r="B1955" s="7" t="s">
        <v>9174</v>
      </c>
      <c r="C1955" s="7" t="s">
        <v>8984</v>
      </c>
      <c r="D1955" s="7" t="s">
        <v>7549</v>
      </c>
      <c r="E1955" s="7" t="s">
        <v>11613</v>
      </c>
      <c r="F1955" s="8" t="s">
        <v>10111</v>
      </c>
      <c r="G1955" s="7">
        <v>26</v>
      </c>
      <c r="H1955" s="7" t="s">
        <v>9136</v>
      </c>
      <c r="I1955" s="7">
        <v>1</v>
      </c>
      <c r="J1955" s="7" t="s">
        <v>10966</v>
      </c>
      <c r="K1955" s="9" t="s">
        <v>8987</v>
      </c>
    </row>
    <row r="1956" spans="1:11">
      <c r="A1956" s="7">
        <v>1954</v>
      </c>
      <c r="B1956" s="7" t="s">
        <v>9174</v>
      </c>
      <c r="C1956" s="7" t="s">
        <v>8984</v>
      </c>
      <c r="D1956" s="7" t="s">
        <v>7549</v>
      </c>
      <c r="E1956" s="7" t="s">
        <v>11614</v>
      </c>
      <c r="F1956" s="8" t="s">
        <v>10111</v>
      </c>
      <c r="G1956" s="7">
        <v>33</v>
      </c>
      <c r="H1956" s="7" t="s">
        <v>11346</v>
      </c>
      <c r="I1956" s="7">
        <v>1</v>
      </c>
      <c r="J1956" s="7" t="s">
        <v>7887</v>
      </c>
      <c r="K1956" s="9" t="s">
        <v>8987</v>
      </c>
    </row>
    <row r="1957" spans="1:11">
      <c r="A1957" s="7">
        <v>1955</v>
      </c>
      <c r="B1957" s="7" t="s">
        <v>9174</v>
      </c>
      <c r="C1957" s="7" t="s">
        <v>11152</v>
      </c>
      <c r="D1957" s="7" t="s">
        <v>7549</v>
      </c>
      <c r="E1957" s="7" t="s">
        <v>11615</v>
      </c>
      <c r="F1957" s="8" t="s">
        <v>10111</v>
      </c>
      <c r="G1957" s="7">
        <v>17</v>
      </c>
      <c r="H1957" s="7" t="s">
        <v>9146</v>
      </c>
      <c r="I1957" s="7">
        <v>1</v>
      </c>
      <c r="J1957" s="7" t="s">
        <v>7850</v>
      </c>
      <c r="K1957" s="9" t="s">
        <v>8987</v>
      </c>
    </row>
    <row r="1958" spans="1:11">
      <c r="A1958" s="7">
        <v>1956</v>
      </c>
      <c r="B1958" s="7" t="s">
        <v>9174</v>
      </c>
      <c r="C1958" s="7" t="s">
        <v>8984</v>
      </c>
      <c r="D1958" s="7" t="s">
        <v>7549</v>
      </c>
      <c r="E1958" s="7" t="s">
        <v>11616</v>
      </c>
      <c r="F1958" s="8" t="s">
        <v>11617</v>
      </c>
      <c r="G1958" s="7">
        <v>100</v>
      </c>
      <c r="H1958" s="7" t="s">
        <v>9046</v>
      </c>
      <c r="I1958" s="7">
        <v>1</v>
      </c>
      <c r="J1958" s="7" t="s">
        <v>7878</v>
      </c>
      <c r="K1958" s="9" t="s">
        <v>8987</v>
      </c>
    </row>
    <row r="1959" spans="1:11">
      <c r="A1959" s="7">
        <v>1957</v>
      </c>
      <c r="B1959" s="7" t="s">
        <v>9174</v>
      </c>
      <c r="C1959" s="7" t="s">
        <v>8984</v>
      </c>
      <c r="D1959" s="7" t="s">
        <v>7549</v>
      </c>
      <c r="E1959" s="7" t="s">
        <v>11618</v>
      </c>
      <c r="F1959" s="8" t="s">
        <v>9330</v>
      </c>
      <c r="G1959" s="7">
        <v>80</v>
      </c>
      <c r="H1959" s="7" t="s">
        <v>9153</v>
      </c>
      <c r="I1959" s="7">
        <v>1</v>
      </c>
      <c r="J1959" s="7" t="s">
        <v>7867</v>
      </c>
      <c r="K1959" s="9" t="s">
        <v>8987</v>
      </c>
    </row>
    <row r="1960" spans="1:11">
      <c r="A1960" s="7">
        <v>1958</v>
      </c>
      <c r="B1960" s="7" t="s">
        <v>9174</v>
      </c>
      <c r="C1960" s="7" t="s">
        <v>8984</v>
      </c>
      <c r="D1960" s="7" t="s">
        <v>7549</v>
      </c>
      <c r="E1960" s="7" t="s">
        <v>11619</v>
      </c>
      <c r="F1960" s="8" t="s">
        <v>9332</v>
      </c>
      <c r="G1960" s="7">
        <v>80</v>
      </c>
      <c r="H1960" s="7" t="s">
        <v>9153</v>
      </c>
      <c r="I1960" s="7">
        <v>1</v>
      </c>
      <c r="J1960" s="7" t="s">
        <v>7867</v>
      </c>
      <c r="K1960" s="9" t="s">
        <v>8987</v>
      </c>
    </row>
    <row r="1961" spans="1:11">
      <c r="A1961" s="7">
        <v>1959</v>
      </c>
      <c r="B1961" s="7" t="s">
        <v>9174</v>
      </c>
      <c r="C1961" s="7" t="s">
        <v>8984</v>
      </c>
      <c r="D1961" s="7" t="s">
        <v>7549</v>
      </c>
      <c r="E1961" s="7" t="s">
        <v>11620</v>
      </c>
      <c r="F1961" s="8" t="s">
        <v>10215</v>
      </c>
      <c r="G1961" s="7">
        <v>80</v>
      </c>
      <c r="H1961" s="7" t="s">
        <v>9153</v>
      </c>
      <c r="I1961" s="7">
        <v>1</v>
      </c>
      <c r="J1961" s="7" t="s">
        <v>7867</v>
      </c>
      <c r="K1961" s="9" t="s">
        <v>8987</v>
      </c>
    </row>
    <row r="1962" spans="1:11">
      <c r="A1962" s="7">
        <v>1960</v>
      </c>
      <c r="B1962" s="7" t="s">
        <v>9174</v>
      </c>
      <c r="C1962" s="7" t="s">
        <v>8984</v>
      </c>
      <c r="D1962" s="7" t="s">
        <v>7549</v>
      </c>
      <c r="E1962" s="7" t="s">
        <v>11621</v>
      </c>
      <c r="F1962" s="8" t="s">
        <v>11622</v>
      </c>
      <c r="G1962" s="7">
        <v>100</v>
      </c>
      <c r="H1962" s="7" t="s">
        <v>9046</v>
      </c>
      <c r="I1962" s="7">
        <v>1</v>
      </c>
      <c r="J1962" s="7" t="s">
        <v>7878</v>
      </c>
      <c r="K1962" s="9" t="s">
        <v>8987</v>
      </c>
    </row>
    <row r="1963" spans="1:11">
      <c r="A1963" s="7">
        <v>1961</v>
      </c>
      <c r="B1963" s="7" t="s">
        <v>11105</v>
      </c>
      <c r="C1963" s="7" t="s">
        <v>8984</v>
      </c>
      <c r="D1963" s="7" t="s">
        <v>7549</v>
      </c>
      <c r="E1963" s="7" t="s">
        <v>11623</v>
      </c>
      <c r="F1963" s="8" t="s">
        <v>8986</v>
      </c>
      <c r="G1963" s="7">
        <v>0</v>
      </c>
      <c r="H1963" s="7" t="s">
        <v>8984</v>
      </c>
      <c r="I1963" s="7">
        <v>1</v>
      </c>
      <c r="J1963" s="7" t="s">
        <v>7838</v>
      </c>
      <c r="K1963" s="9" t="s">
        <v>8987</v>
      </c>
    </row>
    <row r="1964" spans="1:11">
      <c r="A1964" s="7">
        <v>1962</v>
      </c>
      <c r="B1964" s="7" t="s">
        <v>11164</v>
      </c>
      <c r="C1964" s="7" t="s">
        <v>8984</v>
      </c>
      <c r="D1964" s="7" t="s">
        <v>7577</v>
      </c>
      <c r="E1964" s="7" t="s">
        <v>11624</v>
      </c>
      <c r="F1964" s="8" t="s">
        <v>9545</v>
      </c>
      <c r="G1964" s="7">
        <v>100</v>
      </c>
      <c r="H1964" s="7" t="s">
        <v>9046</v>
      </c>
      <c r="I1964" s="7">
        <v>1</v>
      </c>
      <c r="J1964" s="7" t="s">
        <v>7878</v>
      </c>
      <c r="K1964" s="9" t="s">
        <v>8987</v>
      </c>
    </row>
    <row r="1965" spans="1:11">
      <c r="A1965" s="7">
        <v>1963</v>
      </c>
      <c r="B1965" s="7" t="s">
        <v>11164</v>
      </c>
      <c r="C1965" s="7" t="s">
        <v>8984</v>
      </c>
      <c r="D1965" s="7" t="s">
        <v>7577</v>
      </c>
      <c r="E1965" s="7" t="s">
        <v>11625</v>
      </c>
      <c r="F1965" s="8" t="s">
        <v>11081</v>
      </c>
      <c r="G1965" s="7">
        <v>120</v>
      </c>
      <c r="H1965" s="7" t="s">
        <v>9036</v>
      </c>
      <c r="I1965" s="7">
        <v>1</v>
      </c>
      <c r="J1965" s="7" t="s">
        <v>11076</v>
      </c>
      <c r="K1965" s="9" t="s">
        <v>8987</v>
      </c>
    </row>
    <row r="1966" spans="1:11">
      <c r="A1966" s="7">
        <v>1964</v>
      </c>
      <c r="B1966" s="7" t="s">
        <v>11164</v>
      </c>
      <c r="C1966" s="7" t="s">
        <v>8984</v>
      </c>
      <c r="D1966" s="7" t="s">
        <v>7577</v>
      </c>
      <c r="E1966" s="7" t="s">
        <v>11626</v>
      </c>
      <c r="F1966" s="8" t="s">
        <v>11081</v>
      </c>
      <c r="G1966" s="7">
        <v>120</v>
      </c>
      <c r="H1966" s="7" t="s">
        <v>9036</v>
      </c>
      <c r="I1966" s="7">
        <v>1</v>
      </c>
      <c r="J1966" s="7" t="s">
        <v>11076</v>
      </c>
      <c r="K1966" s="9" t="s">
        <v>8987</v>
      </c>
    </row>
    <row r="1967" spans="1:11">
      <c r="A1967" s="7">
        <v>1965</v>
      </c>
      <c r="B1967" s="7" t="s">
        <v>11164</v>
      </c>
      <c r="C1967" s="7" t="s">
        <v>8984</v>
      </c>
      <c r="D1967" s="7" t="s">
        <v>7577</v>
      </c>
      <c r="E1967" s="7" t="s">
        <v>11627</v>
      </c>
      <c r="F1967" s="8" t="s">
        <v>11081</v>
      </c>
      <c r="G1967" s="7">
        <v>120</v>
      </c>
      <c r="H1967" s="7" t="s">
        <v>9036</v>
      </c>
      <c r="I1967" s="7">
        <v>1</v>
      </c>
      <c r="J1967" s="7" t="s">
        <v>11076</v>
      </c>
      <c r="K1967" s="9" t="s">
        <v>8987</v>
      </c>
    </row>
    <row r="1968" spans="1:11">
      <c r="A1968" s="7">
        <v>1966</v>
      </c>
      <c r="B1968" s="7" t="s">
        <v>11164</v>
      </c>
      <c r="C1968" s="7" t="s">
        <v>8984</v>
      </c>
      <c r="D1968" s="7" t="s">
        <v>7577</v>
      </c>
      <c r="E1968" s="7" t="s">
        <v>11628</v>
      </c>
      <c r="F1968" s="8" t="s">
        <v>11081</v>
      </c>
      <c r="G1968" s="7">
        <v>120</v>
      </c>
      <c r="H1968" s="7" t="s">
        <v>9036</v>
      </c>
      <c r="I1968" s="7">
        <v>1</v>
      </c>
      <c r="J1968" s="7" t="s">
        <v>11076</v>
      </c>
      <c r="K1968" s="9" t="s">
        <v>8987</v>
      </c>
    </row>
    <row r="1969" spans="1:11">
      <c r="A1969" s="7">
        <v>1967</v>
      </c>
      <c r="B1969" s="7" t="s">
        <v>11164</v>
      </c>
      <c r="C1969" s="7" t="s">
        <v>8984</v>
      </c>
      <c r="D1969" s="7" t="s">
        <v>7577</v>
      </c>
      <c r="E1969" s="7" t="s">
        <v>11629</v>
      </c>
      <c r="F1969" s="8" t="s">
        <v>11081</v>
      </c>
      <c r="G1969" s="7">
        <v>120</v>
      </c>
      <c r="H1969" s="7" t="s">
        <v>9036</v>
      </c>
      <c r="I1969" s="7">
        <v>1</v>
      </c>
      <c r="J1969" s="7" t="s">
        <v>11076</v>
      </c>
      <c r="K1969" s="9" t="s">
        <v>8987</v>
      </c>
    </row>
    <row r="1970" spans="1:11">
      <c r="A1970" s="7">
        <v>1968</v>
      </c>
      <c r="B1970" s="7" t="s">
        <v>11164</v>
      </c>
      <c r="C1970" s="7" t="s">
        <v>8984</v>
      </c>
      <c r="D1970" s="7" t="s">
        <v>7577</v>
      </c>
      <c r="E1970" s="7" t="s">
        <v>11630</v>
      </c>
      <c r="F1970" s="8" t="s">
        <v>11081</v>
      </c>
      <c r="G1970" s="7">
        <v>120</v>
      </c>
      <c r="H1970" s="7" t="s">
        <v>9036</v>
      </c>
      <c r="I1970" s="7">
        <v>1</v>
      </c>
      <c r="J1970" s="7" t="s">
        <v>11076</v>
      </c>
      <c r="K1970" s="9" t="s">
        <v>8987</v>
      </c>
    </row>
    <row r="1971" spans="1:11">
      <c r="A1971" s="7">
        <v>1969</v>
      </c>
      <c r="B1971" s="7" t="s">
        <v>11164</v>
      </c>
      <c r="C1971" s="7" t="s">
        <v>8984</v>
      </c>
      <c r="D1971" s="7" t="s">
        <v>7577</v>
      </c>
      <c r="E1971" s="7" t="s">
        <v>11631</v>
      </c>
      <c r="F1971" s="8" t="s">
        <v>11081</v>
      </c>
      <c r="G1971" s="7">
        <v>120</v>
      </c>
      <c r="H1971" s="7" t="s">
        <v>9036</v>
      </c>
      <c r="I1971" s="7">
        <v>1</v>
      </c>
      <c r="J1971" s="7" t="s">
        <v>11076</v>
      </c>
      <c r="K1971" s="9" t="s">
        <v>8987</v>
      </c>
    </row>
    <row r="1972" spans="1:11">
      <c r="A1972" s="7">
        <v>1970</v>
      </c>
      <c r="B1972" s="7" t="s">
        <v>11164</v>
      </c>
      <c r="C1972" s="7" t="s">
        <v>8984</v>
      </c>
      <c r="D1972" s="7" t="s">
        <v>7577</v>
      </c>
      <c r="E1972" s="7" t="s">
        <v>11632</v>
      </c>
      <c r="F1972" s="8" t="s">
        <v>11081</v>
      </c>
      <c r="G1972" s="7">
        <v>120</v>
      </c>
      <c r="H1972" s="7" t="s">
        <v>9036</v>
      </c>
      <c r="I1972" s="7">
        <v>1</v>
      </c>
      <c r="J1972" s="7" t="s">
        <v>11076</v>
      </c>
      <c r="K1972" s="9" t="s">
        <v>8987</v>
      </c>
    </row>
    <row r="1973" spans="1:11">
      <c r="A1973" s="7">
        <v>1971</v>
      </c>
      <c r="B1973" s="7" t="s">
        <v>11164</v>
      </c>
      <c r="C1973" s="7" t="s">
        <v>8984</v>
      </c>
      <c r="D1973" s="7" t="s">
        <v>7577</v>
      </c>
      <c r="E1973" s="7" t="s">
        <v>11633</v>
      </c>
      <c r="F1973" s="8" t="s">
        <v>11081</v>
      </c>
      <c r="G1973" s="7">
        <v>120</v>
      </c>
      <c r="H1973" s="7" t="s">
        <v>9036</v>
      </c>
      <c r="I1973" s="7">
        <v>1</v>
      </c>
      <c r="J1973" s="7" t="s">
        <v>11076</v>
      </c>
      <c r="K1973" s="9" t="s">
        <v>8987</v>
      </c>
    </row>
    <row r="1974" spans="1:11">
      <c r="A1974" s="7">
        <v>1972</v>
      </c>
      <c r="B1974" s="7" t="s">
        <v>11164</v>
      </c>
      <c r="C1974" s="7" t="s">
        <v>8984</v>
      </c>
      <c r="D1974" s="7" t="s">
        <v>7577</v>
      </c>
      <c r="E1974" s="7" t="s">
        <v>11634</v>
      </c>
      <c r="F1974" s="8" t="s">
        <v>11081</v>
      </c>
      <c r="G1974" s="7">
        <v>120</v>
      </c>
      <c r="H1974" s="7" t="s">
        <v>9036</v>
      </c>
      <c r="I1974" s="7">
        <v>1</v>
      </c>
      <c r="J1974" s="7" t="s">
        <v>11076</v>
      </c>
      <c r="K1974" s="9" t="s">
        <v>8987</v>
      </c>
    </row>
    <row r="1975" spans="1:11">
      <c r="A1975" s="7">
        <v>1973</v>
      </c>
      <c r="B1975" s="7" t="s">
        <v>11164</v>
      </c>
      <c r="C1975" s="7" t="s">
        <v>8984</v>
      </c>
      <c r="D1975" s="7" t="s">
        <v>7577</v>
      </c>
      <c r="E1975" s="7" t="s">
        <v>11635</v>
      </c>
      <c r="F1975" s="8" t="s">
        <v>11081</v>
      </c>
      <c r="G1975" s="7">
        <v>120</v>
      </c>
      <c r="H1975" s="7" t="s">
        <v>9036</v>
      </c>
      <c r="I1975" s="7">
        <v>1</v>
      </c>
      <c r="J1975" s="7" t="s">
        <v>11076</v>
      </c>
      <c r="K1975" s="9" t="s">
        <v>8987</v>
      </c>
    </row>
    <row r="1976" spans="1:11">
      <c r="A1976" s="7">
        <v>1974</v>
      </c>
      <c r="B1976" s="7" t="s">
        <v>11164</v>
      </c>
      <c r="C1976" s="7" t="s">
        <v>8984</v>
      </c>
      <c r="D1976" s="7" t="s">
        <v>7577</v>
      </c>
      <c r="E1976" s="7" t="s">
        <v>11636</v>
      </c>
      <c r="F1976" s="8" t="s">
        <v>11081</v>
      </c>
      <c r="G1976" s="7">
        <v>120</v>
      </c>
      <c r="H1976" s="7" t="s">
        <v>9036</v>
      </c>
      <c r="I1976" s="7">
        <v>1</v>
      </c>
      <c r="J1976" s="7" t="s">
        <v>11076</v>
      </c>
      <c r="K1976" s="9" t="s">
        <v>8987</v>
      </c>
    </row>
    <row r="1977" spans="1:11">
      <c r="A1977" s="7">
        <v>1975</v>
      </c>
      <c r="B1977" s="7" t="s">
        <v>11164</v>
      </c>
      <c r="C1977" s="7" t="s">
        <v>8984</v>
      </c>
      <c r="D1977" s="7" t="s">
        <v>7577</v>
      </c>
      <c r="E1977" s="7" t="s">
        <v>11637</v>
      </c>
      <c r="F1977" s="8" t="s">
        <v>11081</v>
      </c>
      <c r="G1977" s="7">
        <v>120</v>
      </c>
      <c r="H1977" s="7" t="s">
        <v>9036</v>
      </c>
      <c r="I1977" s="7">
        <v>1</v>
      </c>
      <c r="J1977" s="7" t="s">
        <v>11076</v>
      </c>
      <c r="K1977" s="9" t="s">
        <v>8987</v>
      </c>
    </row>
    <row r="1978" spans="1:11">
      <c r="A1978" s="7">
        <v>1976</v>
      </c>
      <c r="B1978" s="7" t="s">
        <v>11164</v>
      </c>
      <c r="C1978" s="7" t="s">
        <v>8984</v>
      </c>
      <c r="D1978" s="7" t="s">
        <v>7577</v>
      </c>
      <c r="E1978" s="7" t="s">
        <v>11638</v>
      </c>
      <c r="F1978" s="8" t="s">
        <v>11081</v>
      </c>
      <c r="G1978" s="7">
        <v>120</v>
      </c>
      <c r="H1978" s="7" t="s">
        <v>9036</v>
      </c>
      <c r="I1978" s="7">
        <v>1</v>
      </c>
      <c r="J1978" s="7" t="s">
        <v>11076</v>
      </c>
      <c r="K1978" s="9" t="s">
        <v>8987</v>
      </c>
    </row>
    <row r="1979" spans="1:11">
      <c r="A1979" s="7">
        <v>1977</v>
      </c>
      <c r="B1979" s="7" t="s">
        <v>11164</v>
      </c>
      <c r="C1979" s="7" t="s">
        <v>8984</v>
      </c>
      <c r="D1979" s="7" t="s">
        <v>7577</v>
      </c>
      <c r="E1979" s="7" t="s">
        <v>6752</v>
      </c>
      <c r="F1979" s="8" t="s">
        <v>11081</v>
      </c>
      <c r="G1979" s="7">
        <v>120</v>
      </c>
      <c r="H1979" s="7" t="s">
        <v>9036</v>
      </c>
      <c r="I1979" s="7">
        <v>1</v>
      </c>
      <c r="J1979" s="7" t="s">
        <v>11076</v>
      </c>
      <c r="K1979" s="9" t="s">
        <v>8987</v>
      </c>
    </row>
    <row r="1980" spans="1:11">
      <c r="A1980" s="7">
        <v>1978</v>
      </c>
      <c r="B1980" s="7" t="s">
        <v>11164</v>
      </c>
      <c r="C1980" s="7" t="s">
        <v>8984</v>
      </c>
      <c r="D1980" s="7" t="s">
        <v>7577</v>
      </c>
      <c r="E1980" s="7" t="s">
        <v>11639</v>
      </c>
      <c r="F1980" s="8" t="s">
        <v>11081</v>
      </c>
      <c r="G1980" s="7">
        <v>120</v>
      </c>
      <c r="H1980" s="7" t="s">
        <v>9036</v>
      </c>
      <c r="I1980" s="7">
        <v>1</v>
      </c>
      <c r="J1980" s="7" t="s">
        <v>11076</v>
      </c>
      <c r="K1980" s="9" t="s">
        <v>8987</v>
      </c>
    </row>
    <row r="1981" spans="1:11">
      <c r="A1981" s="7">
        <v>1979</v>
      </c>
      <c r="B1981" s="7" t="s">
        <v>11164</v>
      </c>
      <c r="C1981" s="7" t="s">
        <v>8984</v>
      </c>
      <c r="D1981" s="7" t="s">
        <v>7577</v>
      </c>
      <c r="E1981" s="7" t="s">
        <v>11640</v>
      </c>
      <c r="F1981" s="8" t="s">
        <v>11081</v>
      </c>
      <c r="G1981" s="7">
        <v>120</v>
      </c>
      <c r="H1981" s="7" t="s">
        <v>9036</v>
      </c>
      <c r="I1981" s="7">
        <v>1</v>
      </c>
      <c r="J1981" s="7" t="s">
        <v>11076</v>
      </c>
      <c r="K1981" s="9" t="s">
        <v>8987</v>
      </c>
    </row>
    <row r="1982" spans="1:11">
      <c r="A1982" s="7">
        <v>1980</v>
      </c>
      <c r="B1982" s="7" t="s">
        <v>11164</v>
      </c>
      <c r="C1982" s="7" t="s">
        <v>8984</v>
      </c>
      <c r="D1982" s="7" t="s">
        <v>7577</v>
      </c>
      <c r="E1982" s="7" t="s">
        <v>11641</v>
      </c>
      <c r="F1982" s="8" t="s">
        <v>11081</v>
      </c>
      <c r="G1982" s="7">
        <v>120</v>
      </c>
      <c r="H1982" s="7" t="s">
        <v>9036</v>
      </c>
      <c r="I1982" s="7">
        <v>1</v>
      </c>
      <c r="J1982" s="7" t="s">
        <v>11076</v>
      </c>
      <c r="K1982" s="9" t="s">
        <v>8987</v>
      </c>
    </row>
    <row r="1983" spans="1:11">
      <c r="A1983" s="7">
        <v>1981</v>
      </c>
      <c r="B1983" s="7" t="s">
        <v>11164</v>
      </c>
      <c r="C1983" s="7" t="s">
        <v>8984</v>
      </c>
      <c r="D1983" s="7" t="s">
        <v>7577</v>
      </c>
      <c r="E1983" s="7" t="s">
        <v>11642</v>
      </c>
      <c r="F1983" s="8" t="s">
        <v>11081</v>
      </c>
      <c r="G1983" s="7">
        <v>120</v>
      </c>
      <c r="H1983" s="7" t="s">
        <v>9036</v>
      </c>
      <c r="I1983" s="7">
        <v>1</v>
      </c>
      <c r="J1983" s="7" t="s">
        <v>11076</v>
      </c>
      <c r="K1983" s="9" t="s">
        <v>8987</v>
      </c>
    </row>
    <row r="1984" spans="1:11">
      <c r="A1984" s="7">
        <v>1982</v>
      </c>
      <c r="B1984" s="7" t="s">
        <v>11164</v>
      </c>
      <c r="C1984" s="7" t="s">
        <v>8984</v>
      </c>
      <c r="D1984" s="7" t="s">
        <v>7577</v>
      </c>
      <c r="E1984" s="7" t="s">
        <v>6236</v>
      </c>
      <c r="F1984" s="8" t="s">
        <v>11081</v>
      </c>
      <c r="G1984" s="7">
        <v>120</v>
      </c>
      <c r="H1984" s="7" t="s">
        <v>9036</v>
      </c>
      <c r="I1984" s="7">
        <v>1</v>
      </c>
      <c r="J1984" s="7" t="s">
        <v>11076</v>
      </c>
      <c r="K1984" s="9" t="s">
        <v>8987</v>
      </c>
    </row>
    <row r="1985" spans="1:11">
      <c r="A1985" s="7">
        <v>1983</v>
      </c>
      <c r="B1985" s="7" t="s">
        <v>11164</v>
      </c>
      <c r="C1985" s="7" t="s">
        <v>8984</v>
      </c>
      <c r="D1985" s="7" t="s">
        <v>7577</v>
      </c>
      <c r="E1985" s="7" t="s">
        <v>11643</v>
      </c>
      <c r="F1985" s="8" t="s">
        <v>11081</v>
      </c>
      <c r="G1985" s="7">
        <v>120</v>
      </c>
      <c r="H1985" s="7" t="s">
        <v>9036</v>
      </c>
      <c r="I1985" s="7">
        <v>1</v>
      </c>
      <c r="J1985" s="7" t="s">
        <v>11076</v>
      </c>
      <c r="K1985" s="9" t="s">
        <v>8987</v>
      </c>
    </row>
    <row r="1986" spans="1:11">
      <c r="A1986" s="7">
        <v>1984</v>
      </c>
      <c r="B1986" s="7" t="s">
        <v>11164</v>
      </c>
      <c r="C1986" s="7" t="s">
        <v>8984</v>
      </c>
      <c r="D1986" s="7" t="s">
        <v>7577</v>
      </c>
      <c r="E1986" s="7" t="s">
        <v>11644</v>
      </c>
      <c r="F1986" s="8" t="s">
        <v>11081</v>
      </c>
      <c r="G1986" s="7">
        <v>120</v>
      </c>
      <c r="H1986" s="7" t="s">
        <v>9036</v>
      </c>
      <c r="I1986" s="7">
        <v>1</v>
      </c>
      <c r="J1986" s="7" t="s">
        <v>11076</v>
      </c>
      <c r="K1986" s="9" t="s">
        <v>8987</v>
      </c>
    </row>
    <row r="1987" spans="1:11">
      <c r="A1987" s="7">
        <v>1985</v>
      </c>
      <c r="B1987" s="7" t="s">
        <v>11164</v>
      </c>
      <c r="C1987" s="7" t="s">
        <v>8984</v>
      </c>
      <c r="D1987" s="7" t="s">
        <v>7577</v>
      </c>
      <c r="E1987" s="7" t="s">
        <v>11645</v>
      </c>
      <c r="F1987" s="8" t="s">
        <v>11081</v>
      </c>
      <c r="G1987" s="7">
        <v>120</v>
      </c>
      <c r="H1987" s="7" t="s">
        <v>9036</v>
      </c>
      <c r="I1987" s="7">
        <v>1</v>
      </c>
      <c r="J1987" s="7" t="s">
        <v>11076</v>
      </c>
      <c r="K1987" s="9" t="s">
        <v>8987</v>
      </c>
    </row>
    <row r="1988" spans="1:11">
      <c r="A1988" s="7">
        <v>1986</v>
      </c>
      <c r="B1988" s="7" t="s">
        <v>11164</v>
      </c>
      <c r="C1988" s="7" t="s">
        <v>8984</v>
      </c>
      <c r="D1988" s="7" t="s">
        <v>7577</v>
      </c>
      <c r="E1988" s="7" t="s">
        <v>11646</v>
      </c>
      <c r="F1988" s="8" t="s">
        <v>11081</v>
      </c>
      <c r="G1988" s="7">
        <v>120</v>
      </c>
      <c r="H1988" s="7" t="s">
        <v>9036</v>
      </c>
      <c r="I1988" s="7">
        <v>1</v>
      </c>
      <c r="J1988" s="7" t="s">
        <v>11076</v>
      </c>
      <c r="K1988" s="9" t="s">
        <v>8987</v>
      </c>
    </row>
    <row r="1989" spans="1:11">
      <c r="A1989" s="7">
        <v>1987</v>
      </c>
      <c r="B1989" s="7" t="s">
        <v>11164</v>
      </c>
      <c r="C1989" s="7" t="s">
        <v>8984</v>
      </c>
      <c r="D1989" s="7" t="s">
        <v>7577</v>
      </c>
      <c r="E1989" s="7" t="s">
        <v>11647</v>
      </c>
      <c r="F1989" s="8" t="s">
        <v>11081</v>
      </c>
      <c r="G1989" s="7">
        <v>120</v>
      </c>
      <c r="H1989" s="7" t="s">
        <v>9036</v>
      </c>
      <c r="I1989" s="7">
        <v>1</v>
      </c>
      <c r="J1989" s="7" t="s">
        <v>11076</v>
      </c>
      <c r="K1989" s="9" t="s">
        <v>8987</v>
      </c>
    </row>
    <row r="1990" spans="1:11">
      <c r="A1990" s="7">
        <v>1988</v>
      </c>
      <c r="B1990" s="7" t="s">
        <v>11105</v>
      </c>
      <c r="C1990" s="7" t="s">
        <v>8984</v>
      </c>
      <c r="D1990" s="7" t="s">
        <v>7577</v>
      </c>
      <c r="E1990" s="7" t="s">
        <v>11648</v>
      </c>
      <c r="F1990" s="8" t="s">
        <v>11081</v>
      </c>
      <c r="G1990" s="7">
        <v>120</v>
      </c>
      <c r="H1990" s="7" t="s">
        <v>9036</v>
      </c>
      <c r="I1990" s="7">
        <v>1</v>
      </c>
      <c r="J1990" s="7" t="s">
        <v>11076</v>
      </c>
      <c r="K1990" s="9" t="s">
        <v>8987</v>
      </c>
    </row>
    <row r="1991" spans="1:11">
      <c r="A1991" s="7">
        <v>1989</v>
      </c>
      <c r="B1991" s="7" t="s">
        <v>11164</v>
      </c>
      <c r="C1991" s="7" t="s">
        <v>8984</v>
      </c>
      <c r="D1991" s="7" t="s">
        <v>7577</v>
      </c>
      <c r="E1991" s="7" t="s">
        <v>11649</v>
      </c>
      <c r="F1991" s="8" t="s">
        <v>11081</v>
      </c>
      <c r="G1991" s="7">
        <v>120</v>
      </c>
      <c r="H1991" s="7" t="s">
        <v>9036</v>
      </c>
      <c r="I1991" s="7">
        <v>1</v>
      </c>
      <c r="J1991" s="7" t="s">
        <v>11076</v>
      </c>
      <c r="K1991" s="9" t="s">
        <v>8987</v>
      </c>
    </row>
    <row r="1992" spans="1:11">
      <c r="A1992" s="7">
        <v>1990</v>
      </c>
      <c r="B1992" s="7" t="s">
        <v>11164</v>
      </c>
      <c r="C1992" s="7" t="s">
        <v>8984</v>
      </c>
      <c r="D1992" s="7" t="s">
        <v>7577</v>
      </c>
      <c r="E1992" s="7" t="s">
        <v>11650</v>
      </c>
      <c r="F1992" s="8" t="s">
        <v>11081</v>
      </c>
      <c r="G1992" s="7">
        <v>120</v>
      </c>
      <c r="H1992" s="7" t="s">
        <v>9036</v>
      </c>
      <c r="I1992" s="7">
        <v>1</v>
      </c>
      <c r="J1992" s="7" t="s">
        <v>11076</v>
      </c>
      <c r="K1992" s="9" t="s">
        <v>8987</v>
      </c>
    </row>
    <row r="1993" spans="1:11">
      <c r="A1993" s="7">
        <v>1991</v>
      </c>
      <c r="B1993" s="7" t="s">
        <v>11164</v>
      </c>
      <c r="C1993" s="7" t="s">
        <v>8984</v>
      </c>
      <c r="D1993" s="7" t="s">
        <v>7577</v>
      </c>
      <c r="E1993" s="7" t="s">
        <v>11651</v>
      </c>
      <c r="F1993" s="8" t="s">
        <v>11081</v>
      </c>
      <c r="G1993" s="7">
        <v>120</v>
      </c>
      <c r="H1993" s="7" t="s">
        <v>9036</v>
      </c>
      <c r="I1993" s="7">
        <v>1</v>
      </c>
      <c r="J1993" s="7" t="s">
        <v>11076</v>
      </c>
      <c r="K1993" s="9" t="s">
        <v>8987</v>
      </c>
    </row>
    <row r="1994" spans="1:11">
      <c r="A1994" s="7">
        <v>1992</v>
      </c>
      <c r="B1994" s="7" t="s">
        <v>11164</v>
      </c>
      <c r="C1994" s="7" t="s">
        <v>8984</v>
      </c>
      <c r="D1994" s="7" t="s">
        <v>7577</v>
      </c>
      <c r="E1994" s="7" t="s">
        <v>11652</v>
      </c>
      <c r="F1994" s="8" t="s">
        <v>11081</v>
      </c>
      <c r="G1994" s="7">
        <v>120</v>
      </c>
      <c r="H1994" s="7" t="s">
        <v>9036</v>
      </c>
      <c r="I1994" s="7">
        <v>1</v>
      </c>
      <c r="J1994" s="7" t="s">
        <v>11076</v>
      </c>
      <c r="K1994" s="9" t="s">
        <v>8987</v>
      </c>
    </row>
    <row r="1995" spans="1:11">
      <c r="A1995" s="7">
        <v>1993</v>
      </c>
      <c r="B1995" s="7" t="s">
        <v>11164</v>
      </c>
      <c r="C1995" s="7" t="s">
        <v>8984</v>
      </c>
      <c r="D1995" s="7" t="s">
        <v>7577</v>
      </c>
      <c r="E1995" s="7" t="s">
        <v>11653</v>
      </c>
      <c r="F1995" s="8" t="s">
        <v>11081</v>
      </c>
      <c r="G1995" s="7">
        <v>120</v>
      </c>
      <c r="H1995" s="7" t="s">
        <v>9036</v>
      </c>
      <c r="I1995" s="7">
        <v>1</v>
      </c>
      <c r="J1995" s="7" t="s">
        <v>11076</v>
      </c>
      <c r="K1995" s="9" t="s">
        <v>8987</v>
      </c>
    </row>
    <row r="1996" spans="1:11">
      <c r="A1996" s="7">
        <v>1994</v>
      </c>
      <c r="B1996" s="7" t="s">
        <v>11164</v>
      </c>
      <c r="C1996" s="7" t="s">
        <v>8984</v>
      </c>
      <c r="D1996" s="7" t="s">
        <v>7577</v>
      </c>
      <c r="E1996" s="7" t="s">
        <v>11654</v>
      </c>
      <c r="F1996" s="8" t="s">
        <v>11081</v>
      </c>
      <c r="G1996" s="7">
        <v>120</v>
      </c>
      <c r="H1996" s="7" t="s">
        <v>9036</v>
      </c>
      <c r="I1996" s="7">
        <v>1</v>
      </c>
      <c r="J1996" s="7" t="s">
        <v>11076</v>
      </c>
      <c r="K1996" s="9" t="s">
        <v>8987</v>
      </c>
    </row>
    <row r="1997" spans="1:11">
      <c r="A1997" s="7">
        <v>1995</v>
      </c>
      <c r="B1997" s="7" t="s">
        <v>11164</v>
      </c>
      <c r="C1997" s="7" t="s">
        <v>8984</v>
      </c>
      <c r="D1997" s="7" t="s">
        <v>7577</v>
      </c>
      <c r="E1997" s="7" t="s">
        <v>11655</v>
      </c>
      <c r="F1997" s="8" t="s">
        <v>11081</v>
      </c>
      <c r="G1997" s="7">
        <v>120</v>
      </c>
      <c r="H1997" s="7" t="s">
        <v>9036</v>
      </c>
      <c r="I1997" s="7">
        <v>1</v>
      </c>
      <c r="J1997" s="7" t="s">
        <v>11076</v>
      </c>
      <c r="K1997" s="9" t="s">
        <v>8987</v>
      </c>
    </row>
    <row r="1998" spans="1:11">
      <c r="A1998" s="7">
        <v>1996</v>
      </c>
      <c r="B1998" s="7" t="s">
        <v>11164</v>
      </c>
      <c r="C1998" s="7" t="s">
        <v>8984</v>
      </c>
      <c r="D1998" s="7" t="s">
        <v>7577</v>
      </c>
      <c r="E1998" s="7" t="s">
        <v>11656</v>
      </c>
      <c r="F1998" s="8" t="s">
        <v>11081</v>
      </c>
      <c r="G1998" s="7">
        <v>120</v>
      </c>
      <c r="H1998" s="7" t="s">
        <v>9036</v>
      </c>
      <c r="I1998" s="7">
        <v>1</v>
      </c>
      <c r="J1998" s="7" t="s">
        <v>11076</v>
      </c>
      <c r="K1998" s="9" t="s">
        <v>8987</v>
      </c>
    </row>
    <row r="1999" spans="1:11">
      <c r="A1999" s="7">
        <v>1997</v>
      </c>
      <c r="B1999" s="7" t="s">
        <v>11164</v>
      </c>
      <c r="C1999" s="7" t="s">
        <v>8984</v>
      </c>
      <c r="D1999" s="7" t="s">
        <v>7577</v>
      </c>
      <c r="E1999" s="7" t="s">
        <v>11657</v>
      </c>
      <c r="F1999" s="8" t="s">
        <v>11081</v>
      </c>
      <c r="G1999" s="7">
        <v>120</v>
      </c>
      <c r="H1999" s="7" t="s">
        <v>9036</v>
      </c>
      <c r="I1999" s="7">
        <v>1</v>
      </c>
      <c r="J1999" s="7" t="s">
        <v>11076</v>
      </c>
      <c r="K1999" s="9" t="s">
        <v>8987</v>
      </c>
    </row>
    <row r="2000" spans="1:11">
      <c r="A2000" s="7">
        <v>1998</v>
      </c>
      <c r="B2000" s="7" t="s">
        <v>11164</v>
      </c>
      <c r="C2000" s="7" t="s">
        <v>8984</v>
      </c>
      <c r="D2000" s="7" t="s">
        <v>7577</v>
      </c>
      <c r="E2000" s="7" t="s">
        <v>11658</v>
      </c>
      <c r="F2000" s="8" t="s">
        <v>11081</v>
      </c>
      <c r="G2000" s="7">
        <v>120</v>
      </c>
      <c r="H2000" s="7" t="s">
        <v>9036</v>
      </c>
      <c r="I2000" s="7">
        <v>1</v>
      </c>
      <c r="J2000" s="7" t="s">
        <v>11076</v>
      </c>
      <c r="K2000" s="9" t="s">
        <v>8987</v>
      </c>
    </row>
    <row r="2001" spans="1:11">
      <c r="A2001" s="7">
        <v>1999</v>
      </c>
      <c r="B2001" s="7" t="s">
        <v>11164</v>
      </c>
      <c r="C2001" s="7" t="s">
        <v>8984</v>
      </c>
      <c r="D2001" s="7" t="s">
        <v>7577</v>
      </c>
      <c r="E2001" s="7" t="s">
        <v>11659</v>
      </c>
      <c r="F2001" s="8" t="s">
        <v>11081</v>
      </c>
      <c r="G2001" s="7">
        <v>120</v>
      </c>
      <c r="H2001" s="7" t="s">
        <v>9036</v>
      </c>
      <c r="I2001" s="7">
        <v>1</v>
      </c>
      <c r="J2001" s="7" t="s">
        <v>11076</v>
      </c>
      <c r="K2001" s="9" t="s">
        <v>8987</v>
      </c>
    </row>
    <row r="2002" spans="1:11">
      <c r="A2002" s="7">
        <v>2000</v>
      </c>
      <c r="B2002" s="7" t="s">
        <v>11164</v>
      </c>
      <c r="C2002" s="7" t="s">
        <v>8984</v>
      </c>
      <c r="D2002" s="7" t="s">
        <v>7577</v>
      </c>
      <c r="E2002" s="7" t="s">
        <v>11660</v>
      </c>
      <c r="F2002" s="8" t="s">
        <v>11081</v>
      </c>
      <c r="G2002" s="7">
        <v>120</v>
      </c>
      <c r="H2002" s="7" t="s">
        <v>9036</v>
      </c>
      <c r="I2002" s="7">
        <v>1</v>
      </c>
      <c r="J2002" s="7" t="s">
        <v>11076</v>
      </c>
      <c r="K2002" s="9" t="s">
        <v>8987</v>
      </c>
    </row>
    <row r="2003" spans="1:11">
      <c r="A2003" s="7">
        <v>2001</v>
      </c>
      <c r="B2003" s="7" t="s">
        <v>11164</v>
      </c>
      <c r="C2003" s="7" t="s">
        <v>8984</v>
      </c>
      <c r="D2003" s="7" t="s">
        <v>7577</v>
      </c>
      <c r="E2003" s="7" t="s">
        <v>11661</v>
      </c>
      <c r="F2003" s="8" t="s">
        <v>11081</v>
      </c>
      <c r="G2003" s="7">
        <v>120</v>
      </c>
      <c r="H2003" s="7" t="s">
        <v>9036</v>
      </c>
      <c r="I2003" s="7">
        <v>1</v>
      </c>
      <c r="J2003" s="7" t="s">
        <v>11076</v>
      </c>
      <c r="K2003" s="9" t="s">
        <v>8987</v>
      </c>
    </row>
    <row r="2004" spans="1:11">
      <c r="A2004" s="7">
        <v>2002</v>
      </c>
      <c r="B2004" s="7" t="s">
        <v>11164</v>
      </c>
      <c r="C2004" s="7" t="s">
        <v>8984</v>
      </c>
      <c r="D2004" s="7" t="s">
        <v>7577</v>
      </c>
      <c r="E2004" s="7" t="s">
        <v>11662</v>
      </c>
      <c r="F2004" s="8" t="s">
        <v>11081</v>
      </c>
      <c r="G2004" s="7">
        <v>120</v>
      </c>
      <c r="H2004" s="7" t="s">
        <v>9036</v>
      </c>
      <c r="I2004" s="7">
        <v>1</v>
      </c>
      <c r="J2004" s="7" t="s">
        <v>11076</v>
      </c>
      <c r="K2004" s="9" t="s">
        <v>8987</v>
      </c>
    </row>
    <row r="2005" spans="1:11">
      <c r="A2005" s="7">
        <v>2003</v>
      </c>
      <c r="B2005" s="7" t="s">
        <v>11164</v>
      </c>
      <c r="C2005" s="7" t="s">
        <v>8984</v>
      </c>
      <c r="D2005" s="7" t="s">
        <v>7577</v>
      </c>
      <c r="E2005" s="7" t="s">
        <v>11663</v>
      </c>
      <c r="F2005" s="8" t="s">
        <v>11081</v>
      </c>
      <c r="G2005" s="7">
        <v>120</v>
      </c>
      <c r="H2005" s="7" t="s">
        <v>9036</v>
      </c>
      <c r="I2005" s="7">
        <v>1</v>
      </c>
      <c r="J2005" s="7" t="s">
        <v>11076</v>
      </c>
      <c r="K2005" s="9" t="s">
        <v>8987</v>
      </c>
    </row>
    <row r="2006" spans="1:11">
      <c r="A2006" s="7">
        <v>2004</v>
      </c>
      <c r="B2006" s="7" t="s">
        <v>11164</v>
      </c>
      <c r="C2006" s="7" t="s">
        <v>8984</v>
      </c>
      <c r="D2006" s="7" t="s">
        <v>7577</v>
      </c>
      <c r="E2006" s="7" t="s">
        <v>11664</v>
      </c>
      <c r="F2006" s="8" t="s">
        <v>11081</v>
      </c>
      <c r="G2006" s="7">
        <v>120</v>
      </c>
      <c r="H2006" s="7" t="s">
        <v>9036</v>
      </c>
      <c r="I2006" s="7">
        <v>1</v>
      </c>
      <c r="J2006" s="7" t="s">
        <v>11076</v>
      </c>
      <c r="K2006" s="9" t="s">
        <v>8987</v>
      </c>
    </row>
    <row r="2007" spans="1:11">
      <c r="A2007" s="7">
        <v>2005</v>
      </c>
      <c r="B2007" s="7" t="s">
        <v>11164</v>
      </c>
      <c r="C2007" s="7" t="s">
        <v>8984</v>
      </c>
      <c r="D2007" s="7" t="s">
        <v>7577</v>
      </c>
      <c r="E2007" s="7" t="s">
        <v>11665</v>
      </c>
      <c r="F2007" s="8" t="s">
        <v>11081</v>
      </c>
      <c r="G2007" s="7">
        <v>120</v>
      </c>
      <c r="H2007" s="7" t="s">
        <v>9036</v>
      </c>
      <c r="I2007" s="7">
        <v>1</v>
      </c>
      <c r="J2007" s="7" t="s">
        <v>11076</v>
      </c>
      <c r="K2007" s="9" t="s">
        <v>8987</v>
      </c>
    </row>
    <row r="2008" spans="1:11">
      <c r="A2008" s="7">
        <v>2006</v>
      </c>
      <c r="B2008" s="7" t="s">
        <v>11164</v>
      </c>
      <c r="C2008" s="7" t="s">
        <v>8984</v>
      </c>
      <c r="D2008" s="7" t="s">
        <v>7577</v>
      </c>
      <c r="E2008" s="7" t="s">
        <v>11666</v>
      </c>
      <c r="F2008" s="8" t="s">
        <v>11081</v>
      </c>
      <c r="G2008" s="7">
        <v>120</v>
      </c>
      <c r="H2008" s="7" t="s">
        <v>9036</v>
      </c>
      <c r="I2008" s="7">
        <v>1</v>
      </c>
      <c r="J2008" s="7" t="s">
        <v>11076</v>
      </c>
      <c r="K2008" s="9" t="s">
        <v>8987</v>
      </c>
    </row>
    <row r="2009" spans="1:11">
      <c r="A2009" s="7">
        <v>2007</v>
      </c>
      <c r="B2009" s="7" t="s">
        <v>11164</v>
      </c>
      <c r="C2009" s="7" t="s">
        <v>8984</v>
      </c>
      <c r="D2009" s="7" t="s">
        <v>7577</v>
      </c>
      <c r="E2009" s="7" t="s">
        <v>11667</v>
      </c>
      <c r="F2009" s="8" t="s">
        <v>11116</v>
      </c>
      <c r="G2009" s="7">
        <v>100</v>
      </c>
      <c r="H2009" s="7" t="s">
        <v>9046</v>
      </c>
      <c r="I2009" s="7">
        <v>1</v>
      </c>
      <c r="J2009" s="7" t="s">
        <v>7878</v>
      </c>
      <c r="K2009" s="9" t="s">
        <v>8987</v>
      </c>
    </row>
    <row r="2010" spans="1:11">
      <c r="A2010" s="7">
        <v>2008</v>
      </c>
      <c r="B2010" s="7" t="s">
        <v>11164</v>
      </c>
      <c r="C2010" s="7" t="s">
        <v>8984</v>
      </c>
      <c r="D2010" s="7" t="s">
        <v>7577</v>
      </c>
      <c r="E2010" s="7" t="s">
        <v>11668</v>
      </c>
      <c r="F2010" s="8" t="s">
        <v>11116</v>
      </c>
      <c r="G2010" s="7">
        <v>100</v>
      </c>
      <c r="H2010" s="7" t="s">
        <v>9046</v>
      </c>
      <c r="I2010" s="7">
        <v>1</v>
      </c>
      <c r="J2010" s="7" t="s">
        <v>7878</v>
      </c>
      <c r="K2010" s="9" t="s">
        <v>8987</v>
      </c>
    </row>
    <row r="2011" spans="1:11">
      <c r="A2011" s="7">
        <v>2009</v>
      </c>
      <c r="B2011" s="7" t="s">
        <v>11164</v>
      </c>
      <c r="C2011" s="7" t="s">
        <v>8984</v>
      </c>
      <c r="D2011" s="7" t="s">
        <v>7577</v>
      </c>
      <c r="E2011" s="7" t="s">
        <v>11669</v>
      </c>
      <c r="F2011" s="8" t="s">
        <v>11116</v>
      </c>
      <c r="G2011" s="7">
        <v>100</v>
      </c>
      <c r="H2011" s="7" t="s">
        <v>9046</v>
      </c>
      <c r="I2011" s="7">
        <v>1</v>
      </c>
      <c r="J2011" s="7" t="s">
        <v>7878</v>
      </c>
      <c r="K2011" s="9" t="s">
        <v>8987</v>
      </c>
    </row>
    <row r="2012" spans="1:11">
      <c r="A2012" s="7">
        <v>2010</v>
      </c>
      <c r="B2012" s="7" t="s">
        <v>11164</v>
      </c>
      <c r="C2012" s="7" t="s">
        <v>8984</v>
      </c>
      <c r="D2012" s="7" t="s">
        <v>7577</v>
      </c>
      <c r="E2012" s="7" t="s">
        <v>11670</v>
      </c>
      <c r="F2012" s="8" t="s">
        <v>11116</v>
      </c>
      <c r="G2012" s="7">
        <v>100</v>
      </c>
      <c r="H2012" s="7" t="s">
        <v>9046</v>
      </c>
      <c r="I2012" s="7">
        <v>1</v>
      </c>
      <c r="J2012" s="7" t="s">
        <v>7878</v>
      </c>
      <c r="K2012" s="9" t="s">
        <v>8987</v>
      </c>
    </row>
    <row r="2013" spans="1:11">
      <c r="A2013" s="7">
        <v>2011</v>
      </c>
      <c r="B2013" s="7" t="s">
        <v>11164</v>
      </c>
      <c r="C2013" s="7" t="s">
        <v>8984</v>
      </c>
      <c r="D2013" s="7" t="s">
        <v>7577</v>
      </c>
      <c r="E2013" s="7" t="s">
        <v>11671</v>
      </c>
      <c r="F2013" s="8" t="s">
        <v>11116</v>
      </c>
      <c r="G2013" s="7">
        <v>100</v>
      </c>
      <c r="H2013" s="7" t="s">
        <v>9046</v>
      </c>
      <c r="I2013" s="7">
        <v>1</v>
      </c>
      <c r="J2013" s="7" t="s">
        <v>7878</v>
      </c>
      <c r="K2013" s="9" t="s">
        <v>8987</v>
      </c>
    </row>
    <row r="2014" spans="1:11">
      <c r="A2014" s="7">
        <v>2012</v>
      </c>
      <c r="B2014" s="7" t="s">
        <v>11164</v>
      </c>
      <c r="C2014" s="7" t="s">
        <v>8984</v>
      </c>
      <c r="D2014" s="7" t="s">
        <v>7577</v>
      </c>
      <c r="E2014" s="7" t="s">
        <v>11672</v>
      </c>
      <c r="F2014" s="8" t="s">
        <v>11116</v>
      </c>
      <c r="G2014" s="7">
        <v>100</v>
      </c>
      <c r="H2014" s="7" t="s">
        <v>9046</v>
      </c>
      <c r="I2014" s="7">
        <v>1</v>
      </c>
      <c r="J2014" s="7" t="s">
        <v>7878</v>
      </c>
      <c r="K2014" s="9" t="s">
        <v>8987</v>
      </c>
    </row>
    <row r="2015" spans="1:11">
      <c r="A2015" s="7">
        <v>2013</v>
      </c>
      <c r="B2015" s="7" t="s">
        <v>11164</v>
      </c>
      <c r="C2015" s="7" t="s">
        <v>8984</v>
      </c>
      <c r="D2015" s="7" t="s">
        <v>7577</v>
      </c>
      <c r="E2015" s="7" t="s">
        <v>11673</v>
      </c>
      <c r="F2015" s="8" t="s">
        <v>11116</v>
      </c>
      <c r="G2015" s="7">
        <v>100</v>
      </c>
      <c r="H2015" s="7" t="s">
        <v>9046</v>
      </c>
      <c r="I2015" s="7">
        <v>1</v>
      </c>
      <c r="J2015" s="7" t="s">
        <v>7878</v>
      </c>
      <c r="K2015" s="9" t="s">
        <v>8987</v>
      </c>
    </row>
    <row r="2016" spans="1:11">
      <c r="A2016" s="7">
        <v>2014</v>
      </c>
      <c r="B2016" s="7" t="s">
        <v>11164</v>
      </c>
      <c r="C2016" s="7" t="s">
        <v>8984</v>
      </c>
      <c r="D2016" s="7" t="s">
        <v>7577</v>
      </c>
      <c r="E2016" s="7" t="s">
        <v>11674</v>
      </c>
      <c r="F2016" s="8" t="s">
        <v>11116</v>
      </c>
      <c r="G2016" s="7">
        <v>100</v>
      </c>
      <c r="H2016" s="7" t="s">
        <v>9046</v>
      </c>
      <c r="I2016" s="7">
        <v>1</v>
      </c>
      <c r="J2016" s="7" t="s">
        <v>7878</v>
      </c>
      <c r="K2016" s="9" t="s">
        <v>8987</v>
      </c>
    </row>
    <row r="2017" spans="1:11">
      <c r="A2017" s="7">
        <v>2015</v>
      </c>
      <c r="B2017" s="7" t="s">
        <v>11164</v>
      </c>
      <c r="C2017" s="7" t="s">
        <v>8984</v>
      </c>
      <c r="D2017" s="7" t="s">
        <v>7577</v>
      </c>
      <c r="E2017" s="7" t="s">
        <v>11675</v>
      </c>
      <c r="F2017" s="8" t="s">
        <v>11116</v>
      </c>
      <c r="G2017" s="7">
        <v>100</v>
      </c>
      <c r="H2017" s="7" t="s">
        <v>9046</v>
      </c>
      <c r="I2017" s="7">
        <v>1</v>
      </c>
      <c r="J2017" s="7" t="s">
        <v>7878</v>
      </c>
      <c r="K2017" s="9" t="s">
        <v>8987</v>
      </c>
    </row>
    <row r="2018" spans="1:11">
      <c r="A2018" s="7">
        <v>2016</v>
      </c>
      <c r="B2018" s="7" t="s">
        <v>11164</v>
      </c>
      <c r="C2018" s="7" t="s">
        <v>8984</v>
      </c>
      <c r="D2018" s="7" t="s">
        <v>7577</v>
      </c>
      <c r="E2018" s="7" t="s">
        <v>11676</v>
      </c>
      <c r="F2018" s="8" t="s">
        <v>11116</v>
      </c>
      <c r="G2018" s="7">
        <v>100</v>
      </c>
      <c r="H2018" s="7" t="s">
        <v>9046</v>
      </c>
      <c r="I2018" s="7">
        <v>1</v>
      </c>
      <c r="J2018" s="7" t="s">
        <v>7878</v>
      </c>
      <c r="K2018" s="9" t="s">
        <v>8987</v>
      </c>
    </row>
    <row r="2019" spans="1:11">
      <c r="A2019" s="7">
        <v>2017</v>
      </c>
      <c r="B2019" s="7" t="s">
        <v>11164</v>
      </c>
      <c r="C2019" s="7" t="s">
        <v>8984</v>
      </c>
      <c r="D2019" s="7" t="s">
        <v>7577</v>
      </c>
      <c r="E2019" s="7" t="s">
        <v>11677</v>
      </c>
      <c r="F2019" s="8" t="s">
        <v>11116</v>
      </c>
      <c r="G2019" s="7">
        <v>100</v>
      </c>
      <c r="H2019" s="7" t="s">
        <v>9046</v>
      </c>
      <c r="I2019" s="7">
        <v>1</v>
      </c>
      <c r="J2019" s="7" t="s">
        <v>7878</v>
      </c>
      <c r="K2019" s="9" t="s">
        <v>8987</v>
      </c>
    </row>
    <row r="2020" spans="1:11">
      <c r="A2020" s="7">
        <v>2018</v>
      </c>
      <c r="B2020" s="7" t="s">
        <v>11164</v>
      </c>
      <c r="C2020" s="7" t="s">
        <v>8984</v>
      </c>
      <c r="D2020" s="7" t="s">
        <v>7577</v>
      </c>
      <c r="E2020" s="7" t="s">
        <v>11678</v>
      </c>
      <c r="F2020" s="8" t="s">
        <v>11116</v>
      </c>
      <c r="G2020" s="7">
        <v>100</v>
      </c>
      <c r="H2020" s="7" t="s">
        <v>9046</v>
      </c>
      <c r="I2020" s="7">
        <v>1</v>
      </c>
      <c r="J2020" s="7" t="s">
        <v>7878</v>
      </c>
      <c r="K2020" s="9" t="s">
        <v>8987</v>
      </c>
    </row>
    <row r="2021" spans="1:11">
      <c r="A2021" s="7">
        <v>2019</v>
      </c>
      <c r="B2021" s="7" t="s">
        <v>11164</v>
      </c>
      <c r="C2021" s="7" t="s">
        <v>8984</v>
      </c>
      <c r="D2021" s="7" t="s">
        <v>7577</v>
      </c>
      <c r="E2021" s="7" t="s">
        <v>11679</v>
      </c>
      <c r="F2021" s="8" t="s">
        <v>11116</v>
      </c>
      <c r="G2021" s="7">
        <v>100</v>
      </c>
      <c r="H2021" s="7" t="s">
        <v>9046</v>
      </c>
      <c r="I2021" s="7">
        <v>1</v>
      </c>
      <c r="J2021" s="7" t="s">
        <v>7878</v>
      </c>
      <c r="K2021" s="9" t="s">
        <v>8987</v>
      </c>
    </row>
    <row r="2022" spans="1:11">
      <c r="A2022" s="7">
        <v>2020</v>
      </c>
      <c r="B2022" s="7" t="s">
        <v>11164</v>
      </c>
      <c r="C2022" s="7" t="s">
        <v>8984</v>
      </c>
      <c r="D2022" s="7" t="s">
        <v>7577</v>
      </c>
      <c r="E2022" s="7" t="s">
        <v>11680</v>
      </c>
      <c r="F2022" s="8" t="s">
        <v>11116</v>
      </c>
      <c r="G2022" s="7">
        <v>100</v>
      </c>
      <c r="H2022" s="7" t="s">
        <v>9046</v>
      </c>
      <c r="I2022" s="7">
        <v>1</v>
      </c>
      <c r="J2022" s="7" t="s">
        <v>7878</v>
      </c>
      <c r="K2022" s="9" t="s">
        <v>8987</v>
      </c>
    </row>
    <row r="2023" spans="1:11">
      <c r="A2023" s="7">
        <v>2021</v>
      </c>
      <c r="B2023" s="7" t="s">
        <v>11164</v>
      </c>
      <c r="C2023" s="7" t="s">
        <v>8984</v>
      </c>
      <c r="D2023" s="7" t="s">
        <v>7577</v>
      </c>
      <c r="E2023" s="7" t="s">
        <v>11681</v>
      </c>
      <c r="F2023" s="8" t="s">
        <v>11116</v>
      </c>
      <c r="G2023" s="7">
        <v>100</v>
      </c>
      <c r="H2023" s="7" t="s">
        <v>9046</v>
      </c>
      <c r="I2023" s="7">
        <v>1</v>
      </c>
      <c r="J2023" s="7" t="s">
        <v>7878</v>
      </c>
      <c r="K2023" s="9" t="s">
        <v>8987</v>
      </c>
    </row>
    <row r="2024" spans="1:11">
      <c r="A2024" s="7">
        <v>2022</v>
      </c>
      <c r="B2024" s="7" t="s">
        <v>11164</v>
      </c>
      <c r="C2024" s="7" t="s">
        <v>8984</v>
      </c>
      <c r="D2024" s="7" t="s">
        <v>7577</v>
      </c>
      <c r="E2024" s="7" t="s">
        <v>11682</v>
      </c>
      <c r="F2024" s="8" t="s">
        <v>11116</v>
      </c>
      <c r="G2024" s="7">
        <v>100</v>
      </c>
      <c r="H2024" s="7" t="s">
        <v>9046</v>
      </c>
      <c r="I2024" s="7">
        <v>1</v>
      </c>
      <c r="J2024" s="7" t="s">
        <v>7878</v>
      </c>
      <c r="K2024" s="9" t="s">
        <v>8987</v>
      </c>
    </row>
    <row r="2025" spans="1:11">
      <c r="A2025" s="7">
        <v>2023</v>
      </c>
      <c r="B2025" s="7" t="s">
        <v>11164</v>
      </c>
      <c r="C2025" s="7" t="s">
        <v>8984</v>
      </c>
      <c r="D2025" s="7" t="s">
        <v>7577</v>
      </c>
      <c r="E2025" s="7" t="s">
        <v>11683</v>
      </c>
      <c r="F2025" s="8" t="s">
        <v>11116</v>
      </c>
      <c r="G2025" s="7">
        <v>100</v>
      </c>
      <c r="H2025" s="7" t="s">
        <v>9046</v>
      </c>
      <c r="I2025" s="7">
        <v>1</v>
      </c>
      <c r="J2025" s="7" t="s">
        <v>7878</v>
      </c>
      <c r="K2025" s="9" t="s">
        <v>8987</v>
      </c>
    </row>
    <row r="2026" spans="1:11">
      <c r="A2026" s="7">
        <v>2024</v>
      </c>
      <c r="B2026" s="7" t="s">
        <v>11164</v>
      </c>
      <c r="C2026" s="7" t="s">
        <v>8984</v>
      </c>
      <c r="D2026" s="7" t="s">
        <v>7577</v>
      </c>
      <c r="E2026" s="7" t="s">
        <v>11684</v>
      </c>
      <c r="F2026" s="8" t="s">
        <v>11116</v>
      </c>
      <c r="G2026" s="7">
        <v>100</v>
      </c>
      <c r="H2026" s="7" t="s">
        <v>9046</v>
      </c>
      <c r="I2026" s="7">
        <v>1</v>
      </c>
      <c r="J2026" s="7" t="s">
        <v>7878</v>
      </c>
      <c r="K2026" s="9" t="s">
        <v>8987</v>
      </c>
    </row>
    <row r="2027" spans="1:11">
      <c r="A2027" s="7">
        <v>2025</v>
      </c>
      <c r="B2027" s="7" t="s">
        <v>11164</v>
      </c>
      <c r="C2027" s="7" t="s">
        <v>8984</v>
      </c>
      <c r="D2027" s="7" t="s">
        <v>7577</v>
      </c>
      <c r="E2027" s="7" t="s">
        <v>11685</v>
      </c>
      <c r="F2027" s="8" t="s">
        <v>11116</v>
      </c>
      <c r="G2027" s="7">
        <v>100</v>
      </c>
      <c r="H2027" s="7" t="s">
        <v>9046</v>
      </c>
      <c r="I2027" s="7">
        <v>1</v>
      </c>
      <c r="J2027" s="7" t="s">
        <v>7878</v>
      </c>
      <c r="K2027" s="9" t="s">
        <v>8987</v>
      </c>
    </row>
    <row r="2028" spans="1:11">
      <c r="A2028" s="7">
        <v>2026</v>
      </c>
      <c r="B2028" s="7" t="s">
        <v>11164</v>
      </c>
      <c r="C2028" s="7" t="s">
        <v>8984</v>
      </c>
      <c r="D2028" s="7" t="s">
        <v>7577</v>
      </c>
      <c r="E2028" s="7" t="s">
        <v>11686</v>
      </c>
      <c r="F2028" s="8" t="s">
        <v>11116</v>
      </c>
      <c r="G2028" s="7">
        <v>100</v>
      </c>
      <c r="H2028" s="7" t="s">
        <v>9046</v>
      </c>
      <c r="I2028" s="7">
        <v>1</v>
      </c>
      <c r="J2028" s="7" t="s">
        <v>7878</v>
      </c>
      <c r="K2028" s="9" t="s">
        <v>8987</v>
      </c>
    </row>
    <row r="2029" spans="1:11">
      <c r="A2029" s="7">
        <v>2027</v>
      </c>
      <c r="B2029" s="7" t="s">
        <v>11164</v>
      </c>
      <c r="C2029" s="7" t="s">
        <v>8984</v>
      </c>
      <c r="D2029" s="7" t="s">
        <v>7577</v>
      </c>
      <c r="E2029" s="7" t="s">
        <v>11687</v>
      </c>
      <c r="F2029" s="8" t="s">
        <v>11116</v>
      </c>
      <c r="G2029" s="7">
        <v>100</v>
      </c>
      <c r="H2029" s="7" t="s">
        <v>9046</v>
      </c>
      <c r="I2029" s="7">
        <v>1</v>
      </c>
      <c r="J2029" s="7" t="s">
        <v>7878</v>
      </c>
      <c r="K2029" s="9" t="s">
        <v>8987</v>
      </c>
    </row>
    <row r="2030" spans="1:11">
      <c r="A2030" s="7">
        <v>2028</v>
      </c>
      <c r="B2030" s="7" t="s">
        <v>11164</v>
      </c>
      <c r="C2030" s="7" t="s">
        <v>8984</v>
      </c>
      <c r="D2030" s="7" t="s">
        <v>7577</v>
      </c>
      <c r="E2030" s="7" t="s">
        <v>11688</v>
      </c>
      <c r="F2030" s="8" t="s">
        <v>11116</v>
      </c>
      <c r="G2030" s="7">
        <v>100</v>
      </c>
      <c r="H2030" s="7" t="s">
        <v>9046</v>
      </c>
      <c r="I2030" s="7">
        <v>1</v>
      </c>
      <c r="J2030" s="7" t="s">
        <v>7878</v>
      </c>
      <c r="K2030" s="9" t="s">
        <v>8987</v>
      </c>
    </row>
    <row r="2031" spans="1:11">
      <c r="A2031" s="7">
        <v>2029</v>
      </c>
      <c r="B2031" s="7" t="s">
        <v>11164</v>
      </c>
      <c r="C2031" s="7" t="s">
        <v>8984</v>
      </c>
      <c r="D2031" s="7" t="s">
        <v>7577</v>
      </c>
      <c r="E2031" s="7" t="s">
        <v>11689</v>
      </c>
      <c r="F2031" s="8" t="s">
        <v>11116</v>
      </c>
      <c r="G2031" s="7">
        <v>100</v>
      </c>
      <c r="H2031" s="7" t="s">
        <v>9046</v>
      </c>
      <c r="I2031" s="7">
        <v>1</v>
      </c>
      <c r="J2031" s="7" t="s">
        <v>7878</v>
      </c>
      <c r="K2031" s="9" t="s">
        <v>8987</v>
      </c>
    </row>
    <row r="2032" spans="1:11">
      <c r="A2032" s="7">
        <v>2030</v>
      </c>
      <c r="B2032" s="7" t="s">
        <v>11164</v>
      </c>
      <c r="C2032" s="7" t="s">
        <v>8984</v>
      </c>
      <c r="D2032" s="7" t="s">
        <v>7577</v>
      </c>
      <c r="E2032" s="7" t="s">
        <v>11690</v>
      </c>
      <c r="F2032" s="8" t="s">
        <v>11116</v>
      </c>
      <c r="G2032" s="7">
        <v>100</v>
      </c>
      <c r="H2032" s="7" t="s">
        <v>9046</v>
      </c>
      <c r="I2032" s="7">
        <v>1</v>
      </c>
      <c r="J2032" s="7" t="s">
        <v>7878</v>
      </c>
      <c r="K2032" s="9" t="s">
        <v>8987</v>
      </c>
    </row>
    <row r="2033" spans="1:11">
      <c r="A2033" s="7">
        <v>2031</v>
      </c>
      <c r="B2033" s="7" t="s">
        <v>11164</v>
      </c>
      <c r="C2033" s="7" t="s">
        <v>8984</v>
      </c>
      <c r="D2033" s="7" t="s">
        <v>7577</v>
      </c>
      <c r="E2033" s="7" t="s">
        <v>11691</v>
      </c>
      <c r="F2033" s="8" t="s">
        <v>11116</v>
      </c>
      <c r="G2033" s="7">
        <v>100</v>
      </c>
      <c r="H2033" s="7" t="s">
        <v>9046</v>
      </c>
      <c r="I2033" s="7">
        <v>1</v>
      </c>
      <c r="J2033" s="7" t="s">
        <v>7878</v>
      </c>
      <c r="K2033" s="9" t="s">
        <v>8987</v>
      </c>
    </row>
    <row r="2034" spans="1:11">
      <c r="A2034" s="7">
        <v>2032</v>
      </c>
      <c r="B2034" s="7" t="s">
        <v>11164</v>
      </c>
      <c r="C2034" s="7" t="s">
        <v>8984</v>
      </c>
      <c r="D2034" s="7" t="s">
        <v>7577</v>
      </c>
      <c r="E2034" s="7" t="s">
        <v>11692</v>
      </c>
      <c r="F2034" s="8" t="s">
        <v>11116</v>
      </c>
      <c r="G2034" s="7">
        <v>100</v>
      </c>
      <c r="H2034" s="7" t="s">
        <v>9046</v>
      </c>
      <c r="I2034" s="7">
        <v>1</v>
      </c>
      <c r="J2034" s="7" t="s">
        <v>7878</v>
      </c>
      <c r="K2034" s="9" t="s">
        <v>8987</v>
      </c>
    </row>
    <row r="2035" spans="1:11">
      <c r="A2035" s="7">
        <v>2033</v>
      </c>
      <c r="B2035" s="7" t="s">
        <v>11164</v>
      </c>
      <c r="C2035" s="7" t="s">
        <v>8984</v>
      </c>
      <c r="D2035" s="7" t="s">
        <v>7577</v>
      </c>
      <c r="E2035" s="7" t="s">
        <v>11693</v>
      </c>
      <c r="F2035" s="8" t="s">
        <v>11116</v>
      </c>
      <c r="G2035" s="7">
        <v>100</v>
      </c>
      <c r="H2035" s="7" t="s">
        <v>9046</v>
      </c>
      <c r="I2035" s="7">
        <v>1</v>
      </c>
      <c r="J2035" s="7" t="s">
        <v>7878</v>
      </c>
      <c r="K2035" s="9" t="s">
        <v>8987</v>
      </c>
    </row>
    <row r="2036" spans="1:11">
      <c r="A2036" s="7">
        <v>2034</v>
      </c>
      <c r="B2036" s="7" t="s">
        <v>11164</v>
      </c>
      <c r="C2036" s="7" t="s">
        <v>8984</v>
      </c>
      <c r="D2036" s="7" t="s">
        <v>7577</v>
      </c>
      <c r="E2036" s="7" t="s">
        <v>11694</v>
      </c>
      <c r="F2036" s="8" t="s">
        <v>11116</v>
      </c>
      <c r="G2036" s="7">
        <v>100</v>
      </c>
      <c r="H2036" s="7" t="s">
        <v>9046</v>
      </c>
      <c r="I2036" s="7">
        <v>1</v>
      </c>
      <c r="J2036" s="7" t="s">
        <v>7878</v>
      </c>
      <c r="K2036" s="9" t="s">
        <v>8987</v>
      </c>
    </row>
    <row r="2037" spans="1:11">
      <c r="A2037" s="7">
        <v>2035</v>
      </c>
      <c r="B2037" s="7" t="s">
        <v>11164</v>
      </c>
      <c r="C2037" s="7" t="s">
        <v>8984</v>
      </c>
      <c r="D2037" s="7" t="s">
        <v>7577</v>
      </c>
      <c r="E2037" s="7" t="s">
        <v>11695</v>
      </c>
      <c r="F2037" s="8" t="s">
        <v>11116</v>
      </c>
      <c r="G2037" s="7">
        <v>100</v>
      </c>
      <c r="H2037" s="7" t="s">
        <v>9046</v>
      </c>
      <c r="I2037" s="7">
        <v>1</v>
      </c>
      <c r="J2037" s="7" t="s">
        <v>7878</v>
      </c>
      <c r="K2037" s="9" t="s">
        <v>8987</v>
      </c>
    </row>
    <row r="2038" spans="1:11">
      <c r="A2038" s="7">
        <v>2036</v>
      </c>
      <c r="B2038" s="7" t="s">
        <v>11164</v>
      </c>
      <c r="C2038" s="7" t="s">
        <v>8984</v>
      </c>
      <c r="D2038" s="7" t="s">
        <v>7577</v>
      </c>
      <c r="E2038" s="7" t="s">
        <v>11696</v>
      </c>
      <c r="F2038" s="8" t="s">
        <v>11116</v>
      </c>
      <c r="G2038" s="7">
        <v>100</v>
      </c>
      <c r="H2038" s="7" t="s">
        <v>9046</v>
      </c>
      <c r="I2038" s="7">
        <v>1</v>
      </c>
      <c r="J2038" s="7" t="s">
        <v>7878</v>
      </c>
      <c r="K2038" s="9" t="s">
        <v>8987</v>
      </c>
    </row>
    <row r="2039" spans="1:11">
      <c r="A2039" s="7">
        <v>2037</v>
      </c>
      <c r="B2039" s="7" t="s">
        <v>11164</v>
      </c>
      <c r="C2039" s="7" t="s">
        <v>8984</v>
      </c>
      <c r="D2039" s="7" t="s">
        <v>7577</v>
      </c>
      <c r="E2039" s="7" t="s">
        <v>11697</v>
      </c>
      <c r="F2039" s="8" t="s">
        <v>11116</v>
      </c>
      <c r="G2039" s="7">
        <v>100</v>
      </c>
      <c r="H2039" s="7" t="s">
        <v>9046</v>
      </c>
      <c r="I2039" s="7">
        <v>1</v>
      </c>
      <c r="J2039" s="7" t="s">
        <v>7878</v>
      </c>
      <c r="K2039" s="9" t="s">
        <v>8987</v>
      </c>
    </row>
    <row r="2040" spans="1:11">
      <c r="A2040" s="7">
        <v>2038</v>
      </c>
      <c r="B2040" s="7" t="s">
        <v>11164</v>
      </c>
      <c r="C2040" s="7" t="s">
        <v>8984</v>
      </c>
      <c r="D2040" s="7" t="s">
        <v>7577</v>
      </c>
      <c r="E2040" s="7" t="s">
        <v>11698</v>
      </c>
      <c r="F2040" s="8" t="s">
        <v>11116</v>
      </c>
      <c r="G2040" s="7">
        <v>100</v>
      </c>
      <c r="H2040" s="7" t="s">
        <v>9046</v>
      </c>
      <c r="I2040" s="7">
        <v>1</v>
      </c>
      <c r="J2040" s="7" t="s">
        <v>7878</v>
      </c>
      <c r="K2040" s="9" t="s">
        <v>8987</v>
      </c>
    </row>
    <row r="2041" spans="1:11">
      <c r="A2041" s="7">
        <v>2039</v>
      </c>
      <c r="B2041" s="7" t="s">
        <v>11164</v>
      </c>
      <c r="C2041" s="7" t="s">
        <v>8984</v>
      </c>
      <c r="D2041" s="7" t="s">
        <v>7577</v>
      </c>
      <c r="E2041" s="7" t="s">
        <v>11699</v>
      </c>
      <c r="F2041" s="8" t="s">
        <v>11141</v>
      </c>
      <c r="G2041" s="7">
        <v>1</v>
      </c>
      <c r="H2041" s="7" t="s">
        <v>9112</v>
      </c>
      <c r="I2041" s="7">
        <v>1</v>
      </c>
      <c r="J2041" s="7" t="s">
        <v>9113</v>
      </c>
      <c r="K2041" s="9" t="s">
        <v>8987</v>
      </c>
    </row>
    <row r="2042" spans="1:11">
      <c r="A2042" s="7">
        <v>2040</v>
      </c>
      <c r="B2042" s="7" t="s">
        <v>11164</v>
      </c>
      <c r="C2042" s="7" t="s">
        <v>8984</v>
      </c>
      <c r="D2042" s="7" t="s">
        <v>7577</v>
      </c>
      <c r="E2042" s="7" t="s">
        <v>11700</v>
      </c>
      <c r="F2042" s="8" t="s">
        <v>11141</v>
      </c>
      <c r="G2042" s="7">
        <v>1</v>
      </c>
      <c r="H2042" s="7" t="s">
        <v>9112</v>
      </c>
      <c r="I2042" s="7">
        <v>1</v>
      </c>
      <c r="J2042" s="7" t="s">
        <v>9113</v>
      </c>
      <c r="K2042" s="9" t="s">
        <v>8987</v>
      </c>
    </row>
    <row r="2043" spans="1:11">
      <c r="A2043" s="7">
        <v>2041</v>
      </c>
      <c r="B2043" s="7" t="s">
        <v>11164</v>
      </c>
      <c r="C2043" s="7" t="s">
        <v>8984</v>
      </c>
      <c r="D2043" s="7" t="s">
        <v>7577</v>
      </c>
      <c r="E2043" s="7" t="s">
        <v>11701</v>
      </c>
      <c r="F2043" s="8" t="s">
        <v>11141</v>
      </c>
      <c r="G2043" s="7">
        <v>1</v>
      </c>
      <c r="H2043" s="7" t="s">
        <v>9112</v>
      </c>
      <c r="I2043" s="7">
        <v>1</v>
      </c>
      <c r="J2043" s="7" t="s">
        <v>9113</v>
      </c>
      <c r="K2043" s="9" t="s">
        <v>8987</v>
      </c>
    </row>
    <row r="2044" spans="1:11">
      <c r="A2044" s="7">
        <v>2042</v>
      </c>
      <c r="B2044" s="7" t="s">
        <v>11164</v>
      </c>
      <c r="C2044" s="7" t="s">
        <v>8984</v>
      </c>
      <c r="D2044" s="7" t="s">
        <v>7577</v>
      </c>
      <c r="E2044" s="7" t="s">
        <v>5350</v>
      </c>
      <c r="F2044" s="8" t="s">
        <v>11141</v>
      </c>
      <c r="G2044" s="7">
        <v>1</v>
      </c>
      <c r="H2044" s="7" t="s">
        <v>9112</v>
      </c>
      <c r="I2044" s="7">
        <v>1</v>
      </c>
      <c r="J2044" s="7" t="s">
        <v>9113</v>
      </c>
      <c r="K2044" s="9" t="s">
        <v>8987</v>
      </c>
    </row>
    <row r="2045" spans="1:11">
      <c r="A2045" s="7">
        <v>2043</v>
      </c>
      <c r="B2045" s="7" t="s">
        <v>11164</v>
      </c>
      <c r="C2045" s="7" t="s">
        <v>8984</v>
      </c>
      <c r="D2045" s="7" t="s">
        <v>7577</v>
      </c>
      <c r="E2045" s="7" t="s">
        <v>11702</v>
      </c>
      <c r="F2045" s="8" t="s">
        <v>11141</v>
      </c>
      <c r="G2045" s="7">
        <v>1</v>
      </c>
      <c r="H2045" s="7" t="s">
        <v>9112</v>
      </c>
      <c r="I2045" s="7">
        <v>1</v>
      </c>
      <c r="J2045" s="7" t="s">
        <v>9113</v>
      </c>
      <c r="K2045" s="9" t="s">
        <v>8987</v>
      </c>
    </row>
    <row r="2046" spans="1:11">
      <c r="A2046" s="7">
        <v>2044</v>
      </c>
      <c r="B2046" s="7" t="s">
        <v>11164</v>
      </c>
      <c r="C2046" s="7" t="s">
        <v>8984</v>
      </c>
      <c r="D2046" s="7" t="s">
        <v>7577</v>
      </c>
      <c r="E2046" s="7" t="s">
        <v>11703</v>
      </c>
      <c r="F2046" s="8" t="s">
        <v>11141</v>
      </c>
      <c r="G2046" s="7">
        <v>1</v>
      </c>
      <c r="H2046" s="7" t="s">
        <v>9112</v>
      </c>
      <c r="I2046" s="7">
        <v>1</v>
      </c>
      <c r="J2046" s="7" t="s">
        <v>9113</v>
      </c>
      <c r="K2046" s="9" t="s">
        <v>8987</v>
      </c>
    </row>
    <row r="2047" spans="1:11">
      <c r="A2047" s="7">
        <v>2045</v>
      </c>
      <c r="B2047" s="7" t="s">
        <v>11164</v>
      </c>
      <c r="C2047" s="7" t="s">
        <v>8984</v>
      </c>
      <c r="D2047" s="7" t="s">
        <v>7577</v>
      </c>
      <c r="E2047" s="7" t="s">
        <v>11704</v>
      </c>
      <c r="F2047" s="8" t="s">
        <v>11141</v>
      </c>
      <c r="G2047" s="7">
        <v>1</v>
      </c>
      <c r="H2047" s="7" t="s">
        <v>9112</v>
      </c>
      <c r="I2047" s="7">
        <v>1</v>
      </c>
      <c r="J2047" s="7" t="s">
        <v>9113</v>
      </c>
      <c r="K2047" s="9" t="s">
        <v>8987</v>
      </c>
    </row>
    <row r="2048" spans="1:11">
      <c r="A2048" s="7">
        <v>2046</v>
      </c>
      <c r="B2048" s="7" t="s">
        <v>11164</v>
      </c>
      <c r="C2048" s="7" t="s">
        <v>8984</v>
      </c>
      <c r="D2048" s="7" t="s">
        <v>7577</v>
      </c>
      <c r="E2048" s="7" t="s">
        <v>11705</v>
      </c>
      <c r="F2048" s="8" t="s">
        <v>11141</v>
      </c>
      <c r="G2048" s="7">
        <v>1</v>
      </c>
      <c r="H2048" s="7" t="s">
        <v>9112</v>
      </c>
      <c r="I2048" s="7">
        <v>1</v>
      </c>
      <c r="J2048" s="7" t="s">
        <v>9113</v>
      </c>
      <c r="K2048" s="9" t="s">
        <v>8987</v>
      </c>
    </row>
    <row r="2049" spans="1:11">
      <c r="A2049" s="7">
        <v>2047</v>
      </c>
      <c r="B2049" s="7" t="s">
        <v>11164</v>
      </c>
      <c r="C2049" s="7" t="s">
        <v>8984</v>
      </c>
      <c r="D2049" s="7" t="s">
        <v>7577</v>
      </c>
      <c r="E2049" s="7" t="s">
        <v>11706</v>
      </c>
      <c r="F2049" s="8" t="s">
        <v>11141</v>
      </c>
      <c r="G2049" s="7">
        <v>1</v>
      </c>
      <c r="H2049" s="7" t="s">
        <v>9112</v>
      </c>
      <c r="I2049" s="7">
        <v>1</v>
      </c>
      <c r="J2049" s="7" t="s">
        <v>9113</v>
      </c>
      <c r="K2049" s="9" t="s">
        <v>8987</v>
      </c>
    </row>
    <row r="2050" spans="1:11">
      <c r="A2050" s="7">
        <v>2048</v>
      </c>
      <c r="B2050" s="7" t="s">
        <v>11164</v>
      </c>
      <c r="C2050" s="7" t="s">
        <v>8984</v>
      </c>
      <c r="D2050" s="7" t="s">
        <v>7577</v>
      </c>
      <c r="E2050" s="7" t="s">
        <v>11707</v>
      </c>
      <c r="F2050" s="8" t="s">
        <v>11141</v>
      </c>
      <c r="G2050" s="7">
        <v>1</v>
      </c>
      <c r="H2050" s="7" t="s">
        <v>9112</v>
      </c>
      <c r="I2050" s="7">
        <v>1</v>
      </c>
      <c r="J2050" s="7" t="s">
        <v>9113</v>
      </c>
      <c r="K2050" s="9" t="s">
        <v>8987</v>
      </c>
    </row>
    <row r="2051" spans="1:11">
      <c r="A2051" s="7">
        <v>2049</v>
      </c>
      <c r="B2051" s="7" t="s">
        <v>11164</v>
      </c>
      <c r="C2051" s="7" t="s">
        <v>8984</v>
      </c>
      <c r="D2051" s="7" t="s">
        <v>7577</v>
      </c>
      <c r="E2051" s="7" t="s">
        <v>11708</v>
      </c>
      <c r="F2051" s="8" t="s">
        <v>11141</v>
      </c>
      <c r="G2051" s="7">
        <v>1</v>
      </c>
      <c r="H2051" s="7" t="s">
        <v>9112</v>
      </c>
      <c r="I2051" s="7">
        <v>1</v>
      </c>
      <c r="J2051" s="7" t="s">
        <v>9113</v>
      </c>
      <c r="K2051" s="9" t="s">
        <v>8987</v>
      </c>
    </row>
    <row r="2052" spans="1:11">
      <c r="A2052" s="7">
        <v>2050</v>
      </c>
      <c r="B2052" s="7" t="s">
        <v>11164</v>
      </c>
      <c r="C2052" s="7" t="s">
        <v>8984</v>
      </c>
      <c r="D2052" s="7" t="s">
        <v>7577</v>
      </c>
      <c r="E2052" s="7" t="s">
        <v>11709</v>
      </c>
      <c r="F2052" s="8" t="s">
        <v>11141</v>
      </c>
      <c r="G2052" s="7">
        <v>1</v>
      </c>
      <c r="H2052" s="7" t="s">
        <v>9112</v>
      </c>
      <c r="I2052" s="7">
        <v>1</v>
      </c>
      <c r="J2052" s="7" t="s">
        <v>9113</v>
      </c>
      <c r="K2052" s="9" t="s">
        <v>8987</v>
      </c>
    </row>
    <row r="2053" spans="1:11">
      <c r="A2053" s="7">
        <v>2051</v>
      </c>
      <c r="B2053" s="7" t="s">
        <v>11164</v>
      </c>
      <c r="C2053" s="7" t="s">
        <v>8984</v>
      </c>
      <c r="D2053" s="7" t="s">
        <v>7577</v>
      </c>
      <c r="E2053" s="7" t="s">
        <v>11710</v>
      </c>
      <c r="F2053" s="8" t="s">
        <v>11141</v>
      </c>
      <c r="G2053" s="7">
        <v>1</v>
      </c>
      <c r="H2053" s="7" t="s">
        <v>9112</v>
      </c>
      <c r="I2053" s="7">
        <v>1</v>
      </c>
      <c r="J2053" s="7" t="s">
        <v>9113</v>
      </c>
      <c r="K2053" s="9" t="s">
        <v>8987</v>
      </c>
    </row>
    <row r="2054" spans="1:11">
      <c r="A2054" s="7">
        <v>2052</v>
      </c>
      <c r="B2054" s="7" t="s">
        <v>9174</v>
      </c>
      <c r="C2054" s="7" t="s">
        <v>8984</v>
      </c>
      <c r="D2054" s="7" t="s">
        <v>7573</v>
      </c>
      <c r="E2054" s="7" t="s">
        <v>11711</v>
      </c>
      <c r="F2054" s="8" t="s">
        <v>10049</v>
      </c>
      <c r="G2054" s="7">
        <v>25</v>
      </c>
      <c r="H2054" s="7" t="s">
        <v>9011</v>
      </c>
      <c r="I2054" s="7">
        <v>1</v>
      </c>
      <c r="J2054" s="7" t="s">
        <v>7840</v>
      </c>
      <c r="K2054" s="9" t="s">
        <v>8987</v>
      </c>
    </row>
    <row r="2055" spans="1:11">
      <c r="A2055" s="7">
        <v>2053</v>
      </c>
      <c r="B2055" s="7" t="s">
        <v>9174</v>
      </c>
      <c r="C2055" s="7" t="s">
        <v>8984</v>
      </c>
      <c r="D2055" s="7" t="s">
        <v>7573</v>
      </c>
      <c r="E2055" s="7" t="s">
        <v>11712</v>
      </c>
      <c r="F2055" s="8" t="s">
        <v>10049</v>
      </c>
      <c r="G2055" s="7">
        <v>54</v>
      </c>
      <c r="H2055" s="7" t="s">
        <v>11713</v>
      </c>
      <c r="I2055" s="7">
        <v>1</v>
      </c>
      <c r="J2055" s="7" t="s">
        <v>11714</v>
      </c>
      <c r="K2055" s="9" t="s">
        <v>8987</v>
      </c>
    </row>
    <row r="2056" spans="1:11">
      <c r="A2056" s="7">
        <v>2054</v>
      </c>
      <c r="B2056" s="7" t="s">
        <v>9174</v>
      </c>
      <c r="C2056" s="7" t="s">
        <v>8984</v>
      </c>
      <c r="D2056" s="7" t="s">
        <v>7573</v>
      </c>
      <c r="E2056" s="7" t="s">
        <v>11715</v>
      </c>
      <c r="F2056" s="8" t="s">
        <v>10049</v>
      </c>
      <c r="G2056" s="7">
        <v>42</v>
      </c>
      <c r="H2056" s="7" t="s">
        <v>11407</v>
      </c>
      <c r="I2056" s="7">
        <v>1</v>
      </c>
      <c r="J2056" s="7" t="s">
        <v>7849</v>
      </c>
      <c r="K2056" s="9" t="s">
        <v>8987</v>
      </c>
    </row>
    <row r="2057" spans="1:11">
      <c r="A2057" s="7">
        <v>2055</v>
      </c>
      <c r="B2057" s="7" t="s">
        <v>9174</v>
      </c>
      <c r="C2057" s="7" t="s">
        <v>8984</v>
      </c>
      <c r="D2057" s="7" t="s">
        <v>7573</v>
      </c>
      <c r="E2057" s="7" t="s">
        <v>11716</v>
      </c>
      <c r="F2057" s="8" t="s">
        <v>10057</v>
      </c>
      <c r="G2057" s="7">
        <v>10</v>
      </c>
      <c r="H2057" s="7" t="s">
        <v>9292</v>
      </c>
      <c r="I2057" s="7">
        <v>1</v>
      </c>
      <c r="J2057" s="7" t="s">
        <v>7768</v>
      </c>
      <c r="K2057" s="9" t="s">
        <v>8987</v>
      </c>
    </row>
    <row r="2058" spans="1:11">
      <c r="A2058" s="7">
        <v>2056</v>
      </c>
      <c r="B2058" s="7" t="s">
        <v>9174</v>
      </c>
      <c r="C2058" s="7" t="s">
        <v>8984</v>
      </c>
      <c r="D2058" s="7" t="s">
        <v>7573</v>
      </c>
      <c r="E2058" s="7" t="s">
        <v>11717</v>
      </c>
      <c r="F2058" s="8" t="s">
        <v>10057</v>
      </c>
      <c r="G2058" s="7">
        <v>22</v>
      </c>
      <c r="H2058" s="7" t="s">
        <v>8994</v>
      </c>
      <c r="I2058" s="7">
        <v>1</v>
      </c>
      <c r="J2058" s="7" t="s">
        <v>7879</v>
      </c>
      <c r="K2058" s="9" t="s">
        <v>8987</v>
      </c>
    </row>
    <row r="2059" spans="1:11">
      <c r="A2059" s="7">
        <v>2057</v>
      </c>
      <c r="B2059" s="7" t="s">
        <v>9174</v>
      </c>
      <c r="C2059" s="7" t="s">
        <v>8984</v>
      </c>
      <c r="D2059" s="7" t="s">
        <v>7573</v>
      </c>
      <c r="E2059" s="7" t="s">
        <v>11718</v>
      </c>
      <c r="F2059" s="8" t="s">
        <v>10057</v>
      </c>
      <c r="G2059" s="7">
        <v>17</v>
      </c>
      <c r="H2059" s="7" t="s">
        <v>9146</v>
      </c>
      <c r="I2059" s="7">
        <v>1</v>
      </c>
      <c r="J2059" s="7" t="s">
        <v>7850</v>
      </c>
      <c r="K2059" s="9" t="s">
        <v>8987</v>
      </c>
    </row>
    <row r="2060" spans="1:11">
      <c r="A2060" s="7">
        <v>2058</v>
      </c>
      <c r="B2060" s="7" t="s">
        <v>9174</v>
      </c>
      <c r="C2060" s="7" t="s">
        <v>8984</v>
      </c>
      <c r="D2060" s="7" t="s">
        <v>7573</v>
      </c>
      <c r="E2060" s="7" t="s">
        <v>11719</v>
      </c>
      <c r="F2060" s="8" t="s">
        <v>10059</v>
      </c>
      <c r="G2060" s="7">
        <v>10</v>
      </c>
      <c r="H2060" s="7" t="s">
        <v>9292</v>
      </c>
      <c r="I2060" s="7">
        <v>1</v>
      </c>
      <c r="J2060" s="7" t="s">
        <v>7768</v>
      </c>
      <c r="K2060" s="9" t="s">
        <v>8987</v>
      </c>
    </row>
    <row r="2061" spans="1:11">
      <c r="A2061" s="7">
        <v>2059</v>
      </c>
      <c r="B2061" s="7" t="s">
        <v>9174</v>
      </c>
      <c r="C2061" s="7" t="s">
        <v>8984</v>
      </c>
      <c r="D2061" s="7" t="s">
        <v>7573</v>
      </c>
      <c r="E2061" s="7" t="s">
        <v>6943</v>
      </c>
      <c r="F2061" s="8" t="s">
        <v>10059</v>
      </c>
      <c r="G2061" s="7">
        <v>22</v>
      </c>
      <c r="H2061" s="7" t="s">
        <v>8994</v>
      </c>
      <c r="I2061" s="7">
        <v>1</v>
      </c>
      <c r="J2061" s="7" t="s">
        <v>7879</v>
      </c>
      <c r="K2061" s="9" t="s">
        <v>8987</v>
      </c>
    </row>
    <row r="2062" spans="1:11">
      <c r="A2062" s="7">
        <v>2060</v>
      </c>
      <c r="B2062" s="7" t="s">
        <v>9174</v>
      </c>
      <c r="C2062" s="7" t="s">
        <v>8984</v>
      </c>
      <c r="D2062" s="7" t="s">
        <v>7573</v>
      </c>
      <c r="E2062" s="7" t="s">
        <v>11720</v>
      </c>
      <c r="F2062" s="8" t="s">
        <v>10059</v>
      </c>
      <c r="G2062" s="7">
        <v>17</v>
      </c>
      <c r="H2062" s="7" t="s">
        <v>9146</v>
      </c>
      <c r="I2062" s="7">
        <v>1</v>
      </c>
      <c r="J2062" s="7" t="s">
        <v>7850</v>
      </c>
      <c r="K2062" s="9" t="s">
        <v>8987</v>
      </c>
    </row>
    <row r="2063" spans="1:11">
      <c r="A2063" s="7">
        <v>2061</v>
      </c>
      <c r="B2063" s="7" t="s">
        <v>9174</v>
      </c>
      <c r="C2063" s="7" t="s">
        <v>8984</v>
      </c>
      <c r="D2063" s="7" t="s">
        <v>7573</v>
      </c>
      <c r="E2063" s="7" t="s">
        <v>11721</v>
      </c>
      <c r="F2063" s="8" t="s">
        <v>10499</v>
      </c>
      <c r="G2063" s="7">
        <v>2</v>
      </c>
      <c r="H2063" s="7" t="s">
        <v>10476</v>
      </c>
      <c r="I2063" s="7">
        <v>1</v>
      </c>
      <c r="J2063" s="7" t="s">
        <v>7861</v>
      </c>
      <c r="K2063" s="9" t="s">
        <v>8987</v>
      </c>
    </row>
    <row r="2064" spans="1:11">
      <c r="A2064" s="7">
        <v>2062</v>
      </c>
      <c r="B2064" s="7" t="s">
        <v>9174</v>
      </c>
      <c r="C2064" s="7" t="s">
        <v>8984</v>
      </c>
      <c r="D2064" s="7" t="s">
        <v>7573</v>
      </c>
      <c r="E2064" s="7" t="s">
        <v>11722</v>
      </c>
      <c r="F2064" s="8" t="s">
        <v>10499</v>
      </c>
      <c r="G2064" s="7">
        <v>2</v>
      </c>
      <c r="H2064" s="7" t="s">
        <v>10476</v>
      </c>
      <c r="I2064" s="7">
        <v>1</v>
      </c>
      <c r="J2064" s="7" t="s">
        <v>7861</v>
      </c>
      <c r="K2064" s="9" t="s">
        <v>8987</v>
      </c>
    </row>
    <row r="2065" spans="1:11">
      <c r="A2065" s="7">
        <v>2063</v>
      </c>
      <c r="B2065" s="7" t="s">
        <v>9174</v>
      </c>
      <c r="C2065" s="7" t="s">
        <v>8984</v>
      </c>
      <c r="D2065" s="7" t="s">
        <v>7573</v>
      </c>
      <c r="E2065" s="7" t="s">
        <v>11723</v>
      </c>
      <c r="F2065" s="8" t="s">
        <v>10499</v>
      </c>
      <c r="G2065" s="7">
        <v>2</v>
      </c>
      <c r="H2065" s="7" t="s">
        <v>10476</v>
      </c>
      <c r="I2065" s="7">
        <v>1</v>
      </c>
      <c r="J2065" s="7" t="s">
        <v>7861</v>
      </c>
      <c r="K2065" s="9" t="s">
        <v>8987</v>
      </c>
    </row>
    <row r="2066" spans="1:11">
      <c r="A2066" s="7">
        <v>2064</v>
      </c>
      <c r="B2066" s="7" t="s">
        <v>9174</v>
      </c>
      <c r="C2066" s="7" t="s">
        <v>8984</v>
      </c>
      <c r="D2066" s="7" t="s">
        <v>7573</v>
      </c>
      <c r="E2066" s="7" t="s">
        <v>11724</v>
      </c>
      <c r="F2066" s="8" t="s">
        <v>9805</v>
      </c>
      <c r="G2066" s="7">
        <v>11</v>
      </c>
      <c r="H2066" s="7" t="s">
        <v>9386</v>
      </c>
      <c r="I2066" s="7">
        <v>1</v>
      </c>
      <c r="J2066" s="7" t="s">
        <v>7865</v>
      </c>
      <c r="K2066" s="9" t="s">
        <v>8987</v>
      </c>
    </row>
    <row r="2067" spans="1:11">
      <c r="A2067" s="7">
        <v>2065</v>
      </c>
      <c r="B2067" s="7" t="s">
        <v>9174</v>
      </c>
      <c r="C2067" s="7" t="s">
        <v>8984</v>
      </c>
      <c r="D2067" s="7" t="s">
        <v>7573</v>
      </c>
      <c r="E2067" s="7" t="s">
        <v>11725</v>
      </c>
      <c r="F2067" s="8" t="s">
        <v>9805</v>
      </c>
      <c r="G2067" s="7">
        <v>23</v>
      </c>
      <c r="H2067" s="7" t="s">
        <v>9120</v>
      </c>
      <c r="I2067" s="7">
        <v>1</v>
      </c>
      <c r="J2067" s="7" t="s">
        <v>7848</v>
      </c>
      <c r="K2067" s="9" t="s">
        <v>8987</v>
      </c>
    </row>
    <row r="2068" spans="1:11">
      <c r="A2068" s="7">
        <v>2066</v>
      </c>
      <c r="B2068" s="7" t="s">
        <v>9174</v>
      </c>
      <c r="C2068" s="7" t="s">
        <v>8984</v>
      </c>
      <c r="D2068" s="7" t="s">
        <v>7573</v>
      </c>
      <c r="E2068" s="7" t="s">
        <v>11726</v>
      </c>
      <c r="F2068" s="8" t="s">
        <v>9805</v>
      </c>
      <c r="G2068" s="7">
        <v>18</v>
      </c>
      <c r="H2068" s="7" t="s">
        <v>9422</v>
      </c>
      <c r="I2068" s="7">
        <v>1</v>
      </c>
      <c r="J2068" s="7" t="s">
        <v>7885</v>
      </c>
      <c r="K2068" s="9" t="s">
        <v>8987</v>
      </c>
    </row>
    <row r="2069" spans="1:11">
      <c r="A2069" s="7">
        <v>2067</v>
      </c>
      <c r="B2069" s="7" t="s">
        <v>9174</v>
      </c>
      <c r="C2069" s="7" t="s">
        <v>8984</v>
      </c>
      <c r="D2069" s="7" t="s">
        <v>7573</v>
      </c>
      <c r="E2069" s="7" t="s">
        <v>11727</v>
      </c>
      <c r="F2069" s="8" t="s">
        <v>9798</v>
      </c>
      <c r="G2069" s="7">
        <v>11</v>
      </c>
      <c r="H2069" s="7" t="s">
        <v>9386</v>
      </c>
      <c r="I2069" s="7">
        <v>1</v>
      </c>
      <c r="J2069" s="7" t="s">
        <v>7865</v>
      </c>
      <c r="K2069" s="9" t="s">
        <v>8987</v>
      </c>
    </row>
    <row r="2070" spans="1:11">
      <c r="A2070" s="7">
        <v>2068</v>
      </c>
      <c r="B2070" s="7" t="s">
        <v>9174</v>
      </c>
      <c r="C2070" s="7" t="s">
        <v>8984</v>
      </c>
      <c r="D2070" s="7" t="s">
        <v>7573</v>
      </c>
      <c r="E2070" s="7" t="s">
        <v>11728</v>
      </c>
      <c r="F2070" s="8" t="s">
        <v>9798</v>
      </c>
      <c r="G2070" s="7">
        <v>24</v>
      </c>
      <c r="H2070" s="7" t="s">
        <v>9418</v>
      </c>
      <c r="I2070" s="7">
        <v>1</v>
      </c>
      <c r="J2070" s="7" t="s">
        <v>7871</v>
      </c>
      <c r="K2070" s="9" t="s">
        <v>8987</v>
      </c>
    </row>
    <row r="2071" spans="1:11">
      <c r="A2071" s="7">
        <v>2069</v>
      </c>
      <c r="B2071" s="7" t="s">
        <v>9174</v>
      </c>
      <c r="C2071" s="7" t="s">
        <v>8984</v>
      </c>
      <c r="D2071" s="7" t="s">
        <v>7573</v>
      </c>
      <c r="E2071" s="7" t="s">
        <v>11729</v>
      </c>
      <c r="F2071" s="8" t="s">
        <v>9798</v>
      </c>
      <c r="G2071" s="7">
        <v>18</v>
      </c>
      <c r="H2071" s="7" t="s">
        <v>9422</v>
      </c>
      <c r="I2071" s="7">
        <v>1</v>
      </c>
      <c r="J2071" s="7" t="s">
        <v>7885</v>
      </c>
      <c r="K2071" s="9" t="s">
        <v>8987</v>
      </c>
    </row>
    <row r="2072" spans="1:11">
      <c r="A2072" s="7">
        <v>2070</v>
      </c>
      <c r="B2072" s="7" t="s">
        <v>9174</v>
      </c>
      <c r="C2072" s="7" t="s">
        <v>8984</v>
      </c>
      <c r="D2072" s="7" t="s">
        <v>7573</v>
      </c>
      <c r="E2072" s="7" t="s">
        <v>11730</v>
      </c>
      <c r="F2072" s="8" t="s">
        <v>9812</v>
      </c>
      <c r="G2072" s="7">
        <v>10</v>
      </c>
      <c r="H2072" s="7" t="s">
        <v>9292</v>
      </c>
      <c r="I2072" s="7">
        <v>1</v>
      </c>
      <c r="J2072" s="7" t="s">
        <v>7768</v>
      </c>
      <c r="K2072" s="9" t="s">
        <v>8987</v>
      </c>
    </row>
    <row r="2073" spans="1:11">
      <c r="A2073" s="7">
        <v>2071</v>
      </c>
      <c r="B2073" s="7" t="s">
        <v>9174</v>
      </c>
      <c r="C2073" s="7" t="s">
        <v>8984</v>
      </c>
      <c r="D2073" s="7" t="s">
        <v>7573</v>
      </c>
      <c r="E2073" s="7" t="s">
        <v>11731</v>
      </c>
      <c r="F2073" s="8" t="s">
        <v>9812</v>
      </c>
      <c r="G2073" s="7">
        <v>20</v>
      </c>
      <c r="H2073" s="7" t="s">
        <v>9394</v>
      </c>
      <c r="I2073" s="7">
        <v>1</v>
      </c>
      <c r="J2073" s="7" t="s">
        <v>7851</v>
      </c>
      <c r="K2073" s="9" t="s">
        <v>8987</v>
      </c>
    </row>
    <row r="2074" spans="1:11">
      <c r="A2074" s="7">
        <v>2072</v>
      </c>
      <c r="B2074" s="7" t="s">
        <v>9174</v>
      </c>
      <c r="C2074" s="7" t="s">
        <v>8984</v>
      </c>
      <c r="D2074" s="7" t="s">
        <v>7573</v>
      </c>
      <c r="E2074" s="7" t="s">
        <v>11732</v>
      </c>
      <c r="F2074" s="8" t="s">
        <v>9812</v>
      </c>
      <c r="G2074" s="7">
        <v>16</v>
      </c>
      <c r="H2074" s="7" t="s">
        <v>9215</v>
      </c>
      <c r="I2074" s="7">
        <v>1</v>
      </c>
      <c r="J2074" s="7" t="s">
        <v>7882</v>
      </c>
      <c r="K2074" s="9" t="s">
        <v>8987</v>
      </c>
    </row>
    <row r="2075" spans="1:11">
      <c r="A2075" s="7">
        <v>2073</v>
      </c>
      <c r="B2075" s="7" t="s">
        <v>9174</v>
      </c>
      <c r="C2075" s="7" t="s">
        <v>8984</v>
      </c>
      <c r="D2075" s="7" t="s">
        <v>7573</v>
      </c>
      <c r="E2075" s="7" t="s">
        <v>11733</v>
      </c>
      <c r="F2075" s="8" t="s">
        <v>9173</v>
      </c>
      <c r="G2075" s="7">
        <v>4</v>
      </c>
      <c r="H2075" s="7" t="s">
        <v>9579</v>
      </c>
      <c r="I2075" s="7">
        <v>1</v>
      </c>
      <c r="J2075" s="7" t="s">
        <v>7617</v>
      </c>
      <c r="K2075" s="9" t="s">
        <v>8987</v>
      </c>
    </row>
    <row r="2076" spans="1:11">
      <c r="A2076" s="7">
        <v>2074</v>
      </c>
      <c r="B2076" s="7" t="s">
        <v>9174</v>
      </c>
      <c r="C2076" s="7" t="s">
        <v>8984</v>
      </c>
      <c r="D2076" s="7" t="s">
        <v>7573</v>
      </c>
      <c r="E2076" s="7" t="s">
        <v>11734</v>
      </c>
      <c r="F2076" s="8" t="s">
        <v>9173</v>
      </c>
      <c r="G2076" s="7">
        <v>9</v>
      </c>
      <c r="H2076" s="7" t="s">
        <v>9030</v>
      </c>
      <c r="I2076" s="7">
        <v>1</v>
      </c>
      <c r="J2076" s="7" t="s">
        <v>7766</v>
      </c>
      <c r="K2076" s="9" t="s">
        <v>8987</v>
      </c>
    </row>
    <row r="2077" spans="1:11">
      <c r="A2077" s="7">
        <v>2075</v>
      </c>
      <c r="B2077" s="7" t="s">
        <v>9174</v>
      </c>
      <c r="C2077" s="7" t="s">
        <v>8984</v>
      </c>
      <c r="D2077" s="7" t="s">
        <v>7573</v>
      </c>
      <c r="E2077" s="7" t="s">
        <v>11735</v>
      </c>
      <c r="F2077" s="8" t="s">
        <v>9173</v>
      </c>
      <c r="G2077" s="7">
        <v>6</v>
      </c>
      <c r="H2077" s="7" t="s">
        <v>9218</v>
      </c>
      <c r="I2077" s="7">
        <v>1</v>
      </c>
      <c r="J2077" s="7" t="s">
        <v>7623</v>
      </c>
      <c r="K2077" s="9" t="s">
        <v>8987</v>
      </c>
    </row>
    <row r="2078" spans="1:11">
      <c r="A2078" s="7">
        <v>2076</v>
      </c>
      <c r="B2078" s="7" t="s">
        <v>9174</v>
      </c>
      <c r="C2078" s="7" t="s">
        <v>8984</v>
      </c>
      <c r="D2078" s="7" t="s">
        <v>7573</v>
      </c>
      <c r="E2078" s="7" t="s">
        <v>11736</v>
      </c>
      <c r="F2078" s="8" t="s">
        <v>9177</v>
      </c>
      <c r="G2078" s="7">
        <v>4</v>
      </c>
      <c r="H2078" s="7" t="s">
        <v>9579</v>
      </c>
      <c r="I2078" s="7">
        <v>1</v>
      </c>
      <c r="J2078" s="7" t="s">
        <v>7617</v>
      </c>
      <c r="K2078" s="9" t="s">
        <v>8987</v>
      </c>
    </row>
    <row r="2079" spans="1:11">
      <c r="A2079" s="7">
        <v>2077</v>
      </c>
      <c r="B2079" s="7" t="s">
        <v>9174</v>
      </c>
      <c r="C2079" s="7" t="s">
        <v>8984</v>
      </c>
      <c r="D2079" s="7" t="s">
        <v>7573</v>
      </c>
      <c r="E2079" s="7" t="s">
        <v>11737</v>
      </c>
      <c r="F2079" s="8" t="s">
        <v>9177</v>
      </c>
      <c r="G2079" s="7">
        <v>9</v>
      </c>
      <c r="H2079" s="7" t="s">
        <v>9030</v>
      </c>
      <c r="I2079" s="7">
        <v>1</v>
      </c>
      <c r="J2079" s="7" t="s">
        <v>7766</v>
      </c>
      <c r="K2079" s="9" t="s">
        <v>8987</v>
      </c>
    </row>
    <row r="2080" spans="1:11">
      <c r="A2080" s="7">
        <v>2078</v>
      </c>
      <c r="B2080" s="7" t="s">
        <v>9174</v>
      </c>
      <c r="C2080" s="7" t="s">
        <v>8984</v>
      </c>
      <c r="D2080" s="7" t="s">
        <v>7573</v>
      </c>
      <c r="E2080" s="7" t="s">
        <v>11738</v>
      </c>
      <c r="F2080" s="8" t="s">
        <v>9177</v>
      </c>
      <c r="G2080" s="7">
        <v>6</v>
      </c>
      <c r="H2080" s="7" t="s">
        <v>9218</v>
      </c>
      <c r="I2080" s="7">
        <v>1</v>
      </c>
      <c r="J2080" s="7" t="s">
        <v>7623</v>
      </c>
      <c r="K2080" s="9" t="s">
        <v>8987</v>
      </c>
    </row>
    <row r="2081" spans="1:11">
      <c r="A2081" s="7">
        <v>2079</v>
      </c>
      <c r="B2081" s="7" t="s">
        <v>9174</v>
      </c>
      <c r="C2081" s="7" t="s">
        <v>8984</v>
      </c>
      <c r="D2081" s="7" t="s">
        <v>7573</v>
      </c>
      <c r="E2081" s="7" t="s">
        <v>11739</v>
      </c>
      <c r="F2081" s="8" t="s">
        <v>9186</v>
      </c>
      <c r="G2081" s="7">
        <v>8</v>
      </c>
      <c r="H2081" s="7" t="s">
        <v>8991</v>
      </c>
      <c r="I2081" s="7">
        <v>1</v>
      </c>
      <c r="J2081" s="7" t="s">
        <v>7764</v>
      </c>
      <c r="K2081" s="9" t="s">
        <v>8987</v>
      </c>
    </row>
    <row r="2082" spans="1:11">
      <c r="A2082" s="7">
        <v>2080</v>
      </c>
      <c r="B2082" s="7" t="s">
        <v>9174</v>
      </c>
      <c r="C2082" s="7" t="s">
        <v>8984</v>
      </c>
      <c r="D2082" s="7" t="s">
        <v>7573</v>
      </c>
      <c r="E2082" s="7" t="s">
        <v>4288</v>
      </c>
      <c r="F2082" s="8" t="s">
        <v>9186</v>
      </c>
      <c r="G2082" s="7">
        <v>8</v>
      </c>
      <c r="H2082" s="7" t="s">
        <v>8991</v>
      </c>
      <c r="I2082" s="7">
        <v>1</v>
      </c>
      <c r="J2082" s="7" t="s">
        <v>7764</v>
      </c>
      <c r="K2082" s="9" t="s">
        <v>8987</v>
      </c>
    </row>
    <row r="2083" spans="1:11">
      <c r="A2083" s="7">
        <v>2081</v>
      </c>
      <c r="B2083" s="7" t="s">
        <v>9174</v>
      </c>
      <c r="C2083" s="7" t="s">
        <v>8984</v>
      </c>
      <c r="D2083" s="7" t="s">
        <v>7573</v>
      </c>
      <c r="E2083" s="7" t="s">
        <v>11740</v>
      </c>
      <c r="F2083" s="8" t="s">
        <v>9186</v>
      </c>
      <c r="G2083" s="7">
        <v>11</v>
      </c>
      <c r="H2083" s="7" t="s">
        <v>9386</v>
      </c>
      <c r="I2083" s="7">
        <v>1</v>
      </c>
      <c r="J2083" s="7" t="s">
        <v>7865</v>
      </c>
      <c r="K2083" s="9" t="s">
        <v>8987</v>
      </c>
    </row>
    <row r="2084" spans="1:11">
      <c r="A2084" s="7">
        <v>2082</v>
      </c>
      <c r="B2084" s="7" t="s">
        <v>9174</v>
      </c>
      <c r="C2084" s="7" t="s">
        <v>8984</v>
      </c>
      <c r="D2084" s="7" t="s">
        <v>7573</v>
      </c>
      <c r="E2084" s="7" t="s">
        <v>11741</v>
      </c>
      <c r="F2084" s="8" t="s">
        <v>9260</v>
      </c>
      <c r="G2084" s="7">
        <v>9</v>
      </c>
      <c r="H2084" s="7" t="s">
        <v>9030</v>
      </c>
      <c r="I2084" s="7">
        <v>1</v>
      </c>
      <c r="J2084" s="7" t="s">
        <v>7766</v>
      </c>
      <c r="K2084" s="9" t="s">
        <v>8987</v>
      </c>
    </row>
    <row r="2085" spans="1:11">
      <c r="A2085" s="7">
        <v>2083</v>
      </c>
      <c r="B2085" s="7" t="s">
        <v>9174</v>
      </c>
      <c r="C2085" s="7" t="s">
        <v>8984</v>
      </c>
      <c r="D2085" s="7" t="s">
        <v>7573</v>
      </c>
      <c r="E2085" s="7" t="s">
        <v>11742</v>
      </c>
      <c r="F2085" s="8" t="s">
        <v>9260</v>
      </c>
      <c r="G2085" s="7">
        <v>20</v>
      </c>
      <c r="H2085" s="7" t="s">
        <v>9394</v>
      </c>
      <c r="I2085" s="7">
        <v>1</v>
      </c>
      <c r="J2085" s="7" t="s">
        <v>7851</v>
      </c>
      <c r="K2085" s="9" t="s">
        <v>8987</v>
      </c>
    </row>
    <row r="2086" spans="1:11">
      <c r="A2086" s="7">
        <v>2084</v>
      </c>
      <c r="B2086" s="7" t="s">
        <v>9174</v>
      </c>
      <c r="C2086" s="7" t="s">
        <v>8984</v>
      </c>
      <c r="D2086" s="7" t="s">
        <v>7573</v>
      </c>
      <c r="E2086" s="7" t="s">
        <v>11743</v>
      </c>
      <c r="F2086" s="8" t="s">
        <v>9260</v>
      </c>
      <c r="G2086" s="7">
        <v>15</v>
      </c>
      <c r="H2086" s="7" t="s">
        <v>9053</v>
      </c>
      <c r="I2086" s="7">
        <v>1</v>
      </c>
      <c r="J2086" s="7" t="s">
        <v>7862</v>
      </c>
      <c r="K2086" s="9" t="s">
        <v>8987</v>
      </c>
    </row>
    <row r="2087" spans="1:11">
      <c r="A2087" s="7">
        <v>2085</v>
      </c>
      <c r="B2087" s="7" t="s">
        <v>9174</v>
      </c>
      <c r="C2087" s="7" t="s">
        <v>8984</v>
      </c>
      <c r="D2087" s="7" t="s">
        <v>7573</v>
      </c>
      <c r="E2087" s="7" t="s">
        <v>11744</v>
      </c>
      <c r="F2087" s="8" t="s">
        <v>9264</v>
      </c>
      <c r="G2087" s="7">
        <v>34</v>
      </c>
      <c r="H2087" s="7" t="s">
        <v>11266</v>
      </c>
      <c r="I2087" s="7">
        <v>1</v>
      </c>
      <c r="J2087" s="7" t="s">
        <v>11267</v>
      </c>
      <c r="K2087" s="9" t="s">
        <v>8987</v>
      </c>
    </row>
    <row r="2088" spans="1:11">
      <c r="A2088" s="7">
        <v>2086</v>
      </c>
      <c r="B2088" s="7" t="s">
        <v>9174</v>
      </c>
      <c r="C2088" s="7" t="s">
        <v>8984</v>
      </c>
      <c r="D2088" s="7" t="s">
        <v>7573</v>
      </c>
      <c r="E2088" s="7" t="s">
        <v>11745</v>
      </c>
      <c r="F2088" s="8" t="s">
        <v>9264</v>
      </c>
      <c r="G2088" s="7">
        <v>74</v>
      </c>
      <c r="H2088" s="7" t="s">
        <v>11480</v>
      </c>
      <c r="I2088" s="7">
        <v>1</v>
      </c>
      <c r="J2088" s="7" t="s">
        <v>11481</v>
      </c>
      <c r="K2088" s="9" t="s">
        <v>8987</v>
      </c>
    </row>
    <row r="2089" spans="1:11">
      <c r="A2089" s="7">
        <v>2087</v>
      </c>
      <c r="B2089" s="7" t="s">
        <v>9174</v>
      </c>
      <c r="C2089" s="7" t="s">
        <v>8984</v>
      </c>
      <c r="D2089" s="7" t="s">
        <v>7573</v>
      </c>
      <c r="E2089" s="7" t="s">
        <v>11746</v>
      </c>
      <c r="F2089" s="8" t="s">
        <v>9264</v>
      </c>
      <c r="G2089" s="7">
        <v>57</v>
      </c>
      <c r="H2089" s="7" t="s">
        <v>11747</v>
      </c>
      <c r="I2089" s="7">
        <v>1</v>
      </c>
      <c r="J2089" s="7" t="s">
        <v>7843</v>
      </c>
      <c r="K2089" s="9" t="s">
        <v>8987</v>
      </c>
    </row>
    <row r="2090" spans="1:11">
      <c r="A2090" s="7">
        <v>2088</v>
      </c>
      <c r="B2090" s="7" t="s">
        <v>9174</v>
      </c>
      <c r="C2090" s="7" t="s">
        <v>8984</v>
      </c>
      <c r="D2090" s="7" t="s">
        <v>7573</v>
      </c>
      <c r="E2090" s="7" t="s">
        <v>11748</v>
      </c>
      <c r="F2090" s="8" t="s">
        <v>11006</v>
      </c>
      <c r="G2090" s="7">
        <v>2</v>
      </c>
      <c r="H2090" s="7" t="s">
        <v>10476</v>
      </c>
      <c r="I2090" s="7">
        <v>1</v>
      </c>
      <c r="J2090" s="7" t="s">
        <v>7861</v>
      </c>
      <c r="K2090" s="9" t="s">
        <v>8987</v>
      </c>
    </row>
    <row r="2091" spans="1:11">
      <c r="A2091" s="7">
        <v>2089</v>
      </c>
      <c r="B2091" s="7" t="s">
        <v>9174</v>
      </c>
      <c r="C2091" s="7" t="s">
        <v>8984</v>
      </c>
      <c r="D2091" s="7" t="s">
        <v>7573</v>
      </c>
      <c r="E2091" s="7" t="s">
        <v>11749</v>
      </c>
      <c r="F2091" s="8" t="s">
        <v>11006</v>
      </c>
      <c r="G2091" s="7">
        <v>2</v>
      </c>
      <c r="H2091" s="7" t="s">
        <v>10476</v>
      </c>
      <c r="I2091" s="7">
        <v>1</v>
      </c>
      <c r="J2091" s="7" t="s">
        <v>7861</v>
      </c>
      <c r="K2091" s="9" t="s">
        <v>8987</v>
      </c>
    </row>
    <row r="2092" spans="1:11">
      <c r="A2092" s="7">
        <v>2090</v>
      </c>
      <c r="B2092" s="7" t="s">
        <v>9174</v>
      </c>
      <c r="C2092" s="7" t="s">
        <v>8984</v>
      </c>
      <c r="D2092" s="7" t="s">
        <v>7573</v>
      </c>
      <c r="E2092" s="7" t="s">
        <v>11750</v>
      </c>
      <c r="F2092" s="8" t="s">
        <v>11006</v>
      </c>
      <c r="G2092" s="7">
        <v>2</v>
      </c>
      <c r="H2092" s="7" t="s">
        <v>10476</v>
      </c>
      <c r="I2092" s="7">
        <v>1</v>
      </c>
      <c r="J2092" s="7" t="s">
        <v>7861</v>
      </c>
      <c r="K2092" s="9" t="s">
        <v>8987</v>
      </c>
    </row>
    <row r="2093" spans="1:11">
      <c r="A2093" s="7">
        <v>2091</v>
      </c>
      <c r="B2093" s="7" t="s">
        <v>9174</v>
      </c>
      <c r="C2093" s="7" t="s">
        <v>8984</v>
      </c>
      <c r="D2093" s="7" t="s">
        <v>7573</v>
      </c>
      <c r="E2093" s="7" t="s">
        <v>11751</v>
      </c>
      <c r="F2093" s="8" t="s">
        <v>11008</v>
      </c>
      <c r="G2093" s="7">
        <v>2</v>
      </c>
      <c r="H2093" s="7" t="s">
        <v>10476</v>
      </c>
      <c r="I2093" s="7">
        <v>1</v>
      </c>
      <c r="J2093" s="7" t="s">
        <v>7861</v>
      </c>
      <c r="K2093" s="9" t="s">
        <v>8987</v>
      </c>
    </row>
    <row r="2094" spans="1:11">
      <c r="A2094" s="7">
        <v>2092</v>
      </c>
      <c r="B2094" s="7" t="s">
        <v>9174</v>
      </c>
      <c r="C2094" s="7" t="s">
        <v>8984</v>
      </c>
      <c r="D2094" s="7" t="s">
        <v>7573</v>
      </c>
      <c r="E2094" s="7" t="s">
        <v>11752</v>
      </c>
      <c r="F2094" s="8" t="s">
        <v>11008</v>
      </c>
      <c r="G2094" s="7">
        <v>2</v>
      </c>
      <c r="H2094" s="7" t="s">
        <v>10476</v>
      </c>
      <c r="I2094" s="7">
        <v>1</v>
      </c>
      <c r="J2094" s="7" t="s">
        <v>7861</v>
      </c>
      <c r="K2094" s="9" t="s">
        <v>8987</v>
      </c>
    </row>
    <row r="2095" spans="1:11">
      <c r="A2095" s="7">
        <v>2093</v>
      </c>
      <c r="B2095" s="7" t="s">
        <v>9174</v>
      </c>
      <c r="C2095" s="7" t="s">
        <v>8984</v>
      </c>
      <c r="D2095" s="7" t="s">
        <v>7573</v>
      </c>
      <c r="E2095" s="7" t="s">
        <v>11753</v>
      </c>
      <c r="F2095" s="8" t="s">
        <v>11008</v>
      </c>
      <c r="G2095" s="7">
        <v>2</v>
      </c>
      <c r="H2095" s="7" t="s">
        <v>10476</v>
      </c>
      <c r="I2095" s="7">
        <v>1</v>
      </c>
      <c r="J2095" s="7" t="s">
        <v>7861</v>
      </c>
      <c r="K2095" s="9" t="s">
        <v>8987</v>
      </c>
    </row>
    <row r="2096" spans="1:11">
      <c r="A2096" s="7">
        <v>2094</v>
      </c>
      <c r="B2096" s="7" t="s">
        <v>9174</v>
      </c>
      <c r="C2096" s="7" t="s">
        <v>8984</v>
      </c>
      <c r="D2096" s="7" t="s">
        <v>7573</v>
      </c>
      <c r="E2096" s="7" t="s">
        <v>11754</v>
      </c>
      <c r="F2096" s="8" t="s">
        <v>11010</v>
      </c>
      <c r="G2096" s="7">
        <v>2</v>
      </c>
      <c r="H2096" s="7" t="s">
        <v>10476</v>
      </c>
      <c r="I2096" s="7">
        <v>1</v>
      </c>
      <c r="J2096" s="7" t="s">
        <v>7861</v>
      </c>
      <c r="K2096" s="9" t="s">
        <v>8987</v>
      </c>
    </row>
    <row r="2097" spans="1:11">
      <c r="A2097" s="7">
        <v>2095</v>
      </c>
      <c r="B2097" s="7" t="s">
        <v>9174</v>
      </c>
      <c r="C2097" s="7" t="s">
        <v>8984</v>
      </c>
      <c r="D2097" s="7" t="s">
        <v>7573</v>
      </c>
      <c r="E2097" s="7" t="s">
        <v>11755</v>
      </c>
      <c r="F2097" s="8" t="s">
        <v>11010</v>
      </c>
      <c r="G2097" s="7">
        <v>2</v>
      </c>
      <c r="H2097" s="7" t="s">
        <v>10476</v>
      </c>
      <c r="I2097" s="7">
        <v>1</v>
      </c>
      <c r="J2097" s="7" t="s">
        <v>7861</v>
      </c>
      <c r="K2097" s="9" t="s">
        <v>8987</v>
      </c>
    </row>
    <row r="2098" spans="1:11">
      <c r="A2098" s="7">
        <v>2096</v>
      </c>
      <c r="B2098" s="7" t="s">
        <v>9174</v>
      </c>
      <c r="C2098" s="7" t="s">
        <v>8984</v>
      </c>
      <c r="D2098" s="7" t="s">
        <v>7573</v>
      </c>
      <c r="E2098" s="7" t="s">
        <v>11756</v>
      </c>
      <c r="F2098" s="8" t="s">
        <v>11010</v>
      </c>
      <c r="G2098" s="7">
        <v>2</v>
      </c>
      <c r="H2098" s="7" t="s">
        <v>10476</v>
      </c>
      <c r="I2098" s="7">
        <v>1</v>
      </c>
      <c r="J2098" s="7" t="s">
        <v>7861</v>
      </c>
      <c r="K2098" s="9" t="s">
        <v>8987</v>
      </c>
    </row>
    <row r="2099" spans="1:11">
      <c r="A2099" s="7">
        <v>2097</v>
      </c>
      <c r="B2099" s="7" t="s">
        <v>9174</v>
      </c>
      <c r="C2099" s="7" t="s">
        <v>8984</v>
      </c>
      <c r="D2099" s="7" t="s">
        <v>7573</v>
      </c>
      <c r="E2099" s="7" t="s">
        <v>11757</v>
      </c>
      <c r="F2099" s="8" t="s">
        <v>11012</v>
      </c>
      <c r="G2099" s="7">
        <v>2</v>
      </c>
      <c r="H2099" s="7" t="s">
        <v>10476</v>
      </c>
      <c r="I2099" s="7">
        <v>1</v>
      </c>
      <c r="J2099" s="7" t="s">
        <v>7861</v>
      </c>
      <c r="K2099" s="9" t="s">
        <v>8987</v>
      </c>
    </row>
    <row r="2100" spans="1:11">
      <c r="A2100" s="7">
        <v>2098</v>
      </c>
      <c r="B2100" s="7" t="s">
        <v>9174</v>
      </c>
      <c r="C2100" s="7" t="s">
        <v>8984</v>
      </c>
      <c r="D2100" s="7" t="s">
        <v>7573</v>
      </c>
      <c r="E2100" s="7" t="s">
        <v>11758</v>
      </c>
      <c r="F2100" s="8" t="s">
        <v>11012</v>
      </c>
      <c r="G2100" s="7">
        <v>2</v>
      </c>
      <c r="H2100" s="7" t="s">
        <v>10476</v>
      </c>
      <c r="I2100" s="7">
        <v>1</v>
      </c>
      <c r="J2100" s="7" t="s">
        <v>7861</v>
      </c>
      <c r="K2100" s="9" t="s">
        <v>8987</v>
      </c>
    </row>
    <row r="2101" spans="1:11">
      <c r="A2101" s="7">
        <v>2099</v>
      </c>
      <c r="B2101" s="7" t="s">
        <v>9174</v>
      </c>
      <c r="C2101" s="7" t="s">
        <v>8984</v>
      </c>
      <c r="D2101" s="7" t="s">
        <v>7573</v>
      </c>
      <c r="E2101" s="7" t="s">
        <v>11759</v>
      </c>
      <c r="F2101" s="8" t="s">
        <v>11012</v>
      </c>
      <c r="G2101" s="7">
        <v>2</v>
      </c>
      <c r="H2101" s="7" t="s">
        <v>10476</v>
      </c>
      <c r="I2101" s="7">
        <v>1</v>
      </c>
      <c r="J2101" s="7" t="s">
        <v>7861</v>
      </c>
      <c r="K2101" s="9" t="s">
        <v>8987</v>
      </c>
    </row>
    <row r="2102" spans="1:11">
      <c r="A2102" s="7">
        <v>2100</v>
      </c>
      <c r="B2102" s="7" t="s">
        <v>9174</v>
      </c>
      <c r="C2102" s="7" t="s">
        <v>8984</v>
      </c>
      <c r="D2102" s="7" t="s">
        <v>7573</v>
      </c>
      <c r="E2102" s="7" t="s">
        <v>6679</v>
      </c>
      <c r="F2102" s="8" t="s">
        <v>11760</v>
      </c>
      <c r="G2102" s="7">
        <v>2</v>
      </c>
      <c r="H2102" s="7" t="s">
        <v>10476</v>
      </c>
      <c r="I2102" s="7">
        <v>1</v>
      </c>
      <c r="J2102" s="7" t="s">
        <v>7861</v>
      </c>
      <c r="K2102" s="9" t="s">
        <v>8987</v>
      </c>
    </row>
    <row r="2103" spans="1:11">
      <c r="A2103" s="7">
        <v>2101</v>
      </c>
      <c r="B2103" s="7" t="s">
        <v>9174</v>
      </c>
      <c r="C2103" s="7" t="s">
        <v>8984</v>
      </c>
      <c r="D2103" s="7" t="s">
        <v>7573</v>
      </c>
      <c r="E2103" s="7" t="s">
        <v>11761</v>
      </c>
      <c r="F2103" s="8" t="s">
        <v>11760</v>
      </c>
      <c r="G2103" s="7">
        <v>2</v>
      </c>
      <c r="H2103" s="7" t="s">
        <v>10476</v>
      </c>
      <c r="I2103" s="7">
        <v>1</v>
      </c>
      <c r="J2103" s="7" t="s">
        <v>7861</v>
      </c>
      <c r="K2103" s="9" t="s">
        <v>8987</v>
      </c>
    </row>
    <row r="2104" spans="1:11">
      <c r="A2104" s="7">
        <v>2102</v>
      </c>
      <c r="B2104" s="7" t="s">
        <v>9174</v>
      </c>
      <c r="C2104" s="7" t="s">
        <v>8984</v>
      </c>
      <c r="D2104" s="7" t="s">
        <v>7573</v>
      </c>
      <c r="E2104" s="7" t="s">
        <v>11762</v>
      </c>
      <c r="F2104" s="8" t="s">
        <v>11760</v>
      </c>
      <c r="G2104" s="7">
        <v>2</v>
      </c>
      <c r="H2104" s="7" t="s">
        <v>10476</v>
      </c>
      <c r="I2104" s="7">
        <v>1</v>
      </c>
      <c r="J2104" s="7" t="s">
        <v>7861</v>
      </c>
      <c r="K2104" s="9" t="s">
        <v>8987</v>
      </c>
    </row>
    <row r="2105" spans="1:11">
      <c r="A2105" s="7">
        <v>2103</v>
      </c>
      <c r="B2105" s="7" t="s">
        <v>9174</v>
      </c>
      <c r="C2105" s="7" t="s">
        <v>8984</v>
      </c>
      <c r="D2105" s="7" t="s">
        <v>7573</v>
      </c>
      <c r="E2105" s="7" t="s">
        <v>11763</v>
      </c>
      <c r="F2105" s="8" t="s">
        <v>11014</v>
      </c>
      <c r="G2105" s="7">
        <v>2</v>
      </c>
      <c r="H2105" s="7" t="s">
        <v>10476</v>
      </c>
      <c r="I2105" s="7">
        <v>1</v>
      </c>
      <c r="J2105" s="7" t="s">
        <v>7861</v>
      </c>
      <c r="K2105" s="9" t="s">
        <v>8987</v>
      </c>
    </row>
    <row r="2106" spans="1:11">
      <c r="A2106" s="7">
        <v>2104</v>
      </c>
      <c r="B2106" s="7" t="s">
        <v>9174</v>
      </c>
      <c r="C2106" s="7" t="s">
        <v>8984</v>
      </c>
      <c r="D2106" s="7" t="s">
        <v>7573</v>
      </c>
      <c r="E2106" s="7" t="s">
        <v>11764</v>
      </c>
      <c r="F2106" s="8" t="s">
        <v>11014</v>
      </c>
      <c r="G2106" s="7">
        <v>2</v>
      </c>
      <c r="H2106" s="7" t="s">
        <v>10476</v>
      </c>
      <c r="I2106" s="7">
        <v>1</v>
      </c>
      <c r="J2106" s="7" t="s">
        <v>7861</v>
      </c>
      <c r="K2106" s="9" t="s">
        <v>8987</v>
      </c>
    </row>
    <row r="2107" spans="1:11">
      <c r="A2107" s="7">
        <v>2105</v>
      </c>
      <c r="B2107" s="7" t="s">
        <v>9174</v>
      </c>
      <c r="C2107" s="7" t="s">
        <v>8984</v>
      </c>
      <c r="D2107" s="7" t="s">
        <v>7573</v>
      </c>
      <c r="E2107" s="7" t="s">
        <v>11765</v>
      </c>
      <c r="F2107" s="8" t="s">
        <v>11014</v>
      </c>
      <c r="G2107" s="7">
        <v>2</v>
      </c>
      <c r="H2107" s="7" t="s">
        <v>10476</v>
      </c>
      <c r="I2107" s="7">
        <v>1</v>
      </c>
      <c r="J2107" s="7" t="s">
        <v>7861</v>
      </c>
      <c r="K2107" s="9" t="s">
        <v>8987</v>
      </c>
    </row>
    <row r="2108" spans="1:11">
      <c r="A2108" s="7">
        <v>2106</v>
      </c>
      <c r="B2108" s="7" t="s">
        <v>9174</v>
      </c>
      <c r="C2108" s="7" t="s">
        <v>8984</v>
      </c>
      <c r="D2108" s="7" t="s">
        <v>7573</v>
      </c>
      <c r="E2108" s="7" t="s">
        <v>11766</v>
      </c>
      <c r="F2108" s="8" t="s">
        <v>9295</v>
      </c>
      <c r="G2108" s="7">
        <v>2</v>
      </c>
      <c r="H2108" s="7" t="s">
        <v>10476</v>
      </c>
      <c r="I2108" s="7">
        <v>1</v>
      </c>
      <c r="J2108" s="7" t="s">
        <v>7861</v>
      </c>
      <c r="K2108" s="9" t="s">
        <v>8987</v>
      </c>
    </row>
    <row r="2109" spans="1:11">
      <c r="A2109" s="7">
        <v>2107</v>
      </c>
      <c r="B2109" s="7" t="s">
        <v>9174</v>
      </c>
      <c r="C2109" s="7" t="s">
        <v>8984</v>
      </c>
      <c r="D2109" s="7" t="s">
        <v>7573</v>
      </c>
      <c r="E2109" s="7" t="s">
        <v>11767</v>
      </c>
      <c r="F2109" s="8" t="s">
        <v>9295</v>
      </c>
      <c r="G2109" s="7">
        <v>2</v>
      </c>
      <c r="H2109" s="7" t="s">
        <v>10476</v>
      </c>
      <c r="I2109" s="7">
        <v>1</v>
      </c>
      <c r="J2109" s="7" t="s">
        <v>7861</v>
      </c>
      <c r="K2109" s="9" t="s">
        <v>8987</v>
      </c>
    </row>
    <row r="2110" spans="1:11">
      <c r="A2110" s="7">
        <v>2108</v>
      </c>
      <c r="B2110" s="7" t="s">
        <v>9174</v>
      </c>
      <c r="C2110" s="7" t="s">
        <v>8984</v>
      </c>
      <c r="D2110" s="7" t="s">
        <v>7573</v>
      </c>
      <c r="E2110" s="7" t="s">
        <v>11768</v>
      </c>
      <c r="F2110" s="8" t="s">
        <v>9295</v>
      </c>
      <c r="G2110" s="7">
        <v>2</v>
      </c>
      <c r="H2110" s="7" t="s">
        <v>10476</v>
      </c>
      <c r="I2110" s="7">
        <v>1</v>
      </c>
      <c r="J2110" s="7" t="s">
        <v>7861</v>
      </c>
      <c r="K2110" s="9" t="s">
        <v>8987</v>
      </c>
    </row>
    <row r="2111" spans="1:11">
      <c r="A2111" s="7">
        <v>2109</v>
      </c>
      <c r="B2111" s="7" t="s">
        <v>9174</v>
      </c>
      <c r="C2111" s="7" t="s">
        <v>8984</v>
      </c>
      <c r="D2111" s="7" t="s">
        <v>7573</v>
      </c>
      <c r="E2111" s="7" t="s">
        <v>11769</v>
      </c>
      <c r="F2111" s="8" t="s">
        <v>11016</v>
      </c>
      <c r="G2111" s="7">
        <v>13</v>
      </c>
      <c r="H2111" s="7" t="s">
        <v>9077</v>
      </c>
      <c r="I2111" s="7">
        <v>1</v>
      </c>
      <c r="J2111" s="7" t="s">
        <v>11187</v>
      </c>
      <c r="K2111" s="9" t="s">
        <v>8987</v>
      </c>
    </row>
    <row r="2112" spans="1:11">
      <c r="A2112" s="7">
        <v>2110</v>
      </c>
      <c r="B2112" s="7" t="s">
        <v>9174</v>
      </c>
      <c r="C2112" s="7" t="s">
        <v>8984</v>
      </c>
      <c r="D2112" s="7" t="s">
        <v>7573</v>
      </c>
      <c r="E2112" s="7" t="s">
        <v>11770</v>
      </c>
      <c r="F2112" s="8" t="s">
        <v>11016</v>
      </c>
      <c r="G2112" s="7">
        <v>27</v>
      </c>
      <c r="H2112" s="7" t="s">
        <v>9130</v>
      </c>
      <c r="I2112" s="7">
        <v>1</v>
      </c>
      <c r="J2112" s="7" t="s">
        <v>7852</v>
      </c>
      <c r="K2112" s="9" t="s">
        <v>8987</v>
      </c>
    </row>
    <row r="2113" spans="1:11">
      <c r="A2113" s="7">
        <v>2111</v>
      </c>
      <c r="B2113" s="7" t="s">
        <v>9174</v>
      </c>
      <c r="C2113" s="7" t="s">
        <v>8984</v>
      </c>
      <c r="D2113" s="7" t="s">
        <v>7573</v>
      </c>
      <c r="E2113" s="7" t="s">
        <v>11771</v>
      </c>
      <c r="F2113" s="8" t="s">
        <v>11016</v>
      </c>
      <c r="G2113" s="7">
        <v>21</v>
      </c>
      <c r="H2113" s="7" t="s">
        <v>9116</v>
      </c>
      <c r="I2113" s="7">
        <v>1</v>
      </c>
      <c r="J2113" s="7" t="s">
        <v>7842</v>
      </c>
      <c r="K2113" s="9" t="s">
        <v>8987</v>
      </c>
    </row>
    <row r="2114" spans="1:11">
      <c r="A2114" s="7">
        <v>2112</v>
      </c>
      <c r="B2114" s="7" t="s">
        <v>9174</v>
      </c>
      <c r="C2114" s="7" t="s">
        <v>8984</v>
      </c>
      <c r="D2114" s="7" t="s">
        <v>7573</v>
      </c>
      <c r="E2114" s="7" t="s">
        <v>11772</v>
      </c>
      <c r="F2114" s="8" t="s">
        <v>10172</v>
      </c>
      <c r="G2114" s="7">
        <v>12</v>
      </c>
      <c r="H2114" s="7" t="s">
        <v>9213</v>
      </c>
      <c r="I2114" s="7">
        <v>1</v>
      </c>
      <c r="J2114" s="7" t="s">
        <v>7864</v>
      </c>
      <c r="K2114" s="9" t="s">
        <v>8987</v>
      </c>
    </row>
    <row r="2115" spans="1:11">
      <c r="A2115" s="7">
        <v>2113</v>
      </c>
      <c r="B2115" s="7" t="s">
        <v>9174</v>
      </c>
      <c r="C2115" s="7" t="s">
        <v>8984</v>
      </c>
      <c r="D2115" s="7" t="s">
        <v>7573</v>
      </c>
      <c r="E2115" s="7" t="s">
        <v>11773</v>
      </c>
      <c r="F2115" s="8" t="s">
        <v>10172</v>
      </c>
      <c r="G2115" s="7">
        <v>25</v>
      </c>
      <c r="H2115" s="7" t="s">
        <v>9011</v>
      </c>
      <c r="I2115" s="7">
        <v>1</v>
      </c>
      <c r="J2115" s="7" t="s">
        <v>7840</v>
      </c>
      <c r="K2115" s="9" t="s">
        <v>8987</v>
      </c>
    </row>
    <row r="2116" spans="1:11">
      <c r="A2116" s="7">
        <v>2114</v>
      </c>
      <c r="B2116" s="7" t="s">
        <v>9174</v>
      </c>
      <c r="C2116" s="7" t="s">
        <v>8984</v>
      </c>
      <c r="D2116" s="7" t="s">
        <v>7573</v>
      </c>
      <c r="E2116" s="7" t="s">
        <v>11774</v>
      </c>
      <c r="F2116" s="8" t="s">
        <v>10172</v>
      </c>
      <c r="G2116" s="7">
        <v>19</v>
      </c>
      <c r="H2116" s="7" t="s">
        <v>10462</v>
      </c>
      <c r="I2116" s="7">
        <v>1</v>
      </c>
      <c r="J2116" s="7" t="s">
        <v>7841</v>
      </c>
      <c r="K2116" s="9" t="s">
        <v>8987</v>
      </c>
    </row>
    <row r="2117" spans="1:11">
      <c r="A2117" s="7">
        <v>2115</v>
      </c>
      <c r="B2117" s="7" t="s">
        <v>9174</v>
      </c>
      <c r="C2117" s="7" t="s">
        <v>8984</v>
      </c>
      <c r="D2117" s="7" t="s">
        <v>7546</v>
      </c>
      <c r="E2117" s="7" t="s">
        <v>11775</v>
      </c>
      <c r="F2117" s="8" t="s">
        <v>9083</v>
      </c>
      <c r="G2117" s="7">
        <v>17</v>
      </c>
      <c r="H2117" s="7" t="s">
        <v>9146</v>
      </c>
      <c r="I2117" s="7">
        <v>1</v>
      </c>
      <c r="J2117" s="7" t="s">
        <v>7850</v>
      </c>
      <c r="K2117" s="9" t="s">
        <v>8987</v>
      </c>
    </row>
    <row r="2118" spans="1:11">
      <c r="A2118" s="7">
        <v>2116</v>
      </c>
      <c r="B2118" s="7" t="s">
        <v>9174</v>
      </c>
      <c r="C2118" s="7" t="s">
        <v>8984</v>
      </c>
      <c r="D2118" s="7" t="s">
        <v>7546</v>
      </c>
      <c r="E2118" s="7" t="s">
        <v>11776</v>
      </c>
      <c r="F2118" s="8" t="s">
        <v>9083</v>
      </c>
      <c r="G2118" s="7">
        <v>80</v>
      </c>
      <c r="H2118" s="7" t="s">
        <v>9153</v>
      </c>
      <c r="I2118" s="7">
        <v>1</v>
      </c>
      <c r="J2118" s="7" t="s">
        <v>7867</v>
      </c>
      <c r="K2118" s="9" t="s">
        <v>8987</v>
      </c>
    </row>
    <row r="2119" spans="1:11">
      <c r="A2119" s="7">
        <v>2117</v>
      </c>
      <c r="B2119" s="7" t="s">
        <v>9088</v>
      </c>
      <c r="C2119" s="7" t="s">
        <v>8984</v>
      </c>
      <c r="D2119" s="7" t="s">
        <v>7546</v>
      </c>
      <c r="E2119" s="7" t="s">
        <v>11777</v>
      </c>
      <c r="F2119" s="8" t="s">
        <v>9087</v>
      </c>
      <c r="G2119" s="7">
        <v>19</v>
      </c>
      <c r="H2119" s="7" t="s">
        <v>10462</v>
      </c>
      <c r="I2119" s="7">
        <v>1</v>
      </c>
      <c r="J2119" s="7" t="s">
        <v>7841</v>
      </c>
      <c r="K2119" s="9" t="s">
        <v>8987</v>
      </c>
    </row>
    <row r="2120" spans="1:11">
      <c r="A2120" s="7">
        <v>2118</v>
      </c>
      <c r="B2120" s="7" t="s">
        <v>9088</v>
      </c>
      <c r="C2120" s="7" t="s">
        <v>8984</v>
      </c>
      <c r="D2120" s="7" t="s">
        <v>7546</v>
      </c>
      <c r="E2120" s="7" t="s">
        <v>11778</v>
      </c>
      <c r="F2120" s="8" t="s">
        <v>9087</v>
      </c>
      <c r="G2120" s="7">
        <v>80</v>
      </c>
      <c r="H2120" s="7" t="s">
        <v>9153</v>
      </c>
      <c r="I2120" s="7">
        <v>1</v>
      </c>
      <c r="J2120" s="7" t="s">
        <v>7867</v>
      </c>
      <c r="K2120" s="9" t="s">
        <v>8987</v>
      </c>
    </row>
    <row r="2121" spans="1:11">
      <c r="A2121" s="7">
        <v>2119</v>
      </c>
      <c r="B2121" s="7" t="s">
        <v>9088</v>
      </c>
      <c r="C2121" s="7" t="s">
        <v>8984</v>
      </c>
      <c r="D2121" s="7" t="s">
        <v>7546</v>
      </c>
      <c r="E2121" s="7" t="s">
        <v>11779</v>
      </c>
      <c r="F2121" s="8" t="s">
        <v>9091</v>
      </c>
      <c r="G2121" s="7">
        <v>19</v>
      </c>
      <c r="H2121" s="7" t="s">
        <v>10462</v>
      </c>
      <c r="I2121" s="7">
        <v>1</v>
      </c>
      <c r="J2121" s="7" t="s">
        <v>7841</v>
      </c>
      <c r="K2121" s="9" t="s">
        <v>8987</v>
      </c>
    </row>
    <row r="2122" spans="1:11">
      <c r="A2122" s="7">
        <v>2120</v>
      </c>
      <c r="B2122" s="7" t="s">
        <v>9088</v>
      </c>
      <c r="C2122" s="7" t="s">
        <v>8984</v>
      </c>
      <c r="D2122" s="7" t="s">
        <v>7546</v>
      </c>
      <c r="E2122" s="7" t="s">
        <v>11780</v>
      </c>
      <c r="F2122" s="8" t="s">
        <v>9091</v>
      </c>
      <c r="G2122" s="7">
        <v>80</v>
      </c>
      <c r="H2122" s="7" t="s">
        <v>9153</v>
      </c>
      <c r="I2122" s="7">
        <v>1</v>
      </c>
      <c r="J2122" s="7" t="s">
        <v>7867</v>
      </c>
      <c r="K2122" s="9" t="s">
        <v>8987</v>
      </c>
    </row>
    <row r="2123" spans="1:11">
      <c r="A2123" s="7">
        <v>2121</v>
      </c>
      <c r="B2123" s="7" t="s">
        <v>9088</v>
      </c>
      <c r="C2123" s="7" t="s">
        <v>8984</v>
      </c>
      <c r="D2123" s="7" t="s">
        <v>7546</v>
      </c>
      <c r="E2123" s="7" t="s">
        <v>6043</v>
      </c>
      <c r="F2123" s="8" t="s">
        <v>9093</v>
      </c>
      <c r="G2123" s="7">
        <v>19</v>
      </c>
      <c r="H2123" s="7" t="s">
        <v>10462</v>
      </c>
      <c r="I2123" s="7">
        <v>1</v>
      </c>
      <c r="J2123" s="7" t="s">
        <v>7841</v>
      </c>
      <c r="K2123" s="9" t="s">
        <v>8987</v>
      </c>
    </row>
    <row r="2124" spans="1:11">
      <c r="A2124" s="7">
        <v>2122</v>
      </c>
      <c r="B2124" s="7" t="s">
        <v>9088</v>
      </c>
      <c r="C2124" s="7" t="s">
        <v>8984</v>
      </c>
      <c r="D2124" s="7" t="s">
        <v>7546</v>
      </c>
      <c r="E2124" s="7" t="s">
        <v>11781</v>
      </c>
      <c r="F2124" s="8" t="s">
        <v>9093</v>
      </c>
      <c r="G2124" s="7">
        <v>80</v>
      </c>
      <c r="H2124" s="7" t="s">
        <v>9153</v>
      </c>
      <c r="I2124" s="7">
        <v>1</v>
      </c>
      <c r="J2124" s="7" t="s">
        <v>7867</v>
      </c>
      <c r="K2124" s="9" t="s">
        <v>8987</v>
      </c>
    </row>
    <row r="2125" spans="1:11">
      <c r="A2125" s="7">
        <v>2123</v>
      </c>
      <c r="B2125" s="7" t="s">
        <v>9174</v>
      </c>
      <c r="C2125" s="7" t="s">
        <v>8984</v>
      </c>
      <c r="D2125" s="7" t="s">
        <v>7546</v>
      </c>
      <c r="E2125" s="7" t="s">
        <v>11782</v>
      </c>
      <c r="F2125" s="8" t="s">
        <v>9096</v>
      </c>
      <c r="G2125" s="7">
        <v>19</v>
      </c>
      <c r="H2125" s="7" t="s">
        <v>10462</v>
      </c>
      <c r="I2125" s="7">
        <v>1</v>
      </c>
      <c r="J2125" s="7" t="s">
        <v>7841</v>
      </c>
      <c r="K2125" s="9" t="s">
        <v>8987</v>
      </c>
    </row>
    <row r="2126" spans="1:11">
      <c r="A2126" s="7">
        <v>2124</v>
      </c>
      <c r="B2126" s="7" t="s">
        <v>9174</v>
      </c>
      <c r="C2126" s="7" t="s">
        <v>8984</v>
      </c>
      <c r="D2126" s="7" t="s">
        <v>7546</v>
      </c>
      <c r="E2126" s="7" t="s">
        <v>11783</v>
      </c>
      <c r="F2126" s="8" t="s">
        <v>9096</v>
      </c>
      <c r="G2126" s="7">
        <v>80</v>
      </c>
      <c r="H2126" s="7" t="s">
        <v>9153</v>
      </c>
      <c r="I2126" s="7">
        <v>1</v>
      </c>
      <c r="J2126" s="7" t="s">
        <v>7867</v>
      </c>
      <c r="K2126" s="9" t="s">
        <v>8987</v>
      </c>
    </row>
    <row r="2127" spans="1:11">
      <c r="A2127" s="7">
        <v>2125</v>
      </c>
      <c r="B2127" s="7" t="s">
        <v>9174</v>
      </c>
      <c r="C2127" s="7" t="s">
        <v>8984</v>
      </c>
      <c r="D2127" s="7" t="s">
        <v>7546</v>
      </c>
      <c r="E2127" s="7" t="s">
        <v>11784</v>
      </c>
      <c r="F2127" s="8" t="s">
        <v>9098</v>
      </c>
      <c r="G2127" s="7">
        <v>19</v>
      </c>
      <c r="H2127" s="7" t="s">
        <v>10462</v>
      </c>
      <c r="I2127" s="7">
        <v>1</v>
      </c>
      <c r="J2127" s="7" t="s">
        <v>7841</v>
      </c>
      <c r="K2127" s="9" t="s">
        <v>8987</v>
      </c>
    </row>
    <row r="2128" spans="1:11">
      <c r="A2128" s="7">
        <v>2126</v>
      </c>
      <c r="B2128" s="7" t="s">
        <v>9174</v>
      </c>
      <c r="C2128" s="7" t="s">
        <v>8984</v>
      </c>
      <c r="D2128" s="7" t="s">
        <v>7546</v>
      </c>
      <c r="E2128" s="7" t="s">
        <v>11785</v>
      </c>
      <c r="F2128" s="8" t="s">
        <v>9098</v>
      </c>
      <c r="G2128" s="7">
        <v>80</v>
      </c>
      <c r="H2128" s="7" t="s">
        <v>9153</v>
      </c>
      <c r="I2128" s="7">
        <v>1</v>
      </c>
      <c r="J2128" s="7" t="s">
        <v>7867</v>
      </c>
      <c r="K2128" s="9" t="s">
        <v>8987</v>
      </c>
    </row>
    <row r="2129" spans="1:11">
      <c r="A2129" s="7">
        <v>2127</v>
      </c>
      <c r="B2129" s="7" t="s">
        <v>9174</v>
      </c>
      <c r="C2129" s="7" t="s">
        <v>8984</v>
      </c>
      <c r="D2129" s="7" t="s">
        <v>7546</v>
      </c>
      <c r="E2129" s="7" t="s">
        <v>11786</v>
      </c>
      <c r="F2129" s="8" t="s">
        <v>7894</v>
      </c>
      <c r="G2129" s="7">
        <v>17</v>
      </c>
      <c r="H2129" s="7" t="s">
        <v>9146</v>
      </c>
      <c r="I2129" s="7">
        <v>1</v>
      </c>
      <c r="J2129" s="7" t="s">
        <v>7850</v>
      </c>
      <c r="K2129" s="9" t="s">
        <v>8987</v>
      </c>
    </row>
    <row r="2130" spans="1:11">
      <c r="A2130" s="7">
        <v>2128</v>
      </c>
      <c r="B2130" s="7" t="s">
        <v>9174</v>
      </c>
      <c r="C2130" s="7" t="s">
        <v>8984</v>
      </c>
      <c r="D2130" s="7" t="s">
        <v>7546</v>
      </c>
      <c r="E2130" s="7" t="s">
        <v>11787</v>
      </c>
      <c r="F2130" s="8" t="s">
        <v>9094</v>
      </c>
      <c r="G2130" s="7">
        <v>18</v>
      </c>
      <c r="H2130" s="7" t="s">
        <v>9422</v>
      </c>
      <c r="I2130" s="7">
        <v>1</v>
      </c>
      <c r="J2130" s="7" t="s">
        <v>7885</v>
      </c>
      <c r="K2130" s="9" t="s">
        <v>8987</v>
      </c>
    </row>
    <row r="2131" spans="1:11">
      <c r="A2131" s="7">
        <v>2129</v>
      </c>
      <c r="B2131" s="7" t="s">
        <v>9174</v>
      </c>
      <c r="C2131" s="7" t="s">
        <v>8984</v>
      </c>
      <c r="D2131" s="7" t="s">
        <v>7546</v>
      </c>
      <c r="E2131" s="7" t="s">
        <v>11788</v>
      </c>
      <c r="F2131" s="8" t="s">
        <v>9094</v>
      </c>
      <c r="G2131" s="7">
        <v>80</v>
      </c>
      <c r="H2131" s="7" t="s">
        <v>9153</v>
      </c>
      <c r="I2131" s="7">
        <v>1</v>
      </c>
      <c r="J2131" s="7" t="s">
        <v>7867</v>
      </c>
      <c r="K2131" s="9" t="s">
        <v>8987</v>
      </c>
    </row>
    <row r="2132" spans="1:11">
      <c r="A2132" s="7">
        <v>2130</v>
      </c>
      <c r="B2132" s="7" t="s">
        <v>9174</v>
      </c>
      <c r="C2132" s="7" t="s">
        <v>8984</v>
      </c>
      <c r="D2132" s="7" t="s">
        <v>7546</v>
      </c>
      <c r="E2132" s="7" t="s">
        <v>11789</v>
      </c>
      <c r="F2132" s="8" t="s">
        <v>9163</v>
      </c>
      <c r="G2132" s="7">
        <v>51</v>
      </c>
      <c r="H2132" s="7" t="s">
        <v>10883</v>
      </c>
      <c r="I2132" s="7">
        <v>1</v>
      </c>
      <c r="J2132" s="7" t="s">
        <v>11790</v>
      </c>
      <c r="K2132" s="9" t="s">
        <v>8987</v>
      </c>
    </row>
    <row r="2133" spans="1:11">
      <c r="A2133" s="7">
        <v>2131</v>
      </c>
      <c r="B2133" s="7" t="s">
        <v>9174</v>
      </c>
      <c r="C2133" s="7" t="s">
        <v>8984</v>
      </c>
      <c r="D2133" s="7" t="s">
        <v>7546</v>
      </c>
      <c r="E2133" s="7" t="s">
        <v>11791</v>
      </c>
      <c r="F2133" s="8" t="s">
        <v>9163</v>
      </c>
      <c r="G2133" s="7">
        <v>80</v>
      </c>
      <c r="H2133" s="7" t="s">
        <v>9153</v>
      </c>
      <c r="I2133" s="7">
        <v>1</v>
      </c>
      <c r="J2133" s="7" t="s">
        <v>7867</v>
      </c>
      <c r="K2133" s="9" t="s">
        <v>8987</v>
      </c>
    </row>
    <row r="2134" spans="1:11">
      <c r="A2134" s="7">
        <v>2132</v>
      </c>
      <c r="B2134" s="7" t="s">
        <v>9174</v>
      </c>
      <c r="C2134" s="7" t="s">
        <v>8984</v>
      </c>
      <c r="D2134" s="7" t="s">
        <v>7546</v>
      </c>
      <c r="E2134" s="7" t="s">
        <v>11792</v>
      </c>
      <c r="F2134" s="8" t="s">
        <v>9165</v>
      </c>
      <c r="G2134" s="7">
        <v>51</v>
      </c>
      <c r="H2134" s="7" t="s">
        <v>10883</v>
      </c>
      <c r="I2134" s="7">
        <v>1</v>
      </c>
      <c r="J2134" s="7" t="s">
        <v>11790</v>
      </c>
      <c r="K2134" s="9" t="s">
        <v>8987</v>
      </c>
    </row>
    <row r="2135" spans="1:11">
      <c r="A2135" s="7">
        <v>2133</v>
      </c>
      <c r="B2135" s="7" t="s">
        <v>9174</v>
      </c>
      <c r="C2135" s="7" t="s">
        <v>8984</v>
      </c>
      <c r="D2135" s="7" t="s">
        <v>7546</v>
      </c>
      <c r="E2135" s="7" t="s">
        <v>11793</v>
      </c>
      <c r="F2135" s="8" t="s">
        <v>9226</v>
      </c>
      <c r="G2135" s="7">
        <v>21</v>
      </c>
      <c r="H2135" s="7" t="s">
        <v>9116</v>
      </c>
      <c r="I2135" s="7">
        <v>1</v>
      </c>
      <c r="J2135" s="7" t="s">
        <v>7842</v>
      </c>
      <c r="K2135" s="9" t="s">
        <v>8987</v>
      </c>
    </row>
    <row r="2136" spans="1:11">
      <c r="A2136" s="7">
        <v>2134</v>
      </c>
      <c r="B2136" s="7" t="s">
        <v>9174</v>
      </c>
      <c r="C2136" s="7" t="s">
        <v>8984</v>
      </c>
      <c r="D2136" s="7" t="s">
        <v>7546</v>
      </c>
      <c r="E2136" s="7" t="s">
        <v>11794</v>
      </c>
      <c r="F2136" s="8" t="s">
        <v>9226</v>
      </c>
      <c r="G2136" s="7">
        <v>80</v>
      </c>
      <c r="H2136" s="7" t="s">
        <v>9153</v>
      </c>
      <c r="I2136" s="7">
        <v>1</v>
      </c>
      <c r="J2136" s="7" t="s">
        <v>7867</v>
      </c>
      <c r="K2136" s="9" t="s">
        <v>8987</v>
      </c>
    </row>
    <row r="2137" spans="1:11">
      <c r="A2137" s="7">
        <v>2135</v>
      </c>
      <c r="B2137" s="7" t="s">
        <v>9088</v>
      </c>
      <c r="C2137" s="7" t="s">
        <v>8984</v>
      </c>
      <c r="D2137" s="7" t="s">
        <v>7546</v>
      </c>
      <c r="E2137" s="7" t="s">
        <v>11795</v>
      </c>
      <c r="F2137" s="8" t="s">
        <v>9228</v>
      </c>
      <c r="G2137" s="7">
        <v>23</v>
      </c>
      <c r="H2137" s="7" t="s">
        <v>9120</v>
      </c>
      <c r="I2137" s="7">
        <v>1</v>
      </c>
      <c r="J2137" s="7" t="s">
        <v>7848</v>
      </c>
      <c r="K2137" s="9" t="s">
        <v>8987</v>
      </c>
    </row>
    <row r="2138" spans="1:11">
      <c r="A2138" s="7">
        <v>2136</v>
      </c>
      <c r="B2138" s="7" t="s">
        <v>9088</v>
      </c>
      <c r="C2138" s="7" t="s">
        <v>8984</v>
      </c>
      <c r="D2138" s="7" t="s">
        <v>7546</v>
      </c>
      <c r="E2138" s="7" t="s">
        <v>11796</v>
      </c>
      <c r="F2138" s="8" t="s">
        <v>9228</v>
      </c>
      <c r="G2138" s="7">
        <v>80</v>
      </c>
      <c r="H2138" s="7" t="s">
        <v>9153</v>
      </c>
      <c r="I2138" s="7">
        <v>1</v>
      </c>
      <c r="J2138" s="7" t="s">
        <v>7867</v>
      </c>
      <c r="K2138" s="9" t="s">
        <v>8987</v>
      </c>
    </row>
    <row r="2139" spans="1:11">
      <c r="A2139" s="7">
        <v>2137</v>
      </c>
      <c r="B2139" s="7" t="s">
        <v>9088</v>
      </c>
      <c r="C2139" s="7" t="s">
        <v>8984</v>
      </c>
      <c r="D2139" s="7" t="s">
        <v>7546</v>
      </c>
      <c r="E2139" s="7" t="s">
        <v>11797</v>
      </c>
      <c r="F2139" s="8" t="s">
        <v>9232</v>
      </c>
      <c r="G2139" s="7">
        <v>23</v>
      </c>
      <c r="H2139" s="7" t="s">
        <v>9120</v>
      </c>
      <c r="I2139" s="7">
        <v>1</v>
      </c>
      <c r="J2139" s="7" t="s">
        <v>7848</v>
      </c>
      <c r="K2139" s="9" t="s">
        <v>8987</v>
      </c>
    </row>
    <row r="2140" spans="1:11">
      <c r="A2140" s="7">
        <v>2138</v>
      </c>
      <c r="B2140" s="7" t="s">
        <v>9088</v>
      </c>
      <c r="C2140" s="7" t="s">
        <v>8984</v>
      </c>
      <c r="D2140" s="7" t="s">
        <v>7546</v>
      </c>
      <c r="E2140" s="7" t="s">
        <v>11798</v>
      </c>
      <c r="F2140" s="8" t="s">
        <v>9232</v>
      </c>
      <c r="G2140" s="7">
        <v>80</v>
      </c>
      <c r="H2140" s="7" t="s">
        <v>9153</v>
      </c>
      <c r="I2140" s="7">
        <v>1</v>
      </c>
      <c r="J2140" s="7" t="s">
        <v>7867</v>
      </c>
      <c r="K2140" s="9" t="s">
        <v>8987</v>
      </c>
    </row>
    <row r="2141" spans="1:11">
      <c r="A2141" s="7">
        <v>2139</v>
      </c>
      <c r="B2141" s="7" t="s">
        <v>9088</v>
      </c>
      <c r="C2141" s="7" t="s">
        <v>8984</v>
      </c>
      <c r="D2141" s="7" t="s">
        <v>7546</v>
      </c>
      <c r="E2141" s="7" t="s">
        <v>11799</v>
      </c>
      <c r="F2141" s="8" t="s">
        <v>9234</v>
      </c>
      <c r="G2141" s="7">
        <v>23</v>
      </c>
      <c r="H2141" s="7" t="s">
        <v>9120</v>
      </c>
      <c r="I2141" s="7">
        <v>1</v>
      </c>
      <c r="J2141" s="7" t="s">
        <v>7848</v>
      </c>
      <c r="K2141" s="9" t="s">
        <v>8987</v>
      </c>
    </row>
    <row r="2142" spans="1:11">
      <c r="A2142" s="7">
        <v>2140</v>
      </c>
      <c r="B2142" s="7" t="s">
        <v>9088</v>
      </c>
      <c r="C2142" s="7" t="s">
        <v>8984</v>
      </c>
      <c r="D2142" s="7" t="s">
        <v>7546</v>
      </c>
      <c r="E2142" s="7" t="s">
        <v>11800</v>
      </c>
      <c r="F2142" s="8" t="s">
        <v>9234</v>
      </c>
      <c r="G2142" s="7">
        <v>80</v>
      </c>
      <c r="H2142" s="7" t="s">
        <v>9153</v>
      </c>
      <c r="I2142" s="7">
        <v>1</v>
      </c>
      <c r="J2142" s="7" t="s">
        <v>7867</v>
      </c>
      <c r="K2142" s="9" t="s">
        <v>8987</v>
      </c>
    </row>
    <row r="2143" spans="1:11">
      <c r="A2143" s="7">
        <v>2141</v>
      </c>
      <c r="B2143" s="7" t="s">
        <v>9174</v>
      </c>
      <c r="C2143" s="7" t="s">
        <v>8984</v>
      </c>
      <c r="D2143" s="7" t="s">
        <v>7546</v>
      </c>
      <c r="E2143" s="7" t="s">
        <v>11801</v>
      </c>
      <c r="F2143" s="8" t="s">
        <v>10526</v>
      </c>
      <c r="G2143" s="7">
        <v>22</v>
      </c>
      <c r="H2143" s="7" t="s">
        <v>8994</v>
      </c>
      <c r="I2143" s="7">
        <v>1</v>
      </c>
      <c r="J2143" s="7" t="s">
        <v>7879</v>
      </c>
      <c r="K2143" s="9" t="s">
        <v>8987</v>
      </c>
    </row>
    <row r="2144" spans="1:11">
      <c r="A2144" s="7">
        <v>2142</v>
      </c>
      <c r="B2144" s="7" t="s">
        <v>9174</v>
      </c>
      <c r="C2144" s="7" t="s">
        <v>8984</v>
      </c>
      <c r="D2144" s="7" t="s">
        <v>7546</v>
      </c>
      <c r="E2144" s="7" t="s">
        <v>11802</v>
      </c>
      <c r="F2144" s="8" t="s">
        <v>10526</v>
      </c>
      <c r="G2144" s="7">
        <v>80</v>
      </c>
      <c r="H2144" s="7" t="s">
        <v>9153</v>
      </c>
      <c r="I2144" s="7">
        <v>1</v>
      </c>
      <c r="J2144" s="7" t="s">
        <v>7867</v>
      </c>
      <c r="K2144" s="9" t="s">
        <v>8987</v>
      </c>
    </row>
    <row r="2145" spans="1:11">
      <c r="A2145" s="7">
        <v>2143</v>
      </c>
      <c r="B2145" s="7" t="s">
        <v>9174</v>
      </c>
      <c r="C2145" s="7" t="s">
        <v>8984</v>
      </c>
      <c r="D2145" s="7" t="s">
        <v>7546</v>
      </c>
      <c r="E2145" s="7" t="s">
        <v>11803</v>
      </c>
      <c r="F2145" s="8" t="s">
        <v>9457</v>
      </c>
      <c r="G2145" s="7">
        <v>17</v>
      </c>
      <c r="H2145" s="7" t="s">
        <v>9146</v>
      </c>
      <c r="I2145" s="7">
        <v>1</v>
      </c>
      <c r="J2145" s="7" t="s">
        <v>7850</v>
      </c>
      <c r="K2145" s="9" t="s">
        <v>8987</v>
      </c>
    </row>
    <row r="2146" spans="1:11">
      <c r="A2146" s="7">
        <v>2144</v>
      </c>
      <c r="B2146" s="7" t="s">
        <v>9088</v>
      </c>
      <c r="C2146" s="7" t="s">
        <v>8984</v>
      </c>
      <c r="D2146" s="7" t="s">
        <v>7546</v>
      </c>
      <c r="E2146" s="7" t="s">
        <v>11804</v>
      </c>
      <c r="F2146" s="8" t="s">
        <v>10186</v>
      </c>
      <c r="G2146" s="7">
        <v>19</v>
      </c>
      <c r="H2146" s="7" t="s">
        <v>10462</v>
      </c>
      <c r="I2146" s="7">
        <v>1</v>
      </c>
      <c r="J2146" s="7" t="s">
        <v>7841</v>
      </c>
      <c r="K2146" s="9" t="s">
        <v>8987</v>
      </c>
    </row>
    <row r="2147" spans="1:11">
      <c r="A2147" s="7">
        <v>2145</v>
      </c>
      <c r="B2147" s="7" t="s">
        <v>9088</v>
      </c>
      <c r="C2147" s="7" t="s">
        <v>8984</v>
      </c>
      <c r="D2147" s="7" t="s">
        <v>7546</v>
      </c>
      <c r="E2147" s="7" t="s">
        <v>11805</v>
      </c>
      <c r="F2147" s="8" t="s">
        <v>10186</v>
      </c>
      <c r="G2147" s="7">
        <v>80</v>
      </c>
      <c r="H2147" s="7" t="s">
        <v>9153</v>
      </c>
      <c r="I2147" s="7">
        <v>1</v>
      </c>
      <c r="J2147" s="7" t="s">
        <v>7867</v>
      </c>
      <c r="K2147" s="9" t="s">
        <v>8987</v>
      </c>
    </row>
    <row r="2148" spans="1:11">
      <c r="A2148" s="7">
        <v>2146</v>
      </c>
      <c r="B2148" s="7" t="s">
        <v>9088</v>
      </c>
      <c r="C2148" s="7" t="s">
        <v>8984</v>
      </c>
      <c r="D2148" s="7" t="s">
        <v>7546</v>
      </c>
      <c r="E2148" s="7" t="s">
        <v>11806</v>
      </c>
      <c r="F2148" s="8" t="s">
        <v>10188</v>
      </c>
      <c r="G2148" s="7">
        <v>19</v>
      </c>
      <c r="H2148" s="7" t="s">
        <v>10462</v>
      </c>
      <c r="I2148" s="7">
        <v>1</v>
      </c>
      <c r="J2148" s="7" t="s">
        <v>7841</v>
      </c>
      <c r="K2148" s="9" t="s">
        <v>8987</v>
      </c>
    </row>
    <row r="2149" spans="1:11">
      <c r="A2149" s="7">
        <v>2147</v>
      </c>
      <c r="B2149" s="7" t="s">
        <v>9088</v>
      </c>
      <c r="C2149" s="7" t="s">
        <v>8984</v>
      </c>
      <c r="D2149" s="7" t="s">
        <v>7546</v>
      </c>
      <c r="E2149" s="7" t="s">
        <v>11807</v>
      </c>
      <c r="F2149" s="8" t="s">
        <v>10188</v>
      </c>
      <c r="G2149" s="7">
        <v>80</v>
      </c>
      <c r="H2149" s="7" t="s">
        <v>9153</v>
      </c>
      <c r="I2149" s="7">
        <v>1</v>
      </c>
      <c r="J2149" s="7" t="s">
        <v>7867</v>
      </c>
      <c r="K2149" s="9" t="s">
        <v>8987</v>
      </c>
    </row>
    <row r="2150" spans="1:11">
      <c r="A2150" s="7">
        <v>2148</v>
      </c>
      <c r="B2150" s="7" t="s">
        <v>9088</v>
      </c>
      <c r="C2150" s="7" t="s">
        <v>8984</v>
      </c>
      <c r="D2150" s="7" t="s">
        <v>7546</v>
      </c>
      <c r="E2150" s="7" t="s">
        <v>11808</v>
      </c>
      <c r="F2150" s="8" t="s">
        <v>10190</v>
      </c>
      <c r="G2150" s="7">
        <v>19</v>
      </c>
      <c r="H2150" s="7" t="s">
        <v>10462</v>
      </c>
      <c r="I2150" s="7">
        <v>1</v>
      </c>
      <c r="J2150" s="7" t="s">
        <v>7841</v>
      </c>
      <c r="K2150" s="9" t="s">
        <v>8987</v>
      </c>
    </row>
    <row r="2151" spans="1:11">
      <c r="A2151" s="7">
        <v>2149</v>
      </c>
      <c r="B2151" s="7" t="s">
        <v>9088</v>
      </c>
      <c r="C2151" s="7" t="s">
        <v>8984</v>
      </c>
      <c r="D2151" s="7" t="s">
        <v>7546</v>
      </c>
      <c r="E2151" s="7" t="s">
        <v>11809</v>
      </c>
      <c r="F2151" s="8" t="s">
        <v>10190</v>
      </c>
      <c r="G2151" s="7">
        <v>80</v>
      </c>
      <c r="H2151" s="7" t="s">
        <v>9153</v>
      </c>
      <c r="I2151" s="7">
        <v>1</v>
      </c>
      <c r="J2151" s="7" t="s">
        <v>7867</v>
      </c>
      <c r="K2151" s="9" t="s">
        <v>8987</v>
      </c>
    </row>
    <row r="2152" spans="1:11">
      <c r="A2152" s="7">
        <v>2150</v>
      </c>
      <c r="B2152" s="7" t="s">
        <v>9174</v>
      </c>
      <c r="C2152" s="7" t="s">
        <v>8984</v>
      </c>
      <c r="D2152" s="7" t="s">
        <v>7546</v>
      </c>
      <c r="E2152" s="7" t="s">
        <v>11810</v>
      </c>
      <c r="F2152" s="8" t="s">
        <v>10293</v>
      </c>
      <c r="G2152" s="7">
        <v>80</v>
      </c>
      <c r="H2152" s="7" t="s">
        <v>9153</v>
      </c>
      <c r="I2152" s="7">
        <v>1</v>
      </c>
      <c r="J2152" s="7" t="s">
        <v>7867</v>
      </c>
      <c r="K2152" s="9" t="s">
        <v>8987</v>
      </c>
    </row>
    <row r="2153" spans="1:11">
      <c r="A2153" s="7">
        <v>2151</v>
      </c>
      <c r="B2153" s="7" t="s">
        <v>9174</v>
      </c>
      <c r="C2153" s="7" t="s">
        <v>8984</v>
      </c>
      <c r="D2153" s="7" t="s">
        <v>7546</v>
      </c>
      <c r="E2153" s="7" t="s">
        <v>11811</v>
      </c>
      <c r="F2153" s="8" t="s">
        <v>10293</v>
      </c>
      <c r="G2153" s="7">
        <v>80</v>
      </c>
      <c r="H2153" s="7" t="s">
        <v>9153</v>
      </c>
      <c r="I2153" s="7">
        <v>1</v>
      </c>
      <c r="J2153" s="7" t="s">
        <v>7867</v>
      </c>
      <c r="K2153" s="9" t="s">
        <v>8987</v>
      </c>
    </row>
    <row r="2154" spans="1:11">
      <c r="A2154" s="7">
        <v>2152</v>
      </c>
      <c r="B2154" s="7" t="s">
        <v>9174</v>
      </c>
      <c r="C2154" s="7" t="s">
        <v>8984</v>
      </c>
      <c r="D2154" s="7" t="s">
        <v>7546</v>
      </c>
      <c r="E2154" s="7" t="s">
        <v>11812</v>
      </c>
      <c r="F2154" s="8" t="s">
        <v>10293</v>
      </c>
      <c r="G2154" s="7">
        <v>80</v>
      </c>
      <c r="H2154" s="7" t="s">
        <v>9153</v>
      </c>
      <c r="I2154" s="7">
        <v>1</v>
      </c>
      <c r="J2154" s="7" t="s">
        <v>7867</v>
      </c>
      <c r="K2154" s="9" t="s">
        <v>8987</v>
      </c>
    </row>
    <row r="2155" spans="1:11">
      <c r="A2155" s="7">
        <v>2153</v>
      </c>
      <c r="B2155" s="7" t="s">
        <v>9174</v>
      </c>
      <c r="C2155" s="7" t="s">
        <v>8984</v>
      </c>
      <c r="D2155" s="7" t="s">
        <v>7546</v>
      </c>
      <c r="E2155" s="7" t="s">
        <v>11813</v>
      </c>
      <c r="F2155" s="8" t="s">
        <v>10293</v>
      </c>
      <c r="G2155" s="7">
        <v>80</v>
      </c>
      <c r="H2155" s="7" t="s">
        <v>9153</v>
      </c>
      <c r="I2155" s="7">
        <v>1</v>
      </c>
      <c r="J2155" s="7" t="s">
        <v>7867</v>
      </c>
      <c r="K2155" s="9" t="s">
        <v>8987</v>
      </c>
    </row>
    <row r="2156" spans="1:11">
      <c r="A2156" s="7">
        <v>2154</v>
      </c>
      <c r="B2156" s="7" t="s">
        <v>11105</v>
      </c>
      <c r="C2156" s="7" t="s">
        <v>11152</v>
      </c>
      <c r="D2156" s="7" t="s">
        <v>7546</v>
      </c>
      <c r="E2156" s="7" t="s">
        <v>11814</v>
      </c>
      <c r="F2156" s="8" t="s">
        <v>10293</v>
      </c>
      <c r="G2156" s="7">
        <v>80</v>
      </c>
      <c r="H2156" s="7" t="s">
        <v>9153</v>
      </c>
      <c r="I2156" s="7">
        <v>1</v>
      </c>
      <c r="J2156" s="7" t="s">
        <v>7867</v>
      </c>
      <c r="K2156" s="9" t="s">
        <v>8987</v>
      </c>
    </row>
    <row r="2157" spans="1:11">
      <c r="A2157" s="7">
        <v>2155</v>
      </c>
      <c r="B2157" s="7" t="s">
        <v>9174</v>
      </c>
      <c r="C2157" s="7" t="s">
        <v>8984</v>
      </c>
      <c r="D2157" s="7" t="s">
        <v>7566</v>
      </c>
      <c r="E2157" s="7" t="s">
        <v>11815</v>
      </c>
      <c r="F2157" s="8" t="s">
        <v>9965</v>
      </c>
      <c r="G2157" s="7">
        <v>5</v>
      </c>
      <c r="H2157" s="7" t="s">
        <v>9336</v>
      </c>
      <c r="I2157" s="7">
        <v>1</v>
      </c>
      <c r="J2157" s="7" t="s">
        <v>7620</v>
      </c>
      <c r="K2157" s="9" t="s">
        <v>8987</v>
      </c>
    </row>
    <row r="2158" spans="1:11">
      <c r="A2158" s="7">
        <v>2156</v>
      </c>
      <c r="B2158" s="7" t="s">
        <v>9174</v>
      </c>
      <c r="C2158" s="7" t="s">
        <v>8984</v>
      </c>
      <c r="D2158" s="7" t="s">
        <v>7566</v>
      </c>
      <c r="E2158" s="7" t="s">
        <v>11816</v>
      </c>
      <c r="F2158" s="8" t="s">
        <v>9965</v>
      </c>
      <c r="G2158" s="7">
        <v>10</v>
      </c>
      <c r="H2158" s="7" t="s">
        <v>9292</v>
      </c>
      <c r="I2158" s="7">
        <v>1</v>
      </c>
      <c r="J2158" s="7" t="s">
        <v>7768</v>
      </c>
      <c r="K2158" s="9" t="s">
        <v>8987</v>
      </c>
    </row>
    <row r="2159" spans="1:11">
      <c r="A2159" s="7">
        <v>2157</v>
      </c>
      <c r="B2159" s="7" t="s">
        <v>9174</v>
      </c>
      <c r="C2159" s="7" t="s">
        <v>8984</v>
      </c>
      <c r="D2159" s="7" t="s">
        <v>7566</v>
      </c>
      <c r="E2159" s="7" t="s">
        <v>11817</v>
      </c>
      <c r="F2159" s="8" t="s">
        <v>9965</v>
      </c>
      <c r="G2159" s="7">
        <v>7</v>
      </c>
      <c r="H2159" s="7" t="s">
        <v>9182</v>
      </c>
      <c r="I2159" s="7">
        <v>1</v>
      </c>
      <c r="J2159" s="7" t="s">
        <v>7866</v>
      </c>
      <c r="K2159" s="9" t="s">
        <v>8987</v>
      </c>
    </row>
    <row r="2160" spans="1:11">
      <c r="A2160" s="7">
        <v>2158</v>
      </c>
      <c r="B2160" s="7" t="s">
        <v>9174</v>
      </c>
      <c r="C2160" s="7" t="s">
        <v>8984</v>
      </c>
      <c r="D2160" s="7" t="s">
        <v>7566</v>
      </c>
      <c r="E2160" s="7" t="s">
        <v>11818</v>
      </c>
      <c r="F2160" s="8" t="s">
        <v>9965</v>
      </c>
      <c r="G2160" s="7">
        <v>10</v>
      </c>
      <c r="H2160" s="7" t="s">
        <v>9292</v>
      </c>
      <c r="I2160" s="7">
        <v>1</v>
      </c>
      <c r="J2160" s="7" t="s">
        <v>7768</v>
      </c>
      <c r="K2160" s="9" t="s">
        <v>8987</v>
      </c>
    </row>
    <row r="2161" spans="1:11">
      <c r="A2161" s="7">
        <v>2159</v>
      </c>
      <c r="B2161" s="7" t="s">
        <v>9174</v>
      </c>
      <c r="C2161" s="7" t="s">
        <v>8984</v>
      </c>
      <c r="D2161" s="7" t="s">
        <v>7566</v>
      </c>
      <c r="E2161" s="7" t="s">
        <v>11819</v>
      </c>
      <c r="F2161" s="8" t="s">
        <v>9969</v>
      </c>
      <c r="G2161" s="7">
        <v>5</v>
      </c>
      <c r="H2161" s="7" t="s">
        <v>9336</v>
      </c>
      <c r="I2161" s="7">
        <v>1</v>
      </c>
      <c r="J2161" s="7" t="s">
        <v>7620</v>
      </c>
      <c r="K2161" s="9" t="s">
        <v>8987</v>
      </c>
    </row>
    <row r="2162" spans="1:11">
      <c r="A2162" s="7">
        <v>2160</v>
      </c>
      <c r="B2162" s="7" t="s">
        <v>9174</v>
      </c>
      <c r="C2162" s="7" t="s">
        <v>8984</v>
      </c>
      <c r="D2162" s="7" t="s">
        <v>7566</v>
      </c>
      <c r="E2162" s="7" t="s">
        <v>11820</v>
      </c>
      <c r="F2162" s="8" t="s">
        <v>9969</v>
      </c>
      <c r="G2162" s="7">
        <v>10</v>
      </c>
      <c r="H2162" s="7" t="s">
        <v>9292</v>
      </c>
      <c r="I2162" s="7">
        <v>1</v>
      </c>
      <c r="J2162" s="7" t="s">
        <v>7768</v>
      </c>
      <c r="K2162" s="9" t="s">
        <v>8987</v>
      </c>
    </row>
    <row r="2163" spans="1:11">
      <c r="A2163" s="7">
        <v>2161</v>
      </c>
      <c r="B2163" s="7" t="s">
        <v>9174</v>
      </c>
      <c r="C2163" s="7" t="s">
        <v>8984</v>
      </c>
      <c r="D2163" s="7" t="s">
        <v>7566</v>
      </c>
      <c r="E2163" s="7" t="s">
        <v>11821</v>
      </c>
      <c r="F2163" s="8" t="s">
        <v>9969</v>
      </c>
      <c r="G2163" s="7">
        <v>7</v>
      </c>
      <c r="H2163" s="7" t="s">
        <v>9182</v>
      </c>
      <c r="I2163" s="7">
        <v>1</v>
      </c>
      <c r="J2163" s="7" t="s">
        <v>7866</v>
      </c>
      <c r="K2163" s="9" t="s">
        <v>8987</v>
      </c>
    </row>
    <row r="2164" spans="1:11">
      <c r="A2164" s="7">
        <v>2162</v>
      </c>
      <c r="B2164" s="7" t="s">
        <v>9174</v>
      </c>
      <c r="C2164" s="7" t="s">
        <v>8984</v>
      </c>
      <c r="D2164" s="7" t="s">
        <v>7566</v>
      </c>
      <c r="E2164" s="7" t="s">
        <v>11822</v>
      </c>
      <c r="F2164" s="8" t="s">
        <v>9969</v>
      </c>
      <c r="G2164" s="7">
        <v>10</v>
      </c>
      <c r="H2164" s="7" t="s">
        <v>9292</v>
      </c>
      <c r="I2164" s="7">
        <v>1</v>
      </c>
      <c r="J2164" s="7" t="s">
        <v>7768</v>
      </c>
      <c r="K2164" s="9" t="s">
        <v>8987</v>
      </c>
    </row>
    <row r="2165" spans="1:11">
      <c r="A2165" s="7">
        <v>2163</v>
      </c>
      <c r="B2165" s="7" t="s">
        <v>9174</v>
      </c>
      <c r="C2165" s="7" t="s">
        <v>8984</v>
      </c>
      <c r="D2165" s="7" t="s">
        <v>7566</v>
      </c>
      <c r="E2165" s="7" t="s">
        <v>11823</v>
      </c>
      <c r="F2165" s="8" t="s">
        <v>9971</v>
      </c>
      <c r="G2165" s="7">
        <v>5</v>
      </c>
      <c r="H2165" s="7" t="s">
        <v>9336</v>
      </c>
      <c r="I2165" s="7">
        <v>1</v>
      </c>
      <c r="J2165" s="7" t="s">
        <v>7620</v>
      </c>
      <c r="K2165" s="9" t="s">
        <v>8987</v>
      </c>
    </row>
    <row r="2166" spans="1:11">
      <c r="A2166" s="7">
        <v>2164</v>
      </c>
      <c r="B2166" s="7" t="s">
        <v>9174</v>
      </c>
      <c r="C2166" s="7" t="s">
        <v>8984</v>
      </c>
      <c r="D2166" s="7" t="s">
        <v>7566</v>
      </c>
      <c r="E2166" s="7" t="s">
        <v>11824</v>
      </c>
      <c r="F2166" s="8" t="s">
        <v>9971</v>
      </c>
      <c r="G2166" s="7">
        <v>10</v>
      </c>
      <c r="H2166" s="7" t="s">
        <v>9292</v>
      </c>
      <c r="I2166" s="7">
        <v>1</v>
      </c>
      <c r="J2166" s="7" t="s">
        <v>7768</v>
      </c>
      <c r="K2166" s="9" t="s">
        <v>8987</v>
      </c>
    </row>
    <row r="2167" spans="1:11">
      <c r="A2167" s="7">
        <v>2165</v>
      </c>
      <c r="B2167" s="7" t="s">
        <v>9174</v>
      </c>
      <c r="C2167" s="7" t="s">
        <v>8984</v>
      </c>
      <c r="D2167" s="7" t="s">
        <v>7566</v>
      </c>
      <c r="E2167" s="7" t="s">
        <v>11825</v>
      </c>
      <c r="F2167" s="8" t="s">
        <v>9971</v>
      </c>
      <c r="G2167" s="7">
        <v>7</v>
      </c>
      <c r="H2167" s="7" t="s">
        <v>9182</v>
      </c>
      <c r="I2167" s="7">
        <v>1</v>
      </c>
      <c r="J2167" s="7" t="s">
        <v>7866</v>
      </c>
      <c r="K2167" s="9" t="s">
        <v>8987</v>
      </c>
    </row>
    <row r="2168" spans="1:11">
      <c r="A2168" s="7">
        <v>2166</v>
      </c>
      <c r="B2168" s="7" t="s">
        <v>9174</v>
      </c>
      <c r="C2168" s="7" t="s">
        <v>8984</v>
      </c>
      <c r="D2168" s="7" t="s">
        <v>7566</v>
      </c>
      <c r="E2168" s="7" t="s">
        <v>11826</v>
      </c>
      <c r="F2168" s="8" t="s">
        <v>9971</v>
      </c>
      <c r="G2168" s="7">
        <v>10</v>
      </c>
      <c r="H2168" s="7" t="s">
        <v>9292</v>
      </c>
      <c r="I2168" s="7">
        <v>1</v>
      </c>
      <c r="J2168" s="7" t="s">
        <v>7768</v>
      </c>
      <c r="K2168" s="9" t="s">
        <v>8987</v>
      </c>
    </row>
    <row r="2169" spans="1:11">
      <c r="A2169" s="7">
        <v>2167</v>
      </c>
      <c r="B2169" s="7" t="s">
        <v>9174</v>
      </c>
      <c r="C2169" s="7" t="s">
        <v>8984</v>
      </c>
      <c r="D2169" s="7" t="s">
        <v>7566</v>
      </c>
      <c r="E2169" s="7" t="s">
        <v>11827</v>
      </c>
      <c r="F2169" s="8" t="s">
        <v>11828</v>
      </c>
      <c r="G2169" s="7">
        <v>5</v>
      </c>
      <c r="H2169" s="7" t="s">
        <v>9336</v>
      </c>
      <c r="I2169" s="7">
        <v>1</v>
      </c>
      <c r="J2169" s="7" t="s">
        <v>7620</v>
      </c>
      <c r="K2169" s="9" t="s">
        <v>8987</v>
      </c>
    </row>
    <row r="2170" spans="1:11">
      <c r="A2170" s="7">
        <v>2168</v>
      </c>
      <c r="B2170" s="7" t="s">
        <v>9174</v>
      </c>
      <c r="C2170" s="7" t="s">
        <v>8984</v>
      </c>
      <c r="D2170" s="7" t="s">
        <v>7566</v>
      </c>
      <c r="E2170" s="7" t="s">
        <v>11829</v>
      </c>
      <c r="F2170" s="8" t="s">
        <v>11828</v>
      </c>
      <c r="G2170" s="7">
        <v>10</v>
      </c>
      <c r="H2170" s="7" t="s">
        <v>9292</v>
      </c>
      <c r="I2170" s="7">
        <v>1</v>
      </c>
      <c r="J2170" s="7" t="s">
        <v>7768</v>
      </c>
      <c r="K2170" s="9" t="s">
        <v>8987</v>
      </c>
    </row>
    <row r="2171" spans="1:11">
      <c r="A2171" s="7">
        <v>2169</v>
      </c>
      <c r="B2171" s="7" t="s">
        <v>9174</v>
      </c>
      <c r="C2171" s="7" t="s">
        <v>8984</v>
      </c>
      <c r="D2171" s="7" t="s">
        <v>7566</v>
      </c>
      <c r="E2171" s="7" t="s">
        <v>11830</v>
      </c>
      <c r="F2171" s="8" t="s">
        <v>11828</v>
      </c>
      <c r="G2171" s="7">
        <v>7</v>
      </c>
      <c r="H2171" s="7" t="s">
        <v>9182</v>
      </c>
      <c r="I2171" s="7">
        <v>1</v>
      </c>
      <c r="J2171" s="7" t="s">
        <v>7866</v>
      </c>
      <c r="K2171" s="9" t="s">
        <v>8987</v>
      </c>
    </row>
    <row r="2172" spans="1:11">
      <c r="A2172" s="7">
        <v>2170</v>
      </c>
      <c r="B2172" s="7" t="s">
        <v>9174</v>
      </c>
      <c r="C2172" s="7" t="s">
        <v>8984</v>
      </c>
      <c r="D2172" s="7" t="s">
        <v>7566</v>
      </c>
      <c r="E2172" s="7" t="s">
        <v>11831</v>
      </c>
      <c r="F2172" s="8" t="s">
        <v>11828</v>
      </c>
      <c r="G2172" s="7">
        <v>10</v>
      </c>
      <c r="H2172" s="7" t="s">
        <v>9292</v>
      </c>
      <c r="I2172" s="7">
        <v>1</v>
      </c>
      <c r="J2172" s="7" t="s">
        <v>7768</v>
      </c>
      <c r="K2172" s="9" t="s">
        <v>8987</v>
      </c>
    </row>
    <row r="2173" spans="1:11">
      <c r="A2173" s="7">
        <v>2171</v>
      </c>
      <c r="B2173" s="7" t="s">
        <v>9174</v>
      </c>
      <c r="C2173" s="7" t="s">
        <v>8984</v>
      </c>
      <c r="D2173" s="7" t="s">
        <v>7566</v>
      </c>
      <c r="E2173" s="7" t="s">
        <v>11832</v>
      </c>
      <c r="F2173" s="8" t="s">
        <v>9628</v>
      </c>
      <c r="G2173" s="7">
        <v>8</v>
      </c>
      <c r="H2173" s="7" t="s">
        <v>8991</v>
      </c>
      <c r="I2173" s="7">
        <v>1</v>
      </c>
      <c r="J2173" s="7" t="s">
        <v>7764</v>
      </c>
      <c r="K2173" s="9" t="s">
        <v>8987</v>
      </c>
    </row>
    <row r="2174" spans="1:11">
      <c r="A2174" s="7">
        <v>2172</v>
      </c>
      <c r="B2174" s="7" t="s">
        <v>9174</v>
      </c>
      <c r="C2174" s="7" t="s">
        <v>8984</v>
      </c>
      <c r="D2174" s="7" t="s">
        <v>7566</v>
      </c>
      <c r="E2174" s="7" t="s">
        <v>11833</v>
      </c>
      <c r="F2174" s="8" t="s">
        <v>9628</v>
      </c>
      <c r="G2174" s="7">
        <v>17</v>
      </c>
      <c r="H2174" s="7" t="s">
        <v>9146</v>
      </c>
      <c r="I2174" s="7">
        <v>1</v>
      </c>
      <c r="J2174" s="7" t="s">
        <v>7850</v>
      </c>
      <c r="K2174" s="9" t="s">
        <v>8987</v>
      </c>
    </row>
    <row r="2175" spans="1:11">
      <c r="A2175" s="7">
        <v>2173</v>
      </c>
      <c r="B2175" s="7" t="s">
        <v>9174</v>
      </c>
      <c r="C2175" s="7" t="s">
        <v>8984</v>
      </c>
      <c r="D2175" s="7" t="s">
        <v>7566</v>
      </c>
      <c r="E2175" s="7" t="s">
        <v>11834</v>
      </c>
      <c r="F2175" s="8" t="s">
        <v>9628</v>
      </c>
      <c r="G2175" s="7">
        <v>13</v>
      </c>
      <c r="H2175" s="7" t="s">
        <v>9077</v>
      </c>
      <c r="I2175" s="7">
        <v>1</v>
      </c>
      <c r="J2175" s="7" t="s">
        <v>11187</v>
      </c>
      <c r="K2175" s="9" t="s">
        <v>8987</v>
      </c>
    </row>
    <row r="2176" spans="1:11">
      <c r="A2176" s="7">
        <v>2174</v>
      </c>
      <c r="B2176" s="7" t="s">
        <v>9174</v>
      </c>
      <c r="C2176" s="7" t="s">
        <v>8984</v>
      </c>
      <c r="D2176" s="7" t="s">
        <v>7566</v>
      </c>
      <c r="E2176" s="7" t="s">
        <v>11835</v>
      </c>
      <c r="F2176" s="8" t="s">
        <v>9628</v>
      </c>
      <c r="G2176" s="7">
        <v>15</v>
      </c>
      <c r="H2176" s="7" t="s">
        <v>9053</v>
      </c>
      <c r="I2176" s="7">
        <v>1</v>
      </c>
      <c r="J2176" s="7" t="s">
        <v>7862</v>
      </c>
      <c r="K2176" s="9" t="s">
        <v>8987</v>
      </c>
    </row>
    <row r="2177" spans="1:11">
      <c r="A2177" s="7">
        <v>2175</v>
      </c>
      <c r="B2177" s="7" t="s">
        <v>9174</v>
      </c>
      <c r="C2177" s="7" t="s">
        <v>8984</v>
      </c>
      <c r="D2177" s="7" t="s">
        <v>7566</v>
      </c>
      <c r="E2177" s="7" t="s">
        <v>7245</v>
      </c>
      <c r="F2177" s="8" t="s">
        <v>9312</v>
      </c>
      <c r="G2177" s="7">
        <v>2</v>
      </c>
      <c r="H2177" s="7" t="s">
        <v>10476</v>
      </c>
      <c r="I2177" s="7">
        <v>1</v>
      </c>
      <c r="J2177" s="7" t="s">
        <v>7861</v>
      </c>
      <c r="K2177" s="9" t="s">
        <v>8987</v>
      </c>
    </row>
    <row r="2178" spans="1:11">
      <c r="A2178" s="7">
        <v>2176</v>
      </c>
      <c r="B2178" s="7" t="s">
        <v>9174</v>
      </c>
      <c r="C2178" s="7" t="s">
        <v>8984</v>
      </c>
      <c r="D2178" s="7" t="s">
        <v>7566</v>
      </c>
      <c r="E2178" s="7" t="s">
        <v>11836</v>
      </c>
      <c r="F2178" s="8" t="s">
        <v>9312</v>
      </c>
      <c r="G2178" s="7">
        <v>5</v>
      </c>
      <c r="H2178" s="7" t="s">
        <v>9336</v>
      </c>
      <c r="I2178" s="7">
        <v>1</v>
      </c>
      <c r="J2178" s="7" t="s">
        <v>7620</v>
      </c>
      <c r="K2178" s="9" t="s">
        <v>8987</v>
      </c>
    </row>
    <row r="2179" spans="1:11">
      <c r="A2179" s="7">
        <v>2177</v>
      </c>
      <c r="B2179" s="7" t="s">
        <v>9174</v>
      </c>
      <c r="C2179" s="7" t="s">
        <v>8984</v>
      </c>
      <c r="D2179" s="7" t="s">
        <v>7566</v>
      </c>
      <c r="E2179" s="7" t="s">
        <v>11837</v>
      </c>
      <c r="F2179" s="8" t="s">
        <v>9312</v>
      </c>
      <c r="G2179" s="7">
        <v>3</v>
      </c>
      <c r="H2179" s="7" t="s">
        <v>9187</v>
      </c>
      <c r="I2179" s="7">
        <v>1</v>
      </c>
      <c r="J2179" s="7" t="s">
        <v>7872</v>
      </c>
      <c r="K2179" s="9" t="s">
        <v>8987</v>
      </c>
    </row>
    <row r="2180" spans="1:11">
      <c r="A2180" s="7">
        <v>2178</v>
      </c>
      <c r="B2180" s="7" t="s">
        <v>9174</v>
      </c>
      <c r="C2180" s="7" t="s">
        <v>8984</v>
      </c>
      <c r="D2180" s="7" t="s">
        <v>7566</v>
      </c>
      <c r="E2180" s="7" t="s">
        <v>11838</v>
      </c>
      <c r="F2180" s="8" t="s">
        <v>9312</v>
      </c>
      <c r="G2180" s="7">
        <v>5</v>
      </c>
      <c r="H2180" s="7" t="s">
        <v>9336</v>
      </c>
      <c r="I2180" s="7">
        <v>1</v>
      </c>
      <c r="J2180" s="7" t="s">
        <v>7620</v>
      </c>
      <c r="K2180" s="9" t="s">
        <v>8987</v>
      </c>
    </row>
    <row r="2181" spans="1:11">
      <c r="A2181" s="7">
        <v>2179</v>
      </c>
      <c r="B2181" s="7" t="s">
        <v>9174</v>
      </c>
      <c r="C2181" s="7" t="s">
        <v>8984</v>
      </c>
      <c r="D2181" s="7" t="s">
        <v>7566</v>
      </c>
      <c r="E2181" s="7" t="s">
        <v>11839</v>
      </c>
      <c r="F2181" s="8" t="s">
        <v>7968</v>
      </c>
      <c r="G2181" s="7">
        <v>5</v>
      </c>
      <c r="H2181" s="7" t="s">
        <v>9336</v>
      </c>
      <c r="I2181" s="7">
        <v>1</v>
      </c>
      <c r="J2181" s="7" t="s">
        <v>7620</v>
      </c>
      <c r="K2181" s="9" t="s">
        <v>8987</v>
      </c>
    </row>
    <row r="2182" spans="1:11">
      <c r="A2182" s="7">
        <v>2180</v>
      </c>
      <c r="B2182" s="7" t="s">
        <v>9174</v>
      </c>
      <c r="C2182" s="7" t="s">
        <v>8984</v>
      </c>
      <c r="D2182" s="7" t="s">
        <v>7566</v>
      </c>
      <c r="E2182" s="7" t="s">
        <v>11840</v>
      </c>
      <c r="F2182" s="8" t="s">
        <v>7968</v>
      </c>
      <c r="G2182" s="7">
        <v>10</v>
      </c>
      <c r="H2182" s="7" t="s">
        <v>9292</v>
      </c>
      <c r="I2182" s="7">
        <v>1</v>
      </c>
      <c r="J2182" s="7" t="s">
        <v>7768</v>
      </c>
      <c r="K2182" s="9" t="s">
        <v>8987</v>
      </c>
    </row>
    <row r="2183" spans="1:11">
      <c r="A2183" s="7">
        <v>2181</v>
      </c>
      <c r="B2183" s="7" t="s">
        <v>9174</v>
      </c>
      <c r="C2183" s="7" t="s">
        <v>8984</v>
      </c>
      <c r="D2183" s="7" t="s">
        <v>7566</v>
      </c>
      <c r="E2183" s="7" t="s">
        <v>11841</v>
      </c>
      <c r="F2183" s="8" t="s">
        <v>7968</v>
      </c>
      <c r="G2183" s="7">
        <v>7</v>
      </c>
      <c r="H2183" s="7" t="s">
        <v>9182</v>
      </c>
      <c r="I2183" s="7">
        <v>1</v>
      </c>
      <c r="J2183" s="7" t="s">
        <v>7866</v>
      </c>
      <c r="K2183" s="9" t="s">
        <v>8987</v>
      </c>
    </row>
    <row r="2184" spans="1:11">
      <c r="A2184" s="7">
        <v>2182</v>
      </c>
      <c r="B2184" s="7" t="s">
        <v>9174</v>
      </c>
      <c r="C2184" s="7" t="s">
        <v>8984</v>
      </c>
      <c r="D2184" s="7" t="s">
        <v>7566</v>
      </c>
      <c r="E2184" s="7" t="s">
        <v>11842</v>
      </c>
      <c r="F2184" s="8" t="s">
        <v>7968</v>
      </c>
      <c r="G2184" s="7">
        <v>10</v>
      </c>
      <c r="H2184" s="7" t="s">
        <v>9292</v>
      </c>
      <c r="I2184" s="7">
        <v>1</v>
      </c>
      <c r="J2184" s="7" t="s">
        <v>7768</v>
      </c>
      <c r="K2184" s="9" t="s">
        <v>8987</v>
      </c>
    </row>
    <row r="2185" spans="1:11">
      <c r="A2185" s="7">
        <v>2183</v>
      </c>
      <c r="B2185" s="7" t="s">
        <v>9174</v>
      </c>
      <c r="C2185" s="7" t="s">
        <v>8984</v>
      </c>
      <c r="D2185" s="7" t="s">
        <v>7566</v>
      </c>
      <c r="E2185" s="7" t="s">
        <v>11843</v>
      </c>
      <c r="F2185" s="8" t="s">
        <v>7969</v>
      </c>
      <c r="G2185" s="7">
        <v>5</v>
      </c>
      <c r="H2185" s="7" t="s">
        <v>9336</v>
      </c>
      <c r="I2185" s="7">
        <v>1</v>
      </c>
      <c r="J2185" s="7" t="s">
        <v>7620</v>
      </c>
      <c r="K2185" s="9" t="s">
        <v>8987</v>
      </c>
    </row>
    <row r="2186" spans="1:11">
      <c r="A2186" s="7">
        <v>2184</v>
      </c>
      <c r="B2186" s="7" t="s">
        <v>9174</v>
      </c>
      <c r="C2186" s="7" t="s">
        <v>8984</v>
      </c>
      <c r="D2186" s="7" t="s">
        <v>7566</v>
      </c>
      <c r="E2186" s="7" t="s">
        <v>11844</v>
      </c>
      <c r="F2186" s="8" t="s">
        <v>7969</v>
      </c>
      <c r="G2186" s="7">
        <v>10</v>
      </c>
      <c r="H2186" s="7" t="s">
        <v>9292</v>
      </c>
      <c r="I2186" s="7">
        <v>1</v>
      </c>
      <c r="J2186" s="7" t="s">
        <v>7768</v>
      </c>
      <c r="K2186" s="9" t="s">
        <v>8987</v>
      </c>
    </row>
    <row r="2187" spans="1:11">
      <c r="A2187" s="7">
        <v>2185</v>
      </c>
      <c r="B2187" s="7" t="s">
        <v>9174</v>
      </c>
      <c r="C2187" s="7" t="s">
        <v>8984</v>
      </c>
      <c r="D2187" s="7" t="s">
        <v>7566</v>
      </c>
      <c r="E2187" s="7" t="s">
        <v>11845</v>
      </c>
      <c r="F2187" s="8" t="s">
        <v>7969</v>
      </c>
      <c r="G2187" s="7">
        <v>7</v>
      </c>
      <c r="H2187" s="7" t="s">
        <v>9182</v>
      </c>
      <c r="I2187" s="7">
        <v>1</v>
      </c>
      <c r="J2187" s="7" t="s">
        <v>7866</v>
      </c>
      <c r="K2187" s="9" t="s">
        <v>8987</v>
      </c>
    </row>
    <row r="2188" spans="1:11">
      <c r="A2188" s="7">
        <v>2186</v>
      </c>
      <c r="B2188" s="7" t="s">
        <v>9174</v>
      </c>
      <c r="C2188" s="7" t="s">
        <v>8984</v>
      </c>
      <c r="D2188" s="7" t="s">
        <v>7566</v>
      </c>
      <c r="E2188" s="7" t="s">
        <v>11846</v>
      </c>
      <c r="F2188" s="8" t="s">
        <v>7969</v>
      </c>
      <c r="G2188" s="7">
        <v>10</v>
      </c>
      <c r="H2188" s="7" t="s">
        <v>9292</v>
      </c>
      <c r="I2188" s="7">
        <v>1</v>
      </c>
      <c r="J2188" s="7" t="s">
        <v>7768</v>
      </c>
      <c r="K2188" s="9" t="s">
        <v>8987</v>
      </c>
    </row>
    <row r="2189" spans="1:11">
      <c r="A2189" s="7">
        <v>2187</v>
      </c>
      <c r="B2189" s="7" t="s">
        <v>9174</v>
      </c>
      <c r="C2189" s="7" t="s">
        <v>8984</v>
      </c>
      <c r="D2189" s="7" t="s">
        <v>7566</v>
      </c>
      <c r="E2189" s="7" t="s">
        <v>11847</v>
      </c>
      <c r="F2189" s="8" t="s">
        <v>7970</v>
      </c>
      <c r="G2189" s="7">
        <v>5</v>
      </c>
      <c r="H2189" s="7" t="s">
        <v>9336</v>
      </c>
      <c r="I2189" s="7">
        <v>1</v>
      </c>
      <c r="J2189" s="7" t="s">
        <v>7620</v>
      </c>
      <c r="K2189" s="9" t="s">
        <v>8987</v>
      </c>
    </row>
    <row r="2190" spans="1:11">
      <c r="A2190" s="7">
        <v>2188</v>
      </c>
      <c r="B2190" s="7" t="s">
        <v>9174</v>
      </c>
      <c r="C2190" s="7" t="s">
        <v>8984</v>
      </c>
      <c r="D2190" s="7" t="s">
        <v>7566</v>
      </c>
      <c r="E2190" s="7" t="s">
        <v>11848</v>
      </c>
      <c r="F2190" s="8" t="s">
        <v>7970</v>
      </c>
      <c r="G2190" s="7">
        <v>10</v>
      </c>
      <c r="H2190" s="7" t="s">
        <v>9292</v>
      </c>
      <c r="I2190" s="7">
        <v>1</v>
      </c>
      <c r="J2190" s="7" t="s">
        <v>7768</v>
      </c>
      <c r="K2190" s="9" t="s">
        <v>8987</v>
      </c>
    </row>
    <row r="2191" spans="1:11">
      <c r="A2191" s="7">
        <v>2189</v>
      </c>
      <c r="B2191" s="7" t="s">
        <v>9174</v>
      </c>
      <c r="C2191" s="7" t="s">
        <v>8984</v>
      </c>
      <c r="D2191" s="7" t="s">
        <v>7566</v>
      </c>
      <c r="E2191" s="7" t="s">
        <v>11849</v>
      </c>
      <c r="F2191" s="8" t="s">
        <v>7970</v>
      </c>
      <c r="G2191" s="7">
        <v>7</v>
      </c>
      <c r="H2191" s="7" t="s">
        <v>9182</v>
      </c>
      <c r="I2191" s="7">
        <v>1</v>
      </c>
      <c r="J2191" s="7" t="s">
        <v>7866</v>
      </c>
      <c r="K2191" s="9" t="s">
        <v>8987</v>
      </c>
    </row>
    <row r="2192" spans="1:11">
      <c r="A2192" s="7">
        <v>2190</v>
      </c>
      <c r="B2192" s="7" t="s">
        <v>9174</v>
      </c>
      <c r="C2192" s="7" t="s">
        <v>8984</v>
      </c>
      <c r="D2192" s="7" t="s">
        <v>7566</v>
      </c>
      <c r="E2192" s="7" t="s">
        <v>11850</v>
      </c>
      <c r="F2192" s="8" t="s">
        <v>7970</v>
      </c>
      <c r="G2192" s="7">
        <v>10</v>
      </c>
      <c r="H2192" s="7" t="s">
        <v>9292</v>
      </c>
      <c r="I2192" s="7">
        <v>1</v>
      </c>
      <c r="J2192" s="7" t="s">
        <v>7768</v>
      </c>
      <c r="K2192" s="9" t="s">
        <v>8987</v>
      </c>
    </row>
    <row r="2193" spans="1:11">
      <c r="A2193" s="7">
        <v>2191</v>
      </c>
      <c r="B2193" s="7" t="s">
        <v>9174</v>
      </c>
      <c r="C2193" s="7" t="s">
        <v>8984</v>
      </c>
      <c r="D2193" s="7" t="s">
        <v>7566</v>
      </c>
      <c r="E2193" s="7" t="s">
        <v>11851</v>
      </c>
      <c r="F2193" s="8" t="s">
        <v>7971</v>
      </c>
      <c r="G2193" s="7">
        <v>5</v>
      </c>
      <c r="H2193" s="7" t="s">
        <v>9336</v>
      </c>
      <c r="I2193" s="7">
        <v>1</v>
      </c>
      <c r="J2193" s="7" t="s">
        <v>7620</v>
      </c>
      <c r="K2193" s="9" t="s">
        <v>8987</v>
      </c>
    </row>
    <row r="2194" spans="1:11">
      <c r="A2194" s="7">
        <v>2192</v>
      </c>
      <c r="B2194" s="7" t="s">
        <v>9174</v>
      </c>
      <c r="C2194" s="7" t="s">
        <v>8984</v>
      </c>
      <c r="D2194" s="7" t="s">
        <v>7566</v>
      </c>
      <c r="E2194" s="7" t="s">
        <v>11852</v>
      </c>
      <c r="F2194" s="8" t="s">
        <v>7971</v>
      </c>
      <c r="G2194" s="7">
        <v>10</v>
      </c>
      <c r="H2194" s="7" t="s">
        <v>9292</v>
      </c>
      <c r="I2194" s="7">
        <v>1</v>
      </c>
      <c r="J2194" s="7" t="s">
        <v>7768</v>
      </c>
      <c r="K2194" s="9" t="s">
        <v>8987</v>
      </c>
    </row>
    <row r="2195" spans="1:11">
      <c r="A2195" s="7">
        <v>2193</v>
      </c>
      <c r="B2195" s="7" t="s">
        <v>9174</v>
      </c>
      <c r="C2195" s="7" t="s">
        <v>8984</v>
      </c>
      <c r="D2195" s="7" t="s">
        <v>7566</v>
      </c>
      <c r="E2195" s="7" t="s">
        <v>11853</v>
      </c>
      <c r="F2195" s="8" t="s">
        <v>7971</v>
      </c>
      <c r="G2195" s="7">
        <v>7</v>
      </c>
      <c r="H2195" s="7" t="s">
        <v>9182</v>
      </c>
      <c r="I2195" s="7">
        <v>1</v>
      </c>
      <c r="J2195" s="7" t="s">
        <v>7866</v>
      </c>
      <c r="K2195" s="9" t="s">
        <v>8987</v>
      </c>
    </row>
    <row r="2196" spans="1:11">
      <c r="A2196" s="7">
        <v>2194</v>
      </c>
      <c r="B2196" s="7" t="s">
        <v>9174</v>
      </c>
      <c r="C2196" s="7" t="s">
        <v>8984</v>
      </c>
      <c r="D2196" s="7" t="s">
        <v>7566</v>
      </c>
      <c r="E2196" s="7" t="s">
        <v>11854</v>
      </c>
      <c r="F2196" s="8" t="s">
        <v>7971</v>
      </c>
      <c r="G2196" s="7">
        <v>10</v>
      </c>
      <c r="H2196" s="7" t="s">
        <v>9292</v>
      </c>
      <c r="I2196" s="7">
        <v>1</v>
      </c>
      <c r="J2196" s="7" t="s">
        <v>7768</v>
      </c>
      <c r="K2196" s="9" t="s">
        <v>8987</v>
      </c>
    </row>
    <row r="2197" spans="1:11">
      <c r="A2197" s="7">
        <v>2195</v>
      </c>
      <c r="B2197" s="7" t="s">
        <v>9174</v>
      </c>
      <c r="C2197" s="7" t="s">
        <v>8984</v>
      </c>
      <c r="D2197" s="7" t="s">
        <v>7566</v>
      </c>
      <c r="E2197" s="7" t="s">
        <v>11855</v>
      </c>
      <c r="F2197" s="8" t="s">
        <v>7972</v>
      </c>
      <c r="G2197" s="7">
        <v>5</v>
      </c>
      <c r="H2197" s="7" t="s">
        <v>9336</v>
      </c>
      <c r="I2197" s="7">
        <v>1</v>
      </c>
      <c r="J2197" s="7" t="s">
        <v>7620</v>
      </c>
      <c r="K2197" s="9" t="s">
        <v>8987</v>
      </c>
    </row>
    <row r="2198" spans="1:11">
      <c r="A2198" s="7">
        <v>2196</v>
      </c>
      <c r="B2198" s="7" t="s">
        <v>9174</v>
      </c>
      <c r="C2198" s="7" t="s">
        <v>8984</v>
      </c>
      <c r="D2198" s="7" t="s">
        <v>7566</v>
      </c>
      <c r="E2198" s="7" t="s">
        <v>11856</v>
      </c>
      <c r="F2198" s="8" t="s">
        <v>7972</v>
      </c>
      <c r="G2198" s="7">
        <v>10</v>
      </c>
      <c r="H2198" s="7" t="s">
        <v>9292</v>
      </c>
      <c r="I2198" s="7">
        <v>1</v>
      </c>
      <c r="J2198" s="7" t="s">
        <v>7768</v>
      </c>
      <c r="K2198" s="9" t="s">
        <v>8987</v>
      </c>
    </row>
    <row r="2199" spans="1:11">
      <c r="A2199" s="7">
        <v>2197</v>
      </c>
      <c r="B2199" s="7" t="s">
        <v>9174</v>
      </c>
      <c r="C2199" s="7" t="s">
        <v>8984</v>
      </c>
      <c r="D2199" s="7" t="s">
        <v>7566</v>
      </c>
      <c r="E2199" s="7" t="s">
        <v>11857</v>
      </c>
      <c r="F2199" s="8" t="s">
        <v>7972</v>
      </c>
      <c r="G2199" s="7">
        <v>7</v>
      </c>
      <c r="H2199" s="7" t="s">
        <v>9182</v>
      </c>
      <c r="I2199" s="7">
        <v>1</v>
      </c>
      <c r="J2199" s="7" t="s">
        <v>7866</v>
      </c>
      <c r="K2199" s="9" t="s">
        <v>8987</v>
      </c>
    </row>
    <row r="2200" spans="1:11">
      <c r="A2200" s="7">
        <v>2198</v>
      </c>
      <c r="B2200" s="7" t="s">
        <v>9174</v>
      </c>
      <c r="C2200" s="7" t="s">
        <v>8984</v>
      </c>
      <c r="D2200" s="7" t="s">
        <v>7566</v>
      </c>
      <c r="E2200" s="7" t="s">
        <v>11858</v>
      </c>
      <c r="F2200" s="8" t="s">
        <v>7972</v>
      </c>
      <c r="G2200" s="7">
        <v>10</v>
      </c>
      <c r="H2200" s="7" t="s">
        <v>9292</v>
      </c>
      <c r="I2200" s="7">
        <v>1</v>
      </c>
      <c r="J2200" s="7" t="s">
        <v>7768</v>
      </c>
      <c r="K2200" s="9" t="s">
        <v>8987</v>
      </c>
    </row>
    <row r="2201" spans="1:11">
      <c r="A2201" s="7">
        <v>2199</v>
      </c>
      <c r="B2201" s="7" t="s">
        <v>9174</v>
      </c>
      <c r="C2201" s="7" t="s">
        <v>8984</v>
      </c>
      <c r="D2201" s="7" t="s">
        <v>7566</v>
      </c>
      <c r="E2201" s="7" t="s">
        <v>11859</v>
      </c>
      <c r="F2201" s="8" t="s">
        <v>7973</v>
      </c>
      <c r="G2201" s="7">
        <v>5</v>
      </c>
      <c r="H2201" s="7" t="s">
        <v>9336</v>
      </c>
      <c r="I2201" s="7">
        <v>1</v>
      </c>
      <c r="J2201" s="7" t="s">
        <v>7620</v>
      </c>
      <c r="K2201" s="9" t="s">
        <v>8987</v>
      </c>
    </row>
    <row r="2202" spans="1:11">
      <c r="A2202" s="7">
        <v>2200</v>
      </c>
      <c r="B2202" s="7" t="s">
        <v>9174</v>
      </c>
      <c r="C2202" s="7" t="s">
        <v>8984</v>
      </c>
      <c r="D2202" s="7" t="s">
        <v>7566</v>
      </c>
      <c r="E2202" s="7" t="s">
        <v>11860</v>
      </c>
      <c r="F2202" s="8" t="s">
        <v>7973</v>
      </c>
      <c r="G2202" s="7">
        <v>10</v>
      </c>
      <c r="H2202" s="7" t="s">
        <v>9292</v>
      </c>
      <c r="I2202" s="7">
        <v>1</v>
      </c>
      <c r="J2202" s="7" t="s">
        <v>7768</v>
      </c>
      <c r="K2202" s="9" t="s">
        <v>8987</v>
      </c>
    </row>
    <row r="2203" spans="1:11">
      <c r="A2203" s="7">
        <v>2201</v>
      </c>
      <c r="B2203" s="7" t="s">
        <v>9174</v>
      </c>
      <c r="C2203" s="7" t="s">
        <v>8984</v>
      </c>
      <c r="D2203" s="7" t="s">
        <v>7566</v>
      </c>
      <c r="E2203" s="7" t="s">
        <v>11861</v>
      </c>
      <c r="F2203" s="8" t="s">
        <v>7973</v>
      </c>
      <c r="G2203" s="7">
        <v>7</v>
      </c>
      <c r="H2203" s="7" t="s">
        <v>9182</v>
      </c>
      <c r="I2203" s="7">
        <v>1</v>
      </c>
      <c r="J2203" s="7" t="s">
        <v>7866</v>
      </c>
      <c r="K2203" s="9" t="s">
        <v>8987</v>
      </c>
    </row>
    <row r="2204" spans="1:11">
      <c r="A2204" s="7">
        <v>2202</v>
      </c>
      <c r="B2204" s="7" t="s">
        <v>9174</v>
      </c>
      <c r="C2204" s="7" t="s">
        <v>8984</v>
      </c>
      <c r="D2204" s="7" t="s">
        <v>7566</v>
      </c>
      <c r="E2204" s="7" t="s">
        <v>11862</v>
      </c>
      <c r="F2204" s="8" t="s">
        <v>7973</v>
      </c>
      <c r="G2204" s="7">
        <v>10</v>
      </c>
      <c r="H2204" s="7" t="s">
        <v>9292</v>
      </c>
      <c r="I2204" s="7">
        <v>1</v>
      </c>
      <c r="J2204" s="7" t="s">
        <v>7768</v>
      </c>
      <c r="K2204" s="9" t="s">
        <v>8987</v>
      </c>
    </row>
    <row r="2205" spans="1:11">
      <c r="A2205" s="7">
        <v>2203</v>
      </c>
      <c r="B2205" s="7" t="s">
        <v>9174</v>
      </c>
      <c r="C2205" s="7" t="s">
        <v>8984</v>
      </c>
      <c r="D2205" s="7" t="s">
        <v>7566</v>
      </c>
      <c r="E2205" s="7" t="s">
        <v>11863</v>
      </c>
      <c r="F2205" s="8" t="s">
        <v>9363</v>
      </c>
      <c r="G2205" s="7">
        <v>15</v>
      </c>
      <c r="H2205" s="7" t="s">
        <v>9053</v>
      </c>
      <c r="I2205" s="7">
        <v>1</v>
      </c>
      <c r="J2205" s="7" t="s">
        <v>7862</v>
      </c>
      <c r="K2205" s="9" t="s">
        <v>8987</v>
      </c>
    </row>
    <row r="2206" spans="1:11">
      <c r="A2206" s="7">
        <v>2204</v>
      </c>
      <c r="B2206" s="7" t="s">
        <v>9174</v>
      </c>
      <c r="C2206" s="7" t="s">
        <v>8984</v>
      </c>
      <c r="D2206" s="7" t="s">
        <v>7566</v>
      </c>
      <c r="E2206" s="7" t="s">
        <v>11864</v>
      </c>
      <c r="F2206" s="8" t="s">
        <v>9363</v>
      </c>
      <c r="G2206" s="7">
        <v>31</v>
      </c>
      <c r="H2206" s="7" t="s">
        <v>9666</v>
      </c>
      <c r="I2206" s="7">
        <v>1</v>
      </c>
      <c r="J2206" s="7" t="s">
        <v>11236</v>
      </c>
      <c r="K2206" s="9" t="s">
        <v>8987</v>
      </c>
    </row>
    <row r="2207" spans="1:11">
      <c r="A2207" s="7">
        <v>2205</v>
      </c>
      <c r="B2207" s="7" t="s">
        <v>9174</v>
      </c>
      <c r="C2207" s="7" t="s">
        <v>8984</v>
      </c>
      <c r="D2207" s="7" t="s">
        <v>7566</v>
      </c>
      <c r="E2207" s="7" t="s">
        <v>11865</v>
      </c>
      <c r="F2207" s="8" t="s">
        <v>9363</v>
      </c>
      <c r="G2207" s="7">
        <v>24</v>
      </c>
      <c r="H2207" s="7" t="s">
        <v>9418</v>
      </c>
      <c r="I2207" s="7">
        <v>1</v>
      </c>
      <c r="J2207" s="7" t="s">
        <v>7871</v>
      </c>
      <c r="K2207" s="9" t="s">
        <v>8987</v>
      </c>
    </row>
    <row r="2208" spans="1:11">
      <c r="A2208" s="7">
        <v>2206</v>
      </c>
      <c r="B2208" s="7" t="s">
        <v>9174</v>
      </c>
      <c r="C2208" s="7" t="s">
        <v>8984</v>
      </c>
      <c r="D2208" s="7" t="s">
        <v>7566</v>
      </c>
      <c r="E2208" s="7" t="s">
        <v>11866</v>
      </c>
      <c r="F2208" s="8" t="s">
        <v>9363</v>
      </c>
      <c r="G2208" s="7">
        <v>100</v>
      </c>
      <c r="H2208" s="7" t="s">
        <v>9046</v>
      </c>
      <c r="I2208" s="7">
        <v>1</v>
      </c>
      <c r="J2208" s="7" t="s">
        <v>7878</v>
      </c>
      <c r="K2208" s="9" t="s">
        <v>8987</v>
      </c>
    </row>
    <row r="2209" spans="1:11">
      <c r="A2209" s="7">
        <v>2207</v>
      </c>
      <c r="B2209" s="7" t="s">
        <v>9174</v>
      </c>
      <c r="C2209" s="7" t="s">
        <v>8984</v>
      </c>
      <c r="D2209" s="7" t="s">
        <v>7566</v>
      </c>
      <c r="E2209" s="7" t="s">
        <v>11867</v>
      </c>
      <c r="F2209" s="8" t="s">
        <v>9365</v>
      </c>
      <c r="G2209" s="7">
        <v>15</v>
      </c>
      <c r="H2209" s="7" t="s">
        <v>9053</v>
      </c>
      <c r="I2209" s="7">
        <v>1</v>
      </c>
      <c r="J2209" s="7" t="s">
        <v>7862</v>
      </c>
      <c r="K2209" s="9" t="s">
        <v>8987</v>
      </c>
    </row>
    <row r="2210" spans="1:11">
      <c r="A2210" s="7">
        <v>2208</v>
      </c>
      <c r="B2210" s="7" t="s">
        <v>9174</v>
      </c>
      <c r="C2210" s="7" t="s">
        <v>8984</v>
      </c>
      <c r="D2210" s="7" t="s">
        <v>7566</v>
      </c>
      <c r="E2210" s="7" t="s">
        <v>11868</v>
      </c>
      <c r="F2210" s="8" t="s">
        <v>9365</v>
      </c>
      <c r="G2210" s="7">
        <v>31</v>
      </c>
      <c r="H2210" s="7" t="s">
        <v>9666</v>
      </c>
      <c r="I2210" s="7">
        <v>1</v>
      </c>
      <c r="J2210" s="7" t="s">
        <v>11236</v>
      </c>
      <c r="K2210" s="9" t="s">
        <v>8987</v>
      </c>
    </row>
    <row r="2211" spans="1:11">
      <c r="A2211" s="7">
        <v>2209</v>
      </c>
      <c r="B2211" s="7" t="s">
        <v>9174</v>
      </c>
      <c r="C2211" s="7" t="s">
        <v>8984</v>
      </c>
      <c r="D2211" s="7" t="s">
        <v>7566</v>
      </c>
      <c r="E2211" s="7" t="s">
        <v>11869</v>
      </c>
      <c r="F2211" s="8" t="s">
        <v>9365</v>
      </c>
      <c r="G2211" s="7">
        <v>24</v>
      </c>
      <c r="H2211" s="7" t="s">
        <v>9418</v>
      </c>
      <c r="I2211" s="7">
        <v>1</v>
      </c>
      <c r="J2211" s="7" t="s">
        <v>7871</v>
      </c>
      <c r="K2211" s="9" t="s">
        <v>8987</v>
      </c>
    </row>
    <row r="2212" spans="1:11">
      <c r="A2212" s="7">
        <v>2210</v>
      </c>
      <c r="B2212" s="7" t="s">
        <v>9174</v>
      </c>
      <c r="C2212" s="7" t="s">
        <v>8984</v>
      </c>
      <c r="D2212" s="7" t="s">
        <v>7566</v>
      </c>
      <c r="E2212" s="7" t="s">
        <v>11870</v>
      </c>
      <c r="F2212" s="8" t="s">
        <v>9365</v>
      </c>
      <c r="G2212" s="7">
        <v>100</v>
      </c>
      <c r="H2212" s="7" t="s">
        <v>9046</v>
      </c>
      <c r="I2212" s="7">
        <v>1</v>
      </c>
      <c r="J2212" s="7" t="s">
        <v>7878</v>
      </c>
      <c r="K2212" s="9" t="s">
        <v>8987</v>
      </c>
    </row>
    <row r="2213" spans="1:11">
      <c r="A2213" s="7">
        <v>2211</v>
      </c>
      <c r="B2213" s="7" t="s">
        <v>9088</v>
      </c>
      <c r="C2213" s="7" t="s">
        <v>8984</v>
      </c>
      <c r="D2213" s="7" t="s">
        <v>7542</v>
      </c>
      <c r="E2213" s="7" t="s">
        <v>11871</v>
      </c>
      <c r="F2213" s="8" t="s">
        <v>9002</v>
      </c>
      <c r="G2213" s="7">
        <v>42</v>
      </c>
      <c r="H2213" s="7" t="s">
        <v>11407</v>
      </c>
      <c r="I2213" s="7">
        <v>1</v>
      </c>
      <c r="J2213" s="7" t="s">
        <v>7849</v>
      </c>
      <c r="K2213" s="9" t="s">
        <v>8987</v>
      </c>
    </row>
    <row r="2214" spans="1:11">
      <c r="A2214" s="7">
        <v>2212</v>
      </c>
      <c r="B2214" s="7" t="s">
        <v>9088</v>
      </c>
      <c r="C2214" s="7" t="s">
        <v>8984</v>
      </c>
      <c r="D2214" s="7" t="s">
        <v>7542</v>
      </c>
      <c r="E2214" s="7" t="s">
        <v>11872</v>
      </c>
      <c r="F2214" s="8" t="s">
        <v>9002</v>
      </c>
      <c r="G2214" s="7">
        <v>21</v>
      </c>
      <c r="H2214" s="7" t="s">
        <v>9116</v>
      </c>
      <c r="I2214" s="7">
        <v>1</v>
      </c>
      <c r="J2214" s="7" t="s">
        <v>7842</v>
      </c>
      <c r="K2214" s="9" t="s">
        <v>8987</v>
      </c>
    </row>
    <row r="2215" spans="1:11">
      <c r="A2215" s="7">
        <v>2213</v>
      </c>
      <c r="B2215" s="7" t="s">
        <v>9088</v>
      </c>
      <c r="C2215" s="7" t="s">
        <v>11152</v>
      </c>
      <c r="D2215" s="7" t="s">
        <v>7542</v>
      </c>
      <c r="E2215" s="7" t="s">
        <v>5306</v>
      </c>
      <c r="F2215" s="8" t="s">
        <v>9002</v>
      </c>
      <c r="G2215" s="7">
        <v>21</v>
      </c>
      <c r="H2215" s="7" t="s">
        <v>9116</v>
      </c>
      <c r="I2215" s="7">
        <v>1</v>
      </c>
      <c r="J2215" s="7" t="s">
        <v>7842</v>
      </c>
      <c r="K2215" s="9" t="s">
        <v>8987</v>
      </c>
    </row>
    <row r="2216" spans="1:11">
      <c r="A2216" s="7">
        <v>2214</v>
      </c>
      <c r="B2216" s="7" t="s">
        <v>9088</v>
      </c>
      <c r="C2216" s="7" t="s">
        <v>8984</v>
      </c>
      <c r="D2216" s="7" t="s">
        <v>7542</v>
      </c>
      <c r="E2216" s="7" t="s">
        <v>11873</v>
      </c>
      <c r="F2216" s="8" t="s">
        <v>9006</v>
      </c>
      <c r="G2216" s="7">
        <v>42</v>
      </c>
      <c r="H2216" s="7" t="s">
        <v>11407</v>
      </c>
      <c r="I2216" s="7">
        <v>1</v>
      </c>
      <c r="J2216" s="7" t="s">
        <v>7849</v>
      </c>
      <c r="K2216" s="9" t="s">
        <v>8987</v>
      </c>
    </row>
    <row r="2217" spans="1:11">
      <c r="A2217" s="7">
        <v>2215</v>
      </c>
      <c r="B2217" s="7" t="s">
        <v>9088</v>
      </c>
      <c r="C2217" s="7" t="s">
        <v>8984</v>
      </c>
      <c r="D2217" s="7" t="s">
        <v>7542</v>
      </c>
      <c r="E2217" s="7" t="s">
        <v>11874</v>
      </c>
      <c r="F2217" s="8" t="s">
        <v>9006</v>
      </c>
      <c r="G2217" s="7">
        <v>21</v>
      </c>
      <c r="H2217" s="7" t="s">
        <v>9116</v>
      </c>
      <c r="I2217" s="7">
        <v>1</v>
      </c>
      <c r="J2217" s="7" t="s">
        <v>7842</v>
      </c>
      <c r="K2217" s="9" t="s">
        <v>8987</v>
      </c>
    </row>
    <row r="2218" spans="1:11">
      <c r="A2218" s="7">
        <v>2216</v>
      </c>
      <c r="B2218" s="7" t="s">
        <v>9088</v>
      </c>
      <c r="C2218" s="7" t="s">
        <v>11152</v>
      </c>
      <c r="D2218" s="7" t="s">
        <v>7542</v>
      </c>
      <c r="E2218" s="7" t="s">
        <v>11875</v>
      </c>
      <c r="F2218" s="8" t="s">
        <v>9006</v>
      </c>
      <c r="G2218" s="7">
        <v>21</v>
      </c>
      <c r="H2218" s="7" t="s">
        <v>9116</v>
      </c>
      <c r="I2218" s="7">
        <v>1</v>
      </c>
      <c r="J2218" s="7" t="s">
        <v>7842</v>
      </c>
      <c r="K2218" s="9" t="s">
        <v>8987</v>
      </c>
    </row>
    <row r="2219" spans="1:11">
      <c r="A2219" s="7">
        <v>2217</v>
      </c>
      <c r="B2219" s="7" t="s">
        <v>9088</v>
      </c>
      <c r="C2219" s="7" t="s">
        <v>8984</v>
      </c>
      <c r="D2219" s="7" t="s">
        <v>7542</v>
      </c>
      <c r="E2219" s="7" t="s">
        <v>11876</v>
      </c>
      <c r="F2219" s="8" t="s">
        <v>9008</v>
      </c>
      <c r="G2219" s="7">
        <v>42</v>
      </c>
      <c r="H2219" s="7" t="s">
        <v>11407</v>
      </c>
      <c r="I2219" s="7">
        <v>1</v>
      </c>
      <c r="J2219" s="7" t="s">
        <v>7849</v>
      </c>
      <c r="K2219" s="9" t="s">
        <v>8987</v>
      </c>
    </row>
    <row r="2220" spans="1:11">
      <c r="A2220" s="7">
        <v>2218</v>
      </c>
      <c r="B2220" s="7" t="s">
        <v>9088</v>
      </c>
      <c r="C2220" s="7" t="s">
        <v>8984</v>
      </c>
      <c r="D2220" s="7" t="s">
        <v>7542</v>
      </c>
      <c r="E2220" s="7" t="s">
        <v>11877</v>
      </c>
      <c r="F2220" s="8" t="s">
        <v>9008</v>
      </c>
      <c r="G2220" s="7">
        <v>21</v>
      </c>
      <c r="H2220" s="7" t="s">
        <v>9116</v>
      </c>
      <c r="I2220" s="7">
        <v>1</v>
      </c>
      <c r="J2220" s="7" t="s">
        <v>7842</v>
      </c>
      <c r="K2220" s="9" t="s">
        <v>8987</v>
      </c>
    </row>
    <row r="2221" spans="1:11">
      <c r="A2221" s="7">
        <v>2219</v>
      </c>
      <c r="B2221" s="7" t="s">
        <v>9088</v>
      </c>
      <c r="C2221" s="7" t="s">
        <v>11152</v>
      </c>
      <c r="D2221" s="7" t="s">
        <v>7542</v>
      </c>
      <c r="E2221" s="7" t="s">
        <v>11878</v>
      </c>
      <c r="F2221" s="8" t="s">
        <v>9008</v>
      </c>
      <c r="G2221" s="7">
        <v>21</v>
      </c>
      <c r="H2221" s="7" t="s">
        <v>9116</v>
      </c>
      <c r="I2221" s="7">
        <v>1</v>
      </c>
      <c r="J2221" s="7" t="s">
        <v>7842</v>
      </c>
      <c r="K2221" s="9" t="s">
        <v>8987</v>
      </c>
    </row>
    <row r="2222" spans="1:11">
      <c r="A2222" s="7">
        <v>2220</v>
      </c>
      <c r="B2222" s="7" t="s">
        <v>9174</v>
      </c>
      <c r="C2222" s="7" t="s">
        <v>8984</v>
      </c>
      <c r="D2222" s="7" t="s">
        <v>7542</v>
      </c>
      <c r="E2222" s="7" t="s">
        <v>11879</v>
      </c>
      <c r="F2222" s="8" t="s">
        <v>9010</v>
      </c>
      <c r="G2222" s="7">
        <v>42</v>
      </c>
      <c r="H2222" s="7" t="s">
        <v>11407</v>
      </c>
      <c r="I2222" s="7">
        <v>1</v>
      </c>
      <c r="J2222" s="7" t="s">
        <v>7849</v>
      </c>
      <c r="K2222" s="9" t="s">
        <v>8987</v>
      </c>
    </row>
    <row r="2223" spans="1:11">
      <c r="A2223" s="7">
        <v>2221</v>
      </c>
      <c r="B2223" s="7" t="s">
        <v>9174</v>
      </c>
      <c r="C2223" s="7" t="s">
        <v>8984</v>
      </c>
      <c r="D2223" s="7" t="s">
        <v>7542</v>
      </c>
      <c r="E2223" s="7" t="s">
        <v>11880</v>
      </c>
      <c r="F2223" s="8" t="s">
        <v>9010</v>
      </c>
      <c r="G2223" s="7">
        <v>21</v>
      </c>
      <c r="H2223" s="7" t="s">
        <v>9116</v>
      </c>
      <c r="I2223" s="7">
        <v>1</v>
      </c>
      <c r="J2223" s="7" t="s">
        <v>7842</v>
      </c>
      <c r="K2223" s="9" t="s">
        <v>8987</v>
      </c>
    </row>
    <row r="2224" spans="1:11">
      <c r="A2224" s="7">
        <v>2222</v>
      </c>
      <c r="B2224" s="7" t="s">
        <v>9719</v>
      </c>
      <c r="C2224" s="7" t="s">
        <v>11152</v>
      </c>
      <c r="D2224" s="7" t="s">
        <v>7542</v>
      </c>
      <c r="E2224" s="7" t="s">
        <v>11881</v>
      </c>
      <c r="F2224" s="8" t="s">
        <v>9010</v>
      </c>
      <c r="G2224" s="7">
        <v>21</v>
      </c>
      <c r="H2224" s="7" t="s">
        <v>9116</v>
      </c>
      <c r="I2224" s="7">
        <v>1</v>
      </c>
      <c r="J2224" s="7" t="s">
        <v>7842</v>
      </c>
      <c r="K2224" s="9" t="s">
        <v>8987</v>
      </c>
    </row>
    <row r="2225" spans="1:11">
      <c r="A2225" s="7">
        <v>2223</v>
      </c>
      <c r="B2225" s="7" t="s">
        <v>9174</v>
      </c>
      <c r="C2225" s="7" t="s">
        <v>8984</v>
      </c>
      <c r="D2225" s="7" t="s">
        <v>7542</v>
      </c>
      <c r="E2225" s="7" t="s">
        <v>11882</v>
      </c>
      <c r="F2225" s="8" t="s">
        <v>9014</v>
      </c>
      <c r="G2225" s="7">
        <v>42</v>
      </c>
      <c r="H2225" s="7" t="s">
        <v>11407</v>
      </c>
      <c r="I2225" s="7">
        <v>1</v>
      </c>
      <c r="J2225" s="7" t="s">
        <v>7849</v>
      </c>
      <c r="K2225" s="9" t="s">
        <v>8987</v>
      </c>
    </row>
    <row r="2226" spans="1:11">
      <c r="A2226" s="7">
        <v>2224</v>
      </c>
      <c r="B2226" s="7" t="s">
        <v>9174</v>
      </c>
      <c r="C2226" s="7" t="s">
        <v>8984</v>
      </c>
      <c r="D2226" s="7" t="s">
        <v>7542</v>
      </c>
      <c r="E2226" s="7" t="s">
        <v>11883</v>
      </c>
      <c r="F2226" s="8" t="s">
        <v>9014</v>
      </c>
      <c r="G2226" s="7">
        <v>21</v>
      </c>
      <c r="H2226" s="7" t="s">
        <v>9116</v>
      </c>
      <c r="I2226" s="7">
        <v>1</v>
      </c>
      <c r="J2226" s="7" t="s">
        <v>7842</v>
      </c>
      <c r="K2226" s="9" t="s">
        <v>8987</v>
      </c>
    </row>
    <row r="2227" spans="1:11">
      <c r="A2227" s="7">
        <v>2225</v>
      </c>
      <c r="B2227" s="7" t="s">
        <v>9719</v>
      </c>
      <c r="C2227" s="7" t="s">
        <v>11152</v>
      </c>
      <c r="D2227" s="7" t="s">
        <v>7542</v>
      </c>
      <c r="E2227" s="7" t="s">
        <v>3699</v>
      </c>
      <c r="F2227" s="8" t="s">
        <v>9014</v>
      </c>
      <c r="G2227" s="7">
        <v>21</v>
      </c>
      <c r="H2227" s="7" t="s">
        <v>9116</v>
      </c>
      <c r="I2227" s="7">
        <v>1</v>
      </c>
      <c r="J2227" s="7" t="s">
        <v>7842</v>
      </c>
      <c r="K2227" s="9" t="s">
        <v>8987</v>
      </c>
    </row>
    <row r="2228" spans="1:11">
      <c r="A2228" s="7">
        <v>2226</v>
      </c>
      <c r="B2228" s="7" t="s">
        <v>9174</v>
      </c>
      <c r="C2228" s="7" t="s">
        <v>8984</v>
      </c>
      <c r="D2228" s="7" t="s">
        <v>7542</v>
      </c>
      <c r="E2228" s="7" t="s">
        <v>11884</v>
      </c>
      <c r="F2228" s="8" t="s">
        <v>9145</v>
      </c>
      <c r="G2228" s="7">
        <v>38</v>
      </c>
      <c r="H2228" s="7" t="s">
        <v>11229</v>
      </c>
      <c r="I2228" s="7">
        <v>1</v>
      </c>
      <c r="J2228" s="7" t="s">
        <v>7847</v>
      </c>
      <c r="K2228" s="9" t="s">
        <v>8987</v>
      </c>
    </row>
    <row r="2229" spans="1:11">
      <c r="A2229" s="7">
        <v>2227</v>
      </c>
      <c r="B2229" s="7" t="s">
        <v>9174</v>
      </c>
      <c r="C2229" s="7" t="s">
        <v>8984</v>
      </c>
      <c r="D2229" s="7" t="s">
        <v>7542</v>
      </c>
      <c r="E2229" s="7" t="s">
        <v>11885</v>
      </c>
      <c r="F2229" s="8" t="s">
        <v>9145</v>
      </c>
      <c r="G2229" s="7">
        <v>19</v>
      </c>
      <c r="H2229" s="7" t="s">
        <v>10462</v>
      </c>
      <c r="I2229" s="7">
        <v>1</v>
      </c>
      <c r="J2229" s="7" t="s">
        <v>7841</v>
      </c>
      <c r="K2229" s="9" t="s">
        <v>8987</v>
      </c>
    </row>
    <row r="2230" spans="1:11">
      <c r="A2230" s="7">
        <v>2228</v>
      </c>
      <c r="B2230" s="7" t="s">
        <v>9719</v>
      </c>
      <c r="C2230" s="7" t="s">
        <v>11152</v>
      </c>
      <c r="D2230" s="7" t="s">
        <v>7542</v>
      </c>
      <c r="E2230" s="7" t="s">
        <v>11886</v>
      </c>
      <c r="F2230" s="8" t="s">
        <v>9145</v>
      </c>
      <c r="G2230" s="7">
        <v>19</v>
      </c>
      <c r="H2230" s="7" t="s">
        <v>10462</v>
      </c>
      <c r="I2230" s="7">
        <v>1</v>
      </c>
      <c r="J2230" s="7" t="s">
        <v>7841</v>
      </c>
      <c r="K2230" s="9" t="s">
        <v>8987</v>
      </c>
    </row>
    <row r="2231" spans="1:11">
      <c r="A2231" s="7">
        <v>2229</v>
      </c>
      <c r="B2231" s="7" t="s">
        <v>9174</v>
      </c>
      <c r="C2231" s="7" t="s">
        <v>8984</v>
      </c>
      <c r="D2231" s="7" t="s">
        <v>7542</v>
      </c>
      <c r="E2231" s="7" t="s">
        <v>11887</v>
      </c>
      <c r="F2231" s="8" t="s">
        <v>9152</v>
      </c>
      <c r="G2231" s="7">
        <v>113</v>
      </c>
      <c r="H2231" s="7" t="s">
        <v>11888</v>
      </c>
      <c r="I2231" s="7">
        <v>1</v>
      </c>
      <c r="J2231" s="7" t="s">
        <v>11889</v>
      </c>
      <c r="K2231" s="9" t="s">
        <v>8987</v>
      </c>
    </row>
    <row r="2232" spans="1:11">
      <c r="A2232" s="7">
        <v>2230</v>
      </c>
      <c r="B2232" s="7" t="s">
        <v>9174</v>
      </c>
      <c r="C2232" s="7" t="s">
        <v>8984</v>
      </c>
      <c r="D2232" s="7" t="s">
        <v>7542</v>
      </c>
      <c r="E2232" s="7" t="s">
        <v>11890</v>
      </c>
      <c r="F2232" s="8" t="s">
        <v>9152</v>
      </c>
      <c r="G2232" s="7">
        <v>57</v>
      </c>
      <c r="H2232" s="7" t="s">
        <v>11747</v>
      </c>
      <c r="I2232" s="7">
        <v>1</v>
      </c>
      <c r="J2232" s="7" t="s">
        <v>7843</v>
      </c>
      <c r="K2232" s="9" t="s">
        <v>8987</v>
      </c>
    </row>
    <row r="2233" spans="1:11">
      <c r="A2233" s="7">
        <v>2231</v>
      </c>
      <c r="B2233" s="7" t="s">
        <v>9174</v>
      </c>
      <c r="C2233" s="7" t="s">
        <v>11152</v>
      </c>
      <c r="D2233" s="7" t="s">
        <v>7542</v>
      </c>
      <c r="E2233" s="7" t="s">
        <v>11891</v>
      </c>
      <c r="F2233" s="8" t="s">
        <v>9152</v>
      </c>
      <c r="G2233" s="7">
        <v>57</v>
      </c>
      <c r="H2233" s="7" t="s">
        <v>11747</v>
      </c>
      <c r="I2233" s="7">
        <v>1</v>
      </c>
      <c r="J2233" s="7" t="s">
        <v>7843</v>
      </c>
      <c r="K2233" s="9" t="s">
        <v>8987</v>
      </c>
    </row>
    <row r="2234" spans="1:11">
      <c r="A2234" s="7">
        <v>2232</v>
      </c>
      <c r="B2234" s="7" t="s">
        <v>11105</v>
      </c>
      <c r="C2234" s="7" t="s">
        <v>8984</v>
      </c>
      <c r="D2234" s="7" t="s">
        <v>7542</v>
      </c>
      <c r="E2234" s="7" t="s">
        <v>11892</v>
      </c>
      <c r="F2234" s="8" t="s">
        <v>10981</v>
      </c>
      <c r="G2234" s="7">
        <v>60</v>
      </c>
      <c r="H2234" s="7" t="s">
        <v>9289</v>
      </c>
      <c r="I2234" s="7">
        <v>1</v>
      </c>
      <c r="J2234" s="7" t="s">
        <v>7870</v>
      </c>
      <c r="K2234" s="9" t="s">
        <v>8987</v>
      </c>
    </row>
    <row r="2235" spans="1:11">
      <c r="A2235" s="7">
        <v>2233</v>
      </c>
      <c r="B2235" s="7" t="s">
        <v>9174</v>
      </c>
      <c r="C2235" s="7" t="s">
        <v>8984</v>
      </c>
      <c r="D2235" s="7" t="s">
        <v>7542</v>
      </c>
      <c r="E2235" s="7" t="s">
        <v>11893</v>
      </c>
      <c r="F2235" s="8" t="s">
        <v>10981</v>
      </c>
      <c r="G2235" s="7">
        <v>49</v>
      </c>
      <c r="H2235" s="7" t="s">
        <v>11225</v>
      </c>
      <c r="I2235" s="7">
        <v>1</v>
      </c>
      <c r="J2235" s="7" t="s">
        <v>7884</v>
      </c>
      <c r="K2235" s="9" t="s">
        <v>8987</v>
      </c>
    </row>
    <row r="2236" spans="1:11">
      <c r="A2236" s="7">
        <v>2234</v>
      </c>
      <c r="B2236" s="7" t="s">
        <v>9174</v>
      </c>
      <c r="C2236" s="7" t="s">
        <v>8984</v>
      </c>
      <c r="D2236" s="7" t="s">
        <v>7542</v>
      </c>
      <c r="E2236" s="7" t="s">
        <v>11894</v>
      </c>
      <c r="F2236" s="8" t="s">
        <v>10981</v>
      </c>
      <c r="G2236" s="7">
        <v>25</v>
      </c>
      <c r="H2236" s="7" t="s">
        <v>9011</v>
      </c>
      <c r="I2236" s="7">
        <v>1</v>
      </c>
      <c r="J2236" s="7" t="s">
        <v>7840</v>
      </c>
      <c r="K2236" s="9" t="s">
        <v>8987</v>
      </c>
    </row>
    <row r="2237" spans="1:11">
      <c r="A2237" s="7">
        <v>2235</v>
      </c>
      <c r="B2237" s="7" t="s">
        <v>9174</v>
      </c>
      <c r="C2237" s="7" t="s">
        <v>11152</v>
      </c>
      <c r="D2237" s="7" t="s">
        <v>7542</v>
      </c>
      <c r="E2237" s="7" t="s">
        <v>11895</v>
      </c>
      <c r="F2237" s="8" t="s">
        <v>10981</v>
      </c>
      <c r="G2237" s="7">
        <v>25</v>
      </c>
      <c r="H2237" s="7" t="s">
        <v>9011</v>
      </c>
      <c r="I2237" s="7">
        <v>1</v>
      </c>
      <c r="J2237" s="7" t="s">
        <v>7840</v>
      </c>
      <c r="K2237" s="9" t="s">
        <v>8987</v>
      </c>
    </row>
    <row r="2238" spans="1:11">
      <c r="A2238" s="7">
        <v>2236</v>
      </c>
      <c r="B2238" s="7" t="s">
        <v>9174</v>
      </c>
      <c r="C2238" s="7" t="s">
        <v>8984</v>
      </c>
      <c r="D2238" s="7" t="s">
        <v>7542</v>
      </c>
      <c r="E2238" s="7" t="s">
        <v>11896</v>
      </c>
      <c r="F2238" s="8" t="s">
        <v>10983</v>
      </c>
      <c r="G2238" s="7">
        <v>14</v>
      </c>
      <c r="H2238" s="7" t="s">
        <v>9397</v>
      </c>
      <c r="I2238" s="7">
        <v>1</v>
      </c>
      <c r="J2238" s="7" t="s">
        <v>7888</v>
      </c>
      <c r="K2238" s="9" t="s">
        <v>8987</v>
      </c>
    </row>
    <row r="2239" spans="1:11">
      <c r="A2239" s="7">
        <v>2237</v>
      </c>
      <c r="B2239" s="7" t="s">
        <v>9174</v>
      </c>
      <c r="C2239" s="7" t="s">
        <v>8984</v>
      </c>
      <c r="D2239" s="7" t="s">
        <v>7542</v>
      </c>
      <c r="E2239" s="7" t="s">
        <v>11897</v>
      </c>
      <c r="F2239" s="8" t="s">
        <v>10983</v>
      </c>
      <c r="G2239" s="7">
        <v>14</v>
      </c>
      <c r="H2239" s="7" t="s">
        <v>9397</v>
      </c>
      <c r="I2239" s="7">
        <v>1</v>
      </c>
      <c r="J2239" s="7" t="s">
        <v>7888</v>
      </c>
      <c r="K2239" s="9" t="s">
        <v>8987</v>
      </c>
    </row>
    <row r="2240" spans="1:11">
      <c r="A2240" s="7">
        <v>2238</v>
      </c>
      <c r="B2240" s="7" t="s">
        <v>9174</v>
      </c>
      <c r="C2240" s="7" t="s">
        <v>11152</v>
      </c>
      <c r="D2240" s="7" t="s">
        <v>7542</v>
      </c>
      <c r="E2240" s="7" t="s">
        <v>11898</v>
      </c>
      <c r="F2240" s="8" t="s">
        <v>10983</v>
      </c>
      <c r="G2240" s="7">
        <v>28</v>
      </c>
      <c r="H2240" s="7" t="s">
        <v>10468</v>
      </c>
      <c r="I2240" s="7">
        <v>1</v>
      </c>
      <c r="J2240" s="7" t="s">
        <v>7844</v>
      </c>
      <c r="K2240" s="9" t="s">
        <v>8987</v>
      </c>
    </row>
    <row r="2241" spans="1:11">
      <c r="A2241" s="7">
        <v>2239</v>
      </c>
      <c r="B2241" s="7" t="s">
        <v>9174</v>
      </c>
      <c r="C2241" s="7" t="s">
        <v>8984</v>
      </c>
      <c r="D2241" s="7" t="s">
        <v>7542</v>
      </c>
      <c r="E2241" s="7" t="s">
        <v>11899</v>
      </c>
      <c r="F2241" s="8" t="s">
        <v>10983</v>
      </c>
      <c r="G2241" s="7">
        <v>14</v>
      </c>
      <c r="H2241" s="7" t="s">
        <v>9397</v>
      </c>
      <c r="I2241" s="7">
        <v>1</v>
      </c>
      <c r="J2241" s="7" t="s">
        <v>7888</v>
      </c>
      <c r="K2241" s="9" t="s">
        <v>8987</v>
      </c>
    </row>
    <row r="2242" spans="1:11">
      <c r="A2242" s="7">
        <v>2240</v>
      </c>
      <c r="B2242" s="7" t="s">
        <v>9174</v>
      </c>
      <c r="C2242" s="7" t="s">
        <v>8984</v>
      </c>
      <c r="D2242" s="7" t="s">
        <v>7542</v>
      </c>
      <c r="E2242" s="7" t="s">
        <v>11900</v>
      </c>
      <c r="F2242" s="8" t="s">
        <v>10983</v>
      </c>
      <c r="G2242" s="7">
        <v>14</v>
      </c>
      <c r="H2242" s="7" t="s">
        <v>9397</v>
      </c>
      <c r="I2242" s="7">
        <v>1</v>
      </c>
      <c r="J2242" s="7" t="s">
        <v>7888</v>
      </c>
      <c r="K2242" s="9" t="s">
        <v>8987</v>
      </c>
    </row>
    <row r="2243" spans="1:11">
      <c r="A2243" s="7">
        <v>2241</v>
      </c>
      <c r="B2243" s="7" t="s">
        <v>9174</v>
      </c>
      <c r="C2243" s="7" t="s">
        <v>11152</v>
      </c>
      <c r="D2243" s="7" t="s">
        <v>7542</v>
      </c>
      <c r="E2243" s="7" t="s">
        <v>11901</v>
      </c>
      <c r="F2243" s="8" t="s">
        <v>10983</v>
      </c>
      <c r="G2243" s="7">
        <v>28</v>
      </c>
      <c r="H2243" s="7" t="s">
        <v>10468</v>
      </c>
      <c r="I2243" s="7">
        <v>1</v>
      </c>
      <c r="J2243" s="7" t="s">
        <v>7844</v>
      </c>
      <c r="K2243" s="9" t="s">
        <v>8987</v>
      </c>
    </row>
    <row r="2244" spans="1:11">
      <c r="A2244" s="7">
        <v>2242</v>
      </c>
      <c r="B2244" s="7" t="s">
        <v>9174</v>
      </c>
      <c r="C2244" s="7" t="s">
        <v>8984</v>
      </c>
      <c r="D2244" s="7" t="s">
        <v>7542</v>
      </c>
      <c r="E2244" s="7" t="s">
        <v>11902</v>
      </c>
      <c r="F2244" s="8" t="s">
        <v>10983</v>
      </c>
      <c r="G2244" s="7">
        <v>14</v>
      </c>
      <c r="H2244" s="7" t="s">
        <v>9397</v>
      </c>
      <c r="I2244" s="7">
        <v>1</v>
      </c>
      <c r="J2244" s="7" t="s">
        <v>7888</v>
      </c>
      <c r="K2244" s="9" t="s">
        <v>8987</v>
      </c>
    </row>
    <row r="2245" spans="1:11">
      <c r="A2245" s="7">
        <v>2243</v>
      </c>
      <c r="B2245" s="7" t="s">
        <v>9174</v>
      </c>
      <c r="C2245" s="7" t="s">
        <v>8984</v>
      </c>
      <c r="D2245" s="7" t="s">
        <v>7542</v>
      </c>
      <c r="E2245" s="7" t="s">
        <v>11903</v>
      </c>
      <c r="F2245" s="8" t="s">
        <v>10983</v>
      </c>
      <c r="G2245" s="7">
        <v>14</v>
      </c>
      <c r="H2245" s="7" t="s">
        <v>9397</v>
      </c>
      <c r="I2245" s="7">
        <v>1</v>
      </c>
      <c r="J2245" s="7" t="s">
        <v>7888</v>
      </c>
      <c r="K2245" s="9" t="s">
        <v>8987</v>
      </c>
    </row>
    <row r="2246" spans="1:11">
      <c r="A2246" s="7">
        <v>2244</v>
      </c>
      <c r="B2246" s="7" t="s">
        <v>9174</v>
      </c>
      <c r="C2246" s="7" t="s">
        <v>11152</v>
      </c>
      <c r="D2246" s="7" t="s">
        <v>7542</v>
      </c>
      <c r="E2246" s="7" t="s">
        <v>11904</v>
      </c>
      <c r="F2246" s="8" t="s">
        <v>10983</v>
      </c>
      <c r="G2246" s="7">
        <v>28</v>
      </c>
      <c r="H2246" s="7" t="s">
        <v>10468</v>
      </c>
      <c r="I2246" s="7">
        <v>1</v>
      </c>
      <c r="J2246" s="7" t="s">
        <v>7844</v>
      </c>
      <c r="K2246" s="9" t="s">
        <v>8987</v>
      </c>
    </row>
    <row r="2247" spans="1:11">
      <c r="A2247" s="7">
        <v>2245</v>
      </c>
      <c r="B2247" s="7" t="s">
        <v>9174</v>
      </c>
      <c r="C2247" s="7" t="s">
        <v>8984</v>
      </c>
      <c r="D2247" s="7" t="s">
        <v>7542</v>
      </c>
      <c r="E2247" s="7" t="s">
        <v>11905</v>
      </c>
      <c r="F2247" s="8" t="s">
        <v>10983</v>
      </c>
      <c r="G2247" s="7">
        <v>14</v>
      </c>
      <c r="H2247" s="7" t="s">
        <v>9397</v>
      </c>
      <c r="I2247" s="7">
        <v>1</v>
      </c>
      <c r="J2247" s="7" t="s">
        <v>7888</v>
      </c>
      <c r="K2247" s="9" t="s">
        <v>8987</v>
      </c>
    </row>
    <row r="2248" spans="1:11">
      <c r="A2248" s="7">
        <v>2246</v>
      </c>
      <c r="B2248" s="7" t="s">
        <v>9174</v>
      </c>
      <c r="C2248" s="7" t="s">
        <v>8984</v>
      </c>
      <c r="D2248" s="7" t="s">
        <v>7542</v>
      </c>
      <c r="E2248" s="7" t="s">
        <v>11906</v>
      </c>
      <c r="F2248" s="8" t="s">
        <v>10983</v>
      </c>
      <c r="G2248" s="7">
        <v>14</v>
      </c>
      <c r="H2248" s="7" t="s">
        <v>9397</v>
      </c>
      <c r="I2248" s="7">
        <v>1</v>
      </c>
      <c r="J2248" s="7" t="s">
        <v>7888</v>
      </c>
      <c r="K2248" s="9" t="s">
        <v>8987</v>
      </c>
    </row>
    <row r="2249" spans="1:11">
      <c r="A2249" s="7">
        <v>2247</v>
      </c>
      <c r="B2249" s="7" t="s">
        <v>9174</v>
      </c>
      <c r="C2249" s="7" t="s">
        <v>11152</v>
      </c>
      <c r="D2249" s="7" t="s">
        <v>7542</v>
      </c>
      <c r="E2249" s="7" t="s">
        <v>11907</v>
      </c>
      <c r="F2249" s="8" t="s">
        <v>10983</v>
      </c>
      <c r="G2249" s="7">
        <v>28</v>
      </c>
      <c r="H2249" s="7" t="s">
        <v>10468</v>
      </c>
      <c r="I2249" s="7">
        <v>1</v>
      </c>
      <c r="J2249" s="7" t="s">
        <v>7844</v>
      </c>
      <c r="K2249" s="9" t="s">
        <v>8987</v>
      </c>
    </row>
    <row r="2250" spans="1:11">
      <c r="A2250" s="7">
        <v>2248</v>
      </c>
      <c r="B2250" s="7" t="s">
        <v>9174</v>
      </c>
      <c r="C2250" s="7" t="s">
        <v>8984</v>
      </c>
      <c r="D2250" s="7" t="s">
        <v>7542</v>
      </c>
      <c r="E2250" s="7" t="s">
        <v>11908</v>
      </c>
      <c r="F2250" s="8" t="s">
        <v>10983</v>
      </c>
      <c r="G2250" s="7">
        <v>14</v>
      </c>
      <c r="H2250" s="7" t="s">
        <v>9397</v>
      </c>
      <c r="I2250" s="7">
        <v>1</v>
      </c>
      <c r="J2250" s="7" t="s">
        <v>7888</v>
      </c>
      <c r="K2250" s="9" t="s">
        <v>8987</v>
      </c>
    </row>
    <row r="2251" spans="1:11">
      <c r="A2251" s="7">
        <v>2249</v>
      </c>
      <c r="B2251" s="7" t="s">
        <v>9174</v>
      </c>
      <c r="C2251" s="7" t="s">
        <v>8984</v>
      </c>
      <c r="D2251" s="7" t="s">
        <v>7542</v>
      </c>
      <c r="E2251" s="7" t="s">
        <v>3601</v>
      </c>
      <c r="F2251" s="8" t="s">
        <v>10983</v>
      </c>
      <c r="G2251" s="7">
        <v>14</v>
      </c>
      <c r="H2251" s="7" t="s">
        <v>9397</v>
      </c>
      <c r="I2251" s="7">
        <v>1</v>
      </c>
      <c r="J2251" s="7" t="s">
        <v>7888</v>
      </c>
      <c r="K2251" s="9" t="s">
        <v>8987</v>
      </c>
    </row>
    <row r="2252" spans="1:11">
      <c r="A2252" s="7">
        <v>2250</v>
      </c>
      <c r="B2252" s="7" t="s">
        <v>9174</v>
      </c>
      <c r="C2252" s="7" t="s">
        <v>11152</v>
      </c>
      <c r="D2252" s="7" t="s">
        <v>7542</v>
      </c>
      <c r="E2252" s="7" t="s">
        <v>11909</v>
      </c>
      <c r="F2252" s="8" t="s">
        <v>10983</v>
      </c>
      <c r="G2252" s="7">
        <v>28</v>
      </c>
      <c r="H2252" s="7" t="s">
        <v>10468</v>
      </c>
      <c r="I2252" s="7">
        <v>1</v>
      </c>
      <c r="J2252" s="7" t="s">
        <v>7844</v>
      </c>
      <c r="K2252" s="9" t="s">
        <v>8987</v>
      </c>
    </row>
    <row r="2253" spans="1:11">
      <c r="A2253" s="7">
        <v>2251</v>
      </c>
      <c r="B2253" s="7" t="s">
        <v>9174</v>
      </c>
      <c r="C2253" s="7" t="s">
        <v>8984</v>
      </c>
      <c r="D2253" s="7" t="s">
        <v>7542</v>
      </c>
      <c r="E2253" s="7" t="s">
        <v>11910</v>
      </c>
      <c r="F2253" s="8" t="s">
        <v>10983</v>
      </c>
      <c r="G2253" s="7">
        <v>70</v>
      </c>
      <c r="H2253" s="7" t="s">
        <v>9194</v>
      </c>
      <c r="I2253" s="7">
        <v>1</v>
      </c>
      <c r="J2253" s="7" t="s">
        <v>7863</v>
      </c>
      <c r="K2253" s="9" t="s">
        <v>8987</v>
      </c>
    </row>
    <row r="2254" spans="1:11">
      <c r="A2254" s="7">
        <v>2252</v>
      </c>
      <c r="B2254" s="7" t="s">
        <v>9174</v>
      </c>
      <c r="C2254" s="7" t="s">
        <v>8984</v>
      </c>
      <c r="D2254" s="7" t="s">
        <v>7542</v>
      </c>
      <c r="E2254" s="7" t="s">
        <v>11911</v>
      </c>
      <c r="F2254" s="8" t="s">
        <v>10983</v>
      </c>
      <c r="G2254" s="7">
        <v>70</v>
      </c>
      <c r="H2254" s="7" t="s">
        <v>9194</v>
      </c>
      <c r="I2254" s="7">
        <v>1</v>
      </c>
      <c r="J2254" s="7" t="s">
        <v>7863</v>
      </c>
      <c r="K2254" s="9" t="s">
        <v>8987</v>
      </c>
    </row>
    <row r="2255" spans="1:11">
      <c r="A2255" s="7">
        <v>2253</v>
      </c>
      <c r="B2255" s="7" t="s">
        <v>9174</v>
      </c>
      <c r="C2255" s="7" t="s">
        <v>11152</v>
      </c>
      <c r="D2255" s="7" t="s">
        <v>7542</v>
      </c>
      <c r="E2255" s="7" t="s">
        <v>11912</v>
      </c>
      <c r="F2255" s="8" t="s">
        <v>10983</v>
      </c>
      <c r="G2255" s="7">
        <v>140</v>
      </c>
      <c r="H2255" s="7" t="s">
        <v>10761</v>
      </c>
      <c r="I2255" s="7">
        <v>1</v>
      </c>
      <c r="J2255" s="7" t="s">
        <v>7845</v>
      </c>
      <c r="K2255" s="9" t="s">
        <v>8987</v>
      </c>
    </row>
    <row r="2256" spans="1:11">
      <c r="A2256" s="7">
        <v>2254</v>
      </c>
      <c r="B2256" s="7" t="s">
        <v>9174</v>
      </c>
      <c r="C2256" s="7" t="s">
        <v>8984</v>
      </c>
      <c r="D2256" s="7" t="s">
        <v>7542</v>
      </c>
      <c r="E2256" s="7" t="s">
        <v>11913</v>
      </c>
      <c r="F2256" s="8" t="s">
        <v>9320</v>
      </c>
      <c r="G2256" s="7">
        <v>45</v>
      </c>
      <c r="H2256" s="7" t="s">
        <v>9750</v>
      </c>
      <c r="I2256" s="7">
        <v>1</v>
      </c>
      <c r="J2256" s="7" t="s">
        <v>7880</v>
      </c>
      <c r="K2256" s="9" t="s">
        <v>8987</v>
      </c>
    </row>
    <row r="2257" spans="1:11">
      <c r="A2257" s="7">
        <v>2255</v>
      </c>
      <c r="B2257" s="7" t="s">
        <v>9174</v>
      </c>
      <c r="C2257" s="7" t="s">
        <v>8984</v>
      </c>
      <c r="D2257" s="7" t="s">
        <v>7542</v>
      </c>
      <c r="E2257" s="7" t="s">
        <v>11914</v>
      </c>
      <c r="F2257" s="8" t="s">
        <v>9320</v>
      </c>
      <c r="G2257" s="7">
        <v>75</v>
      </c>
      <c r="H2257" s="7" t="s">
        <v>9265</v>
      </c>
      <c r="I2257" s="7">
        <v>1</v>
      </c>
      <c r="J2257" s="7" t="s">
        <v>7859</v>
      </c>
      <c r="K2257" s="9" t="s">
        <v>8987</v>
      </c>
    </row>
    <row r="2258" spans="1:11">
      <c r="A2258" s="7">
        <v>2256</v>
      </c>
      <c r="B2258" s="7" t="s">
        <v>9174</v>
      </c>
      <c r="C2258" s="7" t="s">
        <v>11152</v>
      </c>
      <c r="D2258" s="7" t="s">
        <v>7542</v>
      </c>
      <c r="E2258" s="7" t="s">
        <v>5003</v>
      </c>
      <c r="F2258" s="12" t="s">
        <v>9320</v>
      </c>
      <c r="G2258" s="7">
        <v>150</v>
      </c>
      <c r="H2258" s="7" t="s">
        <v>9253</v>
      </c>
      <c r="I2258" s="7">
        <v>1</v>
      </c>
      <c r="J2258" s="7" t="s">
        <v>7846</v>
      </c>
      <c r="K2258" s="9" t="s">
        <v>8987</v>
      </c>
    </row>
    <row r="2259" spans="1:11">
      <c r="A2259" s="7">
        <v>2257</v>
      </c>
      <c r="B2259" s="7" t="s">
        <v>9174</v>
      </c>
      <c r="C2259" s="7" t="s">
        <v>8984</v>
      </c>
      <c r="D2259" s="7" t="s">
        <v>7556</v>
      </c>
      <c r="E2259" s="7" t="s">
        <v>11915</v>
      </c>
      <c r="F2259" s="8" t="s">
        <v>10161</v>
      </c>
      <c r="G2259" s="7">
        <v>47</v>
      </c>
      <c r="H2259" s="7" t="s">
        <v>11393</v>
      </c>
      <c r="I2259" s="7">
        <v>1</v>
      </c>
      <c r="J2259" s="7" t="s">
        <v>11394</v>
      </c>
      <c r="K2259" s="9" t="s">
        <v>8987</v>
      </c>
    </row>
    <row r="2260" spans="1:11">
      <c r="A2260" s="7">
        <v>2258</v>
      </c>
      <c r="B2260" s="7" t="s">
        <v>9174</v>
      </c>
      <c r="C2260" s="7" t="s">
        <v>8984</v>
      </c>
      <c r="D2260" s="7" t="s">
        <v>7556</v>
      </c>
      <c r="E2260" s="7" t="s">
        <v>11916</v>
      </c>
      <c r="F2260" s="8" t="s">
        <v>10161</v>
      </c>
      <c r="G2260" s="7">
        <v>60</v>
      </c>
      <c r="H2260" s="7" t="s">
        <v>9289</v>
      </c>
      <c r="I2260" s="7">
        <v>1</v>
      </c>
      <c r="J2260" s="7" t="s">
        <v>7870</v>
      </c>
      <c r="K2260" s="9" t="s">
        <v>8987</v>
      </c>
    </row>
    <row r="2261" spans="1:11">
      <c r="A2261" s="7">
        <v>2259</v>
      </c>
      <c r="B2261" s="7" t="s">
        <v>9174</v>
      </c>
      <c r="C2261" s="7" t="s">
        <v>8984</v>
      </c>
      <c r="D2261" s="7" t="s">
        <v>7556</v>
      </c>
      <c r="E2261" s="7" t="s">
        <v>11917</v>
      </c>
      <c r="F2261" s="8" t="s">
        <v>10161</v>
      </c>
      <c r="G2261" s="7">
        <v>60</v>
      </c>
      <c r="H2261" s="7" t="s">
        <v>9289</v>
      </c>
      <c r="I2261" s="7">
        <v>1</v>
      </c>
      <c r="J2261" s="7" t="s">
        <v>7870</v>
      </c>
      <c r="K2261" s="9" t="s">
        <v>8987</v>
      </c>
    </row>
    <row r="2262" spans="1:11">
      <c r="A2262" s="7">
        <v>2260</v>
      </c>
      <c r="B2262" s="7" t="s">
        <v>9174</v>
      </c>
      <c r="C2262" s="7" t="s">
        <v>11152</v>
      </c>
      <c r="D2262" s="7" t="s">
        <v>7556</v>
      </c>
      <c r="E2262" s="7" t="s">
        <v>11918</v>
      </c>
      <c r="F2262" s="8" t="s">
        <v>10161</v>
      </c>
      <c r="G2262" s="7">
        <v>24</v>
      </c>
      <c r="H2262" s="7" t="s">
        <v>9418</v>
      </c>
      <c r="I2262" s="7">
        <v>1</v>
      </c>
      <c r="J2262" s="7" t="s">
        <v>7871</v>
      </c>
      <c r="K2262" s="9" t="s">
        <v>8987</v>
      </c>
    </row>
    <row r="2263" spans="1:11">
      <c r="A2263" s="7">
        <v>2261</v>
      </c>
      <c r="B2263" s="7" t="s">
        <v>9174</v>
      </c>
      <c r="C2263" s="7" t="s">
        <v>8984</v>
      </c>
      <c r="D2263" s="7" t="s">
        <v>7542</v>
      </c>
      <c r="E2263" s="7" t="s">
        <v>11919</v>
      </c>
      <c r="F2263" s="8" t="s">
        <v>9864</v>
      </c>
      <c r="G2263" s="7">
        <v>75</v>
      </c>
      <c r="H2263" s="7" t="s">
        <v>9265</v>
      </c>
      <c r="I2263" s="7">
        <v>1</v>
      </c>
      <c r="J2263" s="7" t="s">
        <v>7859</v>
      </c>
      <c r="K2263" s="9" t="s">
        <v>8987</v>
      </c>
    </row>
    <row r="2264" spans="1:11">
      <c r="A2264" s="7">
        <v>2262</v>
      </c>
      <c r="B2264" s="7" t="s">
        <v>9174</v>
      </c>
      <c r="C2264" s="7" t="s">
        <v>8984</v>
      </c>
      <c r="D2264" s="7" t="s">
        <v>7542</v>
      </c>
      <c r="E2264" s="7" t="s">
        <v>11920</v>
      </c>
      <c r="F2264" s="8" t="s">
        <v>9864</v>
      </c>
      <c r="G2264" s="7">
        <v>38</v>
      </c>
      <c r="H2264" s="7" t="s">
        <v>11229</v>
      </c>
      <c r="I2264" s="7">
        <v>1</v>
      </c>
      <c r="J2264" s="7" t="s">
        <v>7847</v>
      </c>
      <c r="K2264" s="9" t="s">
        <v>8987</v>
      </c>
    </row>
    <row r="2265" spans="1:11">
      <c r="A2265" s="7">
        <v>2263</v>
      </c>
      <c r="B2265" s="7" t="s">
        <v>9174</v>
      </c>
      <c r="C2265" s="7" t="s">
        <v>11152</v>
      </c>
      <c r="D2265" s="7" t="s">
        <v>7542</v>
      </c>
      <c r="E2265" s="7" t="s">
        <v>11921</v>
      </c>
      <c r="F2265" s="8" t="s">
        <v>9864</v>
      </c>
      <c r="G2265" s="7">
        <v>38</v>
      </c>
      <c r="H2265" s="7" t="s">
        <v>11229</v>
      </c>
      <c r="I2265" s="7">
        <v>1</v>
      </c>
      <c r="J2265" s="7" t="s">
        <v>7847</v>
      </c>
      <c r="K2265" s="9" t="s">
        <v>8987</v>
      </c>
    </row>
    <row r="2266" spans="1:11">
      <c r="A2266" s="7">
        <v>2264</v>
      </c>
      <c r="B2266" s="7" t="s">
        <v>9174</v>
      </c>
      <c r="C2266" s="7" t="s">
        <v>8984</v>
      </c>
      <c r="D2266" s="7" t="s">
        <v>7542</v>
      </c>
      <c r="E2266" s="7" t="s">
        <v>11922</v>
      </c>
      <c r="F2266" s="8" t="s">
        <v>9703</v>
      </c>
      <c r="G2266" s="7">
        <v>49</v>
      </c>
      <c r="H2266" s="7" t="s">
        <v>11225</v>
      </c>
      <c r="I2266" s="7">
        <v>1</v>
      </c>
      <c r="J2266" s="7" t="s">
        <v>7884</v>
      </c>
      <c r="K2266" s="9" t="s">
        <v>8987</v>
      </c>
    </row>
    <row r="2267" spans="1:11">
      <c r="A2267" s="7">
        <v>2265</v>
      </c>
      <c r="B2267" s="7" t="s">
        <v>9174</v>
      </c>
      <c r="C2267" s="7" t="s">
        <v>8984</v>
      </c>
      <c r="D2267" s="7" t="s">
        <v>7542</v>
      </c>
      <c r="E2267" s="7" t="s">
        <v>11923</v>
      </c>
      <c r="F2267" s="8" t="s">
        <v>9703</v>
      </c>
      <c r="G2267" s="7">
        <v>25</v>
      </c>
      <c r="H2267" s="7" t="s">
        <v>9011</v>
      </c>
      <c r="I2267" s="7">
        <v>1</v>
      </c>
      <c r="J2267" s="7" t="s">
        <v>7840</v>
      </c>
      <c r="K2267" s="9" t="s">
        <v>8987</v>
      </c>
    </row>
    <row r="2268" spans="1:11">
      <c r="A2268" s="7">
        <v>2266</v>
      </c>
      <c r="B2268" s="7" t="s">
        <v>9174</v>
      </c>
      <c r="C2268" s="7" t="s">
        <v>11152</v>
      </c>
      <c r="D2268" s="7" t="s">
        <v>7542</v>
      </c>
      <c r="E2268" s="7" t="s">
        <v>11924</v>
      </c>
      <c r="F2268" s="8" t="s">
        <v>9703</v>
      </c>
      <c r="G2268" s="7">
        <v>25</v>
      </c>
      <c r="H2268" s="7" t="s">
        <v>9011</v>
      </c>
      <c r="I2268" s="7">
        <v>1</v>
      </c>
      <c r="J2268" s="7" t="s">
        <v>7840</v>
      </c>
      <c r="K2268" s="9" t="s">
        <v>8987</v>
      </c>
    </row>
    <row r="2269" spans="1:11">
      <c r="A2269" s="7">
        <v>2267</v>
      </c>
      <c r="B2269" s="7" t="s">
        <v>9174</v>
      </c>
      <c r="C2269" s="7" t="s">
        <v>8984</v>
      </c>
      <c r="D2269" s="7" t="s">
        <v>7542</v>
      </c>
      <c r="E2269" s="7" t="s">
        <v>11925</v>
      </c>
      <c r="F2269" s="8" t="s">
        <v>9706</v>
      </c>
      <c r="G2269" s="7">
        <v>45</v>
      </c>
      <c r="H2269" s="7" t="s">
        <v>9750</v>
      </c>
      <c r="I2269" s="7">
        <v>1</v>
      </c>
      <c r="J2269" s="7" t="s">
        <v>7880</v>
      </c>
      <c r="K2269" s="9" t="s">
        <v>8987</v>
      </c>
    </row>
    <row r="2270" spans="1:11">
      <c r="A2270" s="7">
        <v>2268</v>
      </c>
      <c r="B2270" s="7" t="s">
        <v>9174</v>
      </c>
      <c r="C2270" s="7" t="s">
        <v>8984</v>
      </c>
      <c r="D2270" s="7" t="s">
        <v>7542</v>
      </c>
      <c r="E2270" s="7" t="s">
        <v>11926</v>
      </c>
      <c r="F2270" s="8" t="s">
        <v>9706</v>
      </c>
      <c r="G2270" s="7">
        <v>23</v>
      </c>
      <c r="H2270" s="7" t="s">
        <v>9120</v>
      </c>
      <c r="I2270" s="7">
        <v>1</v>
      </c>
      <c r="J2270" s="7" t="s">
        <v>7848</v>
      </c>
      <c r="K2270" s="9" t="s">
        <v>8987</v>
      </c>
    </row>
    <row r="2271" spans="1:11">
      <c r="A2271" s="7">
        <v>2269</v>
      </c>
      <c r="B2271" s="7" t="s">
        <v>9174</v>
      </c>
      <c r="C2271" s="7" t="s">
        <v>11152</v>
      </c>
      <c r="D2271" s="7" t="s">
        <v>7542</v>
      </c>
      <c r="E2271" s="7" t="s">
        <v>11927</v>
      </c>
      <c r="F2271" s="8" t="s">
        <v>9706</v>
      </c>
      <c r="G2271" s="7">
        <v>23</v>
      </c>
      <c r="H2271" s="7" t="s">
        <v>9120</v>
      </c>
      <c r="I2271" s="7">
        <v>1</v>
      </c>
      <c r="J2271" s="7" t="s">
        <v>7848</v>
      </c>
      <c r="K2271" s="9" t="s">
        <v>8987</v>
      </c>
    </row>
    <row r="2272" spans="1:11">
      <c r="A2272" s="7">
        <v>2270</v>
      </c>
      <c r="B2272" s="7" t="s">
        <v>9174</v>
      </c>
      <c r="C2272" s="7" t="s">
        <v>11152</v>
      </c>
      <c r="D2272" s="7" t="s">
        <v>7542</v>
      </c>
      <c r="E2272" s="7" t="s">
        <v>11928</v>
      </c>
      <c r="F2272" s="8" t="s">
        <v>10801</v>
      </c>
      <c r="G2272" s="7">
        <v>28</v>
      </c>
      <c r="H2272" s="7" t="s">
        <v>10468</v>
      </c>
      <c r="I2272" s="7">
        <v>1</v>
      </c>
      <c r="J2272" s="7" t="s">
        <v>7844</v>
      </c>
      <c r="K2272" s="9" t="s">
        <v>8987</v>
      </c>
    </row>
    <row r="2273" spans="1:11">
      <c r="A2273" s="7">
        <v>2271</v>
      </c>
      <c r="B2273" s="7" t="s">
        <v>9174</v>
      </c>
      <c r="C2273" s="7" t="s">
        <v>8984</v>
      </c>
      <c r="D2273" s="7" t="s">
        <v>7542</v>
      </c>
      <c r="E2273" s="7" t="s">
        <v>11929</v>
      </c>
      <c r="F2273" s="8" t="s">
        <v>10202</v>
      </c>
      <c r="G2273" s="7">
        <v>42</v>
      </c>
      <c r="H2273" s="7" t="s">
        <v>11407</v>
      </c>
      <c r="I2273" s="7">
        <v>1</v>
      </c>
      <c r="J2273" s="7" t="s">
        <v>7849</v>
      </c>
      <c r="K2273" s="9" t="s">
        <v>8987</v>
      </c>
    </row>
    <row r="2274" spans="1:11">
      <c r="A2274" s="7">
        <v>2272</v>
      </c>
      <c r="B2274" s="7" t="s">
        <v>9174</v>
      </c>
      <c r="C2274" s="7" t="s">
        <v>8984</v>
      </c>
      <c r="D2274" s="7" t="s">
        <v>7542</v>
      </c>
      <c r="E2274" s="7" t="s">
        <v>11930</v>
      </c>
      <c r="F2274" s="8" t="s">
        <v>10202</v>
      </c>
      <c r="G2274" s="7">
        <v>21</v>
      </c>
      <c r="H2274" s="7" t="s">
        <v>9116</v>
      </c>
      <c r="I2274" s="7">
        <v>1</v>
      </c>
      <c r="J2274" s="7" t="s">
        <v>7842</v>
      </c>
      <c r="K2274" s="9" t="s">
        <v>8987</v>
      </c>
    </row>
    <row r="2275" spans="1:11">
      <c r="A2275" s="7">
        <v>2273</v>
      </c>
      <c r="B2275" s="7" t="s">
        <v>9174</v>
      </c>
      <c r="C2275" s="7" t="s">
        <v>11152</v>
      </c>
      <c r="D2275" s="7" t="s">
        <v>7542</v>
      </c>
      <c r="E2275" s="7" t="s">
        <v>11931</v>
      </c>
      <c r="F2275" s="8" t="s">
        <v>10202</v>
      </c>
      <c r="G2275" s="7">
        <v>21</v>
      </c>
      <c r="H2275" s="7" t="s">
        <v>9116</v>
      </c>
      <c r="I2275" s="7">
        <v>1</v>
      </c>
      <c r="J2275" s="7" t="s">
        <v>7842</v>
      </c>
      <c r="K2275" s="9" t="s">
        <v>8987</v>
      </c>
    </row>
    <row r="2276" spans="1:11">
      <c r="A2276" s="7">
        <v>2274</v>
      </c>
      <c r="B2276" s="7" t="s">
        <v>9174</v>
      </c>
      <c r="C2276" s="7" t="s">
        <v>11152</v>
      </c>
      <c r="D2276" s="7" t="s">
        <v>7542</v>
      </c>
      <c r="E2276" s="7" t="s">
        <v>11932</v>
      </c>
      <c r="F2276" s="8" t="s">
        <v>10626</v>
      </c>
      <c r="G2276" s="7">
        <v>42</v>
      </c>
      <c r="H2276" s="7" t="s">
        <v>11407</v>
      </c>
      <c r="I2276" s="7">
        <v>1</v>
      </c>
      <c r="J2276" s="7" t="s">
        <v>7849</v>
      </c>
      <c r="K2276" s="9" t="s">
        <v>8987</v>
      </c>
    </row>
    <row r="2277" spans="1:11">
      <c r="A2277" s="7">
        <v>2275</v>
      </c>
      <c r="B2277" s="7" t="s">
        <v>11164</v>
      </c>
      <c r="C2277" s="7" t="s">
        <v>11152</v>
      </c>
      <c r="D2277" s="7" t="s">
        <v>7542</v>
      </c>
      <c r="E2277" s="7" t="s">
        <v>11933</v>
      </c>
      <c r="F2277" s="8" t="s">
        <v>9541</v>
      </c>
      <c r="G2277" s="7">
        <v>17</v>
      </c>
      <c r="H2277" s="7" t="s">
        <v>9146</v>
      </c>
      <c r="I2277" s="7">
        <v>1</v>
      </c>
      <c r="J2277" s="7" t="s">
        <v>7850</v>
      </c>
      <c r="K2277" s="9" t="s">
        <v>8987</v>
      </c>
    </row>
    <row r="2278" spans="1:11">
      <c r="A2278" s="7">
        <v>2276</v>
      </c>
      <c r="B2278" s="7" t="s">
        <v>9174</v>
      </c>
      <c r="C2278" s="7" t="s">
        <v>11152</v>
      </c>
      <c r="D2278" s="7" t="s">
        <v>7542</v>
      </c>
      <c r="E2278" s="7" t="s">
        <v>11934</v>
      </c>
      <c r="F2278" s="8" t="s">
        <v>10416</v>
      </c>
      <c r="G2278" s="7">
        <v>20</v>
      </c>
      <c r="H2278" s="7" t="s">
        <v>9394</v>
      </c>
      <c r="I2278" s="7">
        <v>1</v>
      </c>
      <c r="J2278" s="7" t="s">
        <v>7851</v>
      </c>
      <c r="K2278" s="9" t="s">
        <v>8987</v>
      </c>
    </row>
    <row r="2279" spans="1:11">
      <c r="A2279" s="7">
        <v>2277</v>
      </c>
      <c r="B2279" s="7" t="s">
        <v>9174</v>
      </c>
      <c r="C2279" s="7" t="s">
        <v>8984</v>
      </c>
      <c r="D2279" s="7" t="s">
        <v>7542</v>
      </c>
      <c r="E2279" s="7" t="s">
        <v>11935</v>
      </c>
      <c r="F2279" s="8" t="s">
        <v>10059</v>
      </c>
      <c r="G2279" s="7">
        <v>50</v>
      </c>
      <c r="H2279" s="7" t="s">
        <v>9021</v>
      </c>
      <c r="I2279" s="7">
        <v>1</v>
      </c>
      <c r="J2279" s="7" t="s">
        <v>7881</v>
      </c>
      <c r="K2279" s="9" t="s">
        <v>8987</v>
      </c>
    </row>
    <row r="2280" spans="1:11">
      <c r="A2280" s="7">
        <v>2278</v>
      </c>
      <c r="B2280" s="7" t="s">
        <v>9174</v>
      </c>
      <c r="C2280" s="7" t="s">
        <v>8984</v>
      </c>
      <c r="D2280" s="7" t="s">
        <v>7542</v>
      </c>
      <c r="E2280" s="7" t="s">
        <v>11936</v>
      </c>
      <c r="F2280" s="8" t="s">
        <v>10059</v>
      </c>
      <c r="G2280" s="7">
        <v>25</v>
      </c>
      <c r="H2280" s="7" t="s">
        <v>9011</v>
      </c>
      <c r="I2280" s="7">
        <v>1</v>
      </c>
      <c r="J2280" s="7" t="s">
        <v>7840</v>
      </c>
      <c r="K2280" s="9" t="s">
        <v>8987</v>
      </c>
    </row>
    <row r="2281" spans="1:11">
      <c r="A2281" s="7">
        <v>2279</v>
      </c>
      <c r="B2281" s="7" t="s">
        <v>9174</v>
      </c>
      <c r="C2281" s="7" t="s">
        <v>11152</v>
      </c>
      <c r="D2281" s="7" t="s">
        <v>7542</v>
      </c>
      <c r="E2281" s="7" t="s">
        <v>11937</v>
      </c>
      <c r="F2281" s="8" t="s">
        <v>10059</v>
      </c>
      <c r="G2281" s="7">
        <v>25</v>
      </c>
      <c r="H2281" s="7" t="s">
        <v>9011</v>
      </c>
      <c r="I2281" s="7">
        <v>1</v>
      </c>
      <c r="J2281" s="7" t="s">
        <v>7840</v>
      </c>
      <c r="K2281" s="9" t="s">
        <v>8987</v>
      </c>
    </row>
    <row r="2282" spans="1:11">
      <c r="A2282" s="7">
        <v>2280</v>
      </c>
      <c r="B2282" s="7" t="s">
        <v>9174</v>
      </c>
      <c r="C2282" s="7" t="s">
        <v>8984</v>
      </c>
      <c r="D2282" s="7" t="s">
        <v>7542</v>
      </c>
      <c r="E2282" s="7" t="s">
        <v>11938</v>
      </c>
      <c r="F2282" s="8" t="s">
        <v>9798</v>
      </c>
      <c r="G2282" s="7">
        <v>54</v>
      </c>
      <c r="H2282" s="7" t="s">
        <v>11713</v>
      </c>
      <c r="I2282" s="7">
        <v>1</v>
      </c>
      <c r="J2282" s="7" t="s">
        <v>11714</v>
      </c>
      <c r="K2282" s="9" t="s">
        <v>8987</v>
      </c>
    </row>
    <row r="2283" spans="1:11">
      <c r="A2283" s="7">
        <v>2281</v>
      </c>
      <c r="B2283" s="7" t="s">
        <v>9174</v>
      </c>
      <c r="C2283" s="7" t="s">
        <v>8984</v>
      </c>
      <c r="D2283" s="7" t="s">
        <v>7542</v>
      </c>
      <c r="E2283" s="7" t="s">
        <v>11939</v>
      </c>
      <c r="F2283" s="8" t="s">
        <v>9798</v>
      </c>
      <c r="G2283" s="7">
        <v>27</v>
      </c>
      <c r="H2283" s="7" t="s">
        <v>9130</v>
      </c>
      <c r="I2283" s="7">
        <v>1</v>
      </c>
      <c r="J2283" s="7" t="s">
        <v>7852</v>
      </c>
      <c r="K2283" s="9" t="s">
        <v>8987</v>
      </c>
    </row>
    <row r="2284" spans="1:11">
      <c r="A2284" s="7">
        <v>2282</v>
      </c>
      <c r="B2284" s="7" t="s">
        <v>9174</v>
      </c>
      <c r="C2284" s="7" t="s">
        <v>11152</v>
      </c>
      <c r="D2284" s="7" t="s">
        <v>7542</v>
      </c>
      <c r="E2284" s="7" t="s">
        <v>11940</v>
      </c>
      <c r="F2284" s="8" t="s">
        <v>9798</v>
      </c>
      <c r="G2284" s="7">
        <v>27</v>
      </c>
      <c r="H2284" s="7" t="s">
        <v>9130</v>
      </c>
      <c r="I2284" s="7">
        <v>1</v>
      </c>
      <c r="J2284" s="7" t="s">
        <v>7852</v>
      </c>
      <c r="K2284" s="9" t="s">
        <v>8987</v>
      </c>
    </row>
    <row r="2285" spans="1:11">
      <c r="A2285" s="7">
        <v>2283</v>
      </c>
      <c r="B2285" s="7" t="s">
        <v>9174</v>
      </c>
      <c r="C2285" s="7" t="s">
        <v>8984</v>
      </c>
      <c r="D2285" s="7" t="s">
        <v>7542</v>
      </c>
      <c r="E2285" s="7" t="s">
        <v>11941</v>
      </c>
      <c r="F2285" s="8" t="s">
        <v>9805</v>
      </c>
      <c r="G2285" s="7">
        <v>58</v>
      </c>
      <c r="H2285" s="7" t="s">
        <v>10953</v>
      </c>
      <c r="I2285" s="7">
        <v>1</v>
      </c>
      <c r="J2285" s="7" t="s">
        <v>10954</v>
      </c>
      <c r="K2285" s="9" t="s">
        <v>8987</v>
      </c>
    </row>
    <row r="2286" spans="1:11">
      <c r="A2286" s="7">
        <v>2284</v>
      </c>
      <c r="B2286" s="7" t="s">
        <v>9174</v>
      </c>
      <c r="C2286" s="7" t="s">
        <v>8984</v>
      </c>
      <c r="D2286" s="7" t="s">
        <v>7542</v>
      </c>
      <c r="E2286" s="7" t="s">
        <v>11942</v>
      </c>
      <c r="F2286" s="8" t="s">
        <v>9805</v>
      </c>
      <c r="G2286" s="7">
        <v>29</v>
      </c>
      <c r="H2286" s="7" t="s">
        <v>11385</v>
      </c>
      <c r="I2286" s="7">
        <v>1</v>
      </c>
      <c r="J2286" s="7" t="s">
        <v>7853</v>
      </c>
      <c r="K2286" s="9" t="s">
        <v>8987</v>
      </c>
    </row>
    <row r="2287" spans="1:11">
      <c r="A2287" s="7">
        <v>2285</v>
      </c>
      <c r="B2287" s="7" t="s">
        <v>9174</v>
      </c>
      <c r="C2287" s="7" t="s">
        <v>11152</v>
      </c>
      <c r="D2287" s="7" t="s">
        <v>7542</v>
      </c>
      <c r="E2287" s="7" t="s">
        <v>11943</v>
      </c>
      <c r="F2287" s="8" t="s">
        <v>9805</v>
      </c>
      <c r="G2287" s="7">
        <v>29</v>
      </c>
      <c r="H2287" s="7" t="s">
        <v>11385</v>
      </c>
      <c r="I2287" s="7">
        <v>1</v>
      </c>
      <c r="J2287" s="7" t="s">
        <v>7853</v>
      </c>
      <c r="K2287" s="9" t="s">
        <v>8987</v>
      </c>
    </row>
    <row r="2288" spans="1:11">
      <c r="A2288" s="7">
        <v>2286</v>
      </c>
      <c r="B2288" s="7" t="s">
        <v>9174</v>
      </c>
      <c r="C2288" s="7" t="s">
        <v>8984</v>
      </c>
      <c r="D2288" s="7" t="s">
        <v>7542</v>
      </c>
      <c r="E2288" s="7" t="s">
        <v>11944</v>
      </c>
      <c r="F2288" s="8" t="s">
        <v>9812</v>
      </c>
      <c r="G2288" s="7">
        <v>46</v>
      </c>
      <c r="H2288" s="7" t="s">
        <v>11945</v>
      </c>
      <c r="I2288" s="7">
        <v>1</v>
      </c>
      <c r="J2288" s="7" t="s">
        <v>11946</v>
      </c>
      <c r="K2288" s="9" t="s">
        <v>8987</v>
      </c>
    </row>
    <row r="2289" spans="1:11">
      <c r="A2289" s="7">
        <v>2287</v>
      </c>
      <c r="B2289" s="7" t="s">
        <v>9174</v>
      </c>
      <c r="C2289" s="7" t="s">
        <v>8984</v>
      </c>
      <c r="D2289" s="7" t="s">
        <v>7542</v>
      </c>
      <c r="E2289" s="7" t="s">
        <v>11947</v>
      </c>
      <c r="F2289" s="8" t="s">
        <v>9812</v>
      </c>
      <c r="G2289" s="7">
        <v>23</v>
      </c>
      <c r="H2289" s="7" t="s">
        <v>9120</v>
      </c>
      <c r="I2289" s="7">
        <v>1</v>
      </c>
      <c r="J2289" s="7" t="s">
        <v>7848</v>
      </c>
      <c r="K2289" s="9" t="s">
        <v>8987</v>
      </c>
    </row>
    <row r="2290" spans="1:11">
      <c r="A2290" s="7">
        <v>2288</v>
      </c>
      <c r="B2290" s="7" t="s">
        <v>9174</v>
      </c>
      <c r="C2290" s="7" t="s">
        <v>11152</v>
      </c>
      <c r="D2290" s="7" t="s">
        <v>7542</v>
      </c>
      <c r="E2290" s="7" t="s">
        <v>11948</v>
      </c>
      <c r="F2290" s="8" t="s">
        <v>9812</v>
      </c>
      <c r="G2290" s="7">
        <v>23</v>
      </c>
      <c r="H2290" s="7" t="s">
        <v>9120</v>
      </c>
      <c r="I2290" s="7">
        <v>1</v>
      </c>
      <c r="J2290" s="7" t="s">
        <v>7848</v>
      </c>
      <c r="K2290" s="9" t="s">
        <v>8987</v>
      </c>
    </row>
    <row r="2291" spans="1:11">
      <c r="A2291" s="7">
        <v>2289</v>
      </c>
      <c r="B2291" s="7" t="s">
        <v>9174</v>
      </c>
      <c r="C2291" s="7" t="s">
        <v>8984</v>
      </c>
      <c r="D2291" s="7" t="s">
        <v>7542</v>
      </c>
      <c r="E2291" s="7" t="s">
        <v>11949</v>
      </c>
      <c r="F2291" s="8" t="s">
        <v>9611</v>
      </c>
      <c r="G2291" s="7">
        <v>2</v>
      </c>
      <c r="H2291" s="7" t="s">
        <v>10476</v>
      </c>
      <c r="I2291" s="7">
        <v>1</v>
      </c>
      <c r="J2291" s="7" t="s">
        <v>7861</v>
      </c>
      <c r="K2291" s="9" t="s">
        <v>8987</v>
      </c>
    </row>
    <row r="2292" spans="1:11">
      <c r="A2292" s="7">
        <v>2290</v>
      </c>
      <c r="B2292" s="7" t="s">
        <v>9174</v>
      </c>
      <c r="C2292" s="7" t="s">
        <v>8984</v>
      </c>
      <c r="D2292" s="7" t="s">
        <v>7542</v>
      </c>
      <c r="E2292" s="7" t="s">
        <v>11950</v>
      </c>
      <c r="F2292" s="8" t="s">
        <v>9613</v>
      </c>
      <c r="G2292" s="7">
        <v>2</v>
      </c>
      <c r="H2292" s="7" t="s">
        <v>10476</v>
      </c>
      <c r="I2292" s="7">
        <v>1</v>
      </c>
      <c r="J2292" s="7" t="s">
        <v>7861</v>
      </c>
      <c r="K2292" s="9" t="s">
        <v>8987</v>
      </c>
    </row>
    <row r="2293" spans="1:11">
      <c r="A2293" s="7">
        <v>2291</v>
      </c>
      <c r="B2293" s="7" t="s">
        <v>9174</v>
      </c>
      <c r="C2293" s="7" t="s">
        <v>8984</v>
      </c>
      <c r="D2293" s="7" t="s">
        <v>7542</v>
      </c>
      <c r="E2293" s="7" t="s">
        <v>11951</v>
      </c>
      <c r="F2293" s="8" t="s">
        <v>9615</v>
      </c>
      <c r="G2293" s="7">
        <v>2</v>
      </c>
      <c r="H2293" s="7" t="s">
        <v>10476</v>
      </c>
      <c r="I2293" s="7">
        <v>1</v>
      </c>
      <c r="J2293" s="7" t="s">
        <v>7861</v>
      </c>
      <c r="K2293" s="9" t="s">
        <v>8987</v>
      </c>
    </row>
    <row r="2294" spans="1:11">
      <c r="A2294" s="7">
        <v>2292</v>
      </c>
      <c r="B2294" s="7" t="s">
        <v>9174</v>
      </c>
      <c r="C2294" s="7" t="s">
        <v>8984</v>
      </c>
      <c r="D2294" s="7" t="s">
        <v>7542</v>
      </c>
      <c r="E2294" s="7" t="s">
        <v>11952</v>
      </c>
      <c r="F2294" s="8" t="s">
        <v>9576</v>
      </c>
      <c r="G2294" s="7">
        <v>2</v>
      </c>
      <c r="H2294" s="7" t="s">
        <v>10476</v>
      </c>
      <c r="I2294" s="7">
        <v>1</v>
      </c>
      <c r="J2294" s="7" t="s">
        <v>7861</v>
      </c>
      <c r="K2294" s="9" t="s">
        <v>8987</v>
      </c>
    </row>
    <row r="2295" spans="1:11">
      <c r="A2295" s="7">
        <v>2293</v>
      </c>
      <c r="B2295" s="7" t="s">
        <v>9174</v>
      </c>
      <c r="C2295" s="7" t="s">
        <v>8984</v>
      </c>
      <c r="D2295" s="7" t="s">
        <v>7542</v>
      </c>
      <c r="E2295" s="7" t="s">
        <v>11953</v>
      </c>
      <c r="F2295" s="8" t="s">
        <v>9609</v>
      </c>
      <c r="G2295" s="7">
        <v>2</v>
      </c>
      <c r="H2295" s="7" t="s">
        <v>10476</v>
      </c>
      <c r="I2295" s="7">
        <v>1</v>
      </c>
      <c r="J2295" s="7" t="s">
        <v>7861</v>
      </c>
      <c r="K2295" s="9" t="s">
        <v>8987</v>
      </c>
    </row>
    <row r="2296" spans="1:11">
      <c r="A2296" s="7">
        <v>2294</v>
      </c>
      <c r="B2296" s="7" t="s">
        <v>9174</v>
      </c>
      <c r="C2296" s="7" t="s">
        <v>8984</v>
      </c>
      <c r="D2296" s="7" t="s">
        <v>7542</v>
      </c>
      <c r="E2296" s="7" t="s">
        <v>11954</v>
      </c>
      <c r="F2296" s="8" t="s">
        <v>9617</v>
      </c>
      <c r="G2296" s="7">
        <v>2</v>
      </c>
      <c r="H2296" s="7" t="s">
        <v>10476</v>
      </c>
      <c r="I2296" s="7">
        <v>1</v>
      </c>
      <c r="J2296" s="7" t="s">
        <v>7861</v>
      </c>
      <c r="K2296" s="9" t="s">
        <v>8987</v>
      </c>
    </row>
    <row r="2297" spans="1:11">
      <c r="A2297" s="7">
        <v>2295</v>
      </c>
      <c r="B2297" s="7" t="s">
        <v>9174</v>
      </c>
      <c r="C2297" s="7" t="s">
        <v>8984</v>
      </c>
      <c r="D2297" s="7" t="s">
        <v>7542</v>
      </c>
      <c r="E2297" s="7" t="s">
        <v>11955</v>
      </c>
      <c r="F2297" s="8" t="s">
        <v>9291</v>
      </c>
      <c r="G2297" s="7">
        <v>2</v>
      </c>
      <c r="H2297" s="7" t="s">
        <v>10476</v>
      </c>
      <c r="I2297" s="7">
        <v>1</v>
      </c>
      <c r="J2297" s="7" t="s">
        <v>7861</v>
      </c>
      <c r="K2297" s="9" t="s">
        <v>8987</v>
      </c>
    </row>
    <row r="2298" spans="1:11">
      <c r="A2298" s="7">
        <v>2296</v>
      </c>
      <c r="B2298" s="7" t="s">
        <v>9088</v>
      </c>
      <c r="C2298" s="7" t="s">
        <v>8984</v>
      </c>
      <c r="D2298" s="7" t="s">
        <v>7542</v>
      </c>
      <c r="E2298" s="7" t="s">
        <v>11956</v>
      </c>
      <c r="F2298" s="8" t="s">
        <v>10174</v>
      </c>
      <c r="G2298" s="7">
        <v>44</v>
      </c>
      <c r="H2298" s="7" t="s">
        <v>9658</v>
      </c>
      <c r="I2298" s="7">
        <v>1</v>
      </c>
      <c r="J2298" s="7" t="s">
        <v>7890</v>
      </c>
      <c r="K2298" s="9" t="s">
        <v>8987</v>
      </c>
    </row>
    <row r="2299" spans="1:11">
      <c r="A2299" s="7">
        <v>2297</v>
      </c>
      <c r="B2299" s="7" t="s">
        <v>9088</v>
      </c>
      <c r="C2299" s="7" t="s">
        <v>8984</v>
      </c>
      <c r="D2299" s="7" t="s">
        <v>7542</v>
      </c>
      <c r="E2299" s="7" t="s">
        <v>11957</v>
      </c>
      <c r="F2299" s="8" t="s">
        <v>10174</v>
      </c>
      <c r="G2299" s="7">
        <v>22</v>
      </c>
      <c r="H2299" s="7" t="s">
        <v>8994</v>
      </c>
      <c r="I2299" s="7">
        <v>1</v>
      </c>
      <c r="J2299" s="7" t="s">
        <v>7879</v>
      </c>
      <c r="K2299" s="9" t="s">
        <v>8987</v>
      </c>
    </row>
    <row r="2300" spans="1:11">
      <c r="A2300" s="7">
        <v>2298</v>
      </c>
      <c r="B2300" s="7" t="s">
        <v>9088</v>
      </c>
      <c r="C2300" s="7" t="s">
        <v>8984</v>
      </c>
      <c r="D2300" s="7" t="s">
        <v>7542</v>
      </c>
      <c r="E2300" s="7" t="s">
        <v>11958</v>
      </c>
      <c r="F2300" s="8" t="s">
        <v>10176</v>
      </c>
      <c r="G2300" s="7">
        <v>44</v>
      </c>
      <c r="H2300" s="7" t="s">
        <v>9658</v>
      </c>
      <c r="I2300" s="7">
        <v>1</v>
      </c>
      <c r="J2300" s="7" t="s">
        <v>7890</v>
      </c>
      <c r="K2300" s="9" t="s">
        <v>8987</v>
      </c>
    </row>
    <row r="2301" spans="1:11">
      <c r="A2301" s="7">
        <v>2299</v>
      </c>
      <c r="B2301" s="7" t="s">
        <v>9088</v>
      </c>
      <c r="C2301" s="7" t="s">
        <v>8984</v>
      </c>
      <c r="D2301" s="7" t="s">
        <v>7542</v>
      </c>
      <c r="E2301" s="7" t="s">
        <v>11959</v>
      </c>
      <c r="F2301" s="8" t="s">
        <v>10176</v>
      </c>
      <c r="G2301" s="7">
        <v>22</v>
      </c>
      <c r="H2301" s="7" t="s">
        <v>8994</v>
      </c>
      <c r="I2301" s="7">
        <v>1</v>
      </c>
      <c r="J2301" s="7" t="s">
        <v>7879</v>
      </c>
      <c r="K2301" s="9" t="s">
        <v>8987</v>
      </c>
    </row>
    <row r="2302" spans="1:11">
      <c r="A2302" s="7">
        <v>2300</v>
      </c>
      <c r="B2302" s="7" t="s">
        <v>9088</v>
      </c>
      <c r="C2302" s="7" t="s">
        <v>8984</v>
      </c>
      <c r="D2302" s="7" t="s">
        <v>7542</v>
      </c>
      <c r="E2302" s="7" t="s">
        <v>11960</v>
      </c>
      <c r="F2302" s="8" t="s">
        <v>10178</v>
      </c>
      <c r="G2302" s="7">
        <v>44</v>
      </c>
      <c r="H2302" s="7" t="s">
        <v>9658</v>
      </c>
      <c r="I2302" s="7">
        <v>1</v>
      </c>
      <c r="J2302" s="7" t="s">
        <v>7890</v>
      </c>
      <c r="K2302" s="9" t="s">
        <v>8987</v>
      </c>
    </row>
    <row r="2303" spans="1:11">
      <c r="A2303" s="7">
        <v>2301</v>
      </c>
      <c r="B2303" s="7" t="s">
        <v>9088</v>
      </c>
      <c r="C2303" s="7" t="s">
        <v>8984</v>
      </c>
      <c r="D2303" s="7" t="s">
        <v>7542</v>
      </c>
      <c r="E2303" s="7" t="s">
        <v>11961</v>
      </c>
      <c r="F2303" s="8" t="s">
        <v>10178</v>
      </c>
      <c r="G2303" s="7">
        <v>22</v>
      </c>
      <c r="H2303" s="7" t="s">
        <v>8994</v>
      </c>
      <c r="I2303" s="7">
        <v>1</v>
      </c>
      <c r="J2303" s="7" t="s">
        <v>7879</v>
      </c>
      <c r="K2303" s="9" t="s">
        <v>8987</v>
      </c>
    </row>
    <row r="2304" spans="1:11">
      <c r="A2304" s="7">
        <v>2302</v>
      </c>
      <c r="B2304" s="7" t="s">
        <v>9174</v>
      </c>
      <c r="C2304" s="7" t="s">
        <v>11152</v>
      </c>
      <c r="D2304" s="7" t="s">
        <v>7542</v>
      </c>
      <c r="E2304" s="7" t="s">
        <v>6099</v>
      </c>
      <c r="F2304" s="8" t="s">
        <v>10049</v>
      </c>
      <c r="G2304" s="7">
        <v>62</v>
      </c>
      <c r="H2304" s="7" t="s">
        <v>11962</v>
      </c>
      <c r="I2304" s="7">
        <v>1</v>
      </c>
      <c r="J2304" s="7" t="s">
        <v>7854</v>
      </c>
      <c r="K2304" s="9" t="s">
        <v>8987</v>
      </c>
    </row>
    <row r="2305" spans="1:11">
      <c r="A2305" s="7">
        <v>2303</v>
      </c>
      <c r="B2305" s="7" t="s">
        <v>9174</v>
      </c>
      <c r="C2305" s="7" t="s">
        <v>11152</v>
      </c>
      <c r="D2305" s="7" t="s">
        <v>7542</v>
      </c>
      <c r="E2305" s="7" t="s">
        <v>11963</v>
      </c>
      <c r="F2305" s="8" t="s">
        <v>10036</v>
      </c>
      <c r="G2305" s="7">
        <v>30</v>
      </c>
      <c r="H2305" s="7" t="s">
        <v>9015</v>
      </c>
      <c r="I2305" s="7">
        <v>1</v>
      </c>
      <c r="J2305" s="7" t="s">
        <v>7855</v>
      </c>
      <c r="K2305" s="9" t="s">
        <v>8987</v>
      </c>
    </row>
    <row r="2306" spans="1:11">
      <c r="A2306" s="7">
        <v>2304</v>
      </c>
      <c r="B2306" s="7" t="s">
        <v>9088</v>
      </c>
      <c r="C2306" s="7" t="s">
        <v>8984</v>
      </c>
      <c r="D2306" s="7" t="s">
        <v>7542</v>
      </c>
      <c r="E2306" s="7" t="s">
        <v>11964</v>
      </c>
      <c r="F2306" s="8" t="s">
        <v>10068</v>
      </c>
      <c r="G2306" s="7">
        <v>46</v>
      </c>
      <c r="H2306" s="7" t="s">
        <v>11945</v>
      </c>
      <c r="I2306" s="7">
        <v>1</v>
      </c>
      <c r="J2306" s="7" t="s">
        <v>11946</v>
      </c>
      <c r="K2306" s="9" t="s">
        <v>8987</v>
      </c>
    </row>
    <row r="2307" spans="1:11">
      <c r="A2307" s="7">
        <v>2305</v>
      </c>
      <c r="B2307" s="7" t="s">
        <v>9088</v>
      </c>
      <c r="C2307" s="7" t="s">
        <v>8984</v>
      </c>
      <c r="D2307" s="7" t="s">
        <v>7542</v>
      </c>
      <c r="E2307" s="7" t="s">
        <v>11965</v>
      </c>
      <c r="F2307" s="8" t="s">
        <v>10068</v>
      </c>
      <c r="G2307" s="7">
        <v>23</v>
      </c>
      <c r="H2307" s="7" t="s">
        <v>9120</v>
      </c>
      <c r="I2307" s="7">
        <v>1</v>
      </c>
      <c r="J2307" s="7" t="s">
        <v>7848</v>
      </c>
      <c r="K2307" s="9" t="s">
        <v>8987</v>
      </c>
    </row>
    <row r="2308" spans="1:11">
      <c r="A2308" s="7">
        <v>2306</v>
      </c>
      <c r="B2308" s="7" t="s">
        <v>11164</v>
      </c>
      <c r="C2308" s="7" t="s">
        <v>8984</v>
      </c>
      <c r="D2308" s="7" t="s">
        <v>7542</v>
      </c>
      <c r="E2308" s="7" t="s">
        <v>11966</v>
      </c>
      <c r="F2308" s="8" t="s">
        <v>10994</v>
      </c>
      <c r="G2308" s="7">
        <v>46</v>
      </c>
      <c r="H2308" s="7" t="s">
        <v>11945</v>
      </c>
      <c r="I2308" s="7">
        <v>1</v>
      </c>
      <c r="J2308" s="7" t="s">
        <v>11946</v>
      </c>
      <c r="K2308" s="9" t="s">
        <v>8987</v>
      </c>
    </row>
    <row r="2309" spans="1:11">
      <c r="A2309" s="7">
        <v>2307</v>
      </c>
      <c r="B2309" s="7" t="s">
        <v>11164</v>
      </c>
      <c r="C2309" s="7" t="s">
        <v>8984</v>
      </c>
      <c r="D2309" s="7" t="s">
        <v>7542</v>
      </c>
      <c r="E2309" s="7" t="s">
        <v>11967</v>
      </c>
      <c r="F2309" s="8" t="s">
        <v>10994</v>
      </c>
      <c r="G2309" s="7">
        <v>23</v>
      </c>
      <c r="H2309" s="7" t="s">
        <v>9120</v>
      </c>
      <c r="I2309" s="7">
        <v>1</v>
      </c>
      <c r="J2309" s="7" t="s">
        <v>7848</v>
      </c>
      <c r="K2309" s="9" t="s">
        <v>8987</v>
      </c>
    </row>
    <row r="2310" spans="1:11">
      <c r="A2310" s="7">
        <v>2308</v>
      </c>
      <c r="B2310" s="7" t="s">
        <v>9174</v>
      </c>
      <c r="C2310" s="7" t="s">
        <v>11152</v>
      </c>
      <c r="D2310" s="7" t="s">
        <v>7542</v>
      </c>
      <c r="E2310" s="7" t="s">
        <v>11968</v>
      </c>
      <c r="F2310" s="8" t="s">
        <v>10520</v>
      </c>
      <c r="G2310" s="7">
        <v>21</v>
      </c>
      <c r="H2310" s="7" t="s">
        <v>9116</v>
      </c>
      <c r="I2310" s="7">
        <v>1</v>
      </c>
      <c r="J2310" s="7" t="s">
        <v>7842</v>
      </c>
      <c r="K2310" s="9" t="s">
        <v>8987</v>
      </c>
    </row>
    <row r="2311" spans="1:11">
      <c r="A2311" s="7">
        <v>2309</v>
      </c>
      <c r="B2311" s="7" t="s">
        <v>9174</v>
      </c>
      <c r="C2311" s="7" t="s">
        <v>8984</v>
      </c>
      <c r="D2311" s="7" t="s">
        <v>7549</v>
      </c>
      <c r="E2311" s="7" t="s">
        <v>11969</v>
      </c>
      <c r="F2311" s="8" t="s">
        <v>9210</v>
      </c>
      <c r="G2311" s="7">
        <v>13</v>
      </c>
      <c r="H2311" s="7" t="s">
        <v>9077</v>
      </c>
      <c r="I2311" s="7">
        <v>1</v>
      </c>
      <c r="J2311" s="7" t="s">
        <v>11187</v>
      </c>
      <c r="K2311" s="9" t="s">
        <v>8987</v>
      </c>
    </row>
    <row r="2312" spans="1:11">
      <c r="A2312" s="7">
        <v>2310</v>
      </c>
      <c r="B2312" s="7" t="s">
        <v>9174</v>
      </c>
      <c r="C2312" s="7" t="s">
        <v>11152</v>
      </c>
      <c r="D2312" s="7" t="s">
        <v>7549</v>
      </c>
      <c r="E2312" s="7" t="s">
        <v>11970</v>
      </c>
      <c r="F2312" s="8" t="s">
        <v>9210</v>
      </c>
      <c r="G2312" s="7">
        <v>38</v>
      </c>
      <c r="H2312" s="7" t="s">
        <v>11229</v>
      </c>
      <c r="I2312" s="7">
        <v>1</v>
      </c>
      <c r="J2312" s="7" t="s">
        <v>7847</v>
      </c>
      <c r="K2312" s="9" t="s">
        <v>8987</v>
      </c>
    </row>
    <row r="2313" spans="1:11">
      <c r="A2313" s="7">
        <v>2311</v>
      </c>
      <c r="B2313" s="7" t="s">
        <v>9174</v>
      </c>
      <c r="C2313" s="7" t="s">
        <v>11152</v>
      </c>
      <c r="D2313" s="7" t="s">
        <v>7542</v>
      </c>
      <c r="E2313" s="7" t="s">
        <v>11971</v>
      </c>
      <c r="F2313" s="8" t="s">
        <v>11048</v>
      </c>
      <c r="G2313" s="7">
        <v>83</v>
      </c>
      <c r="H2313" s="7" t="s">
        <v>9229</v>
      </c>
      <c r="I2313" s="7">
        <v>1</v>
      </c>
      <c r="J2313" s="7" t="s">
        <v>7856</v>
      </c>
      <c r="K2313" s="9" t="s">
        <v>8987</v>
      </c>
    </row>
    <row r="2314" spans="1:11">
      <c r="A2314" s="7">
        <v>2312</v>
      </c>
      <c r="B2314" s="7" t="s">
        <v>9174</v>
      </c>
      <c r="C2314" s="7" t="s">
        <v>8984</v>
      </c>
      <c r="D2314" s="7" t="s">
        <v>7542</v>
      </c>
      <c r="E2314" s="7" t="s">
        <v>11972</v>
      </c>
      <c r="F2314" s="8" t="s">
        <v>11973</v>
      </c>
      <c r="G2314" s="7">
        <v>42</v>
      </c>
      <c r="H2314" s="7" t="s">
        <v>11407</v>
      </c>
      <c r="I2314" s="7">
        <v>1</v>
      </c>
      <c r="J2314" s="7" t="s">
        <v>7849</v>
      </c>
      <c r="K2314" s="9" t="s">
        <v>8987</v>
      </c>
    </row>
    <row r="2315" spans="1:11">
      <c r="A2315" s="7">
        <v>2313</v>
      </c>
      <c r="B2315" s="7" t="s">
        <v>9174</v>
      </c>
      <c r="C2315" s="7" t="s">
        <v>8984</v>
      </c>
      <c r="D2315" s="7" t="s">
        <v>7542</v>
      </c>
      <c r="E2315" s="7" t="s">
        <v>11974</v>
      </c>
      <c r="F2315" s="8" t="s">
        <v>11973</v>
      </c>
      <c r="G2315" s="7">
        <v>21</v>
      </c>
      <c r="H2315" s="7" t="s">
        <v>9116</v>
      </c>
      <c r="I2315" s="7">
        <v>1</v>
      </c>
      <c r="J2315" s="7" t="s">
        <v>7842</v>
      </c>
      <c r="K2315" s="9" t="s">
        <v>8987</v>
      </c>
    </row>
    <row r="2316" spans="1:11">
      <c r="A2316" s="7">
        <v>2314</v>
      </c>
      <c r="B2316" s="7" t="s">
        <v>9174</v>
      </c>
      <c r="C2316" s="7" t="s">
        <v>8984</v>
      </c>
      <c r="D2316" s="7" t="s">
        <v>7542</v>
      </c>
      <c r="E2316" s="7" t="s">
        <v>11975</v>
      </c>
      <c r="F2316" s="8" t="s">
        <v>11976</v>
      </c>
      <c r="G2316" s="7">
        <v>38</v>
      </c>
      <c r="H2316" s="7" t="s">
        <v>11229</v>
      </c>
      <c r="I2316" s="7">
        <v>1</v>
      </c>
      <c r="J2316" s="7" t="s">
        <v>7847</v>
      </c>
      <c r="K2316" s="9" t="s">
        <v>8987</v>
      </c>
    </row>
    <row r="2317" spans="1:11">
      <c r="A2317" s="7">
        <v>2315</v>
      </c>
      <c r="B2317" s="7" t="s">
        <v>9174</v>
      </c>
      <c r="C2317" s="7" t="s">
        <v>8984</v>
      </c>
      <c r="D2317" s="7" t="s">
        <v>7542</v>
      </c>
      <c r="E2317" s="7" t="s">
        <v>11977</v>
      </c>
      <c r="F2317" s="8" t="s">
        <v>11976</v>
      </c>
      <c r="G2317" s="7">
        <v>19</v>
      </c>
      <c r="H2317" s="7" t="s">
        <v>10462</v>
      </c>
      <c r="I2317" s="7">
        <v>1</v>
      </c>
      <c r="J2317" s="7" t="s">
        <v>7841</v>
      </c>
      <c r="K2317" s="9" t="s">
        <v>8987</v>
      </c>
    </row>
    <row r="2318" spans="1:11">
      <c r="A2318" s="7">
        <v>2316</v>
      </c>
      <c r="B2318" s="7" t="s">
        <v>9174</v>
      </c>
      <c r="C2318" s="7" t="s">
        <v>8984</v>
      </c>
      <c r="D2318" s="7" t="s">
        <v>7542</v>
      </c>
      <c r="E2318" s="7" t="s">
        <v>11978</v>
      </c>
      <c r="F2318" s="8" t="s">
        <v>11979</v>
      </c>
      <c r="G2318" s="7">
        <v>38</v>
      </c>
      <c r="H2318" s="7" t="s">
        <v>11229</v>
      </c>
      <c r="I2318" s="7">
        <v>1</v>
      </c>
      <c r="J2318" s="7" t="s">
        <v>7847</v>
      </c>
      <c r="K2318" s="9" t="s">
        <v>8987</v>
      </c>
    </row>
    <row r="2319" spans="1:11">
      <c r="A2319" s="7">
        <v>2317</v>
      </c>
      <c r="B2319" s="7" t="s">
        <v>9174</v>
      </c>
      <c r="C2319" s="7" t="s">
        <v>8984</v>
      </c>
      <c r="D2319" s="7" t="s">
        <v>7542</v>
      </c>
      <c r="E2319" s="7" t="s">
        <v>11980</v>
      </c>
      <c r="F2319" s="8" t="s">
        <v>11979</v>
      </c>
      <c r="G2319" s="7">
        <v>19</v>
      </c>
      <c r="H2319" s="7" t="s">
        <v>10462</v>
      </c>
      <c r="I2319" s="7">
        <v>1</v>
      </c>
      <c r="J2319" s="7" t="s">
        <v>7841</v>
      </c>
      <c r="K2319" s="9" t="s">
        <v>8987</v>
      </c>
    </row>
    <row r="2320" spans="1:11">
      <c r="A2320" s="7">
        <v>2318</v>
      </c>
      <c r="B2320" s="7" t="s">
        <v>9174</v>
      </c>
      <c r="C2320" s="7" t="s">
        <v>11152</v>
      </c>
      <c r="D2320" s="7" t="s">
        <v>7542</v>
      </c>
      <c r="E2320" s="7" t="s">
        <v>11981</v>
      </c>
      <c r="F2320" s="8" t="s">
        <v>10981</v>
      </c>
      <c r="G2320" s="7">
        <v>19</v>
      </c>
      <c r="H2320" s="7" t="s">
        <v>10462</v>
      </c>
      <c r="I2320" s="7">
        <v>1</v>
      </c>
      <c r="J2320" s="7" t="s">
        <v>7841</v>
      </c>
      <c r="K2320" s="9" t="s">
        <v>8987</v>
      </c>
    </row>
    <row r="2321" spans="1:11">
      <c r="A2321" s="7">
        <v>2319</v>
      </c>
      <c r="B2321" s="7" t="s">
        <v>9174</v>
      </c>
      <c r="C2321" s="7" t="s">
        <v>8984</v>
      </c>
      <c r="D2321" s="7" t="s">
        <v>7550</v>
      </c>
      <c r="E2321" s="7" t="s">
        <v>11982</v>
      </c>
      <c r="F2321" s="8" t="s">
        <v>10992</v>
      </c>
      <c r="G2321" s="7">
        <v>18</v>
      </c>
      <c r="H2321" s="7" t="s">
        <v>9422</v>
      </c>
      <c r="I2321" s="7">
        <v>1</v>
      </c>
      <c r="J2321" s="7" t="s">
        <v>7885</v>
      </c>
      <c r="K2321" s="9" t="s">
        <v>8987</v>
      </c>
    </row>
    <row r="2322" spans="1:11">
      <c r="A2322" s="7">
        <v>2320</v>
      </c>
      <c r="B2322" s="7" t="s">
        <v>9174</v>
      </c>
      <c r="C2322" s="7" t="s">
        <v>8984</v>
      </c>
      <c r="D2322" s="7" t="s">
        <v>7550</v>
      </c>
      <c r="E2322" s="7" t="s">
        <v>11983</v>
      </c>
      <c r="F2322" s="8" t="s">
        <v>10992</v>
      </c>
      <c r="G2322" s="7">
        <v>19</v>
      </c>
      <c r="H2322" s="7" t="s">
        <v>10462</v>
      </c>
      <c r="I2322" s="7">
        <v>1</v>
      </c>
      <c r="J2322" s="7" t="s">
        <v>7841</v>
      </c>
      <c r="K2322" s="9" t="s">
        <v>8987</v>
      </c>
    </row>
    <row r="2323" spans="1:11">
      <c r="A2323" s="7">
        <v>2321</v>
      </c>
      <c r="B2323" s="7" t="s">
        <v>9174</v>
      </c>
      <c r="C2323" s="7" t="s">
        <v>11152</v>
      </c>
      <c r="D2323" s="7" t="s">
        <v>7550</v>
      </c>
      <c r="E2323" s="7" t="s">
        <v>11984</v>
      </c>
      <c r="F2323" s="8" t="s">
        <v>10992</v>
      </c>
      <c r="G2323" s="7">
        <v>9</v>
      </c>
      <c r="H2323" s="7" t="s">
        <v>9030</v>
      </c>
      <c r="I2323" s="7">
        <v>1</v>
      </c>
      <c r="J2323" s="7" t="s">
        <v>7766</v>
      </c>
      <c r="K2323" s="9" t="s">
        <v>8987</v>
      </c>
    </row>
    <row r="2324" spans="1:11">
      <c r="A2324" s="7">
        <v>2322</v>
      </c>
      <c r="B2324" s="7" t="s">
        <v>11164</v>
      </c>
      <c r="C2324" s="7" t="s">
        <v>8984</v>
      </c>
      <c r="D2324" s="7" t="s">
        <v>7550</v>
      </c>
      <c r="E2324" s="7" t="s">
        <v>11985</v>
      </c>
      <c r="F2324" s="8" t="s">
        <v>9543</v>
      </c>
      <c r="G2324" s="7">
        <v>15</v>
      </c>
      <c r="H2324" s="7" t="s">
        <v>9053</v>
      </c>
      <c r="I2324" s="7">
        <v>1</v>
      </c>
      <c r="J2324" s="7" t="s">
        <v>7862</v>
      </c>
      <c r="K2324" s="9" t="s">
        <v>8987</v>
      </c>
    </row>
    <row r="2325" spans="1:11">
      <c r="A2325" s="7">
        <v>2323</v>
      </c>
      <c r="B2325" s="7" t="s">
        <v>11164</v>
      </c>
      <c r="C2325" s="7" t="s">
        <v>8984</v>
      </c>
      <c r="D2325" s="7" t="s">
        <v>7550</v>
      </c>
      <c r="E2325" s="7" t="s">
        <v>11986</v>
      </c>
      <c r="F2325" s="8" t="s">
        <v>9543</v>
      </c>
      <c r="G2325" s="7">
        <v>19</v>
      </c>
      <c r="H2325" s="7" t="s">
        <v>10462</v>
      </c>
      <c r="I2325" s="7">
        <v>1</v>
      </c>
      <c r="J2325" s="7" t="s">
        <v>7841</v>
      </c>
      <c r="K2325" s="9" t="s">
        <v>8987</v>
      </c>
    </row>
    <row r="2326" spans="1:11">
      <c r="A2326" s="7">
        <v>2324</v>
      </c>
      <c r="B2326" s="7" t="s">
        <v>11164</v>
      </c>
      <c r="C2326" s="7" t="s">
        <v>11152</v>
      </c>
      <c r="D2326" s="7" t="s">
        <v>7550</v>
      </c>
      <c r="E2326" s="7" t="s">
        <v>11987</v>
      </c>
      <c r="F2326" s="8" t="s">
        <v>9543</v>
      </c>
      <c r="G2326" s="7">
        <v>8</v>
      </c>
      <c r="H2326" s="7" t="s">
        <v>8991</v>
      </c>
      <c r="I2326" s="7">
        <v>1</v>
      </c>
      <c r="J2326" s="7" t="s">
        <v>7764</v>
      </c>
      <c r="K2326" s="9" t="s">
        <v>8987</v>
      </c>
    </row>
    <row r="2327" spans="1:11">
      <c r="A2327" s="7">
        <v>2325</v>
      </c>
      <c r="B2327" s="7" t="s">
        <v>9174</v>
      </c>
      <c r="C2327" s="7" t="s">
        <v>8984</v>
      </c>
      <c r="D2327" s="7" t="s">
        <v>7550</v>
      </c>
      <c r="E2327" s="7" t="s">
        <v>11988</v>
      </c>
      <c r="F2327" s="8" t="s">
        <v>10308</v>
      </c>
      <c r="G2327" s="7">
        <v>15</v>
      </c>
      <c r="H2327" s="7" t="s">
        <v>9053</v>
      </c>
      <c r="I2327" s="7">
        <v>1</v>
      </c>
      <c r="J2327" s="7" t="s">
        <v>7862</v>
      </c>
      <c r="K2327" s="9" t="s">
        <v>8987</v>
      </c>
    </row>
    <row r="2328" spans="1:11">
      <c r="A2328" s="7">
        <v>2326</v>
      </c>
      <c r="B2328" s="7" t="s">
        <v>9719</v>
      </c>
      <c r="C2328" s="7" t="s">
        <v>11152</v>
      </c>
      <c r="D2328" s="7" t="s">
        <v>7550</v>
      </c>
      <c r="E2328" s="7" t="s">
        <v>11989</v>
      </c>
      <c r="F2328" s="8" t="s">
        <v>10308</v>
      </c>
      <c r="G2328" s="7">
        <v>8</v>
      </c>
      <c r="H2328" s="7" t="s">
        <v>8991</v>
      </c>
      <c r="I2328" s="7">
        <v>1</v>
      </c>
      <c r="J2328" s="7" t="s">
        <v>7764</v>
      </c>
      <c r="K2328" s="9" t="s">
        <v>8987</v>
      </c>
    </row>
    <row r="2329" spans="1:11">
      <c r="A2329" s="7">
        <v>2327</v>
      </c>
      <c r="B2329" s="7" t="s">
        <v>9174</v>
      </c>
      <c r="C2329" s="7" t="s">
        <v>8984</v>
      </c>
      <c r="D2329" s="7" t="s">
        <v>7550</v>
      </c>
      <c r="E2329" s="7" t="s">
        <v>11990</v>
      </c>
      <c r="F2329" s="8" t="s">
        <v>9669</v>
      </c>
      <c r="G2329" s="7">
        <v>15</v>
      </c>
      <c r="H2329" s="7" t="s">
        <v>9053</v>
      </c>
      <c r="I2329" s="7">
        <v>1</v>
      </c>
      <c r="J2329" s="7" t="s">
        <v>7862</v>
      </c>
      <c r="K2329" s="9" t="s">
        <v>8987</v>
      </c>
    </row>
    <row r="2330" spans="1:11">
      <c r="A2330" s="7">
        <v>2328</v>
      </c>
      <c r="B2330" s="7" t="s">
        <v>9719</v>
      </c>
      <c r="C2330" s="7" t="s">
        <v>11152</v>
      </c>
      <c r="D2330" s="7" t="s">
        <v>7550</v>
      </c>
      <c r="E2330" s="7" t="s">
        <v>11991</v>
      </c>
      <c r="F2330" s="8" t="s">
        <v>9669</v>
      </c>
      <c r="G2330" s="7">
        <v>8</v>
      </c>
      <c r="H2330" s="7" t="s">
        <v>8991</v>
      </c>
      <c r="I2330" s="7">
        <v>1</v>
      </c>
      <c r="J2330" s="7" t="s">
        <v>7764</v>
      </c>
      <c r="K2330" s="9" t="s">
        <v>8987</v>
      </c>
    </row>
    <row r="2331" spans="1:11">
      <c r="A2331" s="7">
        <v>2329</v>
      </c>
      <c r="B2331" s="7" t="s">
        <v>9174</v>
      </c>
      <c r="C2331" s="7" t="s">
        <v>8984</v>
      </c>
      <c r="D2331" s="7" t="s">
        <v>7550</v>
      </c>
      <c r="E2331" s="7" t="s">
        <v>11992</v>
      </c>
      <c r="F2331" s="8" t="s">
        <v>9436</v>
      </c>
      <c r="G2331" s="7">
        <v>16</v>
      </c>
      <c r="H2331" s="7" t="s">
        <v>9215</v>
      </c>
      <c r="I2331" s="7">
        <v>1</v>
      </c>
      <c r="J2331" s="7" t="s">
        <v>7882</v>
      </c>
      <c r="K2331" s="9" t="s">
        <v>8987</v>
      </c>
    </row>
    <row r="2332" spans="1:11">
      <c r="A2332" s="7">
        <v>2330</v>
      </c>
      <c r="B2332" s="7" t="s">
        <v>9719</v>
      </c>
      <c r="C2332" s="7" t="s">
        <v>11152</v>
      </c>
      <c r="D2332" s="7" t="s">
        <v>7550</v>
      </c>
      <c r="E2332" s="7" t="s">
        <v>11993</v>
      </c>
      <c r="F2332" s="8" t="s">
        <v>9436</v>
      </c>
      <c r="G2332" s="7">
        <v>8</v>
      </c>
      <c r="H2332" s="7" t="s">
        <v>8991</v>
      </c>
      <c r="I2332" s="7">
        <v>1</v>
      </c>
      <c r="J2332" s="7" t="s">
        <v>7764</v>
      </c>
      <c r="K2332" s="9" t="s">
        <v>8987</v>
      </c>
    </row>
    <row r="2333" spans="1:11">
      <c r="A2333" s="7">
        <v>2331</v>
      </c>
      <c r="B2333" s="7" t="s">
        <v>9174</v>
      </c>
      <c r="C2333" s="7" t="s">
        <v>8984</v>
      </c>
      <c r="D2333" s="7" t="s">
        <v>7550</v>
      </c>
      <c r="E2333" s="7" t="s">
        <v>11994</v>
      </c>
      <c r="F2333" s="8" t="s">
        <v>10296</v>
      </c>
      <c r="G2333" s="7">
        <v>18</v>
      </c>
      <c r="H2333" s="7" t="s">
        <v>9422</v>
      </c>
      <c r="I2333" s="7">
        <v>1</v>
      </c>
      <c r="J2333" s="7" t="s">
        <v>7885</v>
      </c>
      <c r="K2333" s="9" t="s">
        <v>8987</v>
      </c>
    </row>
    <row r="2334" spans="1:11">
      <c r="A2334" s="7">
        <v>2332</v>
      </c>
      <c r="B2334" s="7" t="s">
        <v>9174</v>
      </c>
      <c r="C2334" s="7" t="s">
        <v>11152</v>
      </c>
      <c r="D2334" s="7" t="s">
        <v>7550</v>
      </c>
      <c r="E2334" s="7" t="s">
        <v>11995</v>
      </c>
      <c r="F2334" s="8" t="s">
        <v>10296</v>
      </c>
      <c r="G2334" s="7">
        <v>9</v>
      </c>
      <c r="H2334" s="7" t="s">
        <v>9030</v>
      </c>
      <c r="I2334" s="7">
        <v>1</v>
      </c>
      <c r="J2334" s="7" t="s">
        <v>7766</v>
      </c>
      <c r="K2334" s="9" t="s">
        <v>8987</v>
      </c>
    </row>
    <row r="2335" spans="1:11">
      <c r="A2335" s="7">
        <v>2333</v>
      </c>
      <c r="B2335" s="7" t="s">
        <v>9174</v>
      </c>
      <c r="C2335" s="7" t="s">
        <v>8984</v>
      </c>
      <c r="D2335" s="7" t="s">
        <v>7550</v>
      </c>
      <c r="E2335" s="7" t="s">
        <v>11996</v>
      </c>
      <c r="F2335" s="8" t="s">
        <v>9826</v>
      </c>
      <c r="G2335" s="7">
        <v>100</v>
      </c>
      <c r="H2335" s="7" t="s">
        <v>9046</v>
      </c>
      <c r="I2335" s="7">
        <v>1</v>
      </c>
      <c r="J2335" s="7" t="s">
        <v>7878</v>
      </c>
      <c r="K2335" s="9" t="s">
        <v>8987</v>
      </c>
    </row>
    <row r="2336" spans="1:11">
      <c r="A2336" s="7">
        <v>2334</v>
      </c>
      <c r="B2336" s="7" t="s">
        <v>9174</v>
      </c>
      <c r="C2336" s="7" t="s">
        <v>8984</v>
      </c>
      <c r="D2336" s="7" t="s">
        <v>7550</v>
      </c>
      <c r="E2336" s="7" t="s">
        <v>11997</v>
      </c>
      <c r="F2336" s="8" t="s">
        <v>9830</v>
      </c>
      <c r="G2336" s="7">
        <v>100</v>
      </c>
      <c r="H2336" s="7" t="s">
        <v>9046</v>
      </c>
      <c r="I2336" s="7">
        <v>1</v>
      </c>
      <c r="J2336" s="7" t="s">
        <v>7878</v>
      </c>
      <c r="K2336" s="9" t="s">
        <v>8987</v>
      </c>
    </row>
    <row r="2337" spans="1:11">
      <c r="A2337" s="7">
        <v>2335</v>
      </c>
      <c r="B2337" s="7" t="s">
        <v>9174</v>
      </c>
      <c r="C2337" s="7" t="s">
        <v>8984</v>
      </c>
      <c r="D2337" s="7" t="s">
        <v>7550</v>
      </c>
      <c r="E2337" s="7" t="s">
        <v>11998</v>
      </c>
      <c r="F2337" s="8" t="s">
        <v>9832</v>
      </c>
      <c r="G2337" s="7">
        <v>100</v>
      </c>
      <c r="H2337" s="7" t="s">
        <v>9046</v>
      </c>
      <c r="I2337" s="7">
        <v>1</v>
      </c>
      <c r="J2337" s="7" t="s">
        <v>7878</v>
      </c>
      <c r="K2337" s="9" t="s">
        <v>8987</v>
      </c>
    </row>
    <row r="2338" spans="1:11">
      <c r="A2338" s="7">
        <v>2336</v>
      </c>
      <c r="B2338" s="7" t="s">
        <v>9174</v>
      </c>
      <c r="C2338" s="7" t="s">
        <v>8984</v>
      </c>
      <c r="D2338" s="7" t="s">
        <v>7550</v>
      </c>
      <c r="E2338" s="7" t="s">
        <v>11999</v>
      </c>
      <c r="F2338" s="8" t="s">
        <v>9770</v>
      </c>
      <c r="G2338" s="7">
        <v>21</v>
      </c>
      <c r="H2338" s="7" t="s">
        <v>9116</v>
      </c>
      <c r="I2338" s="7">
        <v>1</v>
      </c>
      <c r="J2338" s="7" t="s">
        <v>7842</v>
      </c>
      <c r="K2338" s="9" t="s">
        <v>8987</v>
      </c>
    </row>
    <row r="2339" spans="1:11">
      <c r="A2339" s="7">
        <v>2337</v>
      </c>
      <c r="B2339" s="7" t="s">
        <v>9174</v>
      </c>
      <c r="C2339" s="7" t="s">
        <v>11152</v>
      </c>
      <c r="D2339" s="7" t="s">
        <v>7550</v>
      </c>
      <c r="E2339" s="7" t="s">
        <v>12000</v>
      </c>
      <c r="F2339" s="8" t="s">
        <v>9770</v>
      </c>
      <c r="G2339" s="7">
        <v>11</v>
      </c>
      <c r="H2339" s="7" t="s">
        <v>9386</v>
      </c>
      <c r="I2339" s="7">
        <v>1</v>
      </c>
      <c r="J2339" s="7" t="s">
        <v>7865</v>
      </c>
      <c r="K2339" s="9" t="s">
        <v>8987</v>
      </c>
    </row>
    <row r="2340" spans="1:11">
      <c r="A2340" s="7">
        <v>2338</v>
      </c>
      <c r="B2340" s="7" t="s">
        <v>9174</v>
      </c>
      <c r="C2340" s="7" t="s">
        <v>8984</v>
      </c>
      <c r="D2340" s="7" t="s">
        <v>7550</v>
      </c>
      <c r="E2340" s="7" t="s">
        <v>12001</v>
      </c>
      <c r="F2340" s="8" t="s">
        <v>9770</v>
      </c>
      <c r="G2340" s="7">
        <v>21</v>
      </c>
      <c r="H2340" s="7" t="s">
        <v>9116</v>
      </c>
      <c r="I2340" s="7">
        <v>1</v>
      </c>
      <c r="J2340" s="7" t="s">
        <v>7842</v>
      </c>
      <c r="K2340" s="9" t="s">
        <v>8987</v>
      </c>
    </row>
    <row r="2341" spans="1:11">
      <c r="A2341" s="7">
        <v>2339</v>
      </c>
      <c r="B2341" s="7" t="s">
        <v>9174</v>
      </c>
      <c r="C2341" s="7" t="s">
        <v>11152</v>
      </c>
      <c r="D2341" s="7" t="s">
        <v>7550</v>
      </c>
      <c r="E2341" s="7" t="s">
        <v>12002</v>
      </c>
      <c r="F2341" s="8" t="s">
        <v>9770</v>
      </c>
      <c r="G2341" s="7">
        <v>11</v>
      </c>
      <c r="H2341" s="7" t="s">
        <v>9386</v>
      </c>
      <c r="I2341" s="7">
        <v>1</v>
      </c>
      <c r="J2341" s="7" t="s">
        <v>7865</v>
      </c>
      <c r="K2341" s="9" t="s">
        <v>8987</v>
      </c>
    </row>
    <row r="2342" spans="1:11">
      <c r="A2342" s="7">
        <v>2340</v>
      </c>
      <c r="B2342" s="7" t="s">
        <v>9174</v>
      </c>
      <c r="C2342" s="7" t="s">
        <v>8984</v>
      </c>
      <c r="D2342" s="7" t="s">
        <v>7550</v>
      </c>
      <c r="E2342" s="7" t="s">
        <v>12003</v>
      </c>
      <c r="F2342" s="8" t="s">
        <v>9770</v>
      </c>
      <c r="G2342" s="7">
        <v>21</v>
      </c>
      <c r="H2342" s="7" t="s">
        <v>9116</v>
      </c>
      <c r="I2342" s="7">
        <v>1</v>
      </c>
      <c r="J2342" s="7" t="s">
        <v>7842</v>
      </c>
      <c r="K2342" s="9" t="s">
        <v>8987</v>
      </c>
    </row>
    <row r="2343" spans="1:11">
      <c r="A2343" s="7">
        <v>2341</v>
      </c>
      <c r="B2343" s="7" t="s">
        <v>9174</v>
      </c>
      <c r="C2343" s="7" t="s">
        <v>11152</v>
      </c>
      <c r="D2343" s="7" t="s">
        <v>7550</v>
      </c>
      <c r="E2343" s="7" t="s">
        <v>12004</v>
      </c>
      <c r="F2343" s="8" t="s">
        <v>9770</v>
      </c>
      <c r="G2343" s="7">
        <v>11</v>
      </c>
      <c r="H2343" s="7" t="s">
        <v>9386</v>
      </c>
      <c r="I2343" s="7">
        <v>1</v>
      </c>
      <c r="J2343" s="7" t="s">
        <v>7865</v>
      </c>
      <c r="K2343" s="9" t="s">
        <v>8987</v>
      </c>
    </row>
    <row r="2344" spans="1:11">
      <c r="A2344" s="7">
        <v>2342</v>
      </c>
      <c r="B2344" s="7" t="s">
        <v>9174</v>
      </c>
      <c r="C2344" s="7" t="s">
        <v>8984</v>
      </c>
      <c r="D2344" s="7" t="s">
        <v>7550</v>
      </c>
      <c r="E2344" s="7" t="s">
        <v>12005</v>
      </c>
      <c r="F2344" s="8" t="s">
        <v>9770</v>
      </c>
      <c r="G2344" s="7">
        <v>21</v>
      </c>
      <c r="H2344" s="7" t="s">
        <v>9116</v>
      </c>
      <c r="I2344" s="7">
        <v>1</v>
      </c>
      <c r="J2344" s="7" t="s">
        <v>7842</v>
      </c>
      <c r="K2344" s="9" t="s">
        <v>8987</v>
      </c>
    </row>
    <row r="2345" spans="1:11">
      <c r="A2345" s="7">
        <v>2343</v>
      </c>
      <c r="B2345" s="7" t="s">
        <v>9174</v>
      </c>
      <c r="C2345" s="7" t="s">
        <v>11152</v>
      </c>
      <c r="D2345" s="7" t="s">
        <v>7550</v>
      </c>
      <c r="E2345" s="7" t="s">
        <v>12006</v>
      </c>
      <c r="F2345" s="8" t="s">
        <v>9770</v>
      </c>
      <c r="G2345" s="7">
        <v>11</v>
      </c>
      <c r="H2345" s="7" t="s">
        <v>9386</v>
      </c>
      <c r="I2345" s="7">
        <v>1</v>
      </c>
      <c r="J2345" s="7" t="s">
        <v>7865</v>
      </c>
      <c r="K2345" s="9" t="s">
        <v>8987</v>
      </c>
    </row>
    <row r="2346" spans="1:11">
      <c r="A2346" s="7">
        <v>2344</v>
      </c>
      <c r="B2346" s="7" t="s">
        <v>9088</v>
      </c>
      <c r="C2346" s="7" t="s">
        <v>8984</v>
      </c>
      <c r="D2346" s="7" t="s">
        <v>7550</v>
      </c>
      <c r="E2346" s="7" t="s">
        <v>12007</v>
      </c>
      <c r="F2346" s="8" t="s">
        <v>10180</v>
      </c>
      <c r="G2346" s="7">
        <v>17</v>
      </c>
      <c r="H2346" s="7" t="s">
        <v>9146</v>
      </c>
      <c r="I2346" s="7">
        <v>1</v>
      </c>
      <c r="J2346" s="7" t="s">
        <v>7850</v>
      </c>
      <c r="K2346" s="9" t="s">
        <v>8987</v>
      </c>
    </row>
    <row r="2347" spans="1:11">
      <c r="A2347" s="7">
        <v>2345</v>
      </c>
      <c r="B2347" s="7" t="s">
        <v>9088</v>
      </c>
      <c r="C2347" s="7" t="s">
        <v>8984</v>
      </c>
      <c r="D2347" s="7" t="s">
        <v>7550</v>
      </c>
      <c r="E2347" s="7" t="s">
        <v>12008</v>
      </c>
      <c r="F2347" s="8" t="s">
        <v>10182</v>
      </c>
      <c r="G2347" s="7">
        <v>17</v>
      </c>
      <c r="H2347" s="7" t="s">
        <v>9146</v>
      </c>
      <c r="I2347" s="7">
        <v>1</v>
      </c>
      <c r="J2347" s="7" t="s">
        <v>7850</v>
      </c>
      <c r="K2347" s="9" t="s">
        <v>8987</v>
      </c>
    </row>
    <row r="2348" spans="1:11">
      <c r="A2348" s="7">
        <v>2346</v>
      </c>
      <c r="B2348" s="7" t="s">
        <v>9088</v>
      </c>
      <c r="C2348" s="7" t="s">
        <v>8984</v>
      </c>
      <c r="D2348" s="7" t="s">
        <v>7550</v>
      </c>
      <c r="E2348" s="7" t="s">
        <v>12009</v>
      </c>
      <c r="F2348" s="8" t="s">
        <v>10184</v>
      </c>
      <c r="G2348" s="7">
        <v>17</v>
      </c>
      <c r="H2348" s="7" t="s">
        <v>9146</v>
      </c>
      <c r="I2348" s="7">
        <v>1</v>
      </c>
      <c r="J2348" s="7" t="s">
        <v>7850</v>
      </c>
      <c r="K2348" s="9" t="s">
        <v>8987</v>
      </c>
    </row>
    <row r="2349" spans="1:11">
      <c r="A2349" s="7">
        <v>2347</v>
      </c>
      <c r="B2349" s="7" t="s">
        <v>9174</v>
      </c>
      <c r="C2349" s="7" t="s">
        <v>8984</v>
      </c>
      <c r="D2349" s="7" t="s">
        <v>7550</v>
      </c>
      <c r="E2349" s="7" t="s">
        <v>12010</v>
      </c>
      <c r="F2349" s="8" t="s">
        <v>12011</v>
      </c>
      <c r="G2349" s="7">
        <v>15</v>
      </c>
      <c r="H2349" s="7" t="s">
        <v>9053</v>
      </c>
      <c r="I2349" s="7">
        <v>1</v>
      </c>
      <c r="J2349" s="7" t="s">
        <v>7862</v>
      </c>
      <c r="K2349" s="9" t="s">
        <v>8987</v>
      </c>
    </row>
    <row r="2350" spans="1:11">
      <c r="A2350" s="7">
        <v>2348</v>
      </c>
      <c r="B2350" s="7" t="s">
        <v>9174</v>
      </c>
      <c r="C2350" s="7" t="s">
        <v>11152</v>
      </c>
      <c r="D2350" s="7" t="s">
        <v>7550</v>
      </c>
      <c r="E2350" s="7" t="s">
        <v>12012</v>
      </c>
      <c r="F2350" s="8" t="s">
        <v>12013</v>
      </c>
      <c r="G2350" s="7">
        <v>22</v>
      </c>
      <c r="H2350" s="7" t="s">
        <v>8994</v>
      </c>
      <c r="I2350" s="7">
        <v>1</v>
      </c>
      <c r="J2350" s="7" t="s">
        <v>7879</v>
      </c>
      <c r="K2350" s="9" t="s">
        <v>8987</v>
      </c>
    </row>
    <row r="2351" spans="1:11">
      <c r="A2351" s="7">
        <v>2349</v>
      </c>
      <c r="B2351" s="7" t="s">
        <v>9174</v>
      </c>
      <c r="C2351" s="7" t="s">
        <v>8984</v>
      </c>
      <c r="D2351" s="7" t="s">
        <v>7556</v>
      </c>
      <c r="E2351" s="7" t="s">
        <v>12014</v>
      </c>
      <c r="F2351" s="8" t="s">
        <v>9067</v>
      </c>
      <c r="G2351" s="7">
        <v>3</v>
      </c>
      <c r="H2351" s="7" t="s">
        <v>9187</v>
      </c>
      <c r="I2351" s="7">
        <v>1</v>
      </c>
      <c r="J2351" s="7" t="s">
        <v>7872</v>
      </c>
      <c r="K2351" s="9" t="s">
        <v>8987</v>
      </c>
    </row>
    <row r="2352" spans="1:11">
      <c r="A2352" s="7">
        <v>2350</v>
      </c>
      <c r="B2352" s="7" t="s">
        <v>9174</v>
      </c>
      <c r="C2352" s="7" t="s">
        <v>8984</v>
      </c>
      <c r="D2352" s="7" t="s">
        <v>7556</v>
      </c>
      <c r="E2352" s="7" t="s">
        <v>12015</v>
      </c>
      <c r="F2352" s="8" t="s">
        <v>9069</v>
      </c>
      <c r="G2352" s="7">
        <v>3</v>
      </c>
      <c r="H2352" s="7" t="s">
        <v>9187</v>
      </c>
      <c r="I2352" s="7">
        <v>1</v>
      </c>
      <c r="J2352" s="7" t="s">
        <v>7872</v>
      </c>
      <c r="K2352" s="9" t="s">
        <v>8987</v>
      </c>
    </row>
    <row r="2353" spans="1:11">
      <c r="A2353" s="7">
        <v>2351</v>
      </c>
      <c r="B2353" s="7" t="s">
        <v>9174</v>
      </c>
      <c r="C2353" s="7" t="s">
        <v>8984</v>
      </c>
      <c r="D2353" s="7" t="s">
        <v>7556</v>
      </c>
      <c r="E2353" s="7" t="s">
        <v>12016</v>
      </c>
      <c r="F2353" s="8" t="s">
        <v>9071</v>
      </c>
      <c r="G2353" s="7">
        <v>3</v>
      </c>
      <c r="H2353" s="7" t="s">
        <v>9187</v>
      </c>
      <c r="I2353" s="7">
        <v>1</v>
      </c>
      <c r="J2353" s="7" t="s">
        <v>7872</v>
      </c>
      <c r="K2353" s="9" t="s">
        <v>8987</v>
      </c>
    </row>
    <row r="2354" spans="1:11">
      <c r="A2354" s="7">
        <v>2352</v>
      </c>
      <c r="B2354" s="7" t="s">
        <v>9174</v>
      </c>
      <c r="C2354" s="7" t="s">
        <v>8984</v>
      </c>
      <c r="D2354" s="7" t="s">
        <v>7556</v>
      </c>
      <c r="E2354" s="7" t="s">
        <v>12017</v>
      </c>
      <c r="F2354" s="8" t="s">
        <v>9563</v>
      </c>
      <c r="G2354" s="7">
        <v>3</v>
      </c>
      <c r="H2354" s="7" t="s">
        <v>9187</v>
      </c>
      <c r="I2354" s="7">
        <v>1</v>
      </c>
      <c r="J2354" s="7" t="s">
        <v>7872</v>
      </c>
      <c r="K2354" s="9" t="s">
        <v>8987</v>
      </c>
    </row>
    <row r="2355" spans="1:11">
      <c r="A2355" s="7">
        <v>2353</v>
      </c>
      <c r="B2355" s="7" t="s">
        <v>9174</v>
      </c>
      <c r="C2355" s="7" t="s">
        <v>8984</v>
      </c>
      <c r="D2355" s="7" t="s">
        <v>7556</v>
      </c>
      <c r="E2355" s="7" t="s">
        <v>12018</v>
      </c>
      <c r="F2355" s="8" t="s">
        <v>9073</v>
      </c>
      <c r="G2355" s="7">
        <v>3</v>
      </c>
      <c r="H2355" s="7" t="s">
        <v>9187</v>
      </c>
      <c r="I2355" s="7">
        <v>1</v>
      </c>
      <c r="J2355" s="7" t="s">
        <v>7872</v>
      </c>
      <c r="K2355" s="9" t="s">
        <v>8987</v>
      </c>
    </row>
    <row r="2356" spans="1:11">
      <c r="A2356" s="7">
        <v>2354</v>
      </c>
      <c r="B2356" s="7" t="s">
        <v>9174</v>
      </c>
      <c r="C2356" s="7" t="s">
        <v>8984</v>
      </c>
      <c r="D2356" s="7" t="s">
        <v>7556</v>
      </c>
      <c r="E2356" s="7" t="s">
        <v>12019</v>
      </c>
      <c r="F2356" s="8" t="s">
        <v>9075</v>
      </c>
      <c r="G2356" s="7">
        <v>3</v>
      </c>
      <c r="H2356" s="7" t="s">
        <v>9187</v>
      </c>
      <c r="I2356" s="7">
        <v>1</v>
      </c>
      <c r="J2356" s="7" t="s">
        <v>7872</v>
      </c>
      <c r="K2356" s="9" t="s">
        <v>8987</v>
      </c>
    </row>
    <row r="2357" spans="1:11">
      <c r="A2357" s="7">
        <v>2355</v>
      </c>
      <c r="B2357" s="7" t="s">
        <v>9174</v>
      </c>
      <c r="C2357" s="7" t="s">
        <v>8984</v>
      </c>
      <c r="D2357" s="7" t="s">
        <v>7556</v>
      </c>
      <c r="E2357" s="7" t="s">
        <v>12020</v>
      </c>
      <c r="F2357" s="8" t="s">
        <v>9304</v>
      </c>
      <c r="G2357" s="7">
        <v>47</v>
      </c>
      <c r="H2357" s="7" t="s">
        <v>11393</v>
      </c>
      <c r="I2357" s="7">
        <v>1</v>
      </c>
      <c r="J2357" s="7" t="s">
        <v>11394</v>
      </c>
      <c r="K2357" s="9" t="s">
        <v>8987</v>
      </c>
    </row>
    <row r="2358" spans="1:11">
      <c r="A2358" s="7">
        <v>2356</v>
      </c>
      <c r="B2358" s="7" t="s">
        <v>9174</v>
      </c>
      <c r="C2358" s="7" t="s">
        <v>8984</v>
      </c>
      <c r="D2358" s="7" t="s">
        <v>7556</v>
      </c>
      <c r="E2358" s="7" t="s">
        <v>12021</v>
      </c>
      <c r="F2358" s="8" t="s">
        <v>9304</v>
      </c>
      <c r="G2358" s="7">
        <v>60</v>
      </c>
      <c r="H2358" s="7" t="s">
        <v>9289</v>
      </c>
      <c r="I2358" s="7">
        <v>1</v>
      </c>
      <c r="J2358" s="7" t="s">
        <v>7870</v>
      </c>
      <c r="K2358" s="9" t="s">
        <v>8987</v>
      </c>
    </row>
    <row r="2359" spans="1:11">
      <c r="A2359" s="7">
        <v>2357</v>
      </c>
      <c r="B2359" s="7" t="s">
        <v>9174</v>
      </c>
      <c r="C2359" s="7" t="s">
        <v>8984</v>
      </c>
      <c r="D2359" s="7" t="s">
        <v>7556</v>
      </c>
      <c r="E2359" s="7" t="s">
        <v>12022</v>
      </c>
      <c r="F2359" s="8" t="s">
        <v>9304</v>
      </c>
      <c r="G2359" s="7">
        <v>60</v>
      </c>
      <c r="H2359" s="7" t="s">
        <v>9289</v>
      </c>
      <c r="I2359" s="7">
        <v>1</v>
      </c>
      <c r="J2359" s="7" t="s">
        <v>7870</v>
      </c>
      <c r="K2359" s="9" t="s">
        <v>8987</v>
      </c>
    </row>
    <row r="2360" spans="1:11">
      <c r="A2360" s="7">
        <v>2358</v>
      </c>
      <c r="B2360" s="7" t="s">
        <v>9174</v>
      </c>
      <c r="C2360" s="7" t="s">
        <v>11152</v>
      </c>
      <c r="D2360" s="7" t="s">
        <v>7556</v>
      </c>
      <c r="E2360" s="7" t="s">
        <v>12023</v>
      </c>
      <c r="F2360" s="8" t="s">
        <v>9304</v>
      </c>
      <c r="G2360" s="7">
        <v>24</v>
      </c>
      <c r="H2360" s="7" t="s">
        <v>9418</v>
      </c>
      <c r="I2360" s="7">
        <v>1</v>
      </c>
      <c r="J2360" s="7" t="s">
        <v>7871</v>
      </c>
      <c r="K2360" s="9" t="s">
        <v>8987</v>
      </c>
    </row>
    <row r="2361" spans="1:11">
      <c r="A2361" s="7">
        <v>2359</v>
      </c>
      <c r="B2361" s="7" t="s">
        <v>9174</v>
      </c>
      <c r="C2361" s="7" t="s">
        <v>8984</v>
      </c>
      <c r="D2361" s="7" t="s">
        <v>7556</v>
      </c>
      <c r="E2361" s="7" t="s">
        <v>12024</v>
      </c>
      <c r="F2361" s="8" t="s">
        <v>9306</v>
      </c>
      <c r="G2361" s="7">
        <v>47</v>
      </c>
      <c r="H2361" s="7" t="s">
        <v>11393</v>
      </c>
      <c r="I2361" s="7">
        <v>1</v>
      </c>
      <c r="J2361" s="7" t="s">
        <v>11394</v>
      </c>
      <c r="K2361" s="9" t="s">
        <v>8987</v>
      </c>
    </row>
    <row r="2362" spans="1:11">
      <c r="A2362" s="7">
        <v>2360</v>
      </c>
      <c r="B2362" s="7" t="s">
        <v>9174</v>
      </c>
      <c r="C2362" s="7" t="s">
        <v>8984</v>
      </c>
      <c r="D2362" s="7" t="s">
        <v>7556</v>
      </c>
      <c r="E2362" s="7" t="s">
        <v>12025</v>
      </c>
      <c r="F2362" s="8" t="s">
        <v>9306</v>
      </c>
      <c r="G2362" s="7">
        <v>60</v>
      </c>
      <c r="H2362" s="7" t="s">
        <v>9289</v>
      </c>
      <c r="I2362" s="7">
        <v>1</v>
      </c>
      <c r="J2362" s="7" t="s">
        <v>7870</v>
      </c>
      <c r="K2362" s="9" t="s">
        <v>8987</v>
      </c>
    </row>
    <row r="2363" spans="1:11">
      <c r="A2363" s="7">
        <v>2361</v>
      </c>
      <c r="B2363" s="7" t="s">
        <v>9174</v>
      </c>
      <c r="C2363" s="7" t="s">
        <v>8984</v>
      </c>
      <c r="D2363" s="7" t="s">
        <v>7556</v>
      </c>
      <c r="E2363" s="7" t="s">
        <v>12026</v>
      </c>
      <c r="F2363" s="8" t="s">
        <v>9306</v>
      </c>
      <c r="G2363" s="7">
        <v>60</v>
      </c>
      <c r="H2363" s="7" t="s">
        <v>9289</v>
      </c>
      <c r="I2363" s="7">
        <v>1</v>
      </c>
      <c r="J2363" s="7" t="s">
        <v>7870</v>
      </c>
      <c r="K2363" s="9" t="s">
        <v>8987</v>
      </c>
    </row>
    <row r="2364" spans="1:11">
      <c r="A2364" s="7">
        <v>2362</v>
      </c>
      <c r="B2364" s="7" t="s">
        <v>9174</v>
      </c>
      <c r="C2364" s="7" t="s">
        <v>11152</v>
      </c>
      <c r="D2364" s="7" t="s">
        <v>7556</v>
      </c>
      <c r="E2364" s="7" t="s">
        <v>12027</v>
      </c>
      <c r="F2364" s="8" t="s">
        <v>9306</v>
      </c>
      <c r="G2364" s="7">
        <v>24</v>
      </c>
      <c r="H2364" s="7" t="s">
        <v>9418</v>
      </c>
      <c r="I2364" s="7">
        <v>1</v>
      </c>
      <c r="J2364" s="7" t="s">
        <v>7871</v>
      </c>
      <c r="K2364" s="9" t="s">
        <v>8987</v>
      </c>
    </row>
    <row r="2365" spans="1:11">
      <c r="A2365" s="7">
        <v>2363</v>
      </c>
      <c r="B2365" s="7" t="s">
        <v>9174</v>
      </c>
      <c r="C2365" s="7" t="s">
        <v>8984</v>
      </c>
      <c r="D2365" s="7" t="s">
        <v>7556</v>
      </c>
      <c r="E2365" s="7" t="s">
        <v>12028</v>
      </c>
      <c r="F2365" s="8" t="s">
        <v>9308</v>
      </c>
      <c r="G2365" s="7">
        <v>47</v>
      </c>
      <c r="H2365" s="7" t="s">
        <v>11393</v>
      </c>
      <c r="I2365" s="7">
        <v>1</v>
      </c>
      <c r="J2365" s="7" t="s">
        <v>11394</v>
      </c>
      <c r="K2365" s="9" t="s">
        <v>8987</v>
      </c>
    </row>
    <row r="2366" spans="1:11">
      <c r="A2366" s="7">
        <v>2364</v>
      </c>
      <c r="B2366" s="7" t="s">
        <v>9174</v>
      </c>
      <c r="C2366" s="7" t="s">
        <v>8984</v>
      </c>
      <c r="D2366" s="7" t="s">
        <v>7556</v>
      </c>
      <c r="E2366" s="7" t="s">
        <v>12029</v>
      </c>
      <c r="F2366" s="8" t="s">
        <v>9308</v>
      </c>
      <c r="G2366" s="7">
        <v>60</v>
      </c>
      <c r="H2366" s="7" t="s">
        <v>9289</v>
      </c>
      <c r="I2366" s="7">
        <v>1</v>
      </c>
      <c r="J2366" s="7" t="s">
        <v>7870</v>
      </c>
      <c r="K2366" s="9" t="s">
        <v>8987</v>
      </c>
    </row>
    <row r="2367" spans="1:11">
      <c r="A2367" s="7">
        <v>2365</v>
      </c>
      <c r="B2367" s="7" t="s">
        <v>9174</v>
      </c>
      <c r="C2367" s="7" t="s">
        <v>8984</v>
      </c>
      <c r="D2367" s="7" t="s">
        <v>7556</v>
      </c>
      <c r="E2367" s="7" t="s">
        <v>12030</v>
      </c>
      <c r="F2367" s="8" t="s">
        <v>9308</v>
      </c>
      <c r="G2367" s="7">
        <v>60</v>
      </c>
      <c r="H2367" s="7" t="s">
        <v>9289</v>
      </c>
      <c r="I2367" s="7">
        <v>1</v>
      </c>
      <c r="J2367" s="7" t="s">
        <v>7870</v>
      </c>
      <c r="K2367" s="9" t="s">
        <v>8987</v>
      </c>
    </row>
    <row r="2368" spans="1:11">
      <c r="A2368" s="7">
        <v>2366</v>
      </c>
      <c r="B2368" s="7" t="s">
        <v>9174</v>
      </c>
      <c r="C2368" s="7" t="s">
        <v>11152</v>
      </c>
      <c r="D2368" s="7" t="s">
        <v>7556</v>
      </c>
      <c r="E2368" s="7" t="s">
        <v>12031</v>
      </c>
      <c r="F2368" s="8" t="s">
        <v>9308</v>
      </c>
      <c r="G2368" s="7">
        <v>24</v>
      </c>
      <c r="H2368" s="7" t="s">
        <v>9418</v>
      </c>
      <c r="I2368" s="7">
        <v>1</v>
      </c>
      <c r="J2368" s="7" t="s">
        <v>7871</v>
      </c>
      <c r="K2368" s="9" t="s">
        <v>8987</v>
      </c>
    </row>
    <row r="2369" spans="1:11">
      <c r="A2369" s="7">
        <v>2367</v>
      </c>
      <c r="B2369" s="7" t="s">
        <v>9174</v>
      </c>
      <c r="C2369" s="7" t="s">
        <v>8984</v>
      </c>
      <c r="D2369" s="7" t="s">
        <v>7542</v>
      </c>
      <c r="E2369" s="7" t="s">
        <v>12032</v>
      </c>
      <c r="F2369" s="8" t="s">
        <v>10933</v>
      </c>
      <c r="G2369" s="7">
        <v>45</v>
      </c>
      <c r="H2369" s="7" t="s">
        <v>9750</v>
      </c>
      <c r="I2369" s="7">
        <v>1</v>
      </c>
      <c r="J2369" s="7" t="s">
        <v>7880</v>
      </c>
      <c r="K2369" s="9" t="s">
        <v>8987</v>
      </c>
    </row>
    <row r="2370" spans="1:11">
      <c r="A2370" s="7">
        <v>2368</v>
      </c>
      <c r="B2370" s="7" t="s">
        <v>9174</v>
      </c>
      <c r="C2370" s="7" t="s">
        <v>8984</v>
      </c>
      <c r="D2370" s="7" t="s">
        <v>7542</v>
      </c>
      <c r="E2370" s="7" t="s">
        <v>12033</v>
      </c>
      <c r="F2370" s="8" t="s">
        <v>10933</v>
      </c>
      <c r="G2370" s="7">
        <v>23</v>
      </c>
      <c r="H2370" s="7" t="s">
        <v>9120</v>
      </c>
      <c r="I2370" s="7">
        <v>1</v>
      </c>
      <c r="J2370" s="7" t="s">
        <v>7848</v>
      </c>
      <c r="K2370" s="9" t="s">
        <v>8987</v>
      </c>
    </row>
    <row r="2371" spans="1:11">
      <c r="A2371" s="7">
        <v>2369</v>
      </c>
      <c r="B2371" s="7" t="s">
        <v>9174</v>
      </c>
      <c r="C2371" s="7" t="s">
        <v>11152</v>
      </c>
      <c r="D2371" s="7" t="s">
        <v>7542</v>
      </c>
      <c r="E2371" s="7" t="s">
        <v>12034</v>
      </c>
      <c r="F2371" s="8" t="s">
        <v>10933</v>
      </c>
      <c r="G2371" s="7">
        <v>23</v>
      </c>
      <c r="H2371" s="7" t="s">
        <v>9120</v>
      </c>
      <c r="I2371" s="7">
        <v>1</v>
      </c>
      <c r="J2371" s="7" t="s">
        <v>7848</v>
      </c>
      <c r="K2371" s="9" t="s">
        <v>8987</v>
      </c>
    </row>
    <row r="2372" spans="1:11">
      <c r="A2372" s="7">
        <v>2370</v>
      </c>
      <c r="B2372" s="7" t="s">
        <v>9174</v>
      </c>
      <c r="C2372" s="7" t="s">
        <v>8984</v>
      </c>
      <c r="D2372" s="7" t="s">
        <v>7542</v>
      </c>
      <c r="E2372" s="7" t="s">
        <v>12035</v>
      </c>
      <c r="F2372" s="8" t="s">
        <v>9314</v>
      </c>
      <c r="G2372" s="7">
        <v>45</v>
      </c>
      <c r="H2372" s="7" t="s">
        <v>9750</v>
      </c>
      <c r="I2372" s="7">
        <v>1</v>
      </c>
      <c r="J2372" s="7" t="s">
        <v>7880</v>
      </c>
      <c r="K2372" s="9" t="s">
        <v>8987</v>
      </c>
    </row>
    <row r="2373" spans="1:11">
      <c r="A2373" s="7">
        <v>2371</v>
      </c>
      <c r="B2373" s="7" t="s">
        <v>9174</v>
      </c>
      <c r="C2373" s="7" t="s">
        <v>8984</v>
      </c>
      <c r="D2373" s="7" t="s">
        <v>7542</v>
      </c>
      <c r="E2373" s="7" t="s">
        <v>12036</v>
      </c>
      <c r="F2373" s="8" t="s">
        <v>9314</v>
      </c>
      <c r="G2373" s="7">
        <v>23</v>
      </c>
      <c r="H2373" s="7" t="s">
        <v>9120</v>
      </c>
      <c r="I2373" s="7">
        <v>1</v>
      </c>
      <c r="J2373" s="7" t="s">
        <v>7848</v>
      </c>
      <c r="K2373" s="9" t="s">
        <v>8987</v>
      </c>
    </row>
    <row r="2374" spans="1:11">
      <c r="A2374" s="7">
        <v>2372</v>
      </c>
      <c r="B2374" s="7" t="s">
        <v>9174</v>
      </c>
      <c r="C2374" s="7" t="s">
        <v>11152</v>
      </c>
      <c r="D2374" s="7" t="s">
        <v>7542</v>
      </c>
      <c r="E2374" s="7" t="s">
        <v>12037</v>
      </c>
      <c r="F2374" s="8" t="s">
        <v>9314</v>
      </c>
      <c r="G2374" s="7">
        <v>23</v>
      </c>
      <c r="H2374" s="7" t="s">
        <v>9120</v>
      </c>
      <c r="I2374" s="7">
        <v>1</v>
      </c>
      <c r="J2374" s="7" t="s">
        <v>7848</v>
      </c>
      <c r="K2374" s="9" t="s">
        <v>8987</v>
      </c>
    </row>
    <row r="2375" spans="1:11">
      <c r="A2375" s="7">
        <v>2373</v>
      </c>
      <c r="B2375" s="7" t="s">
        <v>9174</v>
      </c>
      <c r="C2375" s="7" t="s">
        <v>8984</v>
      </c>
      <c r="D2375" s="7" t="s">
        <v>7556</v>
      </c>
      <c r="E2375" s="7" t="s">
        <v>12038</v>
      </c>
      <c r="F2375" s="8" t="s">
        <v>9676</v>
      </c>
      <c r="G2375" s="7">
        <v>200</v>
      </c>
      <c r="H2375" s="7" t="s">
        <v>9447</v>
      </c>
      <c r="I2375" s="7">
        <v>1</v>
      </c>
      <c r="J2375" s="7" t="s">
        <v>9448</v>
      </c>
      <c r="K2375" s="9" t="s">
        <v>8987</v>
      </c>
    </row>
    <row r="2376" spans="1:11">
      <c r="A2376" s="7">
        <v>2374</v>
      </c>
      <c r="B2376" s="7" t="s">
        <v>9174</v>
      </c>
      <c r="C2376" s="7" t="s">
        <v>8984</v>
      </c>
      <c r="D2376" s="7" t="s">
        <v>7556</v>
      </c>
      <c r="E2376" s="7" t="s">
        <v>12039</v>
      </c>
      <c r="F2376" s="8" t="s">
        <v>9676</v>
      </c>
      <c r="G2376" s="7">
        <v>100</v>
      </c>
      <c r="H2376" s="7" t="s">
        <v>9046</v>
      </c>
      <c r="I2376" s="7">
        <v>1</v>
      </c>
      <c r="J2376" s="7" t="s">
        <v>7878</v>
      </c>
      <c r="K2376" s="9" t="s">
        <v>8987</v>
      </c>
    </row>
    <row r="2377" spans="1:11">
      <c r="A2377" s="7">
        <v>2375</v>
      </c>
      <c r="B2377" s="7" t="s">
        <v>9174</v>
      </c>
      <c r="C2377" s="7" t="s">
        <v>8984</v>
      </c>
      <c r="D2377" s="7" t="s">
        <v>7556</v>
      </c>
      <c r="E2377" s="7" t="s">
        <v>12040</v>
      </c>
      <c r="F2377" s="8" t="s">
        <v>9676</v>
      </c>
      <c r="G2377" s="7">
        <v>200</v>
      </c>
      <c r="H2377" s="7" t="s">
        <v>9447</v>
      </c>
      <c r="I2377" s="7">
        <v>1</v>
      </c>
      <c r="J2377" s="7" t="s">
        <v>9448</v>
      </c>
      <c r="K2377" s="9" t="s">
        <v>8987</v>
      </c>
    </row>
    <row r="2378" spans="1:11">
      <c r="A2378" s="7">
        <v>2376</v>
      </c>
      <c r="B2378" s="7" t="s">
        <v>9174</v>
      </c>
      <c r="C2378" s="7" t="s">
        <v>11152</v>
      </c>
      <c r="D2378" s="7" t="s">
        <v>7556</v>
      </c>
      <c r="E2378" s="7" t="s">
        <v>12041</v>
      </c>
      <c r="F2378" s="8" t="s">
        <v>9676</v>
      </c>
      <c r="G2378" s="7">
        <v>100</v>
      </c>
      <c r="H2378" s="7" t="s">
        <v>9046</v>
      </c>
      <c r="I2378" s="7">
        <v>1</v>
      </c>
      <c r="J2378" s="7" t="s">
        <v>7878</v>
      </c>
      <c r="K2378" s="9" t="s">
        <v>8987</v>
      </c>
    </row>
    <row r="2379" spans="1:11">
      <c r="A2379" s="7">
        <v>2377</v>
      </c>
      <c r="B2379" s="7" t="s">
        <v>9174</v>
      </c>
      <c r="C2379" s="7" t="s">
        <v>8984</v>
      </c>
      <c r="D2379" s="7" t="s">
        <v>7556</v>
      </c>
      <c r="E2379" s="7" t="s">
        <v>12042</v>
      </c>
      <c r="F2379" s="8" t="s">
        <v>9732</v>
      </c>
      <c r="G2379" s="7">
        <v>38</v>
      </c>
      <c r="H2379" s="7" t="s">
        <v>11229</v>
      </c>
      <c r="I2379" s="7">
        <v>1</v>
      </c>
      <c r="J2379" s="7" t="s">
        <v>7847</v>
      </c>
      <c r="K2379" s="9" t="s">
        <v>8987</v>
      </c>
    </row>
    <row r="2380" spans="1:11">
      <c r="A2380" s="7">
        <v>2378</v>
      </c>
      <c r="B2380" s="7" t="s">
        <v>9174</v>
      </c>
      <c r="C2380" s="7" t="s">
        <v>8984</v>
      </c>
      <c r="D2380" s="7" t="s">
        <v>7556</v>
      </c>
      <c r="E2380" s="7" t="s">
        <v>12043</v>
      </c>
      <c r="F2380" s="8" t="s">
        <v>9732</v>
      </c>
      <c r="G2380" s="7">
        <v>50</v>
      </c>
      <c r="H2380" s="7" t="s">
        <v>9021</v>
      </c>
      <c r="I2380" s="7">
        <v>1</v>
      </c>
      <c r="J2380" s="7" t="s">
        <v>7881</v>
      </c>
      <c r="K2380" s="9" t="s">
        <v>8987</v>
      </c>
    </row>
    <row r="2381" spans="1:11">
      <c r="A2381" s="7">
        <v>2379</v>
      </c>
      <c r="B2381" s="7" t="s">
        <v>9174</v>
      </c>
      <c r="C2381" s="7" t="s">
        <v>8984</v>
      </c>
      <c r="D2381" s="7" t="s">
        <v>7556</v>
      </c>
      <c r="E2381" s="7" t="s">
        <v>12044</v>
      </c>
      <c r="F2381" s="8" t="s">
        <v>9732</v>
      </c>
      <c r="G2381" s="7">
        <v>19</v>
      </c>
      <c r="H2381" s="7" t="s">
        <v>10462</v>
      </c>
      <c r="I2381" s="7">
        <v>1</v>
      </c>
      <c r="J2381" s="7" t="s">
        <v>7841</v>
      </c>
      <c r="K2381" s="9" t="s">
        <v>8987</v>
      </c>
    </row>
    <row r="2382" spans="1:11">
      <c r="A2382" s="7">
        <v>2380</v>
      </c>
      <c r="B2382" s="7" t="s">
        <v>9174</v>
      </c>
      <c r="C2382" s="7" t="s">
        <v>11152</v>
      </c>
      <c r="D2382" s="7" t="s">
        <v>7556</v>
      </c>
      <c r="E2382" s="7" t="s">
        <v>12045</v>
      </c>
      <c r="F2382" s="8" t="s">
        <v>9732</v>
      </c>
      <c r="G2382" s="7">
        <v>19</v>
      </c>
      <c r="H2382" s="7" t="s">
        <v>10462</v>
      </c>
      <c r="I2382" s="7">
        <v>1</v>
      </c>
      <c r="J2382" s="7" t="s">
        <v>7841</v>
      </c>
      <c r="K2382" s="9" t="s">
        <v>8987</v>
      </c>
    </row>
    <row r="2383" spans="1:11">
      <c r="A2383" s="7">
        <v>2381</v>
      </c>
      <c r="B2383" s="7" t="s">
        <v>9174</v>
      </c>
      <c r="C2383" s="7" t="s">
        <v>8984</v>
      </c>
      <c r="D2383" s="7" t="s">
        <v>7556</v>
      </c>
      <c r="E2383" s="7" t="s">
        <v>12046</v>
      </c>
      <c r="F2383" s="8" t="s">
        <v>9735</v>
      </c>
      <c r="G2383" s="7">
        <v>80</v>
      </c>
      <c r="H2383" s="7" t="s">
        <v>9153</v>
      </c>
      <c r="I2383" s="7">
        <v>1</v>
      </c>
      <c r="J2383" s="7" t="s">
        <v>7867</v>
      </c>
      <c r="K2383" s="9" t="s">
        <v>8987</v>
      </c>
    </row>
    <row r="2384" spans="1:11">
      <c r="A2384" s="7">
        <v>2382</v>
      </c>
      <c r="B2384" s="7" t="s">
        <v>9174</v>
      </c>
      <c r="C2384" s="7" t="s">
        <v>8984</v>
      </c>
      <c r="D2384" s="7" t="s">
        <v>7556</v>
      </c>
      <c r="E2384" s="7" t="s">
        <v>12047</v>
      </c>
      <c r="F2384" s="8" t="s">
        <v>9735</v>
      </c>
      <c r="G2384" s="7">
        <v>40</v>
      </c>
      <c r="H2384" s="7" t="s">
        <v>9003</v>
      </c>
      <c r="I2384" s="7">
        <v>1</v>
      </c>
      <c r="J2384" s="7" t="s">
        <v>7860</v>
      </c>
      <c r="K2384" s="9" t="s">
        <v>8987</v>
      </c>
    </row>
    <row r="2385" spans="1:11">
      <c r="A2385" s="7">
        <v>2383</v>
      </c>
      <c r="B2385" s="7" t="s">
        <v>9174</v>
      </c>
      <c r="C2385" s="7" t="s">
        <v>8984</v>
      </c>
      <c r="D2385" s="7" t="s">
        <v>7556</v>
      </c>
      <c r="E2385" s="7" t="s">
        <v>12048</v>
      </c>
      <c r="F2385" s="8" t="s">
        <v>9735</v>
      </c>
      <c r="G2385" s="7">
        <v>80</v>
      </c>
      <c r="H2385" s="7" t="s">
        <v>9153</v>
      </c>
      <c r="I2385" s="7">
        <v>1</v>
      </c>
      <c r="J2385" s="7" t="s">
        <v>7867</v>
      </c>
      <c r="K2385" s="9" t="s">
        <v>8987</v>
      </c>
    </row>
    <row r="2386" spans="1:11">
      <c r="A2386" s="7">
        <v>2384</v>
      </c>
      <c r="B2386" s="7" t="s">
        <v>9719</v>
      </c>
      <c r="C2386" s="7" t="s">
        <v>11152</v>
      </c>
      <c r="D2386" s="7" t="s">
        <v>7556</v>
      </c>
      <c r="E2386" s="7" t="s">
        <v>12049</v>
      </c>
      <c r="F2386" s="8" t="s">
        <v>9735</v>
      </c>
      <c r="G2386" s="7">
        <v>40</v>
      </c>
      <c r="H2386" s="7" t="s">
        <v>9003</v>
      </c>
      <c r="I2386" s="7">
        <v>1</v>
      </c>
      <c r="J2386" s="7" t="s">
        <v>7860</v>
      </c>
      <c r="K2386" s="9" t="s">
        <v>8987</v>
      </c>
    </row>
    <row r="2387" spans="1:11">
      <c r="A2387" s="7">
        <v>2385</v>
      </c>
      <c r="B2387" s="7" t="s">
        <v>9174</v>
      </c>
      <c r="C2387" s="7" t="s">
        <v>8984</v>
      </c>
      <c r="D2387" s="7" t="s">
        <v>7556</v>
      </c>
      <c r="E2387" s="7" t="s">
        <v>12050</v>
      </c>
      <c r="F2387" s="8" t="s">
        <v>9735</v>
      </c>
      <c r="G2387" s="7">
        <v>80</v>
      </c>
      <c r="H2387" s="7" t="s">
        <v>9153</v>
      </c>
      <c r="I2387" s="7">
        <v>1</v>
      </c>
      <c r="J2387" s="7" t="s">
        <v>7867</v>
      </c>
      <c r="K2387" s="9" t="s">
        <v>8987</v>
      </c>
    </row>
    <row r="2388" spans="1:11">
      <c r="A2388" s="7">
        <v>2386</v>
      </c>
      <c r="B2388" s="7" t="s">
        <v>9174</v>
      </c>
      <c r="C2388" s="7" t="s">
        <v>8984</v>
      </c>
      <c r="D2388" s="7" t="s">
        <v>7556</v>
      </c>
      <c r="E2388" s="7" t="s">
        <v>12051</v>
      </c>
      <c r="F2388" s="8" t="s">
        <v>9735</v>
      </c>
      <c r="G2388" s="7">
        <v>40</v>
      </c>
      <c r="H2388" s="7" t="s">
        <v>9003</v>
      </c>
      <c r="I2388" s="7">
        <v>1</v>
      </c>
      <c r="J2388" s="7" t="s">
        <v>7860</v>
      </c>
      <c r="K2388" s="9" t="s">
        <v>8987</v>
      </c>
    </row>
    <row r="2389" spans="1:11">
      <c r="A2389" s="7">
        <v>2387</v>
      </c>
      <c r="B2389" s="7" t="s">
        <v>9174</v>
      </c>
      <c r="C2389" s="7" t="s">
        <v>8984</v>
      </c>
      <c r="D2389" s="7" t="s">
        <v>7556</v>
      </c>
      <c r="E2389" s="7" t="s">
        <v>12052</v>
      </c>
      <c r="F2389" s="8" t="s">
        <v>9735</v>
      </c>
      <c r="G2389" s="7">
        <v>80</v>
      </c>
      <c r="H2389" s="7" t="s">
        <v>9153</v>
      </c>
      <c r="I2389" s="7">
        <v>1</v>
      </c>
      <c r="J2389" s="7" t="s">
        <v>7867</v>
      </c>
      <c r="K2389" s="9" t="s">
        <v>8987</v>
      </c>
    </row>
    <row r="2390" spans="1:11">
      <c r="A2390" s="7">
        <v>2388</v>
      </c>
      <c r="B2390" s="7" t="s">
        <v>9719</v>
      </c>
      <c r="C2390" s="7" t="s">
        <v>11152</v>
      </c>
      <c r="D2390" s="7" t="s">
        <v>7556</v>
      </c>
      <c r="E2390" s="7" t="s">
        <v>12053</v>
      </c>
      <c r="F2390" s="8" t="s">
        <v>9735</v>
      </c>
      <c r="G2390" s="7">
        <v>40</v>
      </c>
      <c r="H2390" s="7" t="s">
        <v>9003</v>
      </c>
      <c r="I2390" s="7">
        <v>1</v>
      </c>
      <c r="J2390" s="7" t="s">
        <v>7860</v>
      </c>
      <c r="K2390" s="9" t="s">
        <v>8987</v>
      </c>
    </row>
    <row r="2391" spans="1:11">
      <c r="A2391" s="7">
        <v>2389</v>
      </c>
      <c r="B2391" s="7" t="s">
        <v>9174</v>
      </c>
      <c r="C2391" s="7" t="s">
        <v>8984</v>
      </c>
      <c r="D2391" s="7" t="s">
        <v>7556</v>
      </c>
      <c r="E2391" s="7" t="s">
        <v>12054</v>
      </c>
      <c r="F2391" s="8" t="s">
        <v>9735</v>
      </c>
      <c r="G2391" s="7">
        <v>80</v>
      </c>
      <c r="H2391" s="7" t="s">
        <v>9153</v>
      </c>
      <c r="I2391" s="7">
        <v>1</v>
      </c>
      <c r="J2391" s="7" t="s">
        <v>7867</v>
      </c>
      <c r="K2391" s="9" t="s">
        <v>8987</v>
      </c>
    </row>
    <row r="2392" spans="1:11">
      <c r="A2392" s="7">
        <v>2390</v>
      </c>
      <c r="B2392" s="7" t="s">
        <v>9174</v>
      </c>
      <c r="C2392" s="7" t="s">
        <v>8984</v>
      </c>
      <c r="D2392" s="7" t="s">
        <v>7556</v>
      </c>
      <c r="E2392" s="7" t="s">
        <v>12055</v>
      </c>
      <c r="F2392" s="8" t="s">
        <v>9735</v>
      </c>
      <c r="G2392" s="7">
        <v>40</v>
      </c>
      <c r="H2392" s="7" t="s">
        <v>9003</v>
      </c>
      <c r="I2392" s="7">
        <v>1</v>
      </c>
      <c r="J2392" s="7" t="s">
        <v>7860</v>
      </c>
      <c r="K2392" s="9" t="s">
        <v>8987</v>
      </c>
    </row>
    <row r="2393" spans="1:11">
      <c r="A2393" s="7">
        <v>2391</v>
      </c>
      <c r="B2393" s="7" t="s">
        <v>9174</v>
      </c>
      <c r="C2393" s="7" t="s">
        <v>8984</v>
      </c>
      <c r="D2393" s="7" t="s">
        <v>7556</v>
      </c>
      <c r="E2393" s="7" t="s">
        <v>3559</v>
      </c>
      <c r="F2393" s="8" t="s">
        <v>9735</v>
      </c>
      <c r="G2393" s="7">
        <v>80</v>
      </c>
      <c r="H2393" s="7" t="s">
        <v>9153</v>
      </c>
      <c r="I2393" s="7">
        <v>1</v>
      </c>
      <c r="J2393" s="7" t="s">
        <v>7867</v>
      </c>
      <c r="K2393" s="9" t="s">
        <v>8987</v>
      </c>
    </row>
    <row r="2394" spans="1:11">
      <c r="A2394" s="7">
        <v>2392</v>
      </c>
      <c r="B2394" s="7" t="s">
        <v>9719</v>
      </c>
      <c r="C2394" s="7" t="s">
        <v>11152</v>
      </c>
      <c r="D2394" s="7" t="s">
        <v>7556</v>
      </c>
      <c r="E2394" s="7" t="s">
        <v>12056</v>
      </c>
      <c r="F2394" s="8" t="s">
        <v>9735</v>
      </c>
      <c r="G2394" s="7">
        <v>40</v>
      </c>
      <c r="H2394" s="7" t="s">
        <v>9003</v>
      </c>
      <c r="I2394" s="7">
        <v>1</v>
      </c>
      <c r="J2394" s="7" t="s">
        <v>7860</v>
      </c>
      <c r="K2394" s="9" t="s">
        <v>8987</v>
      </c>
    </row>
    <row r="2395" spans="1:11">
      <c r="A2395" s="7">
        <v>2393</v>
      </c>
      <c r="B2395" s="7" t="s">
        <v>9174</v>
      </c>
      <c r="C2395" s="7" t="s">
        <v>8984</v>
      </c>
      <c r="D2395" s="7" t="s">
        <v>7556</v>
      </c>
      <c r="E2395" s="7" t="s">
        <v>12057</v>
      </c>
      <c r="F2395" s="8" t="s">
        <v>9735</v>
      </c>
      <c r="G2395" s="7">
        <v>80</v>
      </c>
      <c r="H2395" s="7" t="s">
        <v>9153</v>
      </c>
      <c r="I2395" s="7">
        <v>1</v>
      </c>
      <c r="J2395" s="7" t="s">
        <v>7867</v>
      </c>
      <c r="K2395" s="9" t="s">
        <v>8987</v>
      </c>
    </row>
    <row r="2396" spans="1:11">
      <c r="A2396" s="7">
        <v>2394</v>
      </c>
      <c r="B2396" s="7" t="s">
        <v>9174</v>
      </c>
      <c r="C2396" s="7" t="s">
        <v>8984</v>
      </c>
      <c r="D2396" s="7" t="s">
        <v>7556</v>
      </c>
      <c r="E2396" s="7" t="s">
        <v>12058</v>
      </c>
      <c r="F2396" s="8" t="s">
        <v>9735</v>
      </c>
      <c r="G2396" s="7">
        <v>40</v>
      </c>
      <c r="H2396" s="7" t="s">
        <v>9003</v>
      </c>
      <c r="I2396" s="7">
        <v>1</v>
      </c>
      <c r="J2396" s="7" t="s">
        <v>7860</v>
      </c>
      <c r="K2396" s="9" t="s">
        <v>8987</v>
      </c>
    </row>
    <row r="2397" spans="1:11">
      <c r="A2397" s="7">
        <v>2395</v>
      </c>
      <c r="B2397" s="7" t="s">
        <v>9174</v>
      </c>
      <c r="C2397" s="7" t="s">
        <v>8984</v>
      </c>
      <c r="D2397" s="7" t="s">
        <v>7556</v>
      </c>
      <c r="E2397" s="7" t="s">
        <v>12059</v>
      </c>
      <c r="F2397" s="8" t="s">
        <v>9735</v>
      </c>
      <c r="G2397" s="7">
        <v>80</v>
      </c>
      <c r="H2397" s="7" t="s">
        <v>9153</v>
      </c>
      <c r="I2397" s="7">
        <v>1</v>
      </c>
      <c r="J2397" s="7" t="s">
        <v>7867</v>
      </c>
      <c r="K2397" s="9" t="s">
        <v>8987</v>
      </c>
    </row>
    <row r="2398" spans="1:11">
      <c r="A2398" s="7">
        <v>2396</v>
      </c>
      <c r="B2398" s="7" t="s">
        <v>9719</v>
      </c>
      <c r="C2398" s="7" t="s">
        <v>11152</v>
      </c>
      <c r="D2398" s="7" t="s">
        <v>7556</v>
      </c>
      <c r="E2398" s="7" t="s">
        <v>12060</v>
      </c>
      <c r="F2398" s="8" t="s">
        <v>9735</v>
      </c>
      <c r="G2398" s="7">
        <v>40</v>
      </c>
      <c r="H2398" s="7" t="s">
        <v>9003</v>
      </c>
      <c r="I2398" s="7">
        <v>1</v>
      </c>
      <c r="J2398" s="7" t="s">
        <v>7860</v>
      </c>
      <c r="K2398" s="9" t="s">
        <v>8987</v>
      </c>
    </row>
    <row r="2399" spans="1:11">
      <c r="A2399" s="7">
        <v>2397</v>
      </c>
      <c r="B2399" s="7" t="s">
        <v>9174</v>
      </c>
      <c r="C2399" s="7" t="s">
        <v>8984</v>
      </c>
      <c r="D2399" s="7" t="s">
        <v>7556</v>
      </c>
      <c r="E2399" s="7" t="s">
        <v>12061</v>
      </c>
      <c r="F2399" s="8" t="s">
        <v>9735</v>
      </c>
      <c r="G2399" s="7">
        <v>80</v>
      </c>
      <c r="H2399" s="7" t="s">
        <v>9153</v>
      </c>
      <c r="I2399" s="7">
        <v>1</v>
      </c>
      <c r="J2399" s="7" t="s">
        <v>7867</v>
      </c>
      <c r="K2399" s="9" t="s">
        <v>8987</v>
      </c>
    </row>
    <row r="2400" spans="1:11">
      <c r="A2400" s="7">
        <v>2398</v>
      </c>
      <c r="B2400" s="7" t="s">
        <v>9174</v>
      </c>
      <c r="C2400" s="7" t="s">
        <v>8984</v>
      </c>
      <c r="D2400" s="7" t="s">
        <v>7556</v>
      </c>
      <c r="E2400" s="7" t="s">
        <v>12062</v>
      </c>
      <c r="F2400" s="8" t="s">
        <v>9735</v>
      </c>
      <c r="G2400" s="7">
        <v>40</v>
      </c>
      <c r="H2400" s="7" t="s">
        <v>9003</v>
      </c>
      <c r="I2400" s="7">
        <v>1</v>
      </c>
      <c r="J2400" s="7" t="s">
        <v>7860</v>
      </c>
      <c r="K2400" s="9" t="s">
        <v>8987</v>
      </c>
    </row>
    <row r="2401" spans="1:11">
      <c r="A2401" s="7">
        <v>2399</v>
      </c>
      <c r="B2401" s="7" t="s">
        <v>9174</v>
      </c>
      <c r="C2401" s="7" t="s">
        <v>8984</v>
      </c>
      <c r="D2401" s="7" t="s">
        <v>7556</v>
      </c>
      <c r="E2401" s="7" t="s">
        <v>12063</v>
      </c>
      <c r="F2401" s="8" t="s">
        <v>9735</v>
      </c>
      <c r="G2401" s="7">
        <v>80</v>
      </c>
      <c r="H2401" s="7" t="s">
        <v>9153</v>
      </c>
      <c r="I2401" s="7">
        <v>1</v>
      </c>
      <c r="J2401" s="7" t="s">
        <v>7867</v>
      </c>
      <c r="K2401" s="9" t="s">
        <v>8987</v>
      </c>
    </row>
    <row r="2402" spans="1:11">
      <c r="A2402" s="7">
        <v>2400</v>
      </c>
      <c r="B2402" s="7" t="s">
        <v>9719</v>
      </c>
      <c r="C2402" s="7" t="s">
        <v>11152</v>
      </c>
      <c r="D2402" s="7" t="s">
        <v>7556</v>
      </c>
      <c r="E2402" s="7" t="s">
        <v>12064</v>
      </c>
      <c r="F2402" s="8" t="s">
        <v>9735</v>
      </c>
      <c r="G2402" s="7">
        <v>40</v>
      </c>
      <c r="H2402" s="7" t="s">
        <v>9003</v>
      </c>
      <c r="I2402" s="7">
        <v>1</v>
      </c>
      <c r="J2402" s="7" t="s">
        <v>7860</v>
      </c>
      <c r="K2402" s="9" t="s">
        <v>8987</v>
      </c>
    </row>
    <row r="2403" spans="1:11">
      <c r="A2403" s="7">
        <v>2401</v>
      </c>
      <c r="B2403" s="7" t="s">
        <v>9174</v>
      </c>
      <c r="C2403" s="7" t="s">
        <v>8984</v>
      </c>
      <c r="D2403" s="7" t="s">
        <v>7556</v>
      </c>
      <c r="E2403" s="7" t="s">
        <v>12065</v>
      </c>
      <c r="F2403" s="8" t="s">
        <v>9735</v>
      </c>
      <c r="G2403" s="7">
        <v>80</v>
      </c>
      <c r="H2403" s="7" t="s">
        <v>9153</v>
      </c>
      <c r="I2403" s="7">
        <v>1</v>
      </c>
      <c r="J2403" s="7" t="s">
        <v>7867</v>
      </c>
      <c r="K2403" s="9" t="s">
        <v>8987</v>
      </c>
    </row>
    <row r="2404" spans="1:11">
      <c r="A2404" s="7">
        <v>2402</v>
      </c>
      <c r="B2404" s="7" t="s">
        <v>9174</v>
      </c>
      <c r="C2404" s="7" t="s">
        <v>8984</v>
      </c>
      <c r="D2404" s="7" t="s">
        <v>7556</v>
      </c>
      <c r="E2404" s="7" t="s">
        <v>12066</v>
      </c>
      <c r="F2404" s="8" t="s">
        <v>9735</v>
      </c>
      <c r="G2404" s="7">
        <v>40</v>
      </c>
      <c r="H2404" s="7" t="s">
        <v>9003</v>
      </c>
      <c r="I2404" s="7">
        <v>1</v>
      </c>
      <c r="J2404" s="7" t="s">
        <v>7860</v>
      </c>
      <c r="K2404" s="9" t="s">
        <v>8987</v>
      </c>
    </row>
    <row r="2405" spans="1:11">
      <c r="A2405" s="7">
        <v>2403</v>
      </c>
      <c r="B2405" s="7" t="s">
        <v>9174</v>
      </c>
      <c r="C2405" s="7" t="s">
        <v>8984</v>
      </c>
      <c r="D2405" s="7" t="s">
        <v>7556</v>
      </c>
      <c r="E2405" s="7" t="s">
        <v>12067</v>
      </c>
      <c r="F2405" s="8" t="s">
        <v>9735</v>
      </c>
      <c r="G2405" s="7">
        <v>80</v>
      </c>
      <c r="H2405" s="7" t="s">
        <v>9153</v>
      </c>
      <c r="I2405" s="7">
        <v>1</v>
      </c>
      <c r="J2405" s="7" t="s">
        <v>7867</v>
      </c>
      <c r="K2405" s="9" t="s">
        <v>8987</v>
      </c>
    </row>
    <row r="2406" spans="1:11">
      <c r="A2406" s="7">
        <v>2404</v>
      </c>
      <c r="B2406" s="7" t="s">
        <v>9719</v>
      </c>
      <c r="C2406" s="7" t="s">
        <v>11152</v>
      </c>
      <c r="D2406" s="7" t="s">
        <v>7556</v>
      </c>
      <c r="E2406" s="7" t="s">
        <v>12068</v>
      </c>
      <c r="F2406" s="8" t="s">
        <v>9735</v>
      </c>
      <c r="G2406" s="7">
        <v>40</v>
      </c>
      <c r="H2406" s="7" t="s">
        <v>9003</v>
      </c>
      <c r="I2406" s="7">
        <v>1</v>
      </c>
      <c r="J2406" s="7" t="s">
        <v>7860</v>
      </c>
      <c r="K2406" s="9" t="s">
        <v>8987</v>
      </c>
    </row>
    <row r="2407" spans="1:11">
      <c r="A2407" s="7">
        <v>2405</v>
      </c>
      <c r="B2407" s="7" t="s">
        <v>9174</v>
      </c>
      <c r="C2407" s="7" t="s">
        <v>8984</v>
      </c>
      <c r="D2407" s="7" t="s">
        <v>7556</v>
      </c>
      <c r="E2407" s="7" t="s">
        <v>12069</v>
      </c>
      <c r="F2407" s="8" t="s">
        <v>9782</v>
      </c>
      <c r="G2407" s="7">
        <v>300</v>
      </c>
      <c r="H2407" s="7" t="s">
        <v>9585</v>
      </c>
      <c r="I2407" s="7">
        <v>1</v>
      </c>
      <c r="J2407" s="7" t="s">
        <v>7886</v>
      </c>
      <c r="K2407" s="9" t="s">
        <v>8987</v>
      </c>
    </row>
    <row r="2408" spans="1:11">
      <c r="A2408" s="7">
        <v>2406</v>
      </c>
      <c r="B2408" s="7" t="s">
        <v>9174</v>
      </c>
      <c r="C2408" s="7" t="s">
        <v>8984</v>
      </c>
      <c r="D2408" s="7" t="s">
        <v>7556</v>
      </c>
      <c r="E2408" s="7" t="s">
        <v>12070</v>
      </c>
      <c r="F2408" s="8" t="s">
        <v>12071</v>
      </c>
      <c r="G2408" s="7">
        <v>50</v>
      </c>
      <c r="H2408" s="7" t="s">
        <v>9021</v>
      </c>
      <c r="I2408" s="7">
        <v>1</v>
      </c>
      <c r="J2408" s="7" t="s">
        <v>7881</v>
      </c>
      <c r="K2408" s="9" t="s">
        <v>8987</v>
      </c>
    </row>
    <row r="2409" spans="1:11">
      <c r="A2409" s="7">
        <v>2407</v>
      </c>
      <c r="B2409" s="7" t="s">
        <v>9174</v>
      </c>
      <c r="C2409" s="7" t="s">
        <v>8984</v>
      </c>
      <c r="D2409" s="7" t="s">
        <v>7556</v>
      </c>
      <c r="E2409" s="7" t="s">
        <v>12072</v>
      </c>
      <c r="F2409" s="8" t="s">
        <v>12071</v>
      </c>
      <c r="G2409" s="7">
        <v>25</v>
      </c>
      <c r="H2409" s="7" t="s">
        <v>9011</v>
      </c>
      <c r="I2409" s="7">
        <v>1</v>
      </c>
      <c r="J2409" s="7" t="s">
        <v>7840</v>
      </c>
      <c r="K2409" s="9" t="s">
        <v>8987</v>
      </c>
    </row>
    <row r="2410" spans="1:11">
      <c r="A2410" s="7">
        <v>2408</v>
      </c>
      <c r="B2410" s="7" t="s">
        <v>9174</v>
      </c>
      <c r="C2410" s="7" t="s">
        <v>8984</v>
      </c>
      <c r="D2410" s="7" t="s">
        <v>7556</v>
      </c>
      <c r="E2410" s="7" t="s">
        <v>12073</v>
      </c>
      <c r="F2410" s="8" t="s">
        <v>12071</v>
      </c>
      <c r="G2410" s="7">
        <v>50</v>
      </c>
      <c r="H2410" s="7" t="s">
        <v>9021</v>
      </c>
      <c r="I2410" s="7">
        <v>1</v>
      </c>
      <c r="J2410" s="7" t="s">
        <v>7881</v>
      </c>
      <c r="K2410" s="9" t="s">
        <v>8987</v>
      </c>
    </row>
    <row r="2411" spans="1:11">
      <c r="A2411" s="7">
        <v>2409</v>
      </c>
      <c r="B2411" s="7" t="s">
        <v>9719</v>
      </c>
      <c r="C2411" s="7" t="s">
        <v>11152</v>
      </c>
      <c r="D2411" s="7" t="s">
        <v>7556</v>
      </c>
      <c r="E2411" s="7" t="s">
        <v>12074</v>
      </c>
      <c r="F2411" s="8" t="s">
        <v>12071</v>
      </c>
      <c r="G2411" s="7">
        <v>25</v>
      </c>
      <c r="H2411" s="7" t="s">
        <v>9011</v>
      </c>
      <c r="I2411" s="7">
        <v>1</v>
      </c>
      <c r="J2411" s="7" t="s">
        <v>7840</v>
      </c>
      <c r="K2411" s="9" t="s">
        <v>8987</v>
      </c>
    </row>
    <row r="2412" spans="1:11">
      <c r="A2412" s="7">
        <v>2410</v>
      </c>
      <c r="B2412" s="7" t="s">
        <v>9174</v>
      </c>
      <c r="C2412" s="7" t="s">
        <v>11152</v>
      </c>
      <c r="D2412" s="10" t="s">
        <v>7556</v>
      </c>
      <c r="E2412" s="7" t="s">
        <v>12075</v>
      </c>
      <c r="F2412" s="8" t="s">
        <v>12076</v>
      </c>
      <c r="G2412" s="7">
        <v>90</v>
      </c>
      <c r="H2412" s="7" t="s">
        <v>9642</v>
      </c>
      <c r="I2412" s="7">
        <v>1</v>
      </c>
      <c r="J2412" s="7" t="s">
        <v>7869</v>
      </c>
      <c r="K2412" s="9" t="s">
        <v>8987</v>
      </c>
    </row>
    <row r="2413" spans="1:11">
      <c r="A2413" s="7">
        <v>2411</v>
      </c>
      <c r="B2413" s="7" t="s">
        <v>9174</v>
      </c>
      <c r="C2413" s="7" t="s">
        <v>8984</v>
      </c>
      <c r="D2413" s="7" t="s">
        <v>7548</v>
      </c>
      <c r="E2413" s="7" t="s">
        <v>12077</v>
      </c>
      <c r="F2413" s="8" t="s">
        <v>12078</v>
      </c>
      <c r="G2413" s="7">
        <v>9</v>
      </c>
      <c r="H2413" s="7" t="s">
        <v>9030</v>
      </c>
      <c r="I2413" s="7">
        <v>1</v>
      </c>
      <c r="J2413" s="7" t="s">
        <v>7766</v>
      </c>
      <c r="K2413" s="9" t="s">
        <v>8987</v>
      </c>
    </row>
    <row r="2414" spans="1:11">
      <c r="A2414" s="7">
        <v>2412</v>
      </c>
      <c r="B2414" s="7" t="s">
        <v>9174</v>
      </c>
      <c r="C2414" s="7" t="s">
        <v>8984</v>
      </c>
      <c r="D2414" s="7" t="s">
        <v>7548</v>
      </c>
      <c r="E2414" s="7" t="s">
        <v>12079</v>
      </c>
      <c r="F2414" s="8" t="s">
        <v>12078</v>
      </c>
      <c r="G2414" s="7">
        <v>17</v>
      </c>
      <c r="H2414" s="7" t="s">
        <v>9146</v>
      </c>
      <c r="I2414" s="7">
        <v>1</v>
      </c>
      <c r="J2414" s="7" t="s">
        <v>7850</v>
      </c>
      <c r="K2414" s="9" t="s">
        <v>8987</v>
      </c>
    </row>
    <row r="2415" spans="1:11">
      <c r="A2415" s="7">
        <v>2413</v>
      </c>
      <c r="B2415" s="7" t="s">
        <v>9174</v>
      </c>
      <c r="C2415" s="7" t="s">
        <v>8984</v>
      </c>
      <c r="D2415" s="7" t="s">
        <v>7548</v>
      </c>
      <c r="E2415" s="7" t="s">
        <v>12080</v>
      </c>
      <c r="F2415" s="8" t="s">
        <v>12078</v>
      </c>
      <c r="G2415" s="7">
        <v>9</v>
      </c>
      <c r="H2415" s="7" t="s">
        <v>9030</v>
      </c>
      <c r="I2415" s="7">
        <v>1</v>
      </c>
      <c r="J2415" s="7" t="s">
        <v>7766</v>
      </c>
      <c r="K2415" s="9" t="s">
        <v>8987</v>
      </c>
    </row>
    <row r="2416" spans="1:11">
      <c r="A2416" s="7">
        <v>2414</v>
      </c>
      <c r="B2416" s="7" t="s">
        <v>9174</v>
      </c>
      <c r="C2416" s="7" t="s">
        <v>8984</v>
      </c>
      <c r="D2416" s="7" t="s">
        <v>7548</v>
      </c>
      <c r="E2416" s="7" t="s">
        <v>12081</v>
      </c>
      <c r="F2416" s="8" t="s">
        <v>12078</v>
      </c>
      <c r="G2416" s="7">
        <v>17</v>
      </c>
      <c r="H2416" s="7" t="s">
        <v>9146</v>
      </c>
      <c r="I2416" s="7">
        <v>1</v>
      </c>
      <c r="J2416" s="7" t="s">
        <v>7850</v>
      </c>
      <c r="K2416" s="9" t="s">
        <v>8987</v>
      </c>
    </row>
    <row r="2417" spans="1:11">
      <c r="A2417" s="7">
        <v>2415</v>
      </c>
      <c r="B2417" s="7" t="s">
        <v>9174</v>
      </c>
      <c r="C2417" s="7" t="s">
        <v>11152</v>
      </c>
      <c r="D2417" s="7" t="s">
        <v>7548</v>
      </c>
      <c r="E2417" s="7" t="s">
        <v>12082</v>
      </c>
      <c r="F2417" s="8" t="s">
        <v>12078</v>
      </c>
      <c r="G2417" s="7">
        <v>9</v>
      </c>
      <c r="H2417" s="7" t="s">
        <v>9030</v>
      </c>
      <c r="I2417" s="7">
        <v>1</v>
      </c>
      <c r="J2417" s="7" t="s">
        <v>7766</v>
      </c>
      <c r="K2417" s="9" t="s">
        <v>8987</v>
      </c>
    </row>
    <row r="2418" spans="1:11">
      <c r="A2418" s="7">
        <v>2416</v>
      </c>
      <c r="B2418" s="7" t="s">
        <v>9174</v>
      </c>
      <c r="C2418" s="7" t="s">
        <v>8984</v>
      </c>
      <c r="D2418" s="7" t="s">
        <v>7548</v>
      </c>
      <c r="E2418" s="7" t="s">
        <v>12083</v>
      </c>
      <c r="F2418" s="8" t="s">
        <v>10731</v>
      </c>
      <c r="G2418" s="7">
        <v>4</v>
      </c>
      <c r="H2418" s="7" t="s">
        <v>9579</v>
      </c>
      <c r="I2418" s="7">
        <v>1</v>
      </c>
      <c r="J2418" s="7" t="s">
        <v>7617</v>
      </c>
      <c r="K2418" s="9" t="s">
        <v>8987</v>
      </c>
    </row>
    <row r="2419" spans="1:11">
      <c r="A2419" s="7">
        <v>2417</v>
      </c>
      <c r="B2419" s="7" t="s">
        <v>9174</v>
      </c>
      <c r="C2419" s="7" t="s">
        <v>8984</v>
      </c>
      <c r="D2419" s="7" t="s">
        <v>7548</v>
      </c>
      <c r="E2419" s="7" t="s">
        <v>12084</v>
      </c>
      <c r="F2419" s="8" t="s">
        <v>10731</v>
      </c>
      <c r="G2419" s="7">
        <v>2</v>
      </c>
      <c r="H2419" s="7" t="s">
        <v>10476</v>
      </c>
      <c r="I2419" s="7">
        <v>1</v>
      </c>
      <c r="J2419" s="7" t="s">
        <v>7861</v>
      </c>
      <c r="K2419" s="9" t="s">
        <v>8987</v>
      </c>
    </row>
    <row r="2420" spans="1:11">
      <c r="A2420" s="7">
        <v>2418</v>
      </c>
      <c r="B2420" s="7" t="s">
        <v>9174</v>
      </c>
      <c r="C2420" s="7" t="s">
        <v>8984</v>
      </c>
      <c r="D2420" s="7" t="s">
        <v>7548</v>
      </c>
      <c r="E2420" s="7" t="s">
        <v>12085</v>
      </c>
      <c r="F2420" s="8" t="s">
        <v>10731</v>
      </c>
      <c r="G2420" s="7">
        <v>2</v>
      </c>
      <c r="H2420" s="7" t="s">
        <v>10476</v>
      </c>
      <c r="I2420" s="7">
        <v>1</v>
      </c>
      <c r="J2420" s="7" t="s">
        <v>7861</v>
      </c>
      <c r="K2420" s="9" t="s">
        <v>8987</v>
      </c>
    </row>
    <row r="2421" spans="1:11">
      <c r="A2421" s="7">
        <v>2419</v>
      </c>
      <c r="B2421" s="7" t="s">
        <v>9174</v>
      </c>
      <c r="C2421" s="7" t="s">
        <v>8984</v>
      </c>
      <c r="D2421" s="7" t="s">
        <v>7548</v>
      </c>
      <c r="E2421" s="7" t="s">
        <v>12086</v>
      </c>
      <c r="F2421" s="8" t="s">
        <v>10731</v>
      </c>
      <c r="G2421" s="7">
        <v>3</v>
      </c>
      <c r="H2421" s="7" t="s">
        <v>9187</v>
      </c>
      <c r="I2421" s="7">
        <v>1</v>
      </c>
      <c r="J2421" s="7" t="s">
        <v>7872</v>
      </c>
      <c r="K2421" s="9" t="s">
        <v>8987</v>
      </c>
    </row>
    <row r="2422" spans="1:11">
      <c r="A2422" s="7">
        <v>2420</v>
      </c>
      <c r="B2422" s="7" t="s">
        <v>9174</v>
      </c>
      <c r="C2422" s="7" t="s">
        <v>11152</v>
      </c>
      <c r="D2422" s="7" t="s">
        <v>7548</v>
      </c>
      <c r="E2422" s="7" t="s">
        <v>12087</v>
      </c>
      <c r="F2422" s="8" t="s">
        <v>10731</v>
      </c>
      <c r="G2422" s="7">
        <v>3</v>
      </c>
      <c r="H2422" s="7" t="s">
        <v>9187</v>
      </c>
      <c r="I2422" s="7">
        <v>1</v>
      </c>
      <c r="J2422" s="7" t="s">
        <v>7872</v>
      </c>
      <c r="K2422" s="9" t="s">
        <v>8987</v>
      </c>
    </row>
    <row r="2423" spans="1:11">
      <c r="A2423" s="7">
        <v>2421</v>
      </c>
      <c r="B2423" s="7" t="s">
        <v>9174</v>
      </c>
      <c r="C2423" s="7" t="s">
        <v>8984</v>
      </c>
      <c r="D2423" s="7" t="s">
        <v>7548</v>
      </c>
      <c r="E2423" s="7" t="s">
        <v>12088</v>
      </c>
      <c r="F2423" s="8" t="s">
        <v>10729</v>
      </c>
      <c r="G2423" s="7">
        <v>4</v>
      </c>
      <c r="H2423" s="7" t="s">
        <v>9579</v>
      </c>
      <c r="I2423" s="7">
        <v>1</v>
      </c>
      <c r="J2423" s="7" t="s">
        <v>7617</v>
      </c>
      <c r="K2423" s="9" t="s">
        <v>8987</v>
      </c>
    </row>
    <row r="2424" spans="1:11">
      <c r="A2424" s="7">
        <v>2422</v>
      </c>
      <c r="B2424" s="7" t="s">
        <v>9174</v>
      </c>
      <c r="C2424" s="7" t="s">
        <v>8984</v>
      </c>
      <c r="D2424" s="7" t="s">
        <v>7548</v>
      </c>
      <c r="E2424" s="7" t="s">
        <v>12089</v>
      </c>
      <c r="F2424" s="8" t="s">
        <v>10729</v>
      </c>
      <c r="G2424" s="7">
        <v>2</v>
      </c>
      <c r="H2424" s="7" t="s">
        <v>10476</v>
      </c>
      <c r="I2424" s="7">
        <v>1</v>
      </c>
      <c r="J2424" s="7" t="s">
        <v>7861</v>
      </c>
      <c r="K2424" s="9" t="s">
        <v>8987</v>
      </c>
    </row>
    <row r="2425" spans="1:11">
      <c r="A2425" s="7">
        <v>2423</v>
      </c>
      <c r="B2425" s="7" t="s">
        <v>9174</v>
      </c>
      <c r="C2425" s="7" t="s">
        <v>8984</v>
      </c>
      <c r="D2425" s="7" t="s">
        <v>7548</v>
      </c>
      <c r="E2425" s="7" t="s">
        <v>12090</v>
      </c>
      <c r="F2425" s="8" t="s">
        <v>10729</v>
      </c>
      <c r="G2425" s="7">
        <v>2</v>
      </c>
      <c r="H2425" s="7" t="s">
        <v>10476</v>
      </c>
      <c r="I2425" s="7">
        <v>1</v>
      </c>
      <c r="J2425" s="7" t="s">
        <v>7861</v>
      </c>
      <c r="K2425" s="9" t="s">
        <v>8987</v>
      </c>
    </row>
    <row r="2426" spans="1:11">
      <c r="A2426" s="7">
        <v>2424</v>
      </c>
      <c r="B2426" s="7" t="s">
        <v>9174</v>
      </c>
      <c r="C2426" s="7" t="s">
        <v>8984</v>
      </c>
      <c r="D2426" s="7" t="s">
        <v>7548</v>
      </c>
      <c r="E2426" s="7" t="s">
        <v>12091</v>
      </c>
      <c r="F2426" s="8" t="s">
        <v>10729</v>
      </c>
      <c r="G2426" s="7">
        <v>3</v>
      </c>
      <c r="H2426" s="7" t="s">
        <v>9187</v>
      </c>
      <c r="I2426" s="7">
        <v>1</v>
      </c>
      <c r="J2426" s="7" t="s">
        <v>7872</v>
      </c>
      <c r="K2426" s="9" t="s">
        <v>8987</v>
      </c>
    </row>
    <row r="2427" spans="1:11">
      <c r="A2427" s="7">
        <v>2425</v>
      </c>
      <c r="B2427" s="7" t="s">
        <v>9174</v>
      </c>
      <c r="C2427" s="7" t="s">
        <v>11152</v>
      </c>
      <c r="D2427" s="7" t="s">
        <v>7548</v>
      </c>
      <c r="E2427" s="7" t="s">
        <v>12092</v>
      </c>
      <c r="F2427" s="8" t="s">
        <v>10729</v>
      </c>
      <c r="G2427" s="7">
        <v>3</v>
      </c>
      <c r="H2427" s="7" t="s">
        <v>9187</v>
      </c>
      <c r="I2427" s="7">
        <v>1</v>
      </c>
      <c r="J2427" s="7" t="s">
        <v>7872</v>
      </c>
      <c r="K2427" s="9" t="s">
        <v>8987</v>
      </c>
    </row>
    <row r="2428" spans="1:11">
      <c r="A2428" s="7">
        <v>2426</v>
      </c>
      <c r="B2428" s="7" t="s">
        <v>9174</v>
      </c>
      <c r="C2428" s="7" t="s">
        <v>8984</v>
      </c>
      <c r="D2428" s="7" t="s">
        <v>7548</v>
      </c>
      <c r="E2428" s="7" t="s">
        <v>12093</v>
      </c>
      <c r="F2428" s="8" t="s">
        <v>10727</v>
      </c>
      <c r="G2428" s="7">
        <v>4</v>
      </c>
      <c r="H2428" s="7" t="s">
        <v>9579</v>
      </c>
      <c r="I2428" s="7">
        <v>1</v>
      </c>
      <c r="J2428" s="7" t="s">
        <v>7617</v>
      </c>
      <c r="K2428" s="9" t="s">
        <v>8987</v>
      </c>
    </row>
    <row r="2429" spans="1:11">
      <c r="A2429" s="7">
        <v>2427</v>
      </c>
      <c r="B2429" s="7" t="s">
        <v>9174</v>
      </c>
      <c r="C2429" s="7" t="s">
        <v>8984</v>
      </c>
      <c r="D2429" s="7" t="s">
        <v>7548</v>
      </c>
      <c r="E2429" s="7" t="s">
        <v>12094</v>
      </c>
      <c r="F2429" s="8" t="s">
        <v>10727</v>
      </c>
      <c r="G2429" s="7">
        <v>2</v>
      </c>
      <c r="H2429" s="7" t="s">
        <v>10476</v>
      </c>
      <c r="I2429" s="7">
        <v>1</v>
      </c>
      <c r="J2429" s="7" t="s">
        <v>7861</v>
      </c>
      <c r="K2429" s="9" t="s">
        <v>8987</v>
      </c>
    </row>
    <row r="2430" spans="1:11">
      <c r="A2430" s="7">
        <v>2428</v>
      </c>
      <c r="B2430" s="7" t="s">
        <v>9174</v>
      </c>
      <c r="C2430" s="7" t="s">
        <v>8984</v>
      </c>
      <c r="D2430" s="7" t="s">
        <v>7548</v>
      </c>
      <c r="E2430" s="7" t="s">
        <v>12095</v>
      </c>
      <c r="F2430" s="8" t="s">
        <v>10727</v>
      </c>
      <c r="G2430" s="7">
        <v>2</v>
      </c>
      <c r="H2430" s="7" t="s">
        <v>10476</v>
      </c>
      <c r="I2430" s="7">
        <v>1</v>
      </c>
      <c r="J2430" s="7" t="s">
        <v>7861</v>
      </c>
      <c r="K2430" s="9" t="s">
        <v>8987</v>
      </c>
    </row>
    <row r="2431" spans="1:11">
      <c r="A2431" s="7">
        <v>2429</v>
      </c>
      <c r="B2431" s="7" t="s">
        <v>9174</v>
      </c>
      <c r="C2431" s="7" t="s">
        <v>8984</v>
      </c>
      <c r="D2431" s="7" t="s">
        <v>7548</v>
      </c>
      <c r="E2431" s="7" t="s">
        <v>12096</v>
      </c>
      <c r="F2431" s="8" t="s">
        <v>10727</v>
      </c>
      <c r="G2431" s="7">
        <v>3</v>
      </c>
      <c r="H2431" s="7" t="s">
        <v>9187</v>
      </c>
      <c r="I2431" s="7">
        <v>1</v>
      </c>
      <c r="J2431" s="7" t="s">
        <v>7872</v>
      </c>
      <c r="K2431" s="9" t="s">
        <v>8987</v>
      </c>
    </row>
    <row r="2432" spans="1:11">
      <c r="A2432" s="7">
        <v>2430</v>
      </c>
      <c r="B2432" s="7" t="s">
        <v>9174</v>
      </c>
      <c r="C2432" s="7" t="s">
        <v>11152</v>
      </c>
      <c r="D2432" s="7" t="s">
        <v>7548</v>
      </c>
      <c r="E2432" s="7" t="s">
        <v>12097</v>
      </c>
      <c r="F2432" s="8" t="s">
        <v>10727</v>
      </c>
      <c r="G2432" s="7">
        <v>3</v>
      </c>
      <c r="H2432" s="7" t="s">
        <v>9187</v>
      </c>
      <c r="I2432" s="7">
        <v>1</v>
      </c>
      <c r="J2432" s="7" t="s">
        <v>7872</v>
      </c>
      <c r="K2432" s="9" t="s">
        <v>8987</v>
      </c>
    </row>
    <row r="2433" spans="1:11">
      <c r="A2433" s="7">
        <v>2431</v>
      </c>
      <c r="B2433" s="7" t="s">
        <v>9174</v>
      </c>
      <c r="C2433" s="7" t="s">
        <v>8984</v>
      </c>
      <c r="D2433" s="7" t="s">
        <v>7548</v>
      </c>
      <c r="E2433" s="7" t="s">
        <v>12098</v>
      </c>
      <c r="F2433" s="8" t="s">
        <v>10733</v>
      </c>
      <c r="G2433" s="7">
        <v>4</v>
      </c>
      <c r="H2433" s="7" t="s">
        <v>9579</v>
      </c>
      <c r="I2433" s="7">
        <v>1</v>
      </c>
      <c r="J2433" s="7" t="s">
        <v>7617</v>
      </c>
      <c r="K2433" s="9" t="s">
        <v>8987</v>
      </c>
    </row>
    <row r="2434" spans="1:11">
      <c r="A2434" s="7">
        <v>2432</v>
      </c>
      <c r="B2434" s="7" t="s">
        <v>9174</v>
      </c>
      <c r="C2434" s="7" t="s">
        <v>8984</v>
      </c>
      <c r="D2434" s="7" t="s">
        <v>7548</v>
      </c>
      <c r="E2434" s="7" t="s">
        <v>12099</v>
      </c>
      <c r="F2434" s="8" t="s">
        <v>10733</v>
      </c>
      <c r="G2434" s="7">
        <v>2</v>
      </c>
      <c r="H2434" s="7" t="s">
        <v>10476</v>
      </c>
      <c r="I2434" s="7">
        <v>1</v>
      </c>
      <c r="J2434" s="7" t="s">
        <v>7861</v>
      </c>
      <c r="K2434" s="9" t="s">
        <v>8987</v>
      </c>
    </row>
    <row r="2435" spans="1:11">
      <c r="A2435" s="7">
        <v>2433</v>
      </c>
      <c r="B2435" s="7" t="s">
        <v>9174</v>
      </c>
      <c r="C2435" s="7" t="s">
        <v>8984</v>
      </c>
      <c r="D2435" s="7" t="s">
        <v>7548</v>
      </c>
      <c r="E2435" s="7" t="s">
        <v>12100</v>
      </c>
      <c r="F2435" s="8" t="s">
        <v>10733</v>
      </c>
      <c r="G2435" s="7">
        <v>2</v>
      </c>
      <c r="H2435" s="7" t="s">
        <v>10476</v>
      </c>
      <c r="I2435" s="7">
        <v>1</v>
      </c>
      <c r="J2435" s="7" t="s">
        <v>7861</v>
      </c>
      <c r="K2435" s="9" t="s">
        <v>8987</v>
      </c>
    </row>
    <row r="2436" spans="1:11">
      <c r="A2436" s="7">
        <v>2434</v>
      </c>
      <c r="B2436" s="7" t="s">
        <v>9174</v>
      </c>
      <c r="C2436" s="7" t="s">
        <v>8984</v>
      </c>
      <c r="D2436" s="7" t="s">
        <v>7548</v>
      </c>
      <c r="E2436" s="7" t="s">
        <v>12101</v>
      </c>
      <c r="F2436" s="8" t="s">
        <v>10733</v>
      </c>
      <c r="G2436" s="7">
        <v>3</v>
      </c>
      <c r="H2436" s="7" t="s">
        <v>9187</v>
      </c>
      <c r="I2436" s="7">
        <v>1</v>
      </c>
      <c r="J2436" s="7" t="s">
        <v>7872</v>
      </c>
      <c r="K2436" s="9" t="s">
        <v>8987</v>
      </c>
    </row>
    <row r="2437" spans="1:11">
      <c r="A2437" s="7">
        <v>2435</v>
      </c>
      <c r="B2437" s="7" t="s">
        <v>9174</v>
      </c>
      <c r="C2437" s="7" t="s">
        <v>11152</v>
      </c>
      <c r="D2437" s="7" t="s">
        <v>7548</v>
      </c>
      <c r="E2437" s="7" t="s">
        <v>12102</v>
      </c>
      <c r="F2437" s="8" t="s">
        <v>10733</v>
      </c>
      <c r="G2437" s="7">
        <v>3</v>
      </c>
      <c r="H2437" s="7" t="s">
        <v>9187</v>
      </c>
      <c r="I2437" s="7">
        <v>1</v>
      </c>
      <c r="J2437" s="7" t="s">
        <v>7872</v>
      </c>
      <c r="K2437" s="9" t="s">
        <v>8987</v>
      </c>
    </row>
    <row r="2438" spans="1:11">
      <c r="A2438" s="7">
        <v>2436</v>
      </c>
      <c r="B2438" s="7" t="s">
        <v>9174</v>
      </c>
      <c r="C2438" s="7" t="s">
        <v>8984</v>
      </c>
      <c r="D2438" s="7" t="s">
        <v>7548</v>
      </c>
      <c r="E2438" s="7" t="s">
        <v>12103</v>
      </c>
      <c r="F2438" s="8" t="s">
        <v>10234</v>
      </c>
      <c r="G2438" s="7">
        <v>4</v>
      </c>
      <c r="H2438" s="7" t="s">
        <v>9579</v>
      </c>
      <c r="I2438" s="7">
        <v>1</v>
      </c>
      <c r="J2438" s="7" t="s">
        <v>7617</v>
      </c>
      <c r="K2438" s="9" t="s">
        <v>8987</v>
      </c>
    </row>
    <row r="2439" spans="1:11">
      <c r="A2439" s="7">
        <v>2437</v>
      </c>
      <c r="B2439" s="7" t="s">
        <v>9174</v>
      </c>
      <c r="C2439" s="7" t="s">
        <v>8984</v>
      </c>
      <c r="D2439" s="7" t="s">
        <v>7548</v>
      </c>
      <c r="E2439" s="7" t="s">
        <v>12104</v>
      </c>
      <c r="F2439" s="8" t="s">
        <v>10234</v>
      </c>
      <c r="G2439" s="7">
        <v>2</v>
      </c>
      <c r="H2439" s="7" t="s">
        <v>10476</v>
      </c>
      <c r="I2439" s="7">
        <v>1</v>
      </c>
      <c r="J2439" s="7" t="s">
        <v>7861</v>
      </c>
      <c r="K2439" s="9" t="s">
        <v>8987</v>
      </c>
    </row>
    <row r="2440" spans="1:11">
      <c r="A2440" s="7">
        <v>2438</v>
      </c>
      <c r="B2440" s="7" t="s">
        <v>9174</v>
      </c>
      <c r="C2440" s="7" t="s">
        <v>8984</v>
      </c>
      <c r="D2440" s="7" t="s">
        <v>7548</v>
      </c>
      <c r="E2440" s="7" t="s">
        <v>12105</v>
      </c>
      <c r="F2440" s="8" t="s">
        <v>10234</v>
      </c>
      <c r="G2440" s="7">
        <v>2</v>
      </c>
      <c r="H2440" s="7" t="s">
        <v>10476</v>
      </c>
      <c r="I2440" s="7">
        <v>1</v>
      </c>
      <c r="J2440" s="7" t="s">
        <v>7861</v>
      </c>
      <c r="K2440" s="9" t="s">
        <v>8987</v>
      </c>
    </row>
    <row r="2441" spans="1:11">
      <c r="A2441" s="7">
        <v>2439</v>
      </c>
      <c r="B2441" s="7" t="s">
        <v>9174</v>
      </c>
      <c r="C2441" s="7" t="s">
        <v>8984</v>
      </c>
      <c r="D2441" s="7" t="s">
        <v>7548</v>
      </c>
      <c r="E2441" s="7" t="s">
        <v>12106</v>
      </c>
      <c r="F2441" s="8" t="s">
        <v>10234</v>
      </c>
      <c r="G2441" s="7">
        <v>3</v>
      </c>
      <c r="H2441" s="7" t="s">
        <v>9187</v>
      </c>
      <c r="I2441" s="7">
        <v>1</v>
      </c>
      <c r="J2441" s="7" t="s">
        <v>7872</v>
      </c>
      <c r="K2441" s="9" t="s">
        <v>8987</v>
      </c>
    </row>
    <row r="2442" spans="1:11">
      <c r="A2442" s="7">
        <v>2440</v>
      </c>
      <c r="B2442" s="7" t="s">
        <v>9174</v>
      </c>
      <c r="C2442" s="7" t="s">
        <v>11152</v>
      </c>
      <c r="D2442" s="7" t="s">
        <v>7548</v>
      </c>
      <c r="E2442" s="7" t="s">
        <v>12107</v>
      </c>
      <c r="F2442" s="8" t="s">
        <v>10234</v>
      </c>
      <c r="G2442" s="7">
        <v>3</v>
      </c>
      <c r="H2442" s="7" t="s">
        <v>9187</v>
      </c>
      <c r="I2442" s="7">
        <v>1</v>
      </c>
      <c r="J2442" s="7" t="s">
        <v>7872</v>
      </c>
      <c r="K2442" s="9" t="s">
        <v>8987</v>
      </c>
    </row>
    <row r="2443" spans="1:11">
      <c r="A2443" s="7">
        <v>2441</v>
      </c>
      <c r="B2443" s="7" t="s">
        <v>9174</v>
      </c>
      <c r="C2443" s="7" t="s">
        <v>8984</v>
      </c>
      <c r="D2443" s="7" t="s">
        <v>7548</v>
      </c>
      <c r="E2443" s="7" t="s">
        <v>12108</v>
      </c>
      <c r="F2443" s="8" t="s">
        <v>10234</v>
      </c>
      <c r="G2443" s="7">
        <v>4</v>
      </c>
      <c r="H2443" s="7" t="s">
        <v>9579</v>
      </c>
      <c r="I2443" s="7">
        <v>1</v>
      </c>
      <c r="J2443" s="7" t="s">
        <v>7617</v>
      </c>
      <c r="K2443" s="9" t="s">
        <v>8987</v>
      </c>
    </row>
    <row r="2444" spans="1:11">
      <c r="A2444" s="7">
        <v>2442</v>
      </c>
      <c r="B2444" s="7" t="s">
        <v>9174</v>
      </c>
      <c r="C2444" s="7" t="s">
        <v>8984</v>
      </c>
      <c r="D2444" s="7" t="s">
        <v>7548</v>
      </c>
      <c r="E2444" s="7" t="s">
        <v>12109</v>
      </c>
      <c r="F2444" s="8" t="s">
        <v>10234</v>
      </c>
      <c r="G2444" s="7">
        <v>2</v>
      </c>
      <c r="H2444" s="7" t="s">
        <v>10476</v>
      </c>
      <c r="I2444" s="7">
        <v>1</v>
      </c>
      <c r="J2444" s="7" t="s">
        <v>7861</v>
      </c>
      <c r="K2444" s="9" t="s">
        <v>8987</v>
      </c>
    </row>
    <row r="2445" spans="1:11">
      <c r="A2445" s="7">
        <v>2443</v>
      </c>
      <c r="B2445" s="7" t="s">
        <v>9174</v>
      </c>
      <c r="C2445" s="7" t="s">
        <v>8984</v>
      </c>
      <c r="D2445" s="7" t="s">
        <v>7548</v>
      </c>
      <c r="E2445" s="7" t="s">
        <v>12110</v>
      </c>
      <c r="F2445" s="8" t="s">
        <v>10234</v>
      </c>
      <c r="G2445" s="7">
        <v>2</v>
      </c>
      <c r="H2445" s="7" t="s">
        <v>10476</v>
      </c>
      <c r="I2445" s="7">
        <v>1</v>
      </c>
      <c r="J2445" s="7" t="s">
        <v>7861</v>
      </c>
      <c r="K2445" s="9" t="s">
        <v>8987</v>
      </c>
    </row>
    <row r="2446" spans="1:11">
      <c r="A2446" s="7">
        <v>2444</v>
      </c>
      <c r="B2446" s="7" t="s">
        <v>9174</v>
      </c>
      <c r="C2446" s="7" t="s">
        <v>8984</v>
      </c>
      <c r="D2446" s="7" t="s">
        <v>7548</v>
      </c>
      <c r="E2446" s="7" t="s">
        <v>12111</v>
      </c>
      <c r="F2446" s="8" t="s">
        <v>10234</v>
      </c>
      <c r="G2446" s="7">
        <v>3</v>
      </c>
      <c r="H2446" s="7" t="s">
        <v>9187</v>
      </c>
      <c r="I2446" s="7">
        <v>1</v>
      </c>
      <c r="J2446" s="7" t="s">
        <v>7872</v>
      </c>
      <c r="K2446" s="9" t="s">
        <v>8987</v>
      </c>
    </row>
    <row r="2447" spans="1:11">
      <c r="A2447" s="7">
        <v>2445</v>
      </c>
      <c r="B2447" s="7" t="s">
        <v>9174</v>
      </c>
      <c r="C2447" s="7" t="s">
        <v>11152</v>
      </c>
      <c r="D2447" s="7" t="s">
        <v>7548</v>
      </c>
      <c r="E2447" s="7" t="s">
        <v>12112</v>
      </c>
      <c r="F2447" s="8" t="s">
        <v>10234</v>
      </c>
      <c r="G2447" s="7">
        <v>3</v>
      </c>
      <c r="H2447" s="7" t="s">
        <v>9187</v>
      </c>
      <c r="I2447" s="7">
        <v>1</v>
      </c>
      <c r="J2447" s="7" t="s">
        <v>7872</v>
      </c>
      <c r="K2447" s="9" t="s">
        <v>8987</v>
      </c>
    </row>
    <row r="2448" spans="1:11">
      <c r="A2448" s="7">
        <v>2446</v>
      </c>
      <c r="B2448" s="7" t="s">
        <v>9174</v>
      </c>
      <c r="C2448" s="7" t="s">
        <v>8984</v>
      </c>
      <c r="D2448" s="7" t="s">
        <v>7548</v>
      </c>
      <c r="E2448" s="7" t="s">
        <v>12113</v>
      </c>
      <c r="F2448" s="8" t="s">
        <v>10234</v>
      </c>
      <c r="G2448" s="7">
        <v>4</v>
      </c>
      <c r="H2448" s="7" t="s">
        <v>9579</v>
      </c>
      <c r="I2448" s="7">
        <v>1</v>
      </c>
      <c r="J2448" s="7" t="s">
        <v>7617</v>
      </c>
      <c r="K2448" s="9" t="s">
        <v>8987</v>
      </c>
    </row>
    <row r="2449" spans="1:11">
      <c r="A2449" s="7">
        <v>2447</v>
      </c>
      <c r="B2449" s="7" t="s">
        <v>9174</v>
      </c>
      <c r="C2449" s="7" t="s">
        <v>8984</v>
      </c>
      <c r="D2449" s="7" t="s">
        <v>7548</v>
      </c>
      <c r="E2449" s="7" t="s">
        <v>12114</v>
      </c>
      <c r="F2449" s="8" t="s">
        <v>10234</v>
      </c>
      <c r="G2449" s="7">
        <v>2</v>
      </c>
      <c r="H2449" s="7" t="s">
        <v>10476</v>
      </c>
      <c r="I2449" s="7">
        <v>1</v>
      </c>
      <c r="J2449" s="7" t="s">
        <v>7861</v>
      </c>
      <c r="K2449" s="9" t="s">
        <v>8987</v>
      </c>
    </row>
    <row r="2450" spans="1:11">
      <c r="A2450" s="7">
        <v>2448</v>
      </c>
      <c r="B2450" s="7" t="s">
        <v>9174</v>
      </c>
      <c r="C2450" s="7" t="s">
        <v>8984</v>
      </c>
      <c r="D2450" s="7" t="s">
        <v>7548</v>
      </c>
      <c r="E2450" s="7" t="s">
        <v>12115</v>
      </c>
      <c r="F2450" s="8" t="s">
        <v>10234</v>
      </c>
      <c r="G2450" s="7">
        <v>2</v>
      </c>
      <c r="H2450" s="7" t="s">
        <v>10476</v>
      </c>
      <c r="I2450" s="7">
        <v>1</v>
      </c>
      <c r="J2450" s="7" t="s">
        <v>7861</v>
      </c>
      <c r="K2450" s="9" t="s">
        <v>8987</v>
      </c>
    </row>
    <row r="2451" spans="1:11">
      <c r="A2451" s="7">
        <v>2449</v>
      </c>
      <c r="B2451" s="7" t="s">
        <v>9174</v>
      </c>
      <c r="C2451" s="7" t="s">
        <v>8984</v>
      </c>
      <c r="D2451" s="7" t="s">
        <v>7548</v>
      </c>
      <c r="E2451" s="7" t="s">
        <v>12116</v>
      </c>
      <c r="F2451" s="8" t="s">
        <v>10234</v>
      </c>
      <c r="G2451" s="7">
        <v>3</v>
      </c>
      <c r="H2451" s="7" t="s">
        <v>9187</v>
      </c>
      <c r="I2451" s="7">
        <v>1</v>
      </c>
      <c r="J2451" s="7" t="s">
        <v>7872</v>
      </c>
      <c r="K2451" s="9" t="s">
        <v>8987</v>
      </c>
    </row>
    <row r="2452" spans="1:11">
      <c r="A2452" s="7">
        <v>2450</v>
      </c>
      <c r="B2452" s="7" t="s">
        <v>9174</v>
      </c>
      <c r="C2452" s="7" t="s">
        <v>11152</v>
      </c>
      <c r="D2452" s="7" t="s">
        <v>7548</v>
      </c>
      <c r="E2452" s="7" t="s">
        <v>12117</v>
      </c>
      <c r="F2452" s="8" t="s">
        <v>10234</v>
      </c>
      <c r="G2452" s="7">
        <v>3</v>
      </c>
      <c r="H2452" s="7" t="s">
        <v>9187</v>
      </c>
      <c r="I2452" s="7">
        <v>1</v>
      </c>
      <c r="J2452" s="7" t="s">
        <v>7872</v>
      </c>
      <c r="K2452" s="9" t="s">
        <v>8987</v>
      </c>
    </row>
    <row r="2453" spans="1:11">
      <c r="A2453" s="7">
        <v>2451</v>
      </c>
      <c r="B2453" s="7" t="s">
        <v>9174</v>
      </c>
      <c r="C2453" s="7" t="s">
        <v>8984</v>
      </c>
      <c r="D2453" s="7" t="s">
        <v>7548</v>
      </c>
      <c r="E2453" s="7" t="s">
        <v>12118</v>
      </c>
      <c r="F2453" s="8" t="s">
        <v>10234</v>
      </c>
      <c r="G2453" s="7">
        <v>4</v>
      </c>
      <c r="H2453" s="7" t="s">
        <v>9579</v>
      </c>
      <c r="I2453" s="7">
        <v>1</v>
      </c>
      <c r="J2453" s="7" t="s">
        <v>7617</v>
      </c>
      <c r="K2453" s="9" t="s">
        <v>8987</v>
      </c>
    </row>
    <row r="2454" spans="1:11">
      <c r="A2454" s="7">
        <v>2452</v>
      </c>
      <c r="B2454" s="7" t="s">
        <v>9174</v>
      </c>
      <c r="C2454" s="7" t="s">
        <v>8984</v>
      </c>
      <c r="D2454" s="7" t="s">
        <v>7548</v>
      </c>
      <c r="E2454" s="7" t="s">
        <v>12119</v>
      </c>
      <c r="F2454" s="8" t="s">
        <v>10234</v>
      </c>
      <c r="G2454" s="7">
        <v>2</v>
      </c>
      <c r="H2454" s="7" t="s">
        <v>10476</v>
      </c>
      <c r="I2454" s="7">
        <v>1</v>
      </c>
      <c r="J2454" s="7" t="s">
        <v>7861</v>
      </c>
      <c r="K2454" s="9" t="s">
        <v>8987</v>
      </c>
    </row>
    <row r="2455" spans="1:11">
      <c r="A2455" s="7">
        <v>2453</v>
      </c>
      <c r="B2455" s="7" t="s">
        <v>9174</v>
      </c>
      <c r="C2455" s="7" t="s">
        <v>8984</v>
      </c>
      <c r="D2455" s="7" t="s">
        <v>7548</v>
      </c>
      <c r="E2455" s="7" t="s">
        <v>12120</v>
      </c>
      <c r="F2455" s="8" t="s">
        <v>10234</v>
      </c>
      <c r="G2455" s="7">
        <v>2</v>
      </c>
      <c r="H2455" s="7" t="s">
        <v>10476</v>
      </c>
      <c r="I2455" s="7">
        <v>1</v>
      </c>
      <c r="J2455" s="7" t="s">
        <v>7861</v>
      </c>
      <c r="K2455" s="9" t="s">
        <v>8987</v>
      </c>
    </row>
    <row r="2456" spans="1:11">
      <c r="A2456" s="7">
        <v>2454</v>
      </c>
      <c r="B2456" s="7" t="s">
        <v>9174</v>
      </c>
      <c r="C2456" s="7" t="s">
        <v>8984</v>
      </c>
      <c r="D2456" s="7" t="s">
        <v>7548</v>
      </c>
      <c r="E2456" s="7" t="s">
        <v>12121</v>
      </c>
      <c r="F2456" s="8" t="s">
        <v>10234</v>
      </c>
      <c r="G2456" s="7">
        <v>3</v>
      </c>
      <c r="H2456" s="7" t="s">
        <v>9187</v>
      </c>
      <c r="I2456" s="7">
        <v>1</v>
      </c>
      <c r="J2456" s="7" t="s">
        <v>7872</v>
      </c>
      <c r="K2456" s="9" t="s">
        <v>8987</v>
      </c>
    </row>
    <row r="2457" spans="1:11">
      <c r="A2457" s="7">
        <v>2455</v>
      </c>
      <c r="B2457" s="7" t="s">
        <v>9174</v>
      </c>
      <c r="C2457" s="7" t="s">
        <v>11152</v>
      </c>
      <c r="D2457" s="7" t="s">
        <v>7548</v>
      </c>
      <c r="E2457" s="7" t="s">
        <v>12122</v>
      </c>
      <c r="F2457" s="8" t="s">
        <v>10234</v>
      </c>
      <c r="G2457" s="7">
        <v>3</v>
      </c>
      <c r="H2457" s="7" t="s">
        <v>9187</v>
      </c>
      <c r="I2457" s="7">
        <v>1</v>
      </c>
      <c r="J2457" s="7" t="s">
        <v>7872</v>
      </c>
      <c r="K2457" s="9" t="s">
        <v>8987</v>
      </c>
    </row>
    <row r="2458" spans="1:11">
      <c r="A2458" s="7">
        <v>2456</v>
      </c>
      <c r="B2458" s="7" t="s">
        <v>9174</v>
      </c>
      <c r="C2458" s="7" t="s">
        <v>8984</v>
      </c>
      <c r="D2458" s="7" t="s">
        <v>7548</v>
      </c>
      <c r="E2458" s="7" t="s">
        <v>12123</v>
      </c>
      <c r="F2458" s="8" t="s">
        <v>10234</v>
      </c>
      <c r="G2458" s="7">
        <v>4</v>
      </c>
      <c r="H2458" s="7" t="s">
        <v>9579</v>
      </c>
      <c r="I2458" s="7">
        <v>1</v>
      </c>
      <c r="J2458" s="7" t="s">
        <v>7617</v>
      </c>
      <c r="K2458" s="9" t="s">
        <v>8987</v>
      </c>
    </row>
    <row r="2459" spans="1:11">
      <c r="A2459" s="7">
        <v>2457</v>
      </c>
      <c r="B2459" s="7" t="s">
        <v>9174</v>
      </c>
      <c r="C2459" s="7" t="s">
        <v>8984</v>
      </c>
      <c r="D2459" s="7" t="s">
        <v>7548</v>
      </c>
      <c r="E2459" s="7" t="s">
        <v>12124</v>
      </c>
      <c r="F2459" s="8" t="s">
        <v>10234</v>
      </c>
      <c r="G2459" s="7">
        <v>2</v>
      </c>
      <c r="H2459" s="7" t="s">
        <v>10476</v>
      </c>
      <c r="I2459" s="7">
        <v>1</v>
      </c>
      <c r="J2459" s="7" t="s">
        <v>7861</v>
      </c>
      <c r="K2459" s="9" t="s">
        <v>8987</v>
      </c>
    </row>
    <row r="2460" spans="1:11">
      <c r="A2460" s="7">
        <v>2458</v>
      </c>
      <c r="B2460" s="7" t="s">
        <v>9174</v>
      </c>
      <c r="C2460" s="7" t="s">
        <v>8984</v>
      </c>
      <c r="D2460" s="7" t="s">
        <v>7548</v>
      </c>
      <c r="E2460" s="7" t="s">
        <v>12125</v>
      </c>
      <c r="F2460" s="8" t="s">
        <v>10234</v>
      </c>
      <c r="G2460" s="7">
        <v>2</v>
      </c>
      <c r="H2460" s="7" t="s">
        <v>10476</v>
      </c>
      <c r="I2460" s="7">
        <v>1</v>
      </c>
      <c r="J2460" s="7" t="s">
        <v>7861</v>
      </c>
      <c r="K2460" s="9" t="s">
        <v>8987</v>
      </c>
    </row>
    <row r="2461" spans="1:11">
      <c r="A2461" s="7">
        <v>2459</v>
      </c>
      <c r="B2461" s="7" t="s">
        <v>9174</v>
      </c>
      <c r="C2461" s="7" t="s">
        <v>8984</v>
      </c>
      <c r="D2461" s="7" t="s">
        <v>7548</v>
      </c>
      <c r="E2461" s="7" t="s">
        <v>12126</v>
      </c>
      <c r="F2461" s="8" t="s">
        <v>10234</v>
      </c>
      <c r="G2461" s="7">
        <v>3</v>
      </c>
      <c r="H2461" s="7" t="s">
        <v>9187</v>
      </c>
      <c r="I2461" s="7">
        <v>1</v>
      </c>
      <c r="J2461" s="7" t="s">
        <v>7872</v>
      </c>
      <c r="K2461" s="9" t="s">
        <v>8987</v>
      </c>
    </row>
    <row r="2462" spans="1:11">
      <c r="A2462" s="7">
        <v>2460</v>
      </c>
      <c r="B2462" s="7" t="s">
        <v>9174</v>
      </c>
      <c r="C2462" s="7" t="s">
        <v>11152</v>
      </c>
      <c r="D2462" s="7" t="s">
        <v>7548</v>
      </c>
      <c r="E2462" s="7" t="s">
        <v>12127</v>
      </c>
      <c r="F2462" s="8" t="s">
        <v>10234</v>
      </c>
      <c r="G2462" s="7">
        <v>3</v>
      </c>
      <c r="H2462" s="7" t="s">
        <v>9187</v>
      </c>
      <c r="I2462" s="7">
        <v>1</v>
      </c>
      <c r="J2462" s="7" t="s">
        <v>7872</v>
      </c>
      <c r="K2462" s="9" t="s">
        <v>8987</v>
      </c>
    </row>
    <row r="2463" spans="1:11">
      <c r="A2463" s="7">
        <v>2461</v>
      </c>
      <c r="B2463" s="7" t="s">
        <v>9174</v>
      </c>
      <c r="C2463" s="7" t="s">
        <v>8984</v>
      </c>
      <c r="D2463" s="7" t="s">
        <v>7548</v>
      </c>
      <c r="E2463" s="7" t="s">
        <v>12128</v>
      </c>
      <c r="F2463" s="8" t="s">
        <v>10234</v>
      </c>
      <c r="G2463" s="7">
        <v>4</v>
      </c>
      <c r="H2463" s="7" t="s">
        <v>9579</v>
      </c>
      <c r="I2463" s="7">
        <v>1</v>
      </c>
      <c r="J2463" s="7" t="s">
        <v>7617</v>
      </c>
      <c r="K2463" s="9" t="s">
        <v>8987</v>
      </c>
    </row>
    <row r="2464" spans="1:11">
      <c r="A2464" s="7">
        <v>2462</v>
      </c>
      <c r="B2464" s="7" t="s">
        <v>9174</v>
      </c>
      <c r="C2464" s="7" t="s">
        <v>8984</v>
      </c>
      <c r="D2464" s="7" t="s">
        <v>7548</v>
      </c>
      <c r="E2464" s="7" t="s">
        <v>12129</v>
      </c>
      <c r="F2464" s="8" t="s">
        <v>10234</v>
      </c>
      <c r="G2464" s="7">
        <v>2</v>
      </c>
      <c r="H2464" s="7" t="s">
        <v>10476</v>
      </c>
      <c r="I2464" s="7">
        <v>1</v>
      </c>
      <c r="J2464" s="7" t="s">
        <v>7861</v>
      </c>
      <c r="K2464" s="9" t="s">
        <v>8987</v>
      </c>
    </row>
    <row r="2465" spans="1:11">
      <c r="A2465" s="7">
        <v>2463</v>
      </c>
      <c r="B2465" s="7" t="s">
        <v>9174</v>
      </c>
      <c r="C2465" s="7" t="s">
        <v>8984</v>
      </c>
      <c r="D2465" s="7" t="s">
        <v>7548</v>
      </c>
      <c r="E2465" s="7" t="s">
        <v>12130</v>
      </c>
      <c r="F2465" s="8" t="s">
        <v>10234</v>
      </c>
      <c r="G2465" s="7">
        <v>2</v>
      </c>
      <c r="H2465" s="7" t="s">
        <v>10476</v>
      </c>
      <c r="I2465" s="7">
        <v>1</v>
      </c>
      <c r="J2465" s="7" t="s">
        <v>7861</v>
      </c>
      <c r="K2465" s="9" t="s">
        <v>8987</v>
      </c>
    </row>
    <row r="2466" spans="1:11">
      <c r="A2466" s="7">
        <v>2464</v>
      </c>
      <c r="B2466" s="7" t="s">
        <v>9174</v>
      </c>
      <c r="C2466" s="7" t="s">
        <v>8984</v>
      </c>
      <c r="D2466" s="7" t="s">
        <v>7548</v>
      </c>
      <c r="E2466" s="7" t="s">
        <v>12131</v>
      </c>
      <c r="F2466" s="8" t="s">
        <v>10234</v>
      </c>
      <c r="G2466" s="7">
        <v>3</v>
      </c>
      <c r="H2466" s="7" t="s">
        <v>9187</v>
      </c>
      <c r="I2466" s="7">
        <v>1</v>
      </c>
      <c r="J2466" s="7" t="s">
        <v>7872</v>
      </c>
      <c r="K2466" s="9" t="s">
        <v>8987</v>
      </c>
    </row>
    <row r="2467" spans="1:11">
      <c r="A2467" s="7">
        <v>2465</v>
      </c>
      <c r="B2467" s="7" t="s">
        <v>9174</v>
      </c>
      <c r="C2467" s="7" t="s">
        <v>11152</v>
      </c>
      <c r="D2467" s="7" t="s">
        <v>7548</v>
      </c>
      <c r="E2467" s="7" t="s">
        <v>12132</v>
      </c>
      <c r="F2467" s="8" t="s">
        <v>10234</v>
      </c>
      <c r="G2467" s="7">
        <v>3</v>
      </c>
      <c r="H2467" s="7" t="s">
        <v>9187</v>
      </c>
      <c r="I2467" s="7">
        <v>1</v>
      </c>
      <c r="J2467" s="7" t="s">
        <v>7872</v>
      </c>
      <c r="K2467" s="9" t="s">
        <v>8987</v>
      </c>
    </row>
    <row r="2468" spans="1:11">
      <c r="A2468" s="7">
        <v>2466</v>
      </c>
      <c r="B2468" s="7" t="s">
        <v>9174</v>
      </c>
      <c r="C2468" s="7" t="s">
        <v>8984</v>
      </c>
      <c r="D2468" s="7" t="s">
        <v>7548</v>
      </c>
      <c r="E2468" s="7" t="s">
        <v>12133</v>
      </c>
      <c r="F2468" s="8" t="s">
        <v>10242</v>
      </c>
      <c r="G2468" s="7">
        <v>4</v>
      </c>
      <c r="H2468" s="7" t="s">
        <v>9579</v>
      </c>
      <c r="I2468" s="7">
        <v>1</v>
      </c>
      <c r="J2468" s="7" t="s">
        <v>7617</v>
      </c>
      <c r="K2468" s="9" t="s">
        <v>8987</v>
      </c>
    </row>
    <row r="2469" spans="1:11">
      <c r="A2469" s="7">
        <v>2467</v>
      </c>
      <c r="B2469" s="7" t="s">
        <v>9174</v>
      </c>
      <c r="C2469" s="7" t="s">
        <v>8984</v>
      </c>
      <c r="D2469" s="7" t="s">
        <v>7548</v>
      </c>
      <c r="E2469" s="7" t="s">
        <v>3644</v>
      </c>
      <c r="F2469" s="8" t="s">
        <v>10242</v>
      </c>
      <c r="G2469" s="7">
        <v>2</v>
      </c>
      <c r="H2469" s="7" t="s">
        <v>10476</v>
      </c>
      <c r="I2469" s="7">
        <v>1</v>
      </c>
      <c r="J2469" s="7" t="s">
        <v>7861</v>
      </c>
      <c r="K2469" s="9" t="s">
        <v>8987</v>
      </c>
    </row>
    <row r="2470" spans="1:11">
      <c r="A2470" s="7">
        <v>2468</v>
      </c>
      <c r="B2470" s="7" t="s">
        <v>9174</v>
      </c>
      <c r="C2470" s="7" t="s">
        <v>8984</v>
      </c>
      <c r="D2470" s="7" t="s">
        <v>7548</v>
      </c>
      <c r="E2470" s="7" t="s">
        <v>12134</v>
      </c>
      <c r="F2470" s="8" t="s">
        <v>10242</v>
      </c>
      <c r="G2470" s="7">
        <v>2</v>
      </c>
      <c r="H2470" s="7" t="s">
        <v>10476</v>
      </c>
      <c r="I2470" s="7">
        <v>1</v>
      </c>
      <c r="J2470" s="7" t="s">
        <v>7861</v>
      </c>
      <c r="K2470" s="9" t="s">
        <v>8987</v>
      </c>
    </row>
    <row r="2471" spans="1:11">
      <c r="A2471" s="7">
        <v>2469</v>
      </c>
      <c r="B2471" s="7" t="s">
        <v>9174</v>
      </c>
      <c r="C2471" s="7" t="s">
        <v>8984</v>
      </c>
      <c r="D2471" s="7" t="s">
        <v>7548</v>
      </c>
      <c r="E2471" s="7" t="s">
        <v>12135</v>
      </c>
      <c r="F2471" s="8" t="s">
        <v>10242</v>
      </c>
      <c r="G2471" s="7">
        <v>3</v>
      </c>
      <c r="H2471" s="7" t="s">
        <v>9187</v>
      </c>
      <c r="I2471" s="7">
        <v>1</v>
      </c>
      <c r="J2471" s="7" t="s">
        <v>7872</v>
      </c>
      <c r="K2471" s="9" t="s">
        <v>8987</v>
      </c>
    </row>
    <row r="2472" spans="1:11">
      <c r="A2472" s="7">
        <v>2470</v>
      </c>
      <c r="B2472" s="7" t="s">
        <v>9174</v>
      </c>
      <c r="C2472" s="7" t="s">
        <v>11152</v>
      </c>
      <c r="D2472" s="7" t="s">
        <v>7548</v>
      </c>
      <c r="E2472" s="7" t="s">
        <v>12136</v>
      </c>
      <c r="F2472" s="8" t="s">
        <v>10242</v>
      </c>
      <c r="G2472" s="7">
        <v>3</v>
      </c>
      <c r="H2472" s="7" t="s">
        <v>9187</v>
      </c>
      <c r="I2472" s="7">
        <v>1</v>
      </c>
      <c r="J2472" s="7" t="s">
        <v>7872</v>
      </c>
      <c r="K2472" s="9" t="s">
        <v>8987</v>
      </c>
    </row>
    <row r="2473" spans="1:11">
      <c r="A2473" s="7">
        <v>2471</v>
      </c>
      <c r="B2473" s="7" t="s">
        <v>9174</v>
      </c>
      <c r="C2473" s="7" t="s">
        <v>8984</v>
      </c>
      <c r="D2473" s="7" t="s">
        <v>7548</v>
      </c>
      <c r="E2473" s="7" t="s">
        <v>12137</v>
      </c>
      <c r="F2473" s="8" t="s">
        <v>10789</v>
      </c>
      <c r="G2473" s="7">
        <v>7</v>
      </c>
      <c r="H2473" s="7" t="s">
        <v>9182</v>
      </c>
      <c r="I2473" s="7">
        <v>1</v>
      </c>
      <c r="J2473" s="7" t="s">
        <v>7866</v>
      </c>
      <c r="K2473" s="9" t="s">
        <v>8987</v>
      </c>
    </row>
    <row r="2474" spans="1:11">
      <c r="A2474" s="7">
        <v>2472</v>
      </c>
      <c r="B2474" s="7" t="s">
        <v>9174</v>
      </c>
      <c r="C2474" s="7" t="s">
        <v>8984</v>
      </c>
      <c r="D2474" s="7" t="s">
        <v>7548</v>
      </c>
      <c r="E2474" s="7" t="s">
        <v>12138</v>
      </c>
      <c r="F2474" s="8" t="s">
        <v>10789</v>
      </c>
      <c r="G2474" s="7">
        <v>14</v>
      </c>
      <c r="H2474" s="7" t="s">
        <v>9397</v>
      </c>
      <c r="I2474" s="7">
        <v>1</v>
      </c>
      <c r="J2474" s="7" t="s">
        <v>7888</v>
      </c>
      <c r="K2474" s="9" t="s">
        <v>8987</v>
      </c>
    </row>
    <row r="2475" spans="1:11">
      <c r="A2475" s="7">
        <v>2473</v>
      </c>
      <c r="B2475" s="7" t="s">
        <v>9174</v>
      </c>
      <c r="C2475" s="7" t="s">
        <v>11152</v>
      </c>
      <c r="D2475" s="7" t="s">
        <v>7548</v>
      </c>
      <c r="E2475" s="7" t="s">
        <v>12139</v>
      </c>
      <c r="F2475" s="8" t="s">
        <v>10789</v>
      </c>
      <c r="G2475" s="7">
        <v>7</v>
      </c>
      <c r="H2475" s="7" t="s">
        <v>9182</v>
      </c>
      <c r="I2475" s="7">
        <v>1</v>
      </c>
      <c r="J2475" s="7" t="s">
        <v>7866</v>
      </c>
      <c r="K2475" s="9" t="s">
        <v>8987</v>
      </c>
    </row>
    <row r="2476" spans="1:11">
      <c r="A2476" s="7">
        <v>2474</v>
      </c>
      <c r="B2476" s="7" t="s">
        <v>9174</v>
      </c>
      <c r="C2476" s="7" t="s">
        <v>8984</v>
      </c>
      <c r="D2476" s="7" t="s">
        <v>7548</v>
      </c>
      <c r="E2476" s="7" t="s">
        <v>12140</v>
      </c>
      <c r="F2476" s="8" t="s">
        <v>10267</v>
      </c>
      <c r="G2476" s="7">
        <v>8</v>
      </c>
      <c r="H2476" s="7" t="s">
        <v>8991</v>
      </c>
      <c r="I2476" s="7">
        <v>1</v>
      </c>
      <c r="J2476" s="7" t="s">
        <v>7764</v>
      </c>
      <c r="K2476" s="9" t="s">
        <v>8987</v>
      </c>
    </row>
    <row r="2477" spans="1:11">
      <c r="A2477" s="7">
        <v>2475</v>
      </c>
      <c r="B2477" s="7" t="s">
        <v>9174</v>
      </c>
      <c r="C2477" s="7" t="s">
        <v>8984</v>
      </c>
      <c r="D2477" s="7" t="s">
        <v>7548</v>
      </c>
      <c r="E2477" s="7" t="s">
        <v>12141</v>
      </c>
      <c r="F2477" s="8" t="s">
        <v>10267</v>
      </c>
      <c r="G2477" s="7">
        <v>15</v>
      </c>
      <c r="H2477" s="7" t="s">
        <v>9053</v>
      </c>
      <c r="I2477" s="7">
        <v>1</v>
      </c>
      <c r="J2477" s="7" t="s">
        <v>7862</v>
      </c>
      <c r="K2477" s="9" t="s">
        <v>8987</v>
      </c>
    </row>
    <row r="2478" spans="1:11">
      <c r="A2478" s="7">
        <v>2476</v>
      </c>
      <c r="B2478" s="7" t="s">
        <v>9174</v>
      </c>
      <c r="C2478" s="7" t="s">
        <v>11152</v>
      </c>
      <c r="D2478" s="7" t="s">
        <v>7548</v>
      </c>
      <c r="E2478" s="7" t="s">
        <v>12142</v>
      </c>
      <c r="F2478" s="8" t="s">
        <v>10267</v>
      </c>
      <c r="G2478" s="7">
        <v>8</v>
      </c>
      <c r="H2478" s="7" t="s">
        <v>8991</v>
      </c>
      <c r="I2478" s="7">
        <v>1</v>
      </c>
      <c r="J2478" s="7" t="s">
        <v>7764</v>
      </c>
      <c r="K2478" s="9" t="s">
        <v>8987</v>
      </c>
    </row>
    <row r="2479" spans="1:11">
      <c r="A2479" s="7">
        <v>2477</v>
      </c>
      <c r="B2479" s="7" t="s">
        <v>9174</v>
      </c>
      <c r="C2479" s="7" t="s">
        <v>8984</v>
      </c>
      <c r="D2479" s="7" t="s">
        <v>7548</v>
      </c>
      <c r="E2479" s="7" t="s">
        <v>12143</v>
      </c>
      <c r="F2479" s="8" t="s">
        <v>12144</v>
      </c>
      <c r="G2479" s="7">
        <v>8</v>
      </c>
      <c r="H2479" s="7" t="s">
        <v>8991</v>
      </c>
      <c r="I2479" s="7">
        <v>1</v>
      </c>
      <c r="J2479" s="7" t="s">
        <v>7764</v>
      </c>
      <c r="K2479" s="9" t="s">
        <v>8987</v>
      </c>
    </row>
    <row r="2480" spans="1:11">
      <c r="A2480" s="7">
        <v>2478</v>
      </c>
      <c r="B2480" s="7" t="s">
        <v>9174</v>
      </c>
      <c r="C2480" s="7" t="s">
        <v>8984</v>
      </c>
      <c r="D2480" s="7" t="s">
        <v>7548</v>
      </c>
      <c r="E2480" s="7" t="s">
        <v>12145</v>
      </c>
      <c r="F2480" s="8" t="s">
        <v>12144</v>
      </c>
      <c r="G2480" s="7">
        <v>15</v>
      </c>
      <c r="H2480" s="7" t="s">
        <v>9053</v>
      </c>
      <c r="I2480" s="7">
        <v>1</v>
      </c>
      <c r="J2480" s="7" t="s">
        <v>7862</v>
      </c>
      <c r="K2480" s="9" t="s">
        <v>8987</v>
      </c>
    </row>
    <row r="2481" spans="1:11">
      <c r="A2481" s="7">
        <v>2479</v>
      </c>
      <c r="B2481" s="7" t="s">
        <v>9174</v>
      </c>
      <c r="C2481" s="7" t="s">
        <v>11152</v>
      </c>
      <c r="D2481" s="7" t="s">
        <v>7548</v>
      </c>
      <c r="E2481" s="7" t="s">
        <v>12146</v>
      </c>
      <c r="F2481" s="8" t="s">
        <v>12144</v>
      </c>
      <c r="G2481" s="7">
        <v>8</v>
      </c>
      <c r="H2481" s="7" t="s">
        <v>8991</v>
      </c>
      <c r="I2481" s="7">
        <v>1</v>
      </c>
      <c r="J2481" s="7" t="s">
        <v>7764</v>
      </c>
      <c r="K2481" s="9" t="s">
        <v>8987</v>
      </c>
    </row>
    <row r="2482" spans="1:11">
      <c r="A2482" s="7">
        <v>2480</v>
      </c>
      <c r="B2482" s="7" t="s">
        <v>9174</v>
      </c>
      <c r="C2482" s="7" t="s">
        <v>8984</v>
      </c>
      <c r="D2482" s="7" t="s">
        <v>7548</v>
      </c>
      <c r="E2482" s="7" t="s">
        <v>12147</v>
      </c>
      <c r="F2482" s="8" t="s">
        <v>7548</v>
      </c>
      <c r="G2482" s="7">
        <v>1</v>
      </c>
      <c r="H2482" s="7" t="s">
        <v>9112</v>
      </c>
      <c r="I2482" s="7">
        <v>1</v>
      </c>
      <c r="J2482" s="7" t="s">
        <v>9113</v>
      </c>
      <c r="K2482" s="9" t="s">
        <v>8987</v>
      </c>
    </row>
    <row r="2483" spans="1:11">
      <c r="A2483" s="7">
        <v>2481</v>
      </c>
      <c r="B2483" s="7" t="s">
        <v>9174</v>
      </c>
      <c r="C2483" s="7" t="s">
        <v>8984</v>
      </c>
      <c r="D2483" s="7" t="s">
        <v>7548</v>
      </c>
      <c r="E2483" s="7" t="s">
        <v>12148</v>
      </c>
      <c r="F2483" s="8" t="s">
        <v>7548</v>
      </c>
      <c r="G2483" s="7">
        <v>1</v>
      </c>
      <c r="H2483" s="7" t="s">
        <v>9112</v>
      </c>
      <c r="I2483" s="7">
        <v>1</v>
      </c>
      <c r="J2483" s="7" t="s">
        <v>9113</v>
      </c>
      <c r="K2483" s="9" t="s">
        <v>8987</v>
      </c>
    </row>
    <row r="2484" spans="1:11">
      <c r="A2484" s="7">
        <v>2482</v>
      </c>
      <c r="B2484" s="7" t="s">
        <v>9174</v>
      </c>
      <c r="C2484" s="7" t="s">
        <v>8984</v>
      </c>
      <c r="D2484" s="7" t="s">
        <v>7548</v>
      </c>
      <c r="E2484" s="7" t="s">
        <v>12149</v>
      </c>
      <c r="F2484" s="8" t="s">
        <v>7548</v>
      </c>
      <c r="G2484" s="7">
        <v>2</v>
      </c>
      <c r="H2484" s="7" t="s">
        <v>10476</v>
      </c>
      <c r="I2484" s="7">
        <v>1</v>
      </c>
      <c r="J2484" s="7" t="s">
        <v>7861</v>
      </c>
      <c r="K2484" s="9" t="s">
        <v>8987</v>
      </c>
    </row>
    <row r="2485" spans="1:11">
      <c r="A2485" s="7">
        <v>2483</v>
      </c>
      <c r="B2485" s="7" t="s">
        <v>9174</v>
      </c>
      <c r="C2485" s="7" t="s">
        <v>8984</v>
      </c>
      <c r="D2485" s="7" t="s">
        <v>7548</v>
      </c>
      <c r="E2485" s="7" t="s">
        <v>12150</v>
      </c>
      <c r="F2485" s="8" t="s">
        <v>7548</v>
      </c>
      <c r="G2485" s="7">
        <v>2</v>
      </c>
      <c r="H2485" s="7" t="s">
        <v>10476</v>
      </c>
      <c r="I2485" s="7">
        <v>1</v>
      </c>
      <c r="J2485" s="7" t="s">
        <v>7861</v>
      </c>
      <c r="K2485" s="9" t="s">
        <v>8987</v>
      </c>
    </row>
    <row r="2486" spans="1:11">
      <c r="A2486" s="7">
        <v>2484</v>
      </c>
      <c r="B2486" s="7" t="s">
        <v>9174</v>
      </c>
      <c r="C2486" s="7" t="s">
        <v>8984</v>
      </c>
      <c r="D2486" s="7" t="s">
        <v>7548</v>
      </c>
      <c r="E2486" s="7" t="s">
        <v>12151</v>
      </c>
      <c r="F2486" s="8" t="s">
        <v>7548</v>
      </c>
      <c r="G2486" s="7">
        <v>1</v>
      </c>
      <c r="H2486" s="7" t="s">
        <v>9112</v>
      </c>
      <c r="I2486" s="7">
        <v>1</v>
      </c>
      <c r="J2486" s="7" t="s">
        <v>9113</v>
      </c>
      <c r="K2486" s="9" t="s">
        <v>8987</v>
      </c>
    </row>
    <row r="2487" spans="1:11">
      <c r="A2487" s="7">
        <v>2485</v>
      </c>
      <c r="B2487" s="7" t="s">
        <v>9174</v>
      </c>
      <c r="C2487" s="7" t="s">
        <v>8984</v>
      </c>
      <c r="D2487" s="7" t="s">
        <v>7548</v>
      </c>
      <c r="E2487" s="7" t="s">
        <v>12152</v>
      </c>
      <c r="F2487" s="8" t="s">
        <v>7548</v>
      </c>
      <c r="G2487" s="7">
        <v>2</v>
      </c>
      <c r="H2487" s="7" t="s">
        <v>10476</v>
      </c>
      <c r="I2487" s="7">
        <v>1</v>
      </c>
      <c r="J2487" s="7" t="s">
        <v>7861</v>
      </c>
      <c r="K2487" s="9" t="s">
        <v>8987</v>
      </c>
    </row>
    <row r="2488" spans="1:11">
      <c r="A2488" s="7">
        <v>2486</v>
      </c>
      <c r="B2488" s="7" t="s">
        <v>9719</v>
      </c>
      <c r="C2488" s="7" t="s">
        <v>11152</v>
      </c>
      <c r="D2488" s="7" t="s">
        <v>7548</v>
      </c>
      <c r="E2488" s="7" t="s">
        <v>12153</v>
      </c>
      <c r="F2488" s="8" t="s">
        <v>7548</v>
      </c>
      <c r="G2488" s="7">
        <v>3</v>
      </c>
      <c r="H2488" s="7" t="s">
        <v>9187</v>
      </c>
      <c r="I2488" s="7">
        <v>1</v>
      </c>
      <c r="J2488" s="7" t="s">
        <v>7872</v>
      </c>
      <c r="K2488" s="9" t="s">
        <v>8987</v>
      </c>
    </row>
    <row r="2489" spans="1:11">
      <c r="A2489" s="7">
        <v>2487</v>
      </c>
      <c r="B2489" s="7" t="s">
        <v>9174</v>
      </c>
      <c r="C2489" s="7" t="s">
        <v>8984</v>
      </c>
      <c r="D2489" s="7" t="s">
        <v>7548</v>
      </c>
      <c r="E2489" s="7" t="s">
        <v>12154</v>
      </c>
      <c r="F2489" s="8" t="s">
        <v>10222</v>
      </c>
      <c r="G2489" s="7">
        <v>4</v>
      </c>
      <c r="H2489" s="7" t="s">
        <v>9579</v>
      </c>
      <c r="I2489" s="7">
        <v>1</v>
      </c>
      <c r="J2489" s="7" t="s">
        <v>7617</v>
      </c>
      <c r="K2489" s="9" t="s">
        <v>8987</v>
      </c>
    </row>
    <row r="2490" spans="1:11">
      <c r="A2490" s="7">
        <v>2488</v>
      </c>
      <c r="B2490" s="7" t="s">
        <v>9174</v>
      </c>
      <c r="C2490" s="7" t="s">
        <v>8984</v>
      </c>
      <c r="D2490" s="7" t="s">
        <v>7548</v>
      </c>
      <c r="E2490" s="7" t="s">
        <v>12155</v>
      </c>
      <c r="F2490" s="8" t="s">
        <v>10222</v>
      </c>
      <c r="G2490" s="7">
        <v>4</v>
      </c>
      <c r="H2490" s="7" t="s">
        <v>9579</v>
      </c>
      <c r="I2490" s="7">
        <v>1</v>
      </c>
      <c r="J2490" s="7" t="s">
        <v>7617</v>
      </c>
      <c r="K2490" s="9" t="s">
        <v>8987</v>
      </c>
    </row>
    <row r="2491" spans="1:11">
      <c r="A2491" s="7">
        <v>2489</v>
      </c>
      <c r="B2491" s="7" t="s">
        <v>9174</v>
      </c>
      <c r="C2491" s="7" t="s">
        <v>8984</v>
      </c>
      <c r="D2491" s="7" t="s">
        <v>7548</v>
      </c>
      <c r="E2491" s="7" t="s">
        <v>12156</v>
      </c>
      <c r="F2491" s="8" t="s">
        <v>10222</v>
      </c>
      <c r="G2491" s="7">
        <v>4</v>
      </c>
      <c r="H2491" s="7" t="s">
        <v>9579</v>
      </c>
      <c r="I2491" s="7">
        <v>1</v>
      </c>
      <c r="J2491" s="7" t="s">
        <v>7617</v>
      </c>
      <c r="K2491" s="9" t="s">
        <v>8987</v>
      </c>
    </row>
    <row r="2492" spans="1:11">
      <c r="A2492" s="7">
        <v>2490</v>
      </c>
      <c r="B2492" s="7" t="s">
        <v>9174</v>
      </c>
      <c r="C2492" s="7" t="s">
        <v>8984</v>
      </c>
      <c r="D2492" s="7" t="s">
        <v>7548</v>
      </c>
      <c r="E2492" s="7" t="s">
        <v>12157</v>
      </c>
      <c r="F2492" s="8" t="s">
        <v>10222</v>
      </c>
      <c r="G2492" s="7">
        <v>4</v>
      </c>
      <c r="H2492" s="7" t="s">
        <v>9579</v>
      </c>
      <c r="I2492" s="7">
        <v>1</v>
      </c>
      <c r="J2492" s="7" t="s">
        <v>7617</v>
      </c>
      <c r="K2492" s="9" t="s">
        <v>8987</v>
      </c>
    </row>
    <row r="2493" spans="1:11">
      <c r="A2493" s="7">
        <v>2491</v>
      </c>
      <c r="B2493" s="7" t="s">
        <v>9174</v>
      </c>
      <c r="C2493" s="7" t="s">
        <v>8984</v>
      </c>
      <c r="D2493" s="7" t="s">
        <v>7548</v>
      </c>
      <c r="E2493" s="7" t="s">
        <v>12158</v>
      </c>
      <c r="F2493" s="8" t="s">
        <v>10222</v>
      </c>
      <c r="G2493" s="7">
        <v>4</v>
      </c>
      <c r="H2493" s="7" t="s">
        <v>9579</v>
      </c>
      <c r="I2493" s="7">
        <v>1</v>
      </c>
      <c r="J2493" s="7" t="s">
        <v>7617</v>
      </c>
      <c r="K2493" s="9" t="s">
        <v>8987</v>
      </c>
    </row>
    <row r="2494" spans="1:11">
      <c r="A2494" s="7">
        <v>2492</v>
      </c>
      <c r="B2494" s="7" t="s">
        <v>9174</v>
      </c>
      <c r="C2494" s="7" t="s">
        <v>8984</v>
      </c>
      <c r="D2494" s="7" t="s">
        <v>7548</v>
      </c>
      <c r="E2494" s="7" t="s">
        <v>12159</v>
      </c>
      <c r="F2494" s="8" t="s">
        <v>10222</v>
      </c>
      <c r="G2494" s="7">
        <v>4</v>
      </c>
      <c r="H2494" s="7" t="s">
        <v>9579</v>
      </c>
      <c r="I2494" s="7">
        <v>1</v>
      </c>
      <c r="J2494" s="7" t="s">
        <v>7617</v>
      </c>
      <c r="K2494" s="9" t="s">
        <v>8987</v>
      </c>
    </row>
    <row r="2495" spans="1:11">
      <c r="A2495" s="7">
        <v>2493</v>
      </c>
      <c r="B2495" s="7" t="s">
        <v>9174</v>
      </c>
      <c r="C2495" s="7" t="s">
        <v>11152</v>
      </c>
      <c r="D2495" s="7" t="s">
        <v>7548</v>
      </c>
      <c r="E2495" s="7" t="s">
        <v>4536</v>
      </c>
      <c r="F2495" s="8" t="s">
        <v>10222</v>
      </c>
      <c r="G2495" s="7">
        <v>4</v>
      </c>
      <c r="H2495" s="7" t="s">
        <v>9579</v>
      </c>
      <c r="I2495" s="7">
        <v>1</v>
      </c>
      <c r="J2495" s="7" t="s">
        <v>7617</v>
      </c>
      <c r="K2495" s="9" t="s">
        <v>8987</v>
      </c>
    </row>
    <row r="2496" spans="1:11">
      <c r="A2496" s="7">
        <v>2494</v>
      </c>
      <c r="B2496" s="7" t="s">
        <v>9174</v>
      </c>
      <c r="C2496" s="7" t="s">
        <v>8984</v>
      </c>
      <c r="D2496" s="7" t="s">
        <v>7548</v>
      </c>
      <c r="E2496" s="7" t="s">
        <v>4408</v>
      </c>
      <c r="F2496" s="8" t="s">
        <v>10224</v>
      </c>
      <c r="G2496" s="7">
        <v>6</v>
      </c>
      <c r="H2496" s="7" t="s">
        <v>9218</v>
      </c>
      <c r="I2496" s="7">
        <v>1</v>
      </c>
      <c r="J2496" s="7" t="s">
        <v>7623</v>
      </c>
      <c r="K2496" s="9" t="s">
        <v>8987</v>
      </c>
    </row>
    <row r="2497" spans="1:11">
      <c r="A2497" s="7">
        <v>2495</v>
      </c>
      <c r="B2497" s="7" t="s">
        <v>9174</v>
      </c>
      <c r="C2497" s="7" t="s">
        <v>8984</v>
      </c>
      <c r="D2497" s="7" t="s">
        <v>7548</v>
      </c>
      <c r="E2497" s="7" t="s">
        <v>12160</v>
      </c>
      <c r="F2497" s="8" t="s">
        <v>10224</v>
      </c>
      <c r="G2497" s="7">
        <v>6</v>
      </c>
      <c r="H2497" s="7" t="s">
        <v>9218</v>
      </c>
      <c r="I2497" s="7">
        <v>1</v>
      </c>
      <c r="J2497" s="7" t="s">
        <v>7623</v>
      </c>
      <c r="K2497" s="9" t="s">
        <v>8987</v>
      </c>
    </row>
    <row r="2498" spans="1:11">
      <c r="A2498" s="7">
        <v>2496</v>
      </c>
      <c r="B2498" s="7" t="s">
        <v>9174</v>
      </c>
      <c r="C2498" s="7" t="s">
        <v>8984</v>
      </c>
      <c r="D2498" s="7" t="s">
        <v>7548</v>
      </c>
      <c r="E2498" s="7" t="s">
        <v>12161</v>
      </c>
      <c r="F2498" s="8" t="s">
        <v>10224</v>
      </c>
      <c r="G2498" s="7">
        <v>6</v>
      </c>
      <c r="H2498" s="7" t="s">
        <v>9218</v>
      </c>
      <c r="I2498" s="7">
        <v>1</v>
      </c>
      <c r="J2498" s="7" t="s">
        <v>7623</v>
      </c>
      <c r="K2498" s="9" t="s">
        <v>8987</v>
      </c>
    </row>
    <row r="2499" spans="1:11">
      <c r="A2499" s="7">
        <v>2497</v>
      </c>
      <c r="B2499" s="7" t="s">
        <v>9174</v>
      </c>
      <c r="C2499" s="7" t="s">
        <v>8984</v>
      </c>
      <c r="D2499" s="7" t="s">
        <v>7548</v>
      </c>
      <c r="E2499" s="7" t="s">
        <v>12162</v>
      </c>
      <c r="F2499" s="8" t="s">
        <v>10224</v>
      </c>
      <c r="G2499" s="7">
        <v>6</v>
      </c>
      <c r="H2499" s="7" t="s">
        <v>9218</v>
      </c>
      <c r="I2499" s="7">
        <v>1</v>
      </c>
      <c r="J2499" s="7" t="s">
        <v>7623</v>
      </c>
      <c r="K2499" s="9" t="s">
        <v>8987</v>
      </c>
    </row>
    <row r="2500" spans="1:11">
      <c r="A2500" s="7">
        <v>2498</v>
      </c>
      <c r="B2500" s="7" t="s">
        <v>9174</v>
      </c>
      <c r="C2500" s="7" t="s">
        <v>8984</v>
      </c>
      <c r="D2500" s="7" t="s">
        <v>7548</v>
      </c>
      <c r="E2500" s="7" t="s">
        <v>12163</v>
      </c>
      <c r="F2500" s="8" t="s">
        <v>10224</v>
      </c>
      <c r="G2500" s="7">
        <v>6</v>
      </c>
      <c r="H2500" s="7" t="s">
        <v>9218</v>
      </c>
      <c r="I2500" s="7">
        <v>1</v>
      </c>
      <c r="J2500" s="7" t="s">
        <v>7623</v>
      </c>
      <c r="K2500" s="9" t="s">
        <v>8987</v>
      </c>
    </row>
    <row r="2501" spans="1:11">
      <c r="A2501" s="7">
        <v>2499</v>
      </c>
      <c r="B2501" s="7" t="s">
        <v>9174</v>
      </c>
      <c r="C2501" s="7" t="s">
        <v>8984</v>
      </c>
      <c r="D2501" s="7" t="s">
        <v>7548</v>
      </c>
      <c r="E2501" s="7" t="s">
        <v>12164</v>
      </c>
      <c r="F2501" s="8" t="s">
        <v>10224</v>
      </c>
      <c r="G2501" s="7">
        <v>6</v>
      </c>
      <c r="H2501" s="7" t="s">
        <v>9218</v>
      </c>
      <c r="I2501" s="7">
        <v>1</v>
      </c>
      <c r="J2501" s="7" t="s">
        <v>7623</v>
      </c>
      <c r="K2501" s="9" t="s">
        <v>8987</v>
      </c>
    </row>
    <row r="2502" spans="1:11">
      <c r="A2502" s="7">
        <v>2500</v>
      </c>
      <c r="B2502" s="7" t="s">
        <v>9174</v>
      </c>
      <c r="C2502" s="7" t="s">
        <v>11152</v>
      </c>
      <c r="D2502" s="7" t="s">
        <v>7548</v>
      </c>
      <c r="E2502" s="7" t="s">
        <v>12165</v>
      </c>
      <c r="F2502" s="8" t="s">
        <v>10224</v>
      </c>
      <c r="G2502" s="7">
        <v>6</v>
      </c>
      <c r="H2502" s="7" t="s">
        <v>9218</v>
      </c>
      <c r="I2502" s="7">
        <v>1</v>
      </c>
      <c r="J2502" s="7" t="s">
        <v>7623</v>
      </c>
      <c r="K2502" s="9" t="s">
        <v>8987</v>
      </c>
    </row>
    <row r="2503" spans="1:11">
      <c r="A2503" s="7">
        <v>2501</v>
      </c>
      <c r="B2503" s="7" t="s">
        <v>9174</v>
      </c>
      <c r="C2503" s="7" t="s">
        <v>8984</v>
      </c>
      <c r="D2503" s="7" t="s">
        <v>7548</v>
      </c>
      <c r="E2503" s="7" t="s">
        <v>12166</v>
      </c>
      <c r="F2503" s="8" t="s">
        <v>10226</v>
      </c>
      <c r="G2503" s="7">
        <v>5</v>
      </c>
      <c r="H2503" s="7" t="s">
        <v>9336</v>
      </c>
      <c r="I2503" s="7">
        <v>1</v>
      </c>
      <c r="J2503" s="7" t="s">
        <v>7620</v>
      </c>
      <c r="K2503" s="9" t="s">
        <v>8987</v>
      </c>
    </row>
    <row r="2504" spans="1:11">
      <c r="A2504" s="7">
        <v>2502</v>
      </c>
      <c r="B2504" s="7" t="s">
        <v>9174</v>
      </c>
      <c r="C2504" s="7" t="s">
        <v>8984</v>
      </c>
      <c r="D2504" s="7" t="s">
        <v>7548</v>
      </c>
      <c r="E2504" s="7" t="s">
        <v>12167</v>
      </c>
      <c r="F2504" s="8" t="s">
        <v>10226</v>
      </c>
      <c r="G2504" s="7">
        <v>5</v>
      </c>
      <c r="H2504" s="7" t="s">
        <v>9336</v>
      </c>
      <c r="I2504" s="7">
        <v>1</v>
      </c>
      <c r="J2504" s="7" t="s">
        <v>7620</v>
      </c>
      <c r="K2504" s="9" t="s">
        <v>8987</v>
      </c>
    </row>
    <row r="2505" spans="1:11">
      <c r="A2505" s="7">
        <v>2503</v>
      </c>
      <c r="B2505" s="7" t="s">
        <v>9174</v>
      </c>
      <c r="C2505" s="7" t="s">
        <v>8984</v>
      </c>
      <c r="D2505" s="7" t="s">
        <v>7548</v>
      </c>
      <c r="E2505" s="7" t="s">
        <v>12168</v>
      </c>
      <c r="F2505" s="8" t="s">
        <v>10226</v>
      </c>
      <c r="G2505" s="7">
        <v>5</v>
      </c>
      <c r="H2505" s="7" t="s">
        <v>9336</v>
      </c>
      <c r="I2505" s="7">
        <v>1</v>
      </c>
      <c r="J2505" s="7" t="s">
        <v>7620</v>
      </c>
      <c r="K2505" s="9" t="s">
        <v>8987</v>
      </c>
    </row>
    <row r="2506" spans="1:11">
      <c r="A2506" s="7">
        <v>2504</v>
      </c>
      <c r="B2506" s="7" t="s">
        <v>9174</v>
      </c>
      <c r="C2506" s="7" t="s">
        <v>8984</v>
      </c>
      <c r="D2506" s="7" t="s">
        <v>7548</v>
      </c>
      <c r="E2506" s="7" t="s">
        <v>12169</v>
      </c>
      <c r="F2506" s="8" t="s">
        <v>10226</v>
      </c>
      <c r="G2506" s="7">
        <v>5</v>
      </c>
      <c r="H2506" s="7" t="s">
        <v>9336</v>
      </c>
      <c r="I2506" s="7">
        <v>1</v>
      </c>
      <c r="J2506" s="7" t="s">
        <v>7620</v>
      </c>
      <c r="K2506" s="9" t="s">
        <v>8987</v>
      </c>
    </row>
    <row r="2507" spans="1:11">
      <c r="A2507" s="7">
        <v>2505</v>
      </c>
      <c r="B2507" s="7" t="s">
        <v>9174</v>
      </c>
      <c r="C2507" s="7" t="s">
        <v>8984</v>
      </c>
      <c r="D2507" s="7" t="s">
        <v>7548</v>
      </c>
      <c r="E2507" s="7" t="s">
        <v>12170</v>
      </c>
      <c r="F2507" s="8" t="s">
        <v>10226</v>
      </c>
      <c r="G2507" s="7">
        <v>5</v>
      </c>
      <c r="H2507" s="7" t="s">
        <v>9336</v>
      </c>
      <c r="I2507" s="7">
        <v>1</v>
      </c>
      <c r="J2507" s="7" t="s">
        <v>7620</v>
      </c>
      <c r="K2507" s="9" t="s">
        <v>8987</v>
      </c>
    </row>
    <row r="2508" spans="1:11">
      <c r="A2508" s="7">
        <v>2506</v>
      </c>
      <c r="B2508" s="7" t="s">
        <v>9174</v>
      </c>
      <c r="C2508" s="7" t="s">
        <v>8984</v>
      </c>
      <c r="D2508" s="7" t="s">
        <v>7548</v>
      </c>
      <c r="E2508" s="7" t="s">
        <v>12171</v>
      </c>
      <c r="F2508" s="8" t="s">
        <v>10226</v>
      </c>
      <c r="G2508" s="7">
        <v>5</v>
      </c>
      <c r="H2508" s="7" t="s">
        <v>9336</v>
      </c>
      <c r="I2508" s="7">
        <v>1</v>
      </c>
      <c r="J2508" s="7" t="s">
        <v>7620</v>
      </c>
      <c r="K2508" s="9" t="s">
        <v>8987</v>
      </c>
    </row>
    <row r="2509" spans="1:11">
      <c r="A2509" s="7">
        <v>2507</v>
      </c>
      <c r="B2509" s="7" t="s">
        <v>9174</v>
      </c>
      <c r="C2509" s="7" t="s">
        <v>11152</v>
      </c>
      <c r="D2509" s="7" t="s">
        <v>7548</v>
      </c>
      <c r="E2509" s="7" t="s">
        <v>12172</v>
      </c>
      <c r="F2509" s="8" t="s">
        <v>10226</v>
      </c>
      <c r="G2509" s="7">
        <v>5</v>
      </c>
      <c r="H2509" s="7" t="s">
        <v>9336</v>
      </c>
      <c r="I2509" s="7">
        <v>1</v>
      </c>
      <c r="J2509" s="7" t="s">
        <v>7620</v>
      </c>
      <c r="K2509" s="9" t="s">
        <v>8987</v>
      </c>
    </row>
    <row r="2510" spans="1:11">
      <c r="A2510" s="7">
        <v>2508</v>
      </c>
      <c r="B2510" s="7" t="s">
        <v>9174</v>
      </c>
      <c r="C2510" s="7" t="s">
        <v>8984</v>
      </c>
      <c r="D2510" s="7" t="s">
        <v>7548</v>
      </c>
      <c r="E2510" s="7" t="s">
        <v>12173</v>
      </c>
      <c r="F2510" s="8" t="s">
        <v>10227</v>
      </c>
      <c r="G2510" s="7">
        <v>25</v>
      </c>
      <c r="H2510" s="7" t="s">
        <v>9011</v>
      </c>
      <c r="I2510" s="7">
        <v>1</v>
      </c>
      <c r="J2510" s="7" t="s">
        <v>7840</v>
      </c>
      <c r="K2510" s="9" t="s">
        <v>8987</v>
      </c>
    </row>
    <row r="2511" spans="1:11">
      <c r="A2511" s="7">
        <v>2509</v>
      </c>
      <c r="B2511" s="7" t="s">
        <v>9174</v>
      </c>
      <c r="C2511" s="7" t="s">
        <v>8984</v>
      </c>
      <c r="D2511" s="7" t="s">
        <v>7548</v>
      </c>
      <c r="E2511" s="7" t="s">
        <v>12174</v>
      </c>
      <c r="F2511" s="8" t="s">
        <v>10227</v>
      </c>
      <c r="G2511" s="7">
        <v>25</v>
      </c>
      <c r="H2511" s="7" t="s">
        <v>9011</v>
      </c>
      <c r="I2511" s="7">
        <v>1</v>
      </c>
      <c r="J2511" s="7" t="s">
        <v>7840</v>
      </c>
      <c r="K2511" s="9" t="s">
        <v>8987</v>
      </c>
    </row>
    <row r="2512" spans="1:11">
      <c r="A2512" s="7">
        <v>2510</v>
      </c>
      <c r="B2512" s="7" t="s">
        <v>9174</v>
      </c>
      <c r="C2512" s="7" t="s">
        <v>8984</v>
      </c>
      <c r="D2512" s="7" t="s">
        <v>7548</v>
      </c>
      <c r="E2512" s="7" t="s">
        <v>12175</v>
      </c>
      <c r="F2512" s="8" t="s">
        <v>10227</v>
      </c>
      <c r="G2512" s="7">
        <v>25</v>
      </c>
      <c r="H2512" s="7" t="s">
        <v>9011</v>
      </c>
      <c r="I2512" s="7">
        <v>1</v>
      </c>
      <c r="J2512" s="7" t="s">
        <v>7840</v>
      </c>
      <c r="K2512" s="9" t="s">
        <v>8987</v>
      </c>
    </row>
    <row r="2513" spans="1:11">
      <c r="A2513" s="7">
        <v>2511</v>
      </c>
      <c r="B2513" s="7" t="s">
        <v>9174</v>
      </c>
      <c r="C2513" s="7" t="s">
        <v>11152</v>
      </c>
      <c r="D2513" s="7" t="s">
        <v>7548</v>
      </c>
      <c r="E2513" s="7" t="s">
        <v>5661</v>
      </c>
      <c r="F2513" s="8" t="s">
        <v>10227</v>
      </c>
      <c r="G2513" s="7">
        <v>25</v>
      </c>
      <c r="H2513" s="7" t="s">
        <v>9011</v>
      </c>
      <c r="I2513" s="7">
        <v>1</v>
      </c>
      <c r="J2513" s="7" t="s">
        <v>7840</v>
      </c>
      <c r="K2513" s="9" t="s">
        <v>8987</v>
      </c>
    </row>
    <row r="2514" spans="1:11">
      <c r="A2514" s="7">
        <v>2512</v>
      </c>
      <c r="B2514" s="7" t="s">
        <v>9174</v>
      </c>
      <c r="C2514" s="7" t="s">
        <v>8984</v>
      </c>
      <c r="D2514" s="7" t="s">
        <v>7548</v>
      </c>
      <c r="E2514" s="7" t="s">
        <v>12176</v>
      </c>
      <c r="F2514" s="8" t="s">
        <v>10227</v>
      </c>
      <c r="G2514" s="7">
        <v>5</v>
      </c>
      <c r="H2514" s="7" t="s">
        <v>9336</v>
      </c>
      <c r="I2514" s="7">
        <v>1</v>
      </c>
      <c r="J2514" s="7" t="s">
        <v>7620</v>
      </c>
      <c r="K2514" s="9" t="s">
        <v>8987</v>
      </c>
    </row>
    <row r="2515" spans="1:11">
      <c r="A2515" s="7">
        <v>2513</v>
      </c>
      <c r="B2515" s="7" t="s">
        <v>9174</v>
      </c>
      <c r="C2515" s="7" t="s">
        <v>8984</v>
      </c>
      <c r="D2515" s="7" t="s">
        <v>7548</v>
      </c>
      <c r="E2515" s="7" t="s">
        <v>12177</v>
      </c>
      <c r="F2515" s="8" t="s">
        <v>10227</v>
      </c>
      <c r="G2515" s="7">
        <v>5</v>
      </c>
      <c r="H2515" s="7" t="s">
        <v>9336</v>
      </c>
      <c r="I2515" s="7">
        <v>1</v>
      </c>
      <c r="J2515" s="7" t="s">
        <v>7620</v>
      </c>
      <c r="K2515" s="9" t="s">
        <v>8987</v>
      </c>
    </row>
    <row r="2516" spans="1:11">
      <c r="A2516" s="7">
        <v>2514</v>
      </c>
      <c r="B2516" s="7" t="s">
        <v>9174</v>
      </c>
      <c r="C2516" s="7" t="s">
        <v>8984</v>
      </c>
      <c r="D2516" s="7" t="s">
        <v>7548</v>
      </c>
      <c r="E2516" s="7" t="s">
        <v>12178</v>
      </c>
      <c r="F2516" s="8" t="s">
        <v>10227</v>
      </c>
      <c r="G2516" s="7">
        <v>5</v>
      </c>
      <c r="H2516" s="7" t="s">
        <v>9336</v>
      </c>
      <c r="I2516" s="7">
        <v>1</v>
      </c>
      <c r="J2516" s="7" t="s">
        <v>7620</v>
      </c>
      <c r="K2516" s="9" t="s">
        <v>8987</v>
      </c>
    </row>
    <row r="2517" spans="1:11">
      <c r="A2517" s="7">
        <v>2515</v>
      </c>
      <c r="B2517" s="7" t="s">
        <v>9174</v>
      </c>
      <c r="C2517" s="7" t="s">
        <v>11152</v>
      </c>
      <c r="D2517" s="7" t="s">
        <v>7548</v>
      </c>
      <c r="E2517" s="7" t="s">
        <v>12179</v>
      </c>
      <c r="F2517" s="8" t="s">
        <v>10227</v>
      </c>
      <c r="G2517" s="7">
        <v>5</v>
      </c>
      <c r="H2517" s="7" t="s">
        <v>9336</v>
      </c>
      <c r="I2517" s="7">
        <v>1</v>
      </c>
      <c r="J2517" s="7" t="s">
        <v>7620</v>
      </c>
      <c r="K2517" s="9" t="s">
        <v>8987</v>
      </c>
    </row>
    <row r="2518" spans="1:11">
      <c r="A2518" s="7">
        <v>2516</v>
      </c>
      <c r="B2518" s="7" t="s">
        <v>9174</v>
      </c>
      <c r="C2518" s="7" t="s">
        <v>8984</v>
      </c>
      <c r="D2518" s="7" t="s">
        <v>7548</v>
      </c>
      <c r="E2518" s="7" t="s">
        <v>12180</v>
      </c>
      <c r="F2518" s="8" t="s">
        <v>10227</v>
      </c>
      <c r="G2518" s="7">
        <v>5</v>
      </c>
      <c r="H2518" s="7" t="s">
        <v>9336</v>
      </c>
      <c r="I2518" s="7">
        <v>1</v>
      </c>
      <c r="J2518" s="7" t="s">
        <v>7620</v>
      </c>
      <c r="K2518" s="9" t="s">
        <v>8987</v>
      </c>
    </row>
    <row r="2519" spans="1:11">
      <c r="A2519" s="7">
        <v>2517</v>
      </c>
      <c r="B2519" s="7" t="s">
        <v>9174</v>
      </c>
      <c r="C2519" s="7" t="s">
        <v>8984</v>
      </c>
      <c r="D2519" s="7" t="s">
        <v>7548</v>
      </c>
      <c r="E2519" s="7" t="s">
        <v>12181</v>
      </c>
      <c r="F2519" s="8" t="s">
        <v>10227</v>
      </c>
      <c r="G2519" s="7">
        <v>5</v>
      </c>
      <c r="H2519" s="7" t="s">
        <v>9336</v>
      </c>
      <c r="I2519" s="7">
        <v>1</v>
      </c>
      <c r="J2519" s="7" t="s">
        <v>7620</v>
      </c>
      <c r="K2519" s="9" t="s">
        <v>8987</v>
      </c>
    </row>
    <row r="2520" spans="1:11">
      <c r="A2520" s="7">
        <v>2518</v>
      </c>
      <c r="B2520" s="7" t="s">
        <v>9174</v>
      </c>
      <c r="C2520" s="7" t="s">
        <v>8984</v>
      </c>
      <c r="D2520" s="7" t="s">
        <v>7548</v>
      </c>
      <c r="E2520" s="7" t="s">
        <v>12182</v>
      </c>
      <c r="F2520" s="8" t="s">
        <v>10227</v>
      </c>
      <c r="G2520" s="7">
        <v>5</v>
      </c>
      <c r="H2520" s="7" t="s">
        <v>9336</v>
      </c>
      <c r="I2520" s="7">
        <v>1</v>
      </c>
      <c r="J2520" s="7" t="s">
        <v>7620</v>
      </c>
      <c r="K2520" s="9" t="s">
        <v>8987</v>
      </c>
    </row>
    <row r="2521" spans="1:11">
      <c r="A2521" s="7">
        <v>2519</v>
      </c>
      <c r="B2521" s="7" t="s">
        <v>9174</v>
      </c>
      <c r="C2521" s="7" t="s">
        <v>11152</v>
      </c>
      <c r="D2521" s="7" t="s">
        <v>7548</v>
      </c>
      <c r="E2521" s="7" t="s">
        <v>12183</v>
      </c>
      <c r="F2521" s="8" t="s">
        <v>10227</v>
      </c>
      <c r="G2521" s="7">
        <v>5</v>
      </c>
      <c r="H2521" s="7" t="s">
        <v>9336</v>
      </c>
      <c r="I2521" s="7">
        <v>1</v>
      </c>
      <c r="J2521" s="7" t="s">
        <v>7620</v>
      </c>
      <c r="K2521" s="9" t="s">
        <v>8987</v>
      </c>
    </row>
    <row r="2522" spans="1:11">
      <c r="A2522" s="7">
        <v>2520</v>
      </c>
      <c r="B2522" s="7" t="s">
        <v>9174</v>
      </c>
      <c r="C2522" s="7" t="s">
        <v>8984</v>
      </c>
      <c r="D2522" s="7" t="s">
        <v>7548</v>
      </c>
      <c r="E2522" s="7" t="s">
        <v>12184</v>
      </c>
      <c r="F2522" s="8" t="s">
        <v>10227</v>
      </c>
      <c r="G2522" s="7">
        <v>5</v>
      </c>
      <c r="H2522" s="7" t="s">
        <v>9336</v>
      </c>
      <c r="I2522" s="7">
        <v>1</v>
      </c>
      <c r="J2522" s="7" t="s">
        <v>7620</v>
      </c>
      <c r="K2522" s="9" t="s">
        <v>8987</v>
      </c>
    </row>
    <row r="2523" spans="1:11">
      <c r="A2523" s="7">
        <v>2521</v>
      </c>
      <c r="B2523" s="7" t="s">
        <v>9174</v>
      </c>
      <c r="C2523" s="7" t="s">
        <v>8984</v>
      </c>
      <c r="D2523" s="7" t="s">
        <v>7548</v>
      </c>
      <c r="E2523" s="7" t="s">
        <v>5581</v>
      </c>
      <c r="F2523" s="8" t="s">
        <v>10227</v>
      </c>
      <c r="G2523" s="7">
        <v>5</v>
      </c>
      <c r="H2523" s="7" t="s">
        <v>9336</v>
      </c>
      <c r="I2523" s="7">
        <v>1</v>
      </c>
      <c r="J2523" s="7" t="s">
        <v>7620</v>
      </c>
      <c r="K2523" s="9" t="s">
        <v>8987</v>
      </c>
    </row>
    <row r="2524" spans="1:11">
      <c r="A2524" s="7">
        <v>2522</v>
      </c>
      <c r="B2524" s="7" t="s">
        <v>9174</v>
      </c>
      <c r="C2524" s="7" t="s">
        <v>8984</v>
      </c>
      <c r="D2524" s="7" t="s">
        <v>7548</v>
      </c>
      <c r="E2524" s="7" t="s">
        <v>12185</v>
      </c>
      <c r="F2524" s="8" t="s">
        <v>10227</v>
      </c>
      <c r="G2524" s="7">
        <v>5</v>
      </c>
      <c r="H2524" s="7" t="s">
        <v>9336</v>
      </c>
      <c r="I2524" s="7">
        <v>1</v>
      </c>
      <c r="J2524" s="7" t="s">
        <v>7620</v>
      </c>
      <c r="K2524" s="9" t="s">
        <v>8987</v>
      </c>
    </row>
    <row r="2525" spans="1:11">
      <c r="A2525" s="7">
        <v>2523</v>
      </c>
      <c r="B2525" s="7" t="s">
        <v>9174</v>
      </c>
      <c r="C2525" s="7" t="s">
        <v>11152</v>
      </c>
      <c r="D2525" s="7" t="s">
        <v>7548</v>
      </c>
      <c r="E2525" s="7" t="s">
        <v>12186</v>
      </c>
      <c r="F2525" s="8" t="s">
        <v>10227</v>
      </c>
      <c r="G2525" s="7">
        <v>5</v>
      </c>
      <c r="H2525" s="7" t="s">
        <v>9336</v>
      </c>
      <c r="I2525" s="7">
        <v>1</v>
      </c>
      <c r="J2525" s="7" t="s">
        <v>7620</v>
      </c>
      <c r="K2525" s="9" t="s">
        <v>8987</v>
      </c>
    </row>
    <row r="2526" spans="1:11">
      <c r="A2526" s="7">
        <v>2524</v>
      </c>
      <c r="B2526" s="7" t="s">
        <v>9174</v>
      </c>
      <c r="C2526" s="7" t="s">
        <v>8984</v>
      </c>
      <c r="D2526" s="7" t="s">
        <v>7548</v>
      </c>
      <c r="E2526" s="7" t="s">
        <v>12187</v>
      </c>
      <c r="F2526" s="8" t="s">
        <v>10227</v>
      </c>
      <c r="G2526" s="7">
        <v>5</v>
      </c>
      <c r="H2526" s="7" t="s">
        <v>9336</v>
      </c>
      <c r="I2526" s="7">
        <v>1</v>
      </c>
      <c r="J2526" s="7" t="s">
        <v>7620</v>
      </c>
      <c r="K2526" s="9" t="s">
        <v>8987</v>
      </c>
    </row>
    <row r="2527" spans="1:11">
      <c r="A2527" s="7">
        <v>2525</v>
      </c>
      <c r="B2527" s="7" t="s">
        <v>9174</v>
      </c>
      <c r="C2527" s="7" t="s">
        <v>8984</v>
      </c>
      <c r="D2527" s="7" t="s">
        <v>7548</v>
      </c>
      <c r="E2527" s="7" t="s">
        <v>12188</v>
      </c>
      <c r="F2527" s="8" t="s">
        <v>10227</v>
      </c>
      <c r="G2527" s="7">
        <v>5</v>
      </c>
      <c r="H2527" s="7" t="s">
        <v>9336</v>
      </c>
      <c r="I2527" s="7">
        <v>1</v>
      </c>
      <c r="J2527" s="7" t="s">
        <v>7620</v>
      </c>
      <c r="K2527" s="9" t="s">
        <v>8987</v>
      </c>
    </row>
    <row r="2528" spans="1:11">
      <c r="A2528" s="7">
        <v>2526</v>
      </c>
      <c r="B2528" s="7" t="s">
        <v>9174</v>
      </c>
      <c r="C2528" s="7" t="s">
        <v>8984</v>
      </c>
      <c r="D2528" s="7" t="s">
        <v>7548</v>
      </c>
      <c r="E2528" s="7" t="s">
        <v>12189</v>
      </c>
      <c r="F2528" s="8" t="s">
        <v>10227</v>
      </c>
      <c r="G2528" s="7">
        <v>5</v>
      </c>
      <c r="H2528" s="7" t="s">
        <v>9336</v>
      </c>
      <c r="I2528" s="7">
        <v>1</v>
      </c>
      <c r="J2528" s="7" t="s">
        <v>7620</v>
      </c>
      <c r="K2528" s="9" t="s">
        <v>8987</v>
      </c>
    </row>
    <row r="2529" spans="1:11">
      <c r="A2529" s="7">
        <v>2527</v>
      </c>
      <c r="B2529" s="7" t="s">
        <v>9174</v>
      </c>
      <c r="C2529" s="7" t="s">
        <v>11152</v>
      </c>
      <c r="D2529" s="7" t="s">
        <v>7548</v>
      </c>
      <c r="E2529" s="7" t="s">
        <v>12190</v>
      </c>
      <c r="F2529" s="8" t="s">
        <v>10227</v>
      </c>
      <c r="G2529" s="7">
        <v>5</v>
      </c>
      <c r="H2529" s="7" t="s">
        <v>9336</v>
      </c>
      <c r="I2529" s="7">
        <v>1</v>
      </c>
      <c r="J2529" s="7" t="s">
        <v>7620</v>
      </c>
      <c r="K2529" s="9" t="s">
        <v>8987</v>
      </c>
    </row>
    <row r="2530" spans="1:11">
      <c r="A2530" s="7">
        <v>2528</v>
      </c>
      <c r="B2530" s="7" t="s">
        <v>9174</v>
      </c>
      <c r="C2530" s="7" t="s">
        <v>8984</v>
      </c>
      <c r="D2530" s="7" t="s">
        <v>7548</v>
      </c>
      <c r="E2530" s="7" t="s">
        <v>12191</v>
      </c>
      <c r="F2530" s="8" t="s">
        <v>10227</v>
      </c>
      <c r="G2530" s="7">
        <v>5</v>
      </c>
      <c r="H2530" s="7" t="s">
        <v>9336</v>
      </c>
      <c r="I2530" s="7">
        <v>1</v>
      </c>
      <c r="J2530" s="7" t="s">
        <v>7620</v>
      </c>
      <c r="K2530" s="9" t="s">
        <v>8987</v>
      </c>
    </row>
    <row r="2531" spans="1:11">
      <c r="A2531" s="7">
        <v>2529</v>
      </c>
      <c r="B2531" s="7" t="s">
        <v>9174</v>
      </c>
      <c r="C2531" s="7" t="s">
        <v>8984</v>
      </c>
      <c r="D2531" s="7" t="s">
        <v>7548</v>
      </c>
      <c r="E2531" s="7" t="s">
        <v>12192</v>
      </c>
      <c r="F2531" s="8" t="s">
        <v>10227</v>
      </c>
      <c r="G2531" s="7">
        <v>5</v>
      </c>
      <c r="H2531" s="7" t="s">
        <v>9336</v>
      </c>
      <c r="I2531" s="7">
        <v>1</v>
      </c>
      <c r="J2531" s="7" t="s">
        <v>7620</v>
      </c>
      <c r="K2531" s="9" t="s">
        <v>8987</v>
      </c>
    </row>
    <row r="2532" spans="1:11">
      <c r="A2532" s="7">
        <v>2530</v>
      </c>
      <c r="B2532" s="7" t="s">
        <v>9174</v>
      </c>
      <c r="C2532" s="7" t="s">
        <v>8984</v>
      </c>
      <c r="D2532" s="7" t="s">
        <v>7548</v>
      </c>
      <c r="E2532" s="7" t="s">
        <v>12193</v>
      </c>
      <c r="F2532" s="8" t="s">
        <v>10227</v>
      </c>
      <c r="G2532" s="7">
        <v>5</v>
      </c>
      <c r="H2532" s="7" t="s">
        <v>9336</v>
      </c>
      <c r="I2532" s="7">
        <v>1</v>
      </c>
      <c r="J2532" s="7" t="s">
        <v>7620</v>
      </c>
      <c r="K2532" s="9" t="s">
        <v>8987</v>
      </c>
    </row>
    <row r="2533" spans="1:11">
      <c r="A2533" s="7">
        <v>2531</v>
      </c>
      <c r="B2533" s="7" t="s">
        <v>9174</v>
      </c>
      <c r="C2533" s="7" t="s">
        <v>11152</v>
      </c>
      <c r="D2533" s="7" t="s">
        <v>7548</v>
      </c>
      <c r="E2533" s="7" t="s">
        <v>12194</v>
      </c>
      <c r="F2533" s="8" t="s">
        <v>10227</v>
      </c>
      <c r="G2533" s="7">
        <v>5</v>
      </c>
      <c r="H2533" s="7" t="s">
        <v>9336</v>
      </c>
      <c r="I2533" s="7">
        <v>1</v>
      </c>
      <c r="J2533" s="7" t="s">
        <v>7620</v>
      </c>
      <c r="K2533" s="9" t="s">
        <v>8987</v>
      </c>
    </row>
    <row r="2534" spans="1:11">
      <c r="A2534" s="7">
        <v>2532</v>
      </c>
      <c r="B2534" s="7" t="s">
        <v>9174</v>
      </c>
      <c r="C2534" s="7" t="s">
        <v>8984</v>
      </c>
      <c r="D2534" s="7" t="s">
        <v>7548</v>
      </c>
      <c r="E2534" s="7" t="s">
        <v>12195</v>
      </c>
      <c r="F2534" s="8" t="s">
        <v>11024</v>
      </c>
      <c r="G2534" s="7">
        <v>5</v>
      </c>
      <c r="H2534" s="7" t="s">
        <v>9336</v>
      </c>
      <c r="I2534" s="7">
        <v>1</v>
      </c>
      <c r="J2534" s="7" t="s">
        <v>7620</v>
      </c>
      <c r="K2534" s="9" t="s">
        <v>8987</v>
      </c>
    </row>
    <row r="2535" spans="1:11">
      <c r="A2535" s="7">
        <v>2533</v>
      </c>
      <c r="B2535" s="7" t="s">
        <v>9174</v>
      </c>
      <c r="C2535" s="7" t="s">
        <v>8984</v>
      </c>
      <c r="D2535" s="7" t="s">
        <v>7548</v>
      </c>
      <c r="E2535" s="7" t="s">
        <v>12196</v>
      </c>
      <c r="F2535" s="8" t="s">
        <v>11024</v>
      </c>
      <c r="G2535" s="7">
        <v>5</v>
      </c>
      <c r="H2535" s="7" t="s">
        <v>9336</v>
      </c>
      <c r="I2535" s="7">
        <v>1</v>
      </c>
      <c r="J2535" s="7" t="s">
        <v>7620</v>
      </c>
      <c r="K2535" s="9" t="s">
        <v>8987</v>
      </c>
    </row>
    <row r="2536" spans="1:11">
      <c r="A2536" s="7">
        <v>2534</v>
      </c>
      <c r="B2536" s="7" t="s">
        <v>9174</v>
      </c>
      <c r="C2536" s="7" t="s">
        <v>8984</v>
      </c>
      <c r="D2536" s="7" t="s">
        <v>7548</v>
      </c>
      <c r="E2536" s="7" t="s">
        <v>12197</v>
      </c>
      <c r="F2536" s="8" t="s">
        <v>11024</v>
      </c>
      <c r="G2536" s="7">
        <v>5</v>
      </c>
      <c r="H2536" s="7" t="s">
        <v>9336</v>
      </c>
      <c r="I2536" s="7">
        <v>1</v>
      </c>
      <c r="J2536" s="7" t="s">
        <v>7620</v>
      </c>
      <c r="K2536" s="9" t="s">
        <v>8987</v>
      </c>
    </row>
    <row r="2537" spans="1:11">
      <c r="A2537" s="7">
        <v>2535</v>
      </c>
      <c r="B2537" s="7" t="s">
        <v>9174</v>
      </c>
      <c r="C2537" s="7" t="s">
        <v>11152</v>
      </c>
      <c r="D2537" s="7" t="s">
        <v>7548</v>
      </c>
      <c r="E2537" s="7" t="s">
        <v>12198</v>
      </c>
      <c r="F2537" s="8" t="s">
        <v>11024</v>
      </c>
      <c r="G2537" s="7">
        <v>5</v>
      </c>
      <c r="H2537" s="7" t="s">
        <v>9336</v>
      </c>
      <c r="I2537" s="7">
        <v>1</v>
      </c>
      <c r="J2537" s="7" t="s">
        <v>7620</v>
      </c>
      <c r="K2537" s="9" t="s">
        <v>8987</v>
      </c>
    </row>
    <row r="2538" spans="1:11">
      <c r="A2538" s="7">
        <v>2536</v>
      </c>
      <c r="B2538" s="7" t="s">
        <v>9174</v>
      </c>
      <c r="C2538" s="7" t="s">
        <v>8984</v>
      </c>
      <c r="D2538" s="7" t="s">
        <v>7548</v>
      </c>
      <c r="E2538" s="7" t="s">
        <v>12199</v>
      </c>
      <c r="F2538" s="8" t="s">
        <v>10244</v>
      </c>
      <c r="G2538" s="7">
        <v>7</v>
      </c>
      <c r="H2538" s="7" t="s">
        <v>9182</v>
      </c>
      <c r="I2538" s="7">
        <v>1</v>
      </c>
      <c r="J2538" s="7" t="s">
        <v>7866</v>
      </c>
      <c r="K2538" s="9" t="s">
        <v>8987</v>
      </c>
    </row>
    <row r="2539" spans="1:11">
      <c r="A2539" s="7">
        <v>2537</v>
      </c>
      <c r="B2539" s="7" t="s">
        <v>9174</v>
      </c>
      <c r="C2539" s="7" t="s">
        <v>8984</v>
      </c>
      <c r="D2539" s="7" t="s">
        <v>7548</v>
      </c>
      <c r="E2539" s="7" t="s">
        <v>5945</v>
      </c>
      <c r="F2539" s="8" t="s">
        <v>10244</v>
      </c>
      <c r="G2539" s="7">
        <v>7</v>
      </c>
      <c r="H2539" s="7" t="s">
        <v>9182</v>
      </c>
      <c r="I2539" s="7">
        <v>1</v>
      </c>
      <c r="J2539" s="7" t="s">
        <v>7866</v>
      </c>
      <c r="K2539" s="9" t="s">
        <v>8987</v>
      </c>
    </row>
    <row r="2540" spans="1:11">
      <c r="A2540" s="7">
        <v>2538</v>
      </c>
      <c r="B2540" s="7" t="s">
        <v>9174</v>
      </c>
      <c r="C2540" s="7" t="s">
        <v>8984</v>
      </c>
      <c r="D2540" s="7" t="s">
        <v>7548</v>
      </c>
      <c r="E2540" s="7" t="s">
        <v>12200</v>
      </c>
      <c r="F2540" s="8" t="s">
        <v>10244</v>
      </c>
      <c r="G2540" s="7">
        <v>14</v>
      </c>
      <c r="H2540" s="7" t="s">
        <v>9397</v>
      </c>
      <c r="I2540" s="7">
        <v>1</v>
      </c>
      <c r="J2540" s="7" t="s">
        <v>7888</v>
      </c>
      <c r="K2540" s="9" t="s">
        <v>8987</v>
      </c>
    </row>
    <row r="2541" spans="1:11">
      <c r="A2541" s="7">
        <v>2539</v>
      </c>
      <c r="B2541" s="7" t="s">
        <v>9174</v>
      </c>
      <c r="C2541" s="7" t="s">
        <v>8984</v>
      </c>
      <c r="D2541" s="7" t="s">
        <v>7548</v>
      </c>
      <c r="E2541" s="7" t="s">
        <v>12201</v>
      </c>
      <c r="F2541" s="8" t="s">
        <v>10244</v>
      </c>
      <c r="G2541" s="7">
        <v>10</v>
      </c>
      <c r="H2541" s="7" t="s">
        <v>9292</v>
      </c>
      <c r="I2541" s="7">
        <v>1</v>
      </c>
      <c r="J2541" s="7" t="s">
        <v>7768</v>
      </c>
      <c r="K2541" s="9" t="s">
        <v>8987</v>
      </c>
    </row>
    <row r="2542" spans="1:11">
      <c r="A2542" s="7">
        <v>2540</v>
      </c>
      <c r="B2542" s="7" t="s">
        <v>9174</v>
      </c>
      <c r="C2542" s="7" t="s">
        <v>8984</v>
      </c>
      <c r="D2542" s="7" t="s">
        <v>7548</v>
      </c>
      <c r="E2542" s="7" t="s">
        <v>5380</v>
      </c>
      <c r="F2542" s="8" t="s">
        <v>10244</v>
      </c>
      <c r="G2542" s="7">
        <v>10</v>
      </c>
      <c r="H2542" s="7" t="s">
        <v>9292</v>
      </c>
      <c r="I2542" s="7">
        <v>1</v>
      </c>
      <c r="J2542" s="7" t="s">
        <v>7768</v>
      </c>
      <c r="K2542" s="9" t="s">
        <v>8987</v>
      </c>
    </row>
    <row r="2543" spans="1:11">
      <c r="A2543" s="7">
        <v>2541</v>
      </c>
      <c r="B2543" s="7" t="s">
        <v>9174</v>
      </c>
      <c r="C2543" s="7" t="s">
        <v>8984</v>
      </c>
      <c r="D2543" s="7" t="s">
        <v>7548</v>
      </c>
      <c r="E2543" s="7" t="s">
        <v>12202</v>
      </c>
      <c r="F2543" s="8" t="s">
        <v>10244</v>
      </c>
      <c r="G2543" s="7">
        <v>14</v>
      </c>
      <c r="H2543" s="7" t="s">
        <v>9397</v>
      </c>
      <c r="I2543" s="7">
        <v>1</v>
      </c>
      <c r="J2543" s="7" t="s">
        <v>7888</v>
      </c>
      <c r="K2543" s="9" t="s">
        <v>8987</v>
      </c>
    </row>
    <row r="2544" spans="1:11">
      <c r="A2544" s="7">
        <v>2542</v>
      </c>
      <c r="B2544" s="7" t="s">
        <v>9719</v>
      </c>
      <c r="C2544" s="7" t="s">
        <v>11152</v>
      </c>
      <c r="D2544" s="7" t="s">
        <v>7548</v>
      </c>
      <c r="E2544" s="7" t="s">
        <v>12203</v>
      </c>
      <c r="F2544" s="8" t="s">
        <v>10244</v>
      </c>
      <c r="G2544" s="7">
        <v>7</v>
      </c>
      <c r="H2544" s="7" t="s">
        <v>9182</v>
      </c>
      <c r="I2544" s="7">
        <v>1</v>
      </c>
      <c r="J2544" s="7" t="s">
        <v>7866</v>
      </c>
      <c r="K2544" s="9" t="s">
        <v>8987</v>
      </c>
    </row>
    <row r="2545" spans="1:11">
      <c r="A2545" s="7">
        <v>2543</v>
      </c>
      <c r="B2545" s="7" t="s">
        <v>9174</v>
      </c>
      <c r="C2545" s="7" t="s">
        <v>8984</v>
      </c>
      <c r="D2545" s="7" t="s">
        <v>7548</v>
      </c>
      <c r="E2545" s="7" t="s">
        <v>12204</v>
      </c>
      <c r="F2545" s="8" t="s">
        <v>10247</v>
      </c>
      <c r="G2545" s="7">
        <v>21</v>
      </c>
      <c r="H2545" s="7" t="s">
        <v>9116</v>
      </c>
      <c r="I2545" s="7">
        <v>1</v>
      </c>
      <c r="J2545" s="7" t="s">
        <v>7842</v>
      </c>
      <c r="K2545" s="9" t="s">
        <v>8987</v>
      </c>
    </row>
    <row r="2546" spans="1:11">
      <c r="A2546" s="7">
        <v>2544</v>
      </c>
      <c r="B2546" s="7" t="s">
        <v>9174</v>
      </c>
      <c r="C2546" s="7" t="s">
        <v>8984</v>
      </c>
      <c r="D2546" s="7" t="s">
        <v>7548</v>
      </c>
      <c r="E2546" s="7" t="s">
        <v>12205</v>
      </c>
      <c r="F2546" s="8" t="s">
        <v>10247</v>
      </c>
      <c r="G2546" s="7">
        <v>21</v>
      </c>
      <c r="H2546" s="7" t="s">
        <v>9116</v>
      </c>
      <c r="I2546" s="7">
        <v>1</v>
      </c>
      <c r="J2546" s="7" t="s">
        <v>7842</v>
      </c>
      <c r="K2546" s="9" t="s">
        <v>8987</v>
      </c>
    </row>
    <row r="2547" spans="1:11">
      <c r="A2547" s="7">
        <v>2545</v>
      </c>
      <c r="B2547" s="7" t="s">
        <v>9174</v>
      </c>
      <c r="C2547" s="7" t="s">
        <v>8984</v>
      </c>
      <c r="D2547" s="7" t="s">
        <v>7548</v>
      </c>
      <c r="E2547" s="7" t="s">
        <v>12206</v>
      </c>
      <c r="F2547" s="8" t="s">
        <v>10247</v>
      </c>
      <c r="G2547" s="7">
        <v>41</v>
      </c>
      <c r="H2547" s="7" t="s">
        <v>9200</v>
      </c>
      <c r="I2547" s="7">
        <v>1</v>
      </c>
      <c r="J2547" s="7" t="s">
        <v>11244</v>
      </c>
      <c r="K2547" s="9" t="s">
        <v>8987</v>
      </c>
    </row>
    <row r="2548" spans="1:11">
      <c r="A2548" s="7">
        <v>2546</v>
      </c>
      <c r="B2548" s="7" t="s">
        <v>9174</v>
      </c>
      <c r="C2548" s="7" t="s">
        <v>8984</v>
      </c>
      <c r="D2548" s="7" t="s">
        <v>7548</v>
      </c>
      <c r="E2548" s="7" t="s">
        <v>12207</v>
      </c>
      <c r="F2548" s="8" t="s">
        <v>10247</v>
      </c>
      <c r="G2548" s="7">
        <v>30</v>
      </c>
      <c r="H2548" s="7" t="s">
        <v>9015</v>
      </c>
      <c r="I2548" s="7">
        <v>1</v>
      </c>
      <c r="J2548" s="7" t="s">
        <v>7855</v>
      </c>
      <c r="K2548" s="9" t="s">
        <v>8987</v>
      </c>
    </row>
    <row r="2549" spans="1:11">
      <c r="A2549" s="7">
        <v>2547</v>
      </c>
      <c r="B2549" s="7" t="s">
        <v>9174</v>
      </c>
      <c r="C2549" s="7" t="s">
        <v>8984</v>
      </c>
      <c r="D2549" s="7" t="s">
        <v>7548</v>
      </c>
      <c r="E2549" s="7" t="s">
        <v>12208</v>
      </c>
      <c r="F2549" s="8" t="s">
        <v>10247</v>
      </c>
      <c r="G2549" s="7">
        <v>30</v>
      </c>
      <c r="H2549" s="7" t="s">
        <v>9015</v>
      </c>
      <c r="I2549" s="7">
        <v>1</v>
      </c>
      <c r="J2549" s="7" t="s">
        <v>7855</v>
      </c>
      <c r="K2549" s="9" t="s">
        <v>8987</v>
      </c>
    </row>
    <row r="2550" spans="1:11">
      <c r="A2550" s="7">
        <v>2548</v>
      </c>
      <c r="B2550" s="7" t="s">
        <v>9174</v>
      </c>
      <c r="C2550" s="7" t="s">
        <v>8984</v>
      </c>
      <c r="D2550" s="7" t="s">
        <v>7548</v>
      </c>
      <c r="E2550" s="7" t="s">
        <v>12209</v>
      </c>
      <c r="F2550" s="8" t="s">
        <v>10247</v>
      </c>
      <c r="G2550" s="7">
        <v>41</v>
      </c>
      <c r="H2550" s="7" t="s">
        <v>9200</v>
      </c>
      <c r="I2550" s="7">
        <v>1</v>
      </c>
      <c r="J2550" s="7" t="s">
        <v>11244</v>
      </c>
      <c r="K2550" s="9" t="s">
        <v>8987</v>
      </c>
    </row>
    <row r="2551" spans="1:11">
      <c r="A2551" s="7">
        <v>2549</v>
      </c>
      <c r="B2551" s="7" t="s">
        <v>9174</v>
      </c>
      <c r="C2551" s="7" t="s">
        <v>11152</v>
      </c>
      <c r="D2551" s="7" t="s">
        <v>7548</v>
      </c>
      <c r="E2551" s="7" t="s">
        <v>12210</v>
      </c>
      <c r="F2551" s="8" t="s">
        <v>10247</v>
      </c>
      <c r="G2551" s="7">
        <v>21</v>
      </c>
      <c r="H2551" s="7" t="s">
        <v>9116</v>
      </c>
      <c r="I2551" s="7">
        <v>1</v>
      </c>
      <c r="J2551" s="7" t="s">
        <v>7842</v>
      </c>
      <c r="K2551" s="9" t="s">
        <v>8987</v>
      </c>
    </row>
    <row r="2552" spans="1:11">
      <c r="A2552" s="7">
        <v>2550</v>
      </c>
      <c r="B2552" s="7" t="s">
        <v>9174</v>
      </c>
      <c r="C2552" s="7" t="s">
        <v>8984</v>
      </c>
      <c r="D2552" s="7" t="s">
        <v>7548</v>
      </c>
      <c r="E2552" s="7" t="s">
        <v>12211</v>
      </c>
      <c r="F2552" s="8" t="s">
        <v>10252</v>
      </c>
      <c r="G2552" s="7">
        <v>9</v>
      </c>
      <c r="H2552" s="7" t="s">
        <v>9030</v>
      </c>
      <c r="I2552" s="7">
        <v>1</v>
      </c>
      <c r="J2552" s="7" t="s">
        <v>7766</v>
      </c>
      <c r="K2552" s="9" t="s">
        <v>8987</v>
      </c>
    </row>
    <row r="2553" spans="1:11">
      <c r="A2553" s="7">
        <v>2551</v>
      </c>
      <c r="B2553" s="7" t="s">
        <v>9174</v>
      </c>
      <c r="C2553" s="7" t="s">
        <v>8984</v>
      </c>
      <c r="D2553" s="7" t="s">
        <v>7548</v>
      </c>
      <c r="E2553" s="7" t="s">
        <v>12212</v>
      </c>
      <c r="F2553" s="8" t="s">
        <v>10252</v>
      </c>
      <c r="G2553" s="7">
        <v>9</v>
      </c>
      <c r="H2553" s="7" t="s">
        <v>9030</v>
      </c>
      <c r="I2553" s="7">
        <v>1</v>
      </c>
      <c r="J2553" s="7" t="s">
        <v>7766</v>
      </c>
      <c r="K2553" s="9" t="s">
        <v>8987</v>
      </c>
    </row>
    <row r="2554" spans="1:11">
      <c r="A2554" s="7">
        <v>2552</v>
      </c>
      <c r="B2554" s="7" t="s">
        <v>9174</v>
      </c>
      <c r="C2554" s="7" t="s">
        <v>8984</v>
      </c>
      <c r="D2554" s="7" t="s">
        <v>7548</v>
      </c>
      <c r="E2554" s="7" t="s">
        <v>12213</v>
      </c>
      <c r="F2554" s="8" t="s">
        <v>10252</v>
      </c>
      <c r="G2554" s="7">
        <v>17</v>
      </c>
      <c r="H2554" s="7" t="s">
        <v>9146</v>
      </c>
      <c r="I2554" s="7">
        <v>1</v>
      </c>
      <c r="J2554" s="7" t="s">
        <v>7850</v>
      </c>
      <c r="K2554" s="9" t="s">
        <v>8987</v>
      </c>
    </row>
    <row r="2555" spans="1:11">
      <c r="A2555" s="7">
        <v>2553</v>
      </c>
      <c r="B2555" s="7" t="s">
        <v>9174</v>
      </c>
      <c r="C2555" s="7" t="s">
        <v>8984</v>
      </c>
      <c r="D2555" s="7" t="s">
        <v>7548</v>
      </c>
      <c r="E2555" s="7" t="s">
        <v>12214</v>
      </c>
      <c r="F2555" s="8" t="s">
        <v>10252</v>
      </c>
      <c r="G2555" s="7">
        <v>12</v>
      </c>
      <c r="H2555" s="7" t="s">
        <v>9213</v>
      </c>
      <c r="I2555" s="7">
        <v>1</v>
      </c>
      <c r="J2555" s="7" t="s">
        <v>7864</v>
      </c>
      <c r="K2555" s="9" t="s">
        <v>8987</v>
      </c>
    </row>
    <row r="2556" spans="1:11">
      <c r="A2556" s="7">
        <v>2554</v>
      </c>
      <c r="B2556" s="7" t="s">
        <v>9174</v>
      </c>
      <c r="C2556" s="7" t="s">
        <v>8984</v>
      </c>
      <c r="D2556" s="7" t="s">
        <v>7548</v>
      </c>
      <c r="E2556" s="7" t="s">
        <v>12215</v>
      </c>
      <c r="F2556" s="8" t="s">
        <v>10252</v>
      </c>
      <c r="G2556" s="7">
        <v>12</v>
      </c>
      <c r="H2556" s="7" t="s">
        <v>9213</v>
      </c>
      <c r="I2556" s="7">
        <v>1</v>
      </c>
      <c r="J2556" s="7" t="s">
        <v>7864</v>
      </c>
      <c r="K2556" s="9" t="s">
        <v>8987</v>
      </c>
    </row>
    <row r="2557" spans="1:11">
      <c r="A2557" s="7">
        <v>2555</v>
      </c>
      <c r="B2557" s="7" t="s">
        <v>9174</v>
      </c>
      <c r="C2557" s="7" t="s">
        <v>8984</v>
      </c>
      <c r="D2557" s="7" t="s">
        <v>7548</v>
      </c>
      <c r="E2557" s="7" t="s">
        <v>12216</v>
      </c>
      <c r="F2557" s="8" t="s">
        <v>10252</v>
      </c>
      <c r="G2557" s="7">
        <v>17</v>
      </c>
      <c r="H2557" s="7" t="s">
        <v>9146</v>
      </c>
      <c r="I2557" s="7">
        <v>1</v>
      </c>
      <c r="J2557" s="7" t="s">
        <v>7850</v>
      </c>
      <c r="K2557" s="9" t="s">
        <v>8987</v>
      </c>
    </row>
    <row r="2558" spans="1:11">
      <c r="A2558" s="7">
        <v>2556</v>
      </c>
      <c r="B2558" s="7" t="s">
        <v>9174</v>
      </c>
      <c r="C2558" s="7" t="s">
        <v>11152</v>
      </c>
      <c r="D2558" s="7" t="s">
        <v>7548</v>
      </c>
      <c r="E2558" s="7" t="s">
        <v>12217</v>
      </c>
      <c r="F2558" s="8" t="s">
        <v>10252</v>
      </c>
      <c r="G2558" s="7">
        <v>9</v>
      </c>
      <c r="H2558" s="7" t="s">
        <v>9030</v>
      </c>
      <c r="I2558" s="7">
        <v>1</v>
      </c>
      <c r="J2558" s="7" t="s">
        <v>7766</v>
      </c>
      <c r="K2558" s="9" t="s">
        <v>8987</v>
      </c>
    </row>
    <row r="2559" spans="1:11">
      <c r="A2559" s="7">
        <v>2557</v>
      </c>
      <c r="B2559" s="7" t="s">
        <v>9174</v>
      </c>
      <c r="C2559" s="7" t="s">
        <v>8984</v>
      </c>
      <c r="D2559" s="7" t="s">
        <v>7548</v>
      </c>
      <c r="E2559" s="7" t="s">
        <v>6519</v>
      </c>
      <c r="F2559" s="8" t="s">
        <v>11026</v>
      </c>
      <c r="G2559" s="7">
        <v>9</v>
      </c>
      <c r="H2559" s="7" t="s">
        <v>9030</v>
      </c>
      <c r="I2559" s="7">
        <v>1</v>
      </c>
      <c r="J2559" s="7" t="s">
        <v>7766</v>
      </c>
      <c r="K2559" s="9" t="s">
        <v>8987</v>
      </c>
    </row>
    <row r="2560" spans="1:11">
      <c r="A2560" s="7">
        <v>2558</v>
      </c>
      <c r="B2560" s="7" t="s">
        <v>9174</v>
      </c>
      <c r="C2560" s="7" t="s">
        <v>8984</v>
      </c>
      <c r="D2560" s="7" t="s">
        <v>7548</v>
      </c>
      <c r="E2560" s="7" t="s">
        <v>7211</v>
      </c>
      <c r="F2560" s="8" t="s">
        <v>11026</v>
      </c>
      <c r="G2560" s="7">
        <v>9</v>
      </c>
      <c r="H2560" s="7" t="s">
        <v>9030</v>
      </c>
      <c r="I2560" s="7">
        <v>1</v>
      </c>
      <c r="J2560" s="7" t="s">
        <v>7766</v>
      </c>
      <c r="K2560" s="9" t="s">
        <v>8987</v>
      </c>
    </row>
    <row r="2561" spans="1:11">
      <c r="A2561" s="7">
        <v>2559</v>
      </c>
      <c r="B2561" s="7" t="s">
        <v>9174</v>
      </c>
      <c r="C2561" s="7" t="s">
        <v>8984</v>
      </c>
      <c r="D2561" s="7" t="s">
        <v>7548</v>
      </c>
      <c r="E2561" s="7" t="s">
        <v>12218</v>
      </c>
      <c r="F2561" s="8" t="s">
        <v>11026</v>
      </c>
      <c r="G2561" s="7">
        <v>18</v>
      </c>
      <c r="H2561" s="7" t="s">
        <v>9422</v>
      </c>
      <c r="I2561" s="7">
        <v>1</v>
      </c>
      <c r="J2561" s="7" t="s">
        <v>7885</v>
      </c>
      <c r="K2561" s="9" t="s">
        <v>8987</v>
      </c>
    </row>
    <row r="2562" spans="1:11">
      <c r="A2562" s="7">
        <v>2560</v>
      </c>
      <c r="B2562" s="7" t="s">
        <v>9174</v>
      </c>
      <c r="C2562" s="7" t="s">
        <v>8984</v>
      </c>
      <c r="D2562" s="7" t="s">
        <v>7548</v>
      </c>
      <c r="E2562" s="7" t="s">
        <v>12219</v>
      </c>
      <c r="F2562" s="8" t="s">
        <v>11026</v>
      </c>
      <c r="G2562" s="7">
        <v>13</v>
      </c>
      <c r="H2562" s="7" t="s">
        <v>9077</v>
      </c>
      <c r="I2562" s="7">
        <v>1</v>
      </c>
      <c r="J2562" s="7" t="s">
        <v>11187</v>
      </c>
      <c r="K2562" s="9" t="s">
        <v>8987</v>
      </c>
    </row>
    <row r="2563" spans="1:11">
      <c r="A2563" s="7">
        <v>2561</v>
      </c>
      <c r="B2563" s="7" t="s">
        <v>9174</v>
      </c>
      <c r="C2563" s="7" t="s">
        <v>8984</v>
      </c>
      <c r="D2563" s="7" t="s">
        <v>7548</v>
      </c>
      <c r="E2563" s="7" t="s">
        <v>12220</v>
      </c>
      <c r="F2563" s="8" t="s">
        <v>11026</v>
      </c>
      <c r="G2563" s="7">
        <v>13</v>
      </c>
      <c r="H2563" s="7" t="s">
        <v>9077</v>
      </c>
      <c r="I2563" s="7">
        <v>1</v>
      </c>
      <c r="J2563" s="7" t="s">
        <v>11187</v>
      </c>
      <c r="K2563" s="9" t="s">
        <v>8987</v>
      </c>
    </row>
    <row r="2564" spans="1:11">
      <c r="A2564" s="7">
        <v>2562</v>
      </c>
      <c r="B2564" s="7" t="s">
        <v>9174</v>
      </c>
      <c r="C2564" s="7" t="s">
        <v>8984</v>
      </c>
      <c r="D2564" s="7" t="s">
        <v>7548</v>
      </c>
      <c r="E2564" s="7" t="s">
        <v>12221</v>
      </c>
      <c r="F2564" s="8" t="s">
        <v>11026</v>
      </c>
      <c r="G2564" s="7">
        <v>18</v>
      </c>
      <c r="H2564" s="7" t="s">
        <v>9422</v>
      </c>
      <c r="I2564" s="7">
        <v>1</v>
      </c>
      <c r="J2564" s="7" t="s">
        <v>7885</v>
      </c>
      <c r="K2564" s="9" t="s">
        <v>8987</v>
      </c>
    </row>
    <row r="2565" spans="1:11">
      <c r="A2565" s="7">
        <v>2563</v>
      </c>
      <c r="B2565" s="7" t="s">
        <v>9174</v>
      </c>
      <c r="C2565" s="7" t="s">
        <v>11152</v>
      </c>
      <c r="D2565" s="7" t="s">
        <v>7548</v>
      </c>
      <c r="E2565" s="7" t="s">
        <v>12222</v>
      </c>
      <c r="F2565" s="8" t="s">
        <v>11026</v>
      </c>
      <c r="G2565" s="7">
        <v>9</v>
      </c>
      <c r="H2565" s="7" t="s">
        <v>9030</v>
      </c>
      <c r="I2565" s="7">
        <v>1</v>
      </c>
      <c r="J2565" s="7" t="s">
        <v>7766</v>
      </c>
      <c r="K2565" s="9" t="s">
        <v>8987</v>
      </c>
    </row>
    <row r="2566" spans="1:11">
      <c r="A2566" s="7">
        <v>2564</v>
      </c>
      <c r="B2566" s="7" t="s">
        <v>9174</v>
      </c>
      <c r="C2566" s="7" t="s">
        <v>8984</v>
      </c>
      <c r="D2566" s="7" t="s">
        <v>7548</v>
      </c>
      <c r="E2566" s="7" t="s">
        <v>12223</v>
      </c>
      <c r="F2566" s="8" t="s">
        <v>10258</v>
      </c>
      <c r="G2566" s="7">
        <v>9</v>
      </c>
      <c r="H2566" s="7" t="s">
        <v>9030</v>
      </c>
      <c r="I2566" s="7">
        <v>1</v>
      </c>
      <c r="J2566" s="7" t="s">
        <v>7766</v>
      </c>
      <c r="K2566" s="9" t="s">
        <v>8987</v>
      </c>
    </row>
    <row r="2567" spans="1:11">
      <c r="A2567" s="7">
        <v>2565</v>
      </c>
      <c r="B2567" s="7" t="s">
        <v>9174</v>
      </c>
      <c r="C2567" s="7" t="s">
        <v>8984</v>
      </c>
      <c r="D2567" s="7" t="s">
        <v>7548</v>
      </c>
      <c r="E2567" s="7" t="s">
        <v>12224</v>
      </c>
      <c r="F2567" s="8" t="s">
        <v>10258</v>
      </c>
      <c r="G2567" s="7">
        <v>9</v>
      </c>
      <c r="H2567" s="7" t="s">
        <v>9030</v>
      </c>
      <c r="I2567" s="7">
        <v>1</v>
      </c>
      <c r="J2567" s="7" t="s">
        <v>7766</v>
      </c>
      <c r="K2567" s="9" t="s">
        <v>8987</v>
      </c>
    </row>
    <row r="2568" spans="1:11">
      <c r="A2568" s="7">
        <v>2566</v>
      </c>
      <c r="B2568" s="7" t="s">
        <v>9174</v>
      </c>
      <c r="C2568" s="7" t="s">
        <v>8984</v>
      </c>
      <c r="D2568" s="7" t="s">
        <v>7548</v>
      </c>
      <c r="E2568" s="7" t="s">
        <v>12225</v>
      </c>
      <c r="F2568" s="8" t="s">
        <v>10258</v>
      </c>
      <c r="G2568" s="7">
        <v>18</v>
      </c>
      <c r="H2568" s="7" t="s">
        <v>9422</v>
      </c>
      <c r="I2568" s="7">
        <v>1</v>
      </c>
      <c r="J2568" s="7" t="s">
        <v>7885</v>
      </c>
      <c r="K2568" s="9" t="s">
        <v>8987</v>
      </c>
    </row>
    <row r="2569" spans="1:11">
      <c r="A2569" s="7">
        <v>2567</v>
      </c>
      <c r="B2569" s="7" t="s">
        <v>9174</v>
      </c>
      <c r="C2569" s="7" t="s">
        <v>8984</v>
      </c>
      <c r="D2569" s="7" t="s">
        <v>7548</v>
      </c>
      <c r="E2569" s="7" t="s">
        <v>12226</v>
      </c>
      <c r="F2569" s="8" t="s">
        <v>10258</v>
      </c>
      <c r="G2569" s="7">
        <v>13</v>
      </c>
      <c r="H2569" s="7" t="s">
        <v>9077</v>
      </c>
      <c r="I2569" s="7">
        <v>1</v>
      </c>
      <c r="J2569" s="7" t="s">
        <v>11187</v>
      </c>
      <c r="K2569" s="9" t="s">
        <v>8987</v>
      </c>
    </row>
    <row r="2570" spans="1:11">
      <c r="A2570" s="7">
        <v>2568</v>
      </c>
      <c r="B2570" s="7" t="s">
        <v>9174</v>
      </c>
      <c r="C2570" s="7" t="s">
        <v>8984</v>
      </c>
      <c r="D2570" s="7" t="s">
        <v>7548</v>
      </c>
      <c r="E2570" s="7" t="s">
        <v>12227</v>
      </c>
      <c r="F2570" s="8" t="s">
        <v>10258</v>
      </c>
      <c r="G2570" s="7">
        <v>13</v>
      </c>
      <c r="H2570" s="7" t="s">
        <v>9077</v>
      </c>
      <c r="I2570" s="7">
        <v>1</v>
      </c>
      <c r="J2570" s="7" t="s">
        <v>11187</v>
      </c>
      <c r="K2570" s="9" t="s">
        <v>8987</v>
      </c>
    </row>
    <row r="2571" spans="1:11">
      <c r="A2571" s="7">
        <v>2569</v>
      </c>
      <c r="B2571" s="7" t="s">
        <v>9174</v>
      </c>
      <c r="C2571" s="7" t="s">
        <v>8984</v>
      </c>
      <c r="D2571" s="7" t="s">
        <v>7548</v>
      </c>
      <c r="E2571" s="7" t="s">
        <v>12228</v>
      </c>
      <c r="F2571" s="8" t="s">
        <v>10258</v>
      </c>
      <c r="G2571" s="7">
        <v>18</v>
      </c>
      <c r="H2571" s="7" t="s">
        <v>9422</v>
      </c>
      <c r="I2571" s="7">
        <v>1</v>
      </c>
      <c r="J2571" s="7" t="s">
        <v>7885</v>
      </c>
      <c r="K2571" s="9" t="s">
        <v>8987</v>
      </c>
    </row>
    <row r="2572" spans="1:11">
      <c r="A2572" s="7">
        <v>2570</v>
      </c>
      <c r="B2572" s="7" t="s">
        <v>9174</v>
      </c>
      <c r="C2572" s="7" t="s">
        <v>11152</v>
      </c>
      <c r="D2572" s="7" t="s">
        <v>7548</v>
      </c>
      <c r="E2572" s="7" t="s">
        <v>12229</v>
      </c>
      <c r="F2572" s="8" t="s">
        <v>10258</v>
      </c>
      <c r="G2572" s="7">
        <v>9</v>
      </c>
      <c r="H2572" s="7" t="s">
        <v>9030</v>
      </c>
      <c r="I2572" s="7">
        <v>1</v>
      </c>
      <c r="J2572" s="7" t="s">
        <v>7766</v>
      </c>
      <c r="K2572" s="9" t="s">
        <v>8987</v>
      </c>
    </row>
    <row r="2573" spans="1:11">
      <c r="A2573" s="7">
        <v>2571</v>
      </c>
      <c r="B2573" s="7" t="s">
        <v>9174</v>
      </c>
      <c r="C2573" s="7" t="s">
        <v>8984</v>
      </c>
      <c r="D2573" s="7" t="s">
        <v>7548</v>
      </c>
      <c r="E2573" s="7" t="s">
        <v>12230</v>
      </c>
      <c r="F2573" s="8" t="s">
        <v>10260</v>
      </c>
      <c r="G2573" s="7">
        <v>8</v>
      </c>
      <c r="H2573" s="7" t="s">
        <v>8991</v>
      </c>
      <c r="I2573" s="7">
        <v>1</v>
      </c>
      <c r="J2573" s="7" t="s">
        <v>7764</v>
      </c>
      <c r="K2573" s="9" t="s">
        <v>8987</v>
      </c>
    </row>
    <row r="2574" spans="1:11">
      <c r="A2574" s="7">
        <v>2572</v>
      </c>
      <c r="B2574" s="7" t="s">
        <v>9174</v>
      </c>
      <c r="C2574" s="7" t="s">
        <v>8984</v>
      </c>
      <c r="D2574" s="7" t="s">
        <v>7548</v>
      </c>
      <c r="E2574" s="7" t="s">
        <v>12231</v>
      </c>
      <c r="F2574" s="8" t="s">
        <v>10260</v>
      </c>
      <c r="G2574" s="7">
        <v>8</v>
      </c>
      <c r="H2574" s="7" t="s">
        <v>8991</v>
      </c>
      <c r="I2574" s="7">
        <v>1</v>
      </c>
      <c r="J2574" s="7" t="s">
        <v>7764</v>
      </c>
      <c r="K2574" s="9" t="s">
        <v>8987</v>
      </c>
    </row>
    <row r="2575" spans="1:11">
      <c r="A2575" s="7">
        <v>2573</v>
      </c>
      <c r="B2575" s="7" t="s">
        <v>9174</v>
      </c>
      <c r="C2575" s="7" t="s">
        <v>8984</v>
      </c>
      <c r="D2575" s="7" t="s">
        <v>7548</v>
      </c>
      <c r="E2575" s="7" t="s">
        <v>12232</v>
      </c>
      <c r="F2575" s="8" t="s">
        <v>10260</v>
      </c>
      <c r="G2575" s="7">
        <v>15</v>
      </c>
      <c r="H2575" s="7" t="s">
        <v>9053</v>
      </c>
      <c r="I2575" s="7">
        <v>1</v>
      </c>
      <c r="J2575" s="7" t="s">
        <v>7862</v>
      </c>
      <c r="K2575" s="9" t="s">
        <v>8987</v>
      </c>
    </row>
    <row r="2576" spans="1:11">
      <c r="A2576" s="7">
        <v>2574</v>
      </c>
      <c r="B2576" s="7" t="s">
        <v>9174</v>
      </c>
      <c r="C2576" s="7" t="s">
        <v>8984</v>
      </c>
      <c r="D2576" s="7" t="s">
        <v>7548</v>
      </c>
      <c r="E2576" s="7" t="s">
        <v>12233</v>
      </c>
      <c r="F2576" s="8" t="s">
        <v>10260</v>
      </c>
      <c r="G2576" s="7">
        <v>11</v>
      </c>
      <c r="H2576" s="7" t="s">
        <v>9386</v>
      </c>
      <c r="I2576" s="7">
        <v>1</v>
      </c>
      <c r="J2576" s="7" t="s">
        <v>7865</v>
      </c>
      <c r="K2576" s="9" t="s">
        <v>8987</v>
      </c>
    </row>
    <row r="2577" spans="1:11">
      <c r="A2577" s="7">
        <v>2575</v>
      </c>
      <c r="B2577" s="7" t="s">
        <v>9174</v>
      </c>
      <c r="C2577" s="7" t="s">
        <v>8984</v>
      </c>
      <c r="D2577" s="7" t="s">
        <v>7548</v>
      </c>
      <c r="E2577" s="7" t="s">
        <v>12234</v>
      </c>
      <c r="F2577" s="8" t="s">
        <v>10260</v>
      </c>
      <c r="G2577" s="7">
        <v>11</v>
      </c>
      <c r="H2577" s="7" t="s">
        <v>9386</v>
      </c>
      <c r="I2577" s="7">
        <v>1</v>
      </c>
      <c r="J2577" s="7" t="s">
        <v>7865</v>
      </c>
      <c r="K2577" s="9" t="s">
        <v>8987</v>
      </c>
    </row>
    <row r="2578" spans="1:11">
      <c r="A2578" s="7">
        <v>2576</v>
      </c>
      <c r="B2578" s="7" t="s">
        <v>9174</v>
      </c>
      <c r="C2578" s="7" t="s">
        <v>8984</v>
      </c>
      <c r="D2578" s="7" t="s">
        <v>7548</v>
      </c>
      <c r="E2578" s="7" t="s">
        <v>12235</v>
      </c>
      <c r="F2578" s="8" t="s">
        <v>10260</v>
      </c>
      <c r="G2578" s="7">
        <v>15</v>
      </c>
      <c r="H2578" s="7" t="s">
        <v>9053</v>
      </c>
      <c r="I2578" s="7">
        <v>1</v>
      </c>
      <c r="J2578" s="7" t="s">
        <v>7862</v>
      </c>
      <c r="K2578" s="9" t="s">
        <v>8987</v>
      </c>
    </row>
    <row r="2579" spans="1:11">
      <c r="A2579" s="7">
        <v>2577</v>
      </c>
      <c r="B2579" s="7" t="s">
        <v>9174</v>
      </c>
      <c r="C2579" s="7" t="s">
        <v>11152</v>
      </c>
      <c r="D2579" s="7" t="s">
        <v>7548</v>
      </c>
      <c r="E2579" s="7" t="s">
        <v>12236</v>
      </c>
      <c r="F2579" s="8" t="s">
        <v>10260</v>
      </c>
      <c r="G2579" s="7">
        <v>8</v>
      </c>
      <c r="H2579" s="7" t="s">
        <v>8991</v>
      </c>
      <c r="I2579" s="7">
        <v>1</v>
      </c>
      <c r="J2579" s="7" t="s">
        <v>7764</v>
      </c>
      <c r="K2579" s="9" t="s">
        <v>8987</v>
      </c>
    </row>
    <row r="2580" spans="1:11">
      <c r="A2580" s="7">
        <v>2578</v>
      </c>
      <c r="B2580" s="7" t="s">
        <v>11164</v>
      </c>
      <c r="C2580" s="7" t="s">
        <v>8984</v>
      </c>
      <c r="D2580" s="7" t="s">
        <v>7548</v>
      </c>
      <c r="E2580" s="7" t="s">
        <v>12237</v>
      </c>
      <c r="F2580" s="8" t="s">
        <v>10269</v>
      </c>
      <c r="G2580" s="7">
        <v>4</v>
      </c>
      <c r="H2580" s="7" t="s">
        <v>9579</v>
      </c>
      <c r="I2580" s="7">
        <v>1</v>
      </c>
      <c r="J2580" s="7" t="s">
        <v>7617</v>
      </c>
      <c r="K2580" s="9" t="s">
        <v>8987</v>
      </c>
    </row>
    <row r="2581" spans="1:11">
      <c r="A2581" s="7">
        <v>2579</v>
      </c>
      <c r="B2581" s="7" t="s">
        <v>9174</v>
      </c>
      <c r="C2581" s="7" t="s">
        <v>8984</v>
      </c>
      <c r="D2581" s="7" t="s">
        <v>7548</v>
      </c>
      <c r="E2581" s="7" t="s">
        <v>12238</v>
      </c>
      <c r="F2581" s="8" t="s">
        <v>10271</v>
      </c>
      <c r="G2581" s="7">
        <v>4</v>
      </c>
      <c r="H2581" s="7" t="s">
        <v>9579</v>
      </c>
      <c r="I2581" s="7">
        <v>1</v>
      </c>
      <c r="J2581" s="7" t="s">
        <v>7617</v>
      </c>
      <c r="K2581" s="9" t="s">
        <v>8987</v>
      </c>
    </row>
    <row r="2582" spans="1:11">
      <c r="A2582" s="7">
        <v>2580</v>
      </c>
      <c r="B2582" s="7" t="s">
        <v>9174</v>
      </c>
      <c r="C2582" s="7" t="s">
        <v>8984</v>
      </c>
      <c r="D2582" s="7" t="s">
        <v>7548</v>
      </c>
      <c r="E2582" s="7" t="s">
        <v>12239</v>
      </c>
      <c r="F2582" s="8" t="s">
        <v>10274</v>
      </c>
      <c r="G2582" s="7">
        <v>4</v>
      </c>
      <c r="H2582" s="7" t="s">
        <v>9579</v>
      </c>
      <c r="I2582" s="7">
        <v>1</v>
      </c>
      <c r="J2582" s="7" t="s">
        <v>7617</v>
      </c>
      <c r="K2582" s="9" t="s">
        <v>8987</v>
      </c>
    </row>
    <row r="2583" spans="1:11">
      <c r="A2583" s="7">
        <v>2581</v>
      </c>
      <c r="B2583" s="7" t="s">
        <v>9174</v>
      </c>
      <c r="C2583" s="7" t="s">
        <v>8984</v>
      </c>
      <c r="D2583" s="7" t="s">
        <v>7548</v>
      </c>
      <c r="E2583" s="7" t="s">
        <v>12240</v>
      </c>
      <c r="F2583" s="8" t="s">
        <v>10274</v>
      </c>
      <c r="G2583" s="7">
        <v>4</v>
      </c>
      <c r="H2583" s="7" t="s">
        <v>9579</v>
      </c>
      <c r="I2583" s="7">
        <v>1</v>
      </c>
      <c r="J2583" s="7" t="s">
        <v>7617</v>
      </c>
      <c r="K2583" s="9" t="s">
        <v>8987</v>
      </c>
    </row>
    <row r="2584" spans="1:11">
      <c r="A2584" s="7">
        <v>2582</v>
      </c>
      <c r="B2584" s="7" t="s">
        <v>9174</v>
      </c>
      <c r="C2584" s="7" t="s">
        <v>8984</v>
      </c>
      <c r="D2584" s="7" t="s">
        <v>7548</v>
      </c>
      <c r="E2584" s="7" t="s">
        <v>12241</v>
      </c>
      <c r="F2584" s="8" t="s">
        <v>10274</v>
      </c>
      <c r="G2584" s="7">
        <v>4</v>
      </c>
      <c r="H2584" s="7" t="s">
        <v>9579</v>
      </c>
      <c r="I2584" s="7">
        <v>1</v>
      </c>
      <c r="J2584" s="7" t="s">
        <v>7617</v>
      </c>
      <c r="K2584" s="9" t="s">
        <v>8987</v>
      </c>
    </row>
    <row r="2585" spans="1:11">
      <c r="A2585" s="7">
        <v>2583</v>
      </c>
      <c r="B2585" s="7" t="s">
        <v>9174</v>
      </c>
      <c r="C2585" s="7" t="s">
        <v>8984</v>
      </c>
      <c r="D2585" s="7" t="s">
        <v>7548</v>
      </c>
      <c r="E2585" s="7" t="s">
        <v>12242</v>
      </c>
      <c r="F2585" s="8" t="s">
        <v>10274</v>
      </c>
      <c r="G2585" s="7">
        <v>4</v>
      </c>
      <c r="H2585" s="7" t="s">
        <v>9579</v>
      </c>
      <c r="I2585" s="7">
        <v>1</v>
      </c>
      <c r="J2585" s="7" t="s">
        <v>7617</v>
      </c>
      <c r="K2585" s="9" t="s">
        <v>8987</v>
      </c>
    </row>
    <row r="2586" spans="1:11">
      <c r="A2586" s="7">
        <v>2584</v>
      </c>
      <c r="B2586" s="7" t="s">
        <v>9174</v>
      </c>
      <c r="C2586" s="7" t="s">
        <v>11152</v>
      </c>
      <c r="D2586" s="7" t="s">
        <v>7548</v>
      </c>
      <c r="E2586" s="7" t="s">
        <v>12243</v>
      </c>
      <c r="F2586" s="8" t="s">
        <v>10274</v>
      </c>
      <c r="G2586" s="7">
        <v>4</v>
      </c>
      <c r="H2586" s="7" t="s">
        <v>9579</v>
      </c>
      <c r="I2586" s="7">
        <v>1</v>
      </c>
      <c r="J2586" s="7" t="s">
        <v>7617</v>
      </c>
      <c r="K2586" s="9" t="s">
        <v>8987</v>
      </c>
    </row>
    <row r="2587" spans="1:11">
      <c r="A2587" s="7">
        <v>2585</v>
      </c>
      <c r="B2587" s="7" t="s">
        <v>9174</v>
      </c>
      <c r="C2587" s="7" t="s">
        <v>8984</v>
      </c>
      <c r="D2587" s="7" t="s">
        <v>7548</v>
      </c>
      <c r="E2587" s="7" t="s">
        <v>12244</v>
      </c>
      <c r="F2587" s="8" t="s">
        <v>10278</v>
      </c>
      <c r="G2587" s="7">
        <v>4</v>
      </c>
      <c r="H2587" s="7" t="s">
        <v>9579</v>
      </c>
      <c r="I2587" s="7">
        <v>1</v>
      </c>
      <c r="J2587" s="7" t="s">
        <v>7617</v>
      </c>
      <c r="K2587" s="9" t="s">
        <v>8987</v>
      </c>
    </row>
    <row r="2588" spans="1:11">
      <c r="A2588" s="7">
        <v>2586</v>
      </c>
      <c r="B2588" s="7" t="s">
        <v>9174</v>
      </c>
      <c r="C2588" s="7" t="s">
        <v>8984</v>
      </c>
      <c r="D2588" s="7" t="s">
        <v>7548</v>
      </c>
      <c r="E2588" s="7" t="s">
        <v>12245</v>
      </c>
      <c r="F2588" s="8" t="s">
        <v>10281</v>
      </c>
      <c r="G2588" s="7">
        <v>4</v>
      </c>
      <c r="H2588" s="7" t="s">
        <v>9579</v>
      </c>
      <c r="I2588" s="7">
        <v>1</v>
      </c>
      <c r="J2588" s="7" t="s">
        <v>7617</v>
      </c>
      <c r="K2588" s="9" t="s">
        <v>8987</v>
      </c>
    </row>
    <row r="2589" spans="1:11">
      <c r="A2589" s="7">
        <v>2587</v>
      </c>
      <c r="B2589" s="7" t="s">
        <v>9174</v>
      </c>
      <c r="C2589" s="7" t="s">
        <v>8984</v>
      </c>
      <c r="D2589" s="7" t="s">
        <v>7548</v>
      </c>
      <c r="E2589" s="7" t="s">
        <v>12246</v>
      </c>
      <c r="F2589" s="8" t="s">
        <v>10283</v>
      </c>
      <c r="G2589" s="7">
        <v>4</v>
      </c>
      <c r="H2589" s="7" t="s">
        <v>9579</v>
      </c>
      <c r="I2589" s="7">
        <v>1</v>
      </c>
      <c r="J2589" s="7" t="s">
        <v>7617</v>
      </c>
      <c r="K2589" s="9" t="s">
        <v>8987</v>
      </c>
    </row>
    <row r="2590" spans="1:11">
      <c r="A2590" s="7">
        <v>2588</v>
      </c>
      <c r="B2590" s="7" t="s">
        <v>9174</v>
      </c>
      <c r="C2590" s="7" t="s">
        <v>8984</v>
      </c>
      <c r="D2590" s="7" t="s">
        <v>7548</v>
      </c>
      <c r="E2590" s="7" t="s">
        <v>12247</v>
      </c>
      <c r="F2590" s="8" t="s">
        <v>10283</v>
      </c>
      <c r="G2590" s="7">
        <v>4</v>
      </c>
      <c r="H2590" s="7" t="s">
        <v>9579</v>
      </c>
      <c r="I2590" s="7">
        <v>1</v>
      </c>
      <c r="J2590" s="7" t="s">
        <v>7617</v>
      </c>
      <c r="K2590" s="9" t="s">
        <v>8987</v>
      </c>
    </row>
    <row r="2591" spans="1:11">
      <c r="A2591" s="7">
        <v>2589</v>
      </c>
      <c r="B2591" s="7" t="s">
        <v>9174</v>
      </c>
      <c r="C2591" s="7" t="s">
        <v>8984</v>
      </c>
      <c r="D2591" s="7" t="s">
        <v>7548</v>
      </c>
      <c r="E2591" s="7" t="s">
        <v>12248</v>
      </c>
      <c r="F2591" s="8" t="s">
        <v>10283</v>
      </c>
      <c r="G2591" s="7">
        <v>4</v>
      </c>
      <c r="H2591" s="7" t="s">
        <v>9579</v>
      </c>
      <c r="I2591" s="7">
        <v>1</v>
      </c>
      <c r="J2591" s="7" t="s">
        <v>7617</v>
      </c>
      <c r="K2591" s="9" t="s">
        <v>8987</v>
      </c>
    </row>
    <row r="2592" spans="1:11">
      <c r="A2592" s="7">
        <v>2590</v>
      </c>
      <c r="B2592" s="7" t="s">
        <v>9174</v>
      </c>
      <c r="C2592" s="7" t="s">
        <v>8984</v>
      </c>
      <c r="D2592" s="7" t="s">
        <v>7548</v>
      </c>
      <c r="E2592" s="7" t="s">
        <v>12249</v>
      </c>
      <c r="F2592" s="8" t="s">
        <v>10283</v>
      </c>
      <c r="G2592" s="7">
        <v>4</v>
      </c>
      <c r="H2592" s="7" t="s">
        <v>9579</v>
      </c>
      <c r="I2592" s="7">
        <v>1</v>
      </c>
      <c r="J2592" s="7" t="s">
        <v>7617</v>
      </c>
      <c r="K2592" s="9" t="s">
        <v>8987</v>
      </c>
    </row>
    <row r="2593" spans="1:11">
      <c r="A2593" s="7">
        <v>2591</v>
      </c>
      <c r="B2593" s="7" t="s">
        <v>9088</v>
      </c>
      <c r="C2593" s="7" t="s">
        <v>8984</v>
      </c>
      <c r="D2593" s="7" t="s">
        <v>7548</v>
      </c>
      <c r="E2593" s="7" t="s">
        <v>12250</v>
      </c>
      <c r="F2593" s="8" t="s">
        <v>11034</v>
      </c>
      <c r="G2593" s="7">
        <v>4</v>
      </c>
      <c r="H2593" s="7" t="s">
        <v>9579</v>
      </c>
      <c r="I2593" s="7">
        <v>1</v>
      </c>
      <c r="J2593" s="7" t="s">
        <v>7617</v>
      </c>
      <c r="K2593" s="9" t="s">
        <v>8987</v>
      </c>
    </row>
    <row r="2594" spans="1:11">
      <c r="A2594" s="7">
        <v>2592</v>
      </c>
      <c r="B2594" s="7" t="s">
        <v>9088</v>
      </c>
      <c r="C2594" s="7" t="s">
        <v>8984</v>
      </c>
      <c r="D2594" s="7" t="s">
        <v>7548</v>
      </c>
      <c r="E2594" s="7" t="s">
        <v>12251</v>
      </c>
      <c r="F2594" s="8" t="s">
        <v>11034</v>
      </c>
      <c r="G2594" s="7">
        <v>4</v>
      </c>
      <c r="H2594" s="7" t="s">
        <v>9579</v>
      </c>
      <c r="I2594" s="7">
        <v>1</v>
      </c>
      <c r="J2594" s="7" t="s">
        <v>7617</v>
      </c>
      <c r="K2594" s="9" t="s">
        <v>8987</v>
      </c>
    </row>
    <row r="2595" spans="1:11">
      <c r="A2595" s="7">
        <v>2593</v>
      </c>
      <c r="B2595" s="7" t="s">
        <v>9088</v>
      </c>
      <c r="C2595" s="7" t="s">
        <v>8984</v>
      </c>
      <c r="D2595" s="7" t="s">
        <v>7548</v>
      </c>
      <c r="E2595" s="7" t="s">
        <v>12252</v>
      </c>
      <c r="F2595" s="8" t="s">
        <v>11034</v>
      </c>
      <c r="G2595" s="7">
        <v>4</v>
      </c>
      <c r="H2595" s="7" t="s">
        <v>9579</v>
      </c>
      <c r="I2595" s="7">
        <v>1</v>
      </c>
      <c r="J2595" s="7" t="s">
        <v>7617</v>
      </c>
      <c r="K2595" s="9" t="s">
        <v>8987</v>
      </c>
    </row>
    <row r="2596" spans="1:11">
      <c r="A2596" s="7">
        <v>2594</v>
      </c>
      <c r="B2596" s="7" t="s">
        <v>8991</v>
      </c>
      <c r="C2596" s="7" t="s">
        <v>8984</v>
      </c>
      <c r="D2596" s="7" t="s">
        <v>7548</v>
      </c>
      <c r="E2596" s="7" t="s">
        <v>12253</v>
      </c>
      <c r="F2596" s="8" t="s">
        <v>11036</v>
      </c>
      <c r="G2596" s="7">
        <v>4</v>
      </c>
      <c r="H2596" s="7" t="s">
        <v>9579</v>
      </c>
      <c r="I2596" s="7">
        <v>1</v>
      </c>
      <c r="J2596" s="7" t="s">
        <v>7617</v>
      </c>
      <c r="K2596" s="9" t="s">
        <v>8987</v>
      </c>
    </row>
    <row r="2597" spans="1:11">
      <c r="A2597" s="7">
        <v>2595</v>
      </c>
      <c r="B2597" s="7" t="s">
        <v>11164</v>
      </c>
      <c r="C2597" s="7" t="s">
        <v>8984</v>
      </c>
      <c r="D2597" s="7" t="s">
        <v>7548</v>
      </c>
      <c r="E2597" s="7" t="s">
        <v>12254</v>
      </c>
      <c r="F2597" s="8" t="s">
        <v>11036</v>
      </c>
      <c r="G2597" s="7">
        <v>4</v>
      </c>
      <c r="H2597" s="7" t="s">
        <v>9579</v>
      </c>
      <c r="I2597" s="7">
        <v>1</v>
      </c>
      <c r="J2597" s="7" t="s">
        <v>7617</v>
      </c>
      <c r="K2597" s="9" t="s">
        <v>8987</v>
      </c>
    </row>
    <row r="2598" spans="1:11">
      <c r="A2598" s="7">
        <v>2596</v>
      </c>
      <c r="B2598" s="7" t="s">
        <v>11164</v>
      </c>
      <c r="C2598" s="7" t="s">
        <v>8984</v>
      </c>
      <c r="D2598" s="7" t="s">
        <v>7548</v>
      </c>
      <c r="E2598" s="7" t="s">
        <v>12255</v>
      </c>
      <c r="F2598" s="8" t="s">
        <v>11036</v>
      </c>
      <c r="G2598" s="7">
        <v>4</v>
      </c>
      <c r="H2598" s="7" t="s">
        <v>9579</v>
      </c>
      <c r="I2598" s="7">
        <v>1</v>
      </c>
      <c r="J2598" s="7" t="s">
        <v>7617</v>
      </c>
      <c r="K2598" s="9" t="s">
        <v>8987</v>
      </c>
    </row>
    <row r="2599" spans="1:11">
      <c r="A2599" s="7">
        <v>2597</v>
      </c>
      <c r="B2599" s="7" t="s">
        <v>11164</v>
      </c>
      <c r="C2599" s="7" t="s">
        <v>8984</v>
      </c>
      <c r="D2599" s="7" t="s">
        <v>7548</v>
      </c>
      <c r="E2599" s="7" t="s">
        <v>12256</v>
      </c>
      <c r="F2599" s="8" t="s">
        <v>11036</v>
      </c>
      <c r="G2599" s="7">
        <v>4</v>
      </c>
      <c r="H2599" s="7" t="s">
        <v>9579</v>
      </c>
      <c r="I2599" s="7">
        <v>1</v>
      </c>
      <c r="J2599" s="7" t="s">
        <v>7617</v>
      </c>
      <c r="K2599" s="9" t="s">
        <v>8987</v>
      </c>
    </row>
    <row r="2600" spans="1:11">
      <c r="A2600" s="7">
        <v>2598</v>
      </c>
      <c r="B2600" s="7" t="s">
        <v>9174</v>
      </c>
      <c r="C2600" s="7" t="s">
        <v>8984</v>
      </c>
      <c r="D2600" s="7" t="s">
        <v>7548</v>
      </c>
      <c r="E2600" s="7" t="s">
        <v>4735</v>
      </c>
      <c r="F2600" s="8" t="s">
        <v>11037</v>
      </c>
      <c r="G2600" s="7">
        <v>9</v>
      </c>
      <c r="H2600" s="7" t="s">
        <v>9030</v>
      </c>
      <c r="I2600" s="7">
        <v>1</v>
      </c>
      <c r="J2600" s="7" t="s">
        <v>7766</v>
      </c>
      <c r="K2600" s="9" t="s">
        <v>8987</v>
      </c>
    </row>
    <row r="2601" spans="1:11">
      <c r="A2601" s="7">
        <v>2599</v>
      </c>
      <c r="B2601" s="7" t="s">
        <v>9174</v>
      </c>
      <c r="C2601" s="7" t="s">
        <v>11152</v>
      </c>
      <c r="D2601" s="7" t="s">
        <v>7548</v>
      </c>
      <c r="E2601" s="7" t="s">
        <v>12257</v>
      </c>
      <c r="F2601" s="8" t="s">
        <v>11037</v>
      </c>
      <c r="G2601" s="7">
        <v>9</v>
      </c>
      <c r="H2601" s="7" t="s">
        <v>9030</v>
      </c>
      <c r="I2601" s="7">
        <v>1</v>
      </c>
      <c r="J2601" s="7" t="s">
        <v>7766</v>
      </c>
      <c r="K2601" s="9" t="s">
        <v>8987</v>
      </c>
    </row>
    <row r="2602" spans="1:11">
      <c r="A2602" s="7">
        <v>2600</v>
      </c>
      <c r="B2602" s="7" t="s">
        <v>9174</v>
      </c>
      <c r="C2602" s="7" t="s">
        <v>8984</v>
      </c>
      <c r="D2602" s="7" t="s">
        <v>7548</v>
      </c>
      <c r="E2602" s="7" t="s">
        <v>12258</v>
      </c>
      <c r="F2602" s="8" t="s">
        <v>11039</v>
      </c>
      <c r="G2602" s="7">
        <v>15</v>
      </c>
      <c r="H2602" s="7" t="s">
        <v>9053</v>
      </c>
      <c r="I2602" s="7">
        <v>1</v>
      </c>
      <c r="J2602" s="7" t="s">
        <v>7862</v>
      </c>
      <c r="K2602" s="9" t="s">
        <v>8987</v>
      </c>
    </row>
    <row r="2603" spans="1:11">
      <c r="A2603" s="7">
        <v>2601</v>
      </c>
      <c r="B2603" s="7" t="s">
        <v>9174</v>
      </c>
      <c r="C2603" s="7" t="s">
        <v>11152</v>
      </c>
      <c r="D2603" s="7" t="s">
        <v>7548</v>
      </c>
      <c r="E2603" s="7" t="s">
        <v>12259</v>
      </c>
      <c r="F2603" s="8" t="s">
        <v>11039</v>
      </c>
      <c r="G2603" s="7">
        <v>8</v>
      </c>
      <c r="H2603" s="7" t="s">
        <v>8991</v>
      </c>
      <c r="I2603" s="7">
        <v>1</v>
      </c>
      <c r="J2603" s="7" t="s">
        <v>7764</v>
      </c>
      <c r="K2603" s="9" t="s">
        <v>8987</v>
      </c>
    </row>
    <row r="2604" spans="1:11">
      <c r="A2604" s="7">
        <v>2602</v>
      </c>
      <c r="B2604" s="7" t="s">
        <v>9174</v>
      </c>
      <c r="C2604" s="7" t="s">
        <v>8984</v>
      </c>
      <c r="D2604" s="7" t="s">
        <v>7548</v>
      </c>
      <c r="E2604" s="7" t="s">
        <v>12260</v>
      </c>
      <c r="F2604" s="8" t="s">
        <v>12261</v>
      </c>
      <c r="G2604" s="7">
        <v>15</v>
      </c>
      <c r="H2604" s="7" t="s">
        <v>9053</v>
      </c>
      <c r="I2604" s="7">
        <v>1</v>
      </c>
      <c r="J2604" s="7" t="s">
        <v>7862</v>
      </c>
      <c r="K2604" s="9" t="s">
        <v>8987</v>
      </c>
    </row>
    <row r="2605" spans="1:11">
      <c r="A2605" s="7">
        <v>2603</v>
      </c>
      <c r="B2605" s="7" t="s">
        <v>9174</v>
      </c>
      <c r="C2605" s="7" t="s">
        <v>11152</v>
      </c>
      <c r="D2605" s="7" t="s">
        <v>7548</v>
      </c>
      <c r="E2605" s="7" t="s">
        <v>12262</v>
      </c>
      <c r="F2605" s="8" t="s">
        <v>12261</v>
      </c>
      <c r="G2605" s="7">
        <v>8</v>
      </c>
      <c r="H2605" s="7" t="s">
        <v>8991</v>
      </c>
      <c r="I2605" s="7">
        <v>1</v>
      </c>
      <c r="J2605" s="7" t="s">
        <v>7764</v>
      </c>
      <c r="K2605" s="9" t="s">
        <v>8987</v>
      </c>
    </row>
    <row r="2606" spans="1:11">
      <c r="A2606" s="7">
        <v>2604</v>
      </c>
      <c r="B2606" s="7" t="s">
        <v>9174</v>
      </c>
      <c r="C2606" s="7" t="s">
        <v>8984</v>
      </c>
      <c r="D2606" s="7" t="s">
        <v>7548</v>
      </c>
      <c r="E2606" s="7" t="s">
        <v>12263</v>
      </c>
      <c r="F2606" s="8" t="s">
        <v>12264</v>
      </c>
      <c r="G2606" s="7">
        <v>7</v>
      </c>
      <c r="H2606" s="7" t="s">
        <v>9182</v>
      </c>
      <c r="I2606" s="7">
        <v>1</v>
      </c>
      <c r="J2606" s="7" t="s">
        <v>7866</v>
      </c>
      <c r="K2606" s="9" t="s">
        <v>8987</v>
      </c>
    </row>
    <row r="2607" spans="1:11">
      <c r="A2607" s="7">
        <v>2605</v>
      </c>
      <c r="B2607" s="7" t="s">
        <v>9174</v>
      </c>
      <c r="C2607" s="7" t="s">
        <v>8984</v>
      </c>
      <c r="D2607" s="7" t="s">
        <v>7548</v>
      </c>
      <c r="E2607" s="7" t="s">
        <v>12265</v>
      </c>
      <c r="F2607" s="8" t="s">
        <v>12264</v>
      </c>
      <c r="G2607" s="7">
        <v>7</v>
      </c>
      <c r="H2607" s="7" t="s">
        <v>9182</v>
      </c>
      <c r="I2607" s="7">
        <v>1</v>
      </c>
      <c r="J2607" s="7" t="s">
        <v>7866</v>
      </c>
      <c r="K2607" s="9" t="s">
        <v>8987</v>
      </c>
    </row>
    <row r="2608" spans="1:11">
      <c r="A2608" s="7">
        <v>2606</v>
      </c>
      <c r="B2608" s="7" t="s">
        <v>9174</v>
      </c>
      <c r="C2608" s="7" t="s">
        <v>8984</v>
      </c>
      <c r="D2608" s="7" t="s">
        <v>7548</v>
      </c>
      <c r="E2608" s="7" t="s">
        <v>12266</v>
      </c>
      <c r="F2608" s="8" t="s">
        <v>12264</v>
      </c>
      <c r="G2608" s="7">
        <v>14</v>
      </c>
      <c r="H2608" s="7" t="s">
        <v>9397</v>
      </c>
      <c r="I2608" s="7">
        <v>1</v>
      </c>
      <c r="J2608" s="7" t="s">
        <v>7888</v>
      </c>
      <c r="K2608" s="9" t="s">
        <v>8987</v>
      </c>
    </row>
    <row r="2609" spans="1:11">
      <c r="A2609" s="7">
        <v>2607</v>
      </c>
      <c r="B2609" s="7" t="s">
        <v>9174</v>
      </c>
      <c r="C2609" s="7" t="s">
        <v>11152</v>
      </c>
      <c r="D2609" s="7" t="s">
        <v>7548</v>
      </c>
      <c r="E2609" s="7" t="s">
        <v>12267</v>
      </c>
      <c r="F2609" s="8" t="s">
        <v>12264</v>
      </c>
      <c r="G2609" s="7">
        <v>7</v>
      </c>
      <c r="H2609" s="7" t="s">
        <v>9182</v>
      </c>
      <c r="I2609" s="7">
        <v>1</v>
      </c>
      <c r="J2609" s="7" t="s">
        <v>7866</v>
      </c>
      <c r="K2609" s="9" t="s">
        <v>8987</v>
      </c>
    </row>
    <row r="2610" spans="1:11">
      <c r="A2610" s="7">
        <v>2608</v>
      </c>
      <c r="B2610" s="7" t="s">
        <v>11105</v>
      </c>
      <c r="C2610" s="7" t="s">
        <v>8984</v>
      </c>
      <c r="D2610" s="7" t="s">
        <v>7553</v>
      </c>
      <c r="E2610" s="7" t="s">
        <v>12268</v>
      </c>
      <c r="F2610" s="8" t="s">
        <v>9360</v>
      </c>
      <c r="G2610" s="7">
        <v>14</v>
      </c>
      <c r="H2610" s="7" t="s">
        <v>9397</v>
      </c>
      <c r="I2610" s="7">
        <v>1</v>
      </c>
      <c r="J2610" s="7" t="s">
        <v>7888</v>
      </c>
      <c r="K2610" s="9" t="s">
        <v>8987</v>
      </c>
    </row>
    <row r="2611" spans="1:11">
      <c r="A2611" s="7">
        <v>2609</v>
      </c>
      <c r="B2611" s="7" t="s">
        <v>11105</v>
      </c>
      <c r="C2611" s="7" t="s">
        <v>8984</v>
      </c>
      <c r="D2611" s="7" t="s">
        <v>7573</v>
      </c>
      <c r="E2611" s="7" t="s">
        <v>12269</v>
      </c>
      <c r="F2611" s="8" t="s">
        <v>9260</v>
      </c>
      <c r="G2611" s="7">
        <v>9</v>
      </c>
      <c r="H2611" s="7" t="s">
        <v>9030</v>
      </c>
      <c r="I2611" s="7">
        <v>1</v>
      </c>
      <c r="J2611" s="7" t="s">
        <v>7766</v>
      </c>
      <c r="K2611" s="9" t="s">
        <v>8987</v>
      </c>
    </row>
    <row r="2612" spans="1:11">
      <c r="A2612" s="7">
        <v>2610</v>
      </c>
      <c r="B2612" s="7" t="s">
        <v>11105</v>
      </c>
      <c r="C2612" s="7" t="s">
        <v>8984</v>
      </c>
      <c r="D2612" s="7" t="s">
        <v>7573</v>
      </c>
      <c r="E2612" s="7" t="s">
        <v>12270</v>
      </c>
      <c r="F2612" s="8" t="s">
        <v>9260</v>
      </c>
      <c r="G2612" s="7">
        <v>20</v>
      </c>
      <c r="H2612" s="7" t="s">
        <v>9394</v>
      </c>
      <c r="I2612" s="7">
        <v>1</v>
      </c>
      <c r="J2612" s="7" t="s">
        <v>7851</v>
      </c>
      <c r="K2612" s="9" t="s">
        <v>8987</v>
      </c>
    </row>
    <row r="2613" spans="1:11">
      <c r="A2613" s="7">
        <v>2611</v>
      </c>
      <c r="B2613" s="7" t="s">
        <v>11105</v>
      </c>
      <c r="C2613" s="7" t="s">
        <v>8984</v>
      </c>
      <c r="D2613" s="7" t="s">
        <v>7573</v>
      </c>
      <c r="E2613" s="7" t="s">
        <v>12271</v>
      </c>
      <c r="F2613" s="8" t="s">
        <v>9260</v>
      </c>
      <c r="G2613" s="7">
        <v>12</v>
      </c>
      <c r="H2613" s="7" t="s">
        <v>9213</v>
      </c>
      <c r="I2613" s="7">
        <v>1</v>
      </c>
      <c r="J2613" s="7" t="s">
        <v>7864</v>
      </c>
      <c r="K2613" s="9" t="s">
        <v>8987</v>
      </c>
    </row>
    <row r="2614" spans="1:11">
      <c r="A2614" s="7">
        <v>2612</v>
      </c>
      <c r="B2614" s="7" t="s">
        <v>11105</v>
      </c>
      <c r="C2614" s="7" t="s">
        <v>8984</v>
      </c>
      <c r="D2614" s="7" t="s">
        <v>7573</v>
      </c>
      <c r="E2614" s="7" t="s">
        <v>12272</v>
      </c>
      <c r="F2614" s="8" t="s">
        <v>9260</v>
      </c>
      <c r="G2614" s="7">
        <v>15</v>
      </c>
      <c r="H2614" s="7" t="s">
        <v>9053</v>
      </c>
      <c r="I2614" s="7">
        <v>1</v>
      </c>
      <c r="J2614" s="7" t="s">
        <v>7862</v>
      </c>
      <c r="K2614" s="9" t="s">
        <v>8987</v>
      </c>
    </row>
    <row r="2615" spans="1:11">
      <c r="A2615" s="7">
        <v>2613</v>
      </c>
      <c r="B2615" s="7" t="s">
        <v>11105</v>
      </c>
      <c r="C2615" s="7" t="s">
        <v>8984</v>
      </c>
      <c r="D2615" s="7" t="s">
        <v>7573</v>
      </c>
      <c r="E2615" s="7" t="s">
        <v>12273</v>
      </c>
      <c r="F2615" s="8" t="s">
        <v>9260</v>
      </c>
      <c r="G2615" s="7">
        <v>12</v>
      </c>
      <c r="H2615" s="7" t="s">
        <v>9213</v>
      </c>
      <c r="I2615" s="7">
        <v>1</v>
      </c>
      <c r="J2615" s="7" t="s">
        <v>7864</v>
      </c>
      <c r="K2615" s="9" t="s">
        <v>8987</v>
      </c>
    </row>
    <row r="2616" spans="1:11">
      <c r="A2616" s="7">
        <v>2614</v>
      </c>
      <c r="B2616" s="7" t="s">
        <v>11105</v>
      </c>
      <c r="C2616" s="7" t="s">
        <v>8984</v>
      </c>
      <c r="D2616" s="7" t="s">
        <v>7573</v>
      </c>
      <c r="E2616" s="7" t="s">
        <v>12274</v>
      </c>
      <c r="F2616" s="8" t="s">
        <v>9260</v>
      </c>
      <c r="G2616" s="7">
        <v>12</v>
      </c>
      <c r="H2616" s="7" t="s">
        <v>9213</v>
      </c>
      <c r="I2616" s="7">
        <v>1</v>
      </c>
      <c r="J2616" s="7" t="s">
        <v>7864</v>
      </c>
      <c r="K2616" s="9" t="s">
        <v>8987</v>
      </c>
    </row>
    <row r="2617" spans="1:11">
      <c r="A2617" s="7">
        <v>2615</v>
      </c>
      <c r="B2617" s="7" t="s">
        <v>11105</v>
      </c>
      <c r="C2617" s="7" t="s">
        <v>8984</v>
      </c>
      <c r="D2617" s="7" t="s">
        <v>7549</v>
      </c>
      <c r="E2617" s="7" t="s">
        <v>12275</v>
      </c>
      <c r="F2617" s="8" t="s">
        <v>9210</v>
      </c>
      <c r="G2617" s="7">
        <v>10</v>
      </c>
      <c r="H2617" s="7" t="s">
        <v>9292</v>
      </c>
      <c r="I2617" s="7">
        <v>1</v>
      </c>
      <c r="J2617" s="7" t="s">
        <v>7768</v>
      </c>
      <c r="K2617" s="9" t="s">
        <v>8987</v>
      </c>
    </row>
    <row r="2618" spans="1:11">
      <c r="A2618" s="7">
        <v>2616</v>
      </c>
      <c r="B2618" s="7" t="s">
        <v>11105</v>
      </c>
      <c r="C2618" s="7" t="s">
        <v>8984</v>
      </c>
      <c r="D2618" s="7" t="s">
        <v>7549</v>
      </c>
      <c r="E2618" s="7" t="s">
        <v>12276</v>
      </c>
      <c r="F2618" s="8" t="s">
        <v>9210</v>
      </c>
      <c r="G2618" s="7">
        <v>20</v>
      </c>
      <c r="H2618" s="7" t="s">
        <v>9394</v>
      </c>
      <c r="I2618" s="7">
        <v>1</v>
      </c>
      <c r="J2618" s="7" t="s">
        <v>7851</v>
      </c>
      <c r="K2618" s="9" t="s">
        <v>8987</v>
      </c>
    </row>
    <row r="2619" spans="1:11">
      <c r="A2619" s="7">
        <v>2617</v>
      </c>
      <c r="B2619" s="7" t="s">
        <v>11105</v>
      </c>
      <c r="C2619" s="7" t="s">
        <v>8984</v>
      </c>
      <c r="D2619" s="7" t="s">
        <v>7549</v>
      </c>
      <c r="E2619" s="7" t="s">
        <v>12277</v>
      </c>
      <c r="F2619" s="8" t="s">
        <v>9210</v>
      </c>
      <c r="G2619" s="7">
        <v>10</v>
      </c>
      <c r="H2619" s="7" t="s">
        <v>9292</v>
      </c>
      <c r="I2619" s="7">
        <v>1</v>
      </c>
      <c r="J2619" s="7" t="s">
        <v>7768</v>
      </c>
      <c r="K2619" s="9" t="s">
        <v>8987</v>
      </c>
    </row>
    <row r="2620" spans="1:11">
      <c r="A2620" s="7">
        <v>2618</v>
      </c>
      <c r="B2620" s="7" t="s">
        <v>11105</v>
      </c>
      <c r="C2620" s="7" t="s">
        <v>8984</v>
      </c>
      <c r="D2620" s="7" t="s">
        <v>7549</v>
      </c>
      <c r="E2620" s="7" t="s">
        <v>12278</v>
      </c>
      <c r="F2620" s="8" t="s">
        <v>9210</v>
      </c>
      <c r="G2620" s="7">
        <v>15</v>
      </c>
      <c r="H2620" s="7" t="s">
        <v>9053</v>
      </c>
      <c r="I2620" s="7">
        <v>1</v>
      </c>
      <c r="J2620" s="7" t="s">
        <v>7862</v>
      </c>
      <c r="K2620" s="9" t="s">
        <v>8987</v>
      </c>
    </row>
    <row r="2621" spans="1:11">
      <c r="A2621" s="7">
        <v>2619</v>
      </c>
      <c r="B2621" s="7" t="s">
        <v>11105</v>
      </c>
      <c r="C2621" s="7" t="s">
        <v>8984</v>
      </c>
      <c r="D2621" s="7" t="s">
        <v>7549</v>
      </c>
      <c r="E2621" s="7" t="s">
        <v>12279</v>
      </c>
      <c r="F2621" s="8" t="s">
        <v>9210</v>
      </c>
      <c r="G2621" s="7">
        <v>10</v>
      </c>
      <c r="H2621" s="7" t="s">
        <v>9292</v>
      </c>
      <c r="I2621" s="7">
        <v>1</v>
      </c>
      <c r="J2621" s="7" t="s">
        <v>7768</v>
      </c>
      <c r="K2621" s="9" t="s">
        <v>8987</v>
      </c>
    </row>
    <row r="2622" spans="1:11">
      <c r="A2622" s="7">
        <v>2620</v>
      </c>
      <c r="B2622" s="7" t="s">
        <v>11105</v>
      </c>
      <c r="C2622" s="7" t="s">
        <v>8984</v>
      </c>
      <c r="D2622" s="7" t="s">
        <v>7546</v>
      </c>
      <c r="E2622" s="7" t="s">
        <v>12280</v>
      </c>
      <c r="F2622" s="8" t="s">
        <v>9226</v>
      </c>
      <c r="G2622" s="7">
        <v>21</v>
      </c>
      <c r="H2622" s="7" t="s">
        <v>9116</v>
      </c>
      <c r="I2622" s="7">
        <v>1</v>
      </c>
      <c r="J2622" s="7" t="s">
        <v>7842</v>
      </c>
      <c r="K2622" s="9" t="s">
        <v>8987</v>
      </c>
    </row>
    <row r="2623" spans="1:11">
      <c r="A2623" s="7">
        <v>2621</v>
      </c>
      <c r="B2623" s="7" t="s">
        <v>11105</v>
      </c>
      <c r="C2623" s="7" t="s">
        <v>8984</v>
      </c>
      <c r="D2623" s="7" t="s">
        <v>7546</v>
      </c>
      <c r="E2623" s="7" t="s">
        <v>12281</v>
      </c>
      <c r="F2623" s="8" t="s">
        <v>9226</v>
      </c>
      <c r="G2623" s="7">
        <v>10</v>
      </c>
      <c r="H2623" s="7" t="s">
        <v>9292</v>
      </c>
      <c r="I2623" s="7">
        <v>1</v>
      </c>
      <c r="J2623" s="7" t="s">
        <v>7768</v>
      </c>
      <c r="K2623" s="9" t="s">
        <v>8987</v>
      </c>
    </row>
    <row r="2624" spans="1:11">
      <c r="A2624" s="7">
        <v>2622</v>
      </c>
      <c r="B2624" s="7" t="s">
        <v>11105</v>
      </c>
      <c r="C2624" s="7" t="s">
        <v>8984</v>
      </c>
      <c r="D2624" s="7" t="s">
        <v>7546</v>
      </c>
      <c r="E2624" s="7" t="s">
        <v>12282</v>
      </c>
      <c r="F2624" s="8" t="s">
        <v>9226</v>
      </c>
      <c r="G2624" s="7">
        <v>20</v>
      </c>
      <c r="H2624" s="7" t="s">
        <v>9394</v>
      </c>
      <c r="I2624" s="7">
        <v>1</v>
      </c>
      <c r="J2624" s="7" t="s">
        <v>7851</v>
      </c>
      <c r="K2624" s="9" t="s">
        <v>8987</v>
      </c>
    </row>
    <row r="2625" spans="1:11">
      <c r="A2625" s="7">
        <v>2623</v>
      </c>
      <c r="B2625" s="7" t="s">
        <v>11105</v>
      </c>
      <c r="C2625" s="7" t="s">
        <v>8984</v>
      </c>
      <c r="D2625" s="7" t="s">
        <v>7546</v>
      </c>
      <c r="E2625" s="7" t="s">
        <v>12283</v>
      </c>
      <c r="F2625" s="8" t="s">
        <v>9226</v>
      </c>
      <c r="G2625" s="7">
        <v>10</v>
      </c>
      <c r="H2625" s="7" t="s">
        <v>9292</v>
      </c>
      <c r="I2625" s="7">
        <v>1</v>
      </c>
      <c r="J2625" s="7" t="s">
        <v>7768</v>
      </c>
      <c r="K2625" s="9" t="s">
        <v>8987</v>
      </c>
    </row>
    <row r="2626" spans="1:11">
      <c r="A2626" s="7">
        <v>2624</v>
      </c>
      <c r="B2626" s="7" t="s">
        <v>11105</v>
      </c>
      <c r="C2626" s="7" t="s">
        <v>8984</v>
      </c>
      <c r="D2626" s="7" t="s">
        <v>7546</v>
      </c>
      <c r="E2626" s="7" t="s">
        <v>12284</v>
      </c>
      <c r="F2626" s="8" t="s">
        <v>9226</v>
      </c>
      <c r="G2626" s="7">
        <v>15</v>
      </c>
      <c r="H2626" s="7" t="s">
        <v>9053</v>
      </c>
      <c r="I2626" s="7">
        <v>1</v>
      </c>
      <c r="J2626" s="7" t="s">
        <v>7862</v>
      </c>
      <c r="K2626" s="9" t="s">
        <v>8987</v>
      </c>
    </row>
    <row r="2627" spans="1:11">
      <c r="A2627" s="7">
        <v>2625</v>
      </c>
      <c r="B2627" s="7" t="s">
        <v>11105</v>
      </c>
      <c r="C2627" s="7" t="s">
        <v>8984</v>
      </c>
      <c r="D2627" s="7" t="s">
        <v>7546</v>
      </c>
      <c r="E2627" s="7" t="s">
        <v>12285</v>
      </c>
      <c r="F2627" s="8" t="s">
        <v>9226</v>
      </c>
      <c r="G2627" s="7">
        <v>10</v>
      </c>
      <c r="H2627" s="7" t="s">
        <v>9292</v>
      </c>
      <c r="I2627" s="7">
        <v>1</v>
      </c>
      <c r="J2627" s="7" t="s">
        <v>7768</v>
      </c>
      <c r="K2627" s="9" t="s">
        <v>8987</v>
      </c>
    </row>
    <row r="2628" spans="1:11">
      <c r="A2628" s="7">
        <v>2626</v>
      </c>
      <c r="B2628" s="7" t="s">
        <v>9579</v>
      </c>
      <c r="C2628" s="7" t="s">
        <v>8984</v>
      </c>
      <c r="D2628" s="7" t="s">
        <v>7546</v>
      </c>
      <c r="E2628" s="7" t="s">
        <v>12286</v>
      </c>
      <c r="F2628" s="8" t="s">
        <v>9232</v>
      </c>
      <c r="G2628" s="7">
        <v>23</v>
      </c>
      <c r="H2628" s="7" t="s">
        <v>9120</v>
      </c>
      <c r="I2628" s="7">
        <v>1</v>
      </c>
      <c r="J2628" s="7" t="s">
        <v>7848</v>
      </c>
      <c r="K2628" s="9" t="s">
        <v>8987</v>
      </c>
    </row>
    <row r="2629" spans="1:11">
      <c r="A2629" s="7">
        <v>2627</v>
      </c>
      <c r="B2629" s="7" t="s">
        <v>11105</v>
      </c>
      <c r="C2629" s="7" t="s">
        <v>8984</v>
      </c>
      <c r="D2629" s="7" t="s">
        <v>7552</v>
      </c>
      <c r="E2629" s="7" t="s">
        <v>12287</v>
      </c>
      <c r="F2629" s="8" t="s">
        <v>9450</v>
      </c>
      <c r="G2629" s="7">
        <v>30</v>
      </c>
      <c r="H2629" s="7" t="s">
        <v>9015</v>
      </c>
      <c r="I2629" s="7">
        <v>1</v>
      </c>
      <c r="J2629" s="7" t="s">
        <v>7855</v>
      </c>
      <c r="K2629" s="9" t="s">
        <v>8987</v>
      </c>
    </row>
    <row r="2630" spans="1:11">
      <c r="A2630" s="7">
        <v>2628</v>
      </c>
      <c r="B2630" s="7" t="s">
        <v>11105</v>
      </c>
      <c r="C2630" s="7" t="s">
        <v>8984</v>
      </c>
      <c r="D2630" s="7" t="s">
        <v>7552</v>
      </c>
      <c r="E2630" s="7" t="s">
        <v>12288</v>
      </c>
      <c r="F2630" s="8" t="s">
        <v>10102</v>
      </c>
      <c r="G2630" s="7">
        <v>27</v>
      </c>
      <c r="H2630" s="7" t="s">
        <v>9130</v>
      </c>
      <c r="I2630" s="7">
        <v>1</v>
      </c>
      <c r="J2630" s="7" t="s">
        <v>7852</v>
      </c>
      <c r="K2630" s="9" t="s">
        <v>8987</v>
      </c>
    </row>
    <row r="2631" spans="1:11">
      <c r="A2631" s="7">
        <v>2629</v>
      </c>
      <c r="B2631" s="7" t="s">
        <v>11105</v>
      </c>
      <c r="C2631" s="7" t="s">
        <v>8984</v>
      </c>
      <c r="D2631" s="7" t="s">
        <v>7552</v>
      </c>
      <c r="E2631" s="7" t="s">
        <v>12289</v>
      </c>
      <c r="F2631" s="8" t="s">
        <v>10102</v>
      </c>
      <c r="G2631" s="7">
        <v>36</v>
      </c>
      <c r="H2631" s="7" t="s">
        <v>10305</v>
      </c>
      <c r="I2631" s="7">
        <v>1</v>
      </c>
      <c r="J2631" s="7" t="s">
        <v>11492</v>
      </c>
      <c r="K2631" s="9" t="s">
        <v>8987</v>
      </c>
    </row>
    <row r="2632" spans="1:11">
      <c r="A2632" s="7">
        <v>2630</v>
      </c>
      <c r="B2632" s="7" t="s">
        <v>11105</v>
      </c>
      <c r="C2632" s="7" t="s">
        <v>8984</v>
      </c>
      <c r="D2632" s="7" t="s">
        <v>7552</v>
      </c>
      <c r="E2632" s="7" t="s">
        <v>12290</v>
      </c>
      <c r="F2632" s="8" t="s">
        <v>10102</v>
      </c>
      <c r="G2632" s="7">
        <v>18</v>
      </c>
      <c r="H2632" s="7" t="s">
        <v>9422</v>
      </c>
      <c r="I2632" s="7">
        <v>1</v>
      </c>
      <c r="J2632" s="7" t="s">
        <v>7885</v>
      </c>
      <c r="K2632" s="9" t="s">
        <v>8987</v>
      </c>
    </row>
    <row r="2633" spans="1:11">
      <c r="A2633" s="7">
        <v>2631</v>
      </c>
      <c r="B2633" s="7" t="s">
        <v>11105</v>
      </c>
      <c r="C2633" s="7" t="s">
        <v>8984</v>
      </c>
      <c r="D2633" s="7" t="s">
        <v>7552</v>
      </c>
      <c r="E2633" s="7" t="s">
        <v>12291</v>
      </c>
      <c r="F2633" s="8" t="s">
        <v>10102</v>
      </c>
      <c r="G2633" s="7">
        <v>27</v>
      </c>
      <c r="H2633" s="7" t="s">
        <v>9130</v>
      </c>
      <c r="I2633" s="7">
        <v>1</v>
      </c>
      <c r="J2633" s="7" t="s">
        <v>7852</v>
      </c>
      <c r="K2633" s="9" t="s">
        <v>8987</v>
      </c>
    </row>
    <row r="2634" spans="1:11">
      <c r="A2634" s="7">
        <v>2632</v>
      </c>
      <c r="B2634" s="7" t="s">
        <v>11105</v>
      </c>
      <c r="C2634" s="7" t="s">
        <v>8984</v>
      </c>
      <c r="D2634" s="7" t="s">
        <v>7552</v>
      </c>
      <c r="E2634" s="7" t="s">
        <v>12292</v>
      </c>
      <c r="F2634" s="8" t="s">
        <v>10102</v>
      </c>
      <c r="G2634" s="7">
        <v>18</v>
      </c>
      <c r="H2634" s="7" t="s">
        <v>9422</v>
      </c>
      <c r="I2634" s="7">
        <v>1</v>
      </c>
      <c r="J2634" s="7" t="s">
        <v>7885</v>
      </c>
      <c r="K2634" s="9" t="s">
        <v>8987</v>
      </c>
    </row>
    <row r="2635" spans="1:11">
      <c r="A2635" s="7">
        <v>2633</v>
      </c>
      <c r="B2635" s="7" t="s">
        <v>11105</v>
      </c>
      <c r="C2635" s="7" t="s">
        <v>8984</v>
      </c>
      <c r="D2635" s="7" t="s">
        <v>7552</v>
      </c>
      <c r="E2635" s="7" t="s">
        <v>12293</v>
      </c>
      <c r="F2635" s="8" t="s">
        <v>10102</v>
      </c>
      <c r="G2635" s="7">
        <v>36</v>
      </c>
      <c r="H2635" s="7" t="s">
        <v>10305</v>
      </c>
      <c r="I2635" s="7">
        <v>1</v>
      </c>
      <c r="J2635" s="7" t="s">
        <v>11492</v>
      </c>
      <c r="K2635" s="9" t="s">
        <v>8987</v>
      </c>
    </row>
    <row r="2636" spans="1:11">
      <c r="A2636" s="7">
        <v>2634</v>
      </c>
      <c r="B2636" s="7" t="s">
        <v>11105</v>
      </c>
      <c r="C2636" s="7" t="s">
        <v>8984</v>
      </c>
      <c r="D2636" s="7" t="s">
        <v>7552</v>
      </c>
      <c r="E2636" s="7" t="s">
        <v>12294</v>
      </c>
      <c r="F2636" s="8" t="s">
        <v>10142</v>
      </c>
      <c r="G2636" s="7">
        <v>89</v>
      </c>
      <c r="H2636" s="7" t="s">
        <v>9570</v>
      </c>
      <c r="I2636" s="7">
        <v>1</v>
      </c>
      <c r="J2636" s="7" t="s">
        <v>11501</v>
      </c>
      <c r="K2636" s="9" t="s">
        <v>8987</v>
      </c>
    </row>
    <row r="2637" spans="1:11">
      <c r="A2637" s="7">
        <v>2635</v>
      </c>
      <c r="B2637" s="7" t="s">
        <v>11105</v>
      </c>
      <c r="C2637" s="7" t="s">
        <v>8984</v>
      </c>
      <c r="D2637" s="7" t="s">
        <v>7546</v>
      </c>
      <c r="E2637" s="7" t="s">
        <v>12295</v>
      </c>
      <c r="F2637" s="8" t="s">
        <v>9083</v>
      </c>
      <c r="G2637" s="7">
        <v>17</v>
      </c>
      <c r="H2637" s="7" t="s">
        <v>9146</v>
      </c>
      <c r="I2637" s="7">
        <v>1</v>
      </c>
      <c r="J2637" s="7" t="s">
        <v>7850</v>
      </c>
      <c r="K2637" s="9" t="s">
        <v>8987</v>
      </c>
    </row>
    <row r="2638" spans="1:11">
      <c r="A2638" s="7">
        <v>2636</v>
      </c>
      <c r="B2638" s="7" t="s">
        <v>11105</v>
      </c>
      <c r="C2638" s="7" t="s">
        <v>8984</v>
      </c>
      <c r="D2638" s="7" t="s">
        <v>7546</v>
      </c>
      <c r="E2638" s="7" t="s">
        <v>12296</v>
      </c>
      <c r="F2638" s="8" t="s">
        <v>9087</v>
      </c>
      <c r="G2638" s="7">
        <v>19</v>
      </c>
      <c r="H2638" s="7" t="s">
        <v>10462</v>
      </c>
      <c r="I2638" s="7">
        <v>1</v>
      </c>
      <c r="J2638" s="7" t="s">
        <v>7841</v>
      </c>
      <c r="K2638" s="9" t="s">
        <v>8987</v>
      </c>
    </row>
    <row r="2639" spans="1:11">
      <c r="A2639" s="7">
        <v>2637</v>
      </c>
      <c r="B2639" s="7" t="s">
        <v>11105</v>
      </c>
      <c r="C2639" s="7" t="s">
        <v>8984</v>
      </c>
      <c r="D2639" s="7" t="s">
        <v>7546</v>
      </c>
      <c r="E2639" s="7" t="s">
        <v>12297</v>
      </c>
      <c r="F2639" s="8" t="s">
        <v>9091</v>
      </c>
      <c r="G2639" s="7">
        <v>19</v>
      </c>
      <c r="H2639" s="7" t="s">
        <v>10462</v>
      </c>
      <c r="I2639" s="7">
        <v>1</v>
      </c>
      <c r="J2639" s="7" t="s">
        <v>7841</v>
      </c>
      <c r="K2639" s="9" t="s">
        <v>8987</v>
      </c>
    </row>
    <row r="2640" spans="1:11">
      <c r="A2640" s="7">
        <v>2638</v>
      </c>
      <c r="B2640" s="7" t="s">
        <v>11105</v>
      </c>
      <c r="C2640" s="7" t="s">
        <v>8984</v>
      </c>
      <c r="D2640" s="7" t="s">
        <v>7546</v>
      </c>
      <c r="E2640" s="7" t="s">
        <v>12298</v>
      </c>
      <c r="F2640" s="8" t="s">
        <v>9093</v>
      </c>
      <c r="G2640" s="7">
        <v>19</v>
      </c>
      <c r="H2640" s="7" t="s">
        <v>10462</v>
      </c>
      <c r="I2640" s="7">
        <v>1</v>
      </c>
      <c r="J2640" s="7" t="s">
        <v>7841</v>
      </c>
      <c r="K2640" s="9" t="s">
        <v>8987</v>
      </c>
    </row>
    <row r="2641" spans="1:11">
      <c r="A2641" s="7">
        <v>2639</v>
      </c>
      <c r="B2641" s="7" t="s">
        <v>11105</v>
      </c>
      <c r="C2641" s="7" t="s">
        <v>8984</v>
      </c>
      <c r="D2641" s="7" t="s">
        <v>7546</v>
      </c>
      <c r="E2641" s="7" t="s">
        <v>12299</v>
      </c>
      <c r="F2641" s="8" t="s">
        <v>9096</v>
      </c>
      <c r="G2641" s="7">
        <v>19</v>
      </c>
      <c r="H2641" s="7" t="s">
        <v>10462</v>
      </c>
      <c r="I2641" s="7">
        <v>1</v>
      </c>
      <c r="J2641" s="7" t="s">
        <v>7841</v>
      </c>
      <c r="K2641" s="9" t="s">
        <v>8987</v>
      </c>
    </row>
    <row r="2642" spans="1:11">
      <c r="A2642" s="7">
        <v>2640</v>
      </c>
      <c r="B2642" s="7" t="s">
        <v>11105</v>
      </c>
      <c r="C2642" s="7" t="s">
        <v>8984</v>
      </c>
      <c r="D2642" s="7" t="s">
        <v>7546</v>
      </c>
      <c r="E2642" s="7" t="s">
        <v>12300</v>
      </c>
      <c r="F2642" s="8" t="s">
        <v>9098</v>
      </c>
      <c r="G2642" s="7">
        <v>19</v>
      </c>
      <c r="H2642" s="7" t="s">
        <v>10462</v>
      </c>
      <c r="I2642" s="7">
        <v>1</v>
      </c>
      <c r="J2642" s="7" t="s">
        <v>7841</v>
      </c>
      <c r="K2642" s="9" t="s">
        <v>8987</v>
      </c>
    </row>
    <row r="2643" spans="1:11">
      <c r="A2643" s="7">
        <v>2641</v>
      </c>
      <c r="B2643" s="7" t="s">
        <v>11105</v>
      </c>
      <c r="C2643" s="7" t="s">
        <v>8984</v>
      </c>
      <c r="D2643" s="7" t="s">
        <v>7546</v>
      </c>
      <c r="E2643" s="7" t="s">
        <v>12301</v>
      </c>
      <c r="F2643" s="8" t="s">
        <v>9098</v>
      </c>
      <c r="G2643" s="7">
        <v>10</v>
      </c>
      <c r="H2643" s="7" t="s">
        <v>9292</v>
      </c>
      <c r="I2643" s="7">
        <v>1</v>
      </c>
      <c r="J2643" s="7" t="s">
        <v>7768</v>
      </c>
      <c r="K2643" s="9" t="s">
        <v>8987</v>
      </c>
    </row>
    <row r="2644" spans="1:11">
      <c r="A2644" s="7">
        <v>2642</v>
      </c>
      <c r="B2644" s="7" t="s">
        <v>11105</v>
      </c>
      <c r="C2644" s="7" t="s">
        <v>8984</v>
      </c>
      <c r="D2644" s="7" t="s">
        <v>7546</v>
      </c>
      <c r="E2644" s="7" t="s">
        <v>12302</v>
      </c>
      <c r="F2644" s="8" t="s">
        <v>9098</v>
      </c>
      <c r="G2644" s="7">
        <v>20</v>
      </c>
      <c r="H2644" s="7" t="s">
        <v>9394</v>
      </c>
      <c r="I2644" s="7">
        <v>1</v>
      </c>
      <c r="J2644" s="7" t="s">
        <v>7851</v>
      </c>
      <c r="K2644" s="9" t="s">
        <v>8987</v>
      </c>
    </row>
    <row r="2645" spans="1:11">
      <c r="A2645" s="7">
        <v>2643</v>
      </c>
      <c r="B2645" s="7" t="s">
        <v>11105</v>
      </c>
      <c r="C2645" s="7" t="s">
        <v>8984</v>
      </c>
      <c r="D2645" s="7" t="s">
        <v>7546</v>
      </c>
      <c r="E2645" s="7" t="s">
        <v>12303</v>
      </c>
      <c r="F2645" s="8" t="s">
        <v>9098</v>
      </c>
      <c r="G2645" s="7">
        <v>10</v>
      </c>
      <c r="H2645" s="7" t="s">
        <v>9292</v>
      </c>
      <c r="I2645" s="7">
        <v>1</v>
      </c>
      <c r="J2645" s="7" t="s">
        <v>7768</v>
      </c>
      <c r="K2645" s="9" t="s">
        <v>8987</v>
      </c>
    </row>
    <row r="2646" spans="1:11">
      <c r="A2646" s="7">
        <v>2644</v>
      </c>
      <c r="B2646" s="7" t="s">
        <v>11105</v>
      </c>
      <c r="C2646" s="7" t="s">
        <v>8984</v>
      </c>
      <c r="D2646" s="7" t="s">
        <v>7546</v>
      </c>
      <c r="E2646" s="7" t="s">
        <v>12304</v>
      </c>
      <c r="F2646" s="8" t="s">
        <v>9098</v>
      </c>
      <c r="G2646" s="7">
        <v>15</v>
      </c>
      <c r="H2646" s="7" t="s">
        <v>9053</v>
      </c>
      <c r="I2646" s="7">
        <v>1</v>
      </c>
      <c r="J2646" s="7" t="s">
        <v>7862</v>
      </c>
      <c r="K2646" s="9" t="s">
        <v>8987</v>
      </c>
    </row>
    <row r="2647" spans="1:11">
      <c r="A2647" s="7">
        <v>2645</v>
      </c>
      <c r="B2647" s="7" t="s">
        <v>11105</v>
      </c>
      <c r="C2647" s="7" t="s">
        <v>8984</v>
      </c>
      <c r="D2647" s="7" t="s">
        <v>7546</v>
      </c>
      <c r="E2647" s="7" t="s">
        <v>12305</v>
      </c>
      <c r="F2647" s="8" t="s">
        <v>9098</v>
      </c>
      <c r="G2647" s="7">
        <v>10</v>
      </c>
      <c r="H2647" s="7" t="s">
        <v>9292</v>
      </c>
      <c r="I2647" s="7">
        <v>1</v>
      </c>
      <c r="J2647" s="7" t="s">
        <v>7768</v>
      </c>
      <c r="K2647" s="9" t="s">
        <v>8987</v>
      </c>
    </row>
    <row r="2648" spans="1:11">
      <c r="A2648" s="7">
        <v>2646</v>
      </c>
      <c r="B2648" s="7" t="s">
        <v>11105</v>
      </c>
      <c r="C2648" s="7" t="s">
        <v>8984</v>
      </c>
      <c r="D2648" s="7" t="s">
        <v>7546</v>
      </c>
      <c r="E2648" s="7" t="s">
        <v>4512</v>
      </c>
      <c r="F2648" s="8" t="s">
        <v>9094</v>
      </c>
      <c r="G2648" s="7">
        <v>20</v>
      </c>
      <c r="H2648" s="7" t="s">
        <v>9394</v>
      </c>
      <c r="I2648" s="7">
        <v>1</v>
      </c>
      <c r="J2648" s="7" t="s">
        <v>7851</v>
      </c>
      <c r="K2648" s="9" t="s">
        <v>8987</v>
      </c>
    </row>
    <row r="2649" spans="1:11">
      <c r="A2649" s="7">
        <v>2647</v>
      </c>
      <c r="B2649" s="7" t="s">
        <v>11105</v>
      </c>
      <c r="C2649" s="7" t="s">
        <v>8984</v>
      </c>
      <c r="D2649" s="7" t="s">
        <v>7546</v>
      </c>
      <c r="E2649" s="7" t="s">
        <v>12306</v>
      </c>
      <c r="F2649" s="8" t="s">
        <v>9457</v>
      </c>
      <c r="G2649" s="7">
        <v>10</v>
      </c>
      <c r="H2649" s="7" t="s">
        <v>9292</v>
      </c>
      <c r="I2649" s="7">
        <v>1</v>
      </c>
      <c r="J2649" s="7" t="s">
        <v>7768</v>
      </c>
      <c r="K2649" s="9" t="s">
        <v>8987</v>
      </c>
    </row>
    <row r="2650" spans="1:11">
      <c r="A2650" s="7">
        <v>2648</v>
      </c>
      <c r="B2650" s="7" t="s">
        <v>11105</v>
      </c>
      <c r="C2650" s="7" t="s">
        <v>8984</v>
      </c>
      <c r="D2650" s="7" t="s">
        <v>7546</v>
      </c>
      <c r="E2650" s="7" t="s">
        <v>6232</v>
      </c>
      <c r="F2650" s="8" t="s">
        <v>9457</v>
      </c>
      <c r="G2650" s="7">
        <v>20</v>
      </c>
      <c r="H2650" s="7" t="s">
        <v>9394</v>
      </c>
      <c r="I2650" s="7">
        <v>1</v>
      </c>
      <c r="J2650" s="7" t="s">
        <v>7851</v>
      </c>
      <c r="K2650" s="9" t="s">
        <v>8987</v>
      </c>
    </row>
    <row r="2651" spans="1:11">
      <c r="A2651" s="7">
        <v>2649</v>
      </c>
      <c r="B2651" s="7" t="s">
        <v>11105</v>
      </c>
      <c r="C2651" s="7" t="s">
        <v>8984</v>
      </c>
      <c r="D2651" s="7" t="s">
        <v>7546</v>
      </c>
      <c r="E2651" s="7" t="s">
        <v>12307</v>
      </c>
      <c r="F2651" s="8" t="s">
        <v>9457</v>
      </c>
      <c r="G2651" s="7">
        <v>10</v>
      </c>
      <c r="H2651" s="7" t="s">
        <v>9292</v>
      </c>
      <c r="I2651" s="7">
        <v>1</v>
      </c>
      <c r="J2651" s="7" t="s">
        <v>7768</v>
      </c>
      <c r="K2651" s="9" t="s">
        <v>8987</v>
      </c>
    </row>
    <row r="2652" spans="1:11">
      <c r="A2652" s="7">
        <v>2650</v>
      </c>
      <c r="B2652" s="7" t="s">
        <v>11105</v>
      </c>
      <c r="C2652" s="7" t="s">
        <v>8984</v>
      </c>
      <c r="D2652" s="7" t="s">
        <v>7546</v>
      </c>
      <c r="E2652" s="7" t="s">
        <v>12308</v>
      </c>
      <c r="F2652" s="8" t="s">
        <v>9457</v>
      </c>
      <c r="G2652" s="7">
        <v>15</v>
      </c>
      <c r="H2652" s="7" t="s">
        <v>9053</v>
      </c>
      <c r="I2652" s="7">
        <v>1</v>
      </c>
      <c r="J2652" s="7" t="s">
        <v>7862</v>
      </c>
      <c r="K2652" s="9" t="s">
        <v>8987</v>
      </c>
    </row>
    <row r="2653" spans="1:11">
      <c r="A2653" s="7">
        <v>2651</v>
      </c>
      <c r="B2653" s="7" t="s">
        <v>11105</v>
      </c>
      <c r="C2653" s="7" t="s">
        <v>8984</v>
      </c>
      <c r="D2653" s="7" t="s">
        <v>7546</v>
      </c>
      <c r="E2653" s="7" t="s">
        <v>12309</v>
      </c>
      <c r="F2653" s="8" t="s">
        <v>9457</v>
      </c>
      <c r="G2653" s="7">
        <v>10</v>
      </c>
      <c r="H2653" s="7" t="s">
        <v>9292</v>
      </c>
      <c r="I2653" s="7">
        <v>1</v>
      </c>
      <c r="J2653" s="7" t="s">
        <v>7768</v>
      </c>
      <c r="K2653" s="9" t="s">
        <v>8987</v>
      </c>
    </row>
    <row r="2654" spans="1:11">
      <c r="A2654" s="7">
        <v>2652</v>
      </c>
      <c r="B2654" s="7" t="s">
        <v>11105</v>
      </c>
      <c r="C2654" s="7" t="s">
        <v>8984</v>
      </c>
      <c r="D2654" s="7" t="s">
        <v>7546</v>
      </c>
      <c r="E2654" s="7" t="s">
        <v>12310</v>
      </c>
      <c r="F2654" s="8" t="s">
        <v>9457</v>
      </c>
      <c r="G2654" s="7">
        <v>20</v>
      </c>
      <c r="H2654" s="7" t="s">
        <v>9394</v>
      </c>
      <c r="I2654" s="7">
        <v>1</v>
      </c>
      <c r="J2654" s="7" t="s">
        <v>7851</v>
      </c>
      <c r="K2654" s="9" t="s">
        <v>8987</v>
      </c>
    </row>
    <row r="2655" spans="1:11">
      <c r="A2655" s="7">
        <v>2653</v>
      </c>
      <c r="B2655" s="7" t="s">
        <v>11105</v>
      </c>
      <c r="C2655" s="7" t="s">
        <v>8984</v>
      </c>
      <c r="D2655" s="7" t="s">
        <v>7550</v>
      </c>
      <c r="E2655" s="7" t="s">
        <v>12311</v>
      </c>
      <c r="F2655" s="8" t="s">
        <v>9543</v>
      </c>
      <c r="G2655" s="7">
        <v>25</v>
      </c>
      <c r="H2655" s="7" t="s">
        <v>9011</v>
      </c>
      <c r="I2655" s="7">
        <v>1</v>
      </c>
      <c r="J2655" s="7" t="s">
        <v>7840</v>
      </c>
      <c r="K2655" s="9" t="s">
        <v>8987</v>
      </c>
    </row>
    <row r="2656" spans="1:11">
      <c r="A2656" s="7">
        <v>2654</v>
      </c>
      <c r="B2656" s="7" t="s">
        <v>11335</v>
      </c>
      <c r="C2656" s="7" t="s">
        <v>8984</v>
      </c>
      <c r="D2656" s="7" t="s">
        <v>7550</v>
      </c>
      <c r="E2656" s="7" t="s">
        <v>12312</v>
      </c>
      <c r="F2656" s="8" t="s">
        <v>10308</v>
      </c>
      <c r="G2656" s="7">
        <v>50</v>
      </c>
      <c r="H2656" s="7" t="s">
        <v>9021</v>
      </c>
      <c r="I2656" s="7">
        <v>1</v>
      </c>
      <c r="J2656" s="7" t="s">
        <v>7881</v>
      </c>
      <c r="K2656" s="9" t="s">
        <v>8987</v>
      </c>
    </row>
    <row r="2657" spans="1:11">
      <c r="A2657" s="7">
        <v>2655</v>
      </c>
      <c r="B2657" s="7" t="s">
        <v>11105</v>
      </c>
      <c r="C2657" s="7" t="s">
        <v>8984</v>
      </c>
      <c r="D2657" s="7" t="s">
        <v>7550</v>
      </c>
      <c r="E2657" s="7" t="s">
        <v>12313</v>
      </c>
      <c r="F2657" s="8" t="s">
        <v>10308</v>
      </c>
      <c r="G2657" s="7">
        <v>25</v>
      </c>
      <c r="H2657" s="7" t="s">
        <v>9011</v>
      </c>
      <c r="I2657" s="7">
        <v>1</v>
      </c>
      <c r="J2657" s="7" t="s">
        <v>7840</v>
      </c>
      <c r="K2657" s="9" t="s">
        <v>8987</v>
      </c>
    </row>
    <row r="2658" spans="1:11">
      <c r="A2658" s="7">
        <v>2656</v>
      </c>
      <c r="B2658" s="7" t="s">
        <v>11335</v>
      </c>
      <c r="C2658" s="7" t="s">
        <v>8984</v>
      </c>
      <c r="D2658" s="7" t="s">
        <v>7550</v>
      </c>
      <c r="E2658" s="7" t="s">
        <v>12314</v>
      </c>
      <c r="F2658" s="8" t="s">
        <v>9669</v>
      </c>
      <c r="G2658" s="7">
        <v>30</v>
      </c>
      <c r="H2658" s="7" t="s">
        <v>9015</v>
      </c>
      <c r="I2658" s="7">
        <v>1</v>
      </c>
      <c r="J2658" s="7" t="s">
        <v>7855</v>
      </c>
      <c r="K2658" s="9" t="s">
        <v>8987</v>
      </c>
    </row>
    <row r="2659" spans="1:11">
      <c r="A2659" s="7">
        <v>2657</v>
      </c>
      <c r="B2659" s="7" t="s">
        <v>11105</v>
      </c>
      <c r="C2659" s="7" t="s">
        <v>8984</v>
      </c>
      <c r="D2659" s="7" t="s">
        <v>7550</v>
      </c>
      <c r="E2659" s="7" t="s">
        <v>12315</v>
      </c>
      <c r="F2659" s="8" t="s">
        <v>9669</v>
      </c>
      <c r="G2659" s="7">
        <v>15</v>
      </c>
      <c r="H2659" s="7" t="s">
        <v>9053</v>
      </c>
      <c r="I2659" s="7">
        <v>1</v>
      </c>
      <c r="J2659" s="7" t="s">
        <v>7862</v>
      </c>
      <c r="K2659" s="9" t="s">
        <v>8987</v>
      </c>
    </row>
    <row r="2660" spans="1:11">
      <c r="A2660" s="7">
        <v>2658</v>
      </c>
      <c r="B2660" s="7" t="s">
        <v>11105</v>
      </c>
      <c r="C2660" s="7" t="s">
        <v>8984</v>
      </c>
      <c r="D2660" s="7" t="s">
        <v>7550</v>
      </c>
      <c r="E2660" s="7" t="s">
        <v>12316</v>
      </c>
      <c r="F2660" s="8" t="s">
        <v>9436</v>
      </c>
      <c r="G2660" s="7">
        <v>19</v>
      </c>
      <c r="H2660" s="7" t="s">
        <v>10462</v>
      </c>
      <c r="I2660" s="7">
        <v>1</v>
      </c>
      <c r="J2660" s="7" t="s">
        <v>7841</v>
      </c>
      <c r="K2660" s="9" t="s">
        <v>8987</v>
      </c>
    </row>
    <row r="2661" spans="1:11">
      <c r="A2661" s="7">
        <v>2659</v>
      </c>
      <c r="B2661" s="7" t="s">
        <v>11105</v>
      </c>
      <c r="C2661" s="7" t="s">
        <v>8984</v>
      </c>
      <c r="D2661" s="7" t="s">
        <v>7550</v>
      </c>
      <c r="E2661" s="7" t="s">
        <v>12317</v>
      </c>
      <c r="F2661" s="8" t="s">
        <v>10184</v>
      </c>
      <c r="G2661" s="7">
        <v>44</v>
      </c>
      <c r="H2661" s="7" t="s">
        <v>9658</v>
      </c>
      <c r="I2661" s="7">
        <v>1</v>
      </c>
      <c r="J2661" s="7" t="s">
        <v>7890</v>
      </c>
      <c r="K2661" s="9" t="s">
        <v>8987</v>
      </c>
    </row>
    <row r="2662" spans="1:11">
      <c r="A2662" s="7">
        <v>2660</v>
      </c>
      <c r="B2662" s="7" t="s">
        <v>11105</v>
      </c>
      <c r="C2662" s="7" t="s">
        <v>8984</v>
      </c>
      <c r="D2662" s="7" t="s">
        <v>7573</v>
      </c>
      <c r="E2662" s="7" t="s">
        <v>12318</v>
      </c>
      <c r="F2662" s="8" t="s">
        <v>10059</v>
      </c>
      <c r="G2662" s="7">
        <v>10</v>
      </c>
      <c r="H2662" s="7" t="s">
        <v>9292</v>
      </c>
      <c r="I2662" s="7">
        <v>1</v>
      </c>
      <c r="J2662" s="7" t="s">
        <v>7768</v>
      </c>
      <c r="K2662" s="9" t="s">
        <v>8987</v>
      </c>
    </row>
    <row r="2663" spans="1:11">
      <c r="A2663" s="7">
        <v>2661</v>
      </c>
      <c r="B2663" s="7" t="s">
        <v>11105</v>
      </c>
      <c r="C2663" s="7" t="s">
        <v>8984</v>
      </c>
      <c r="D2663" s="7" t="s">
        <v>7573</v>
      </c>
      <c r="E2663" s="7" t="s">
        <v>12319</v>
      </c>
      <c r="F2663" s="8" t="s">
        <v>10059</v>
      </c>
      <c r="G2663" s="7">
        <v>22</v>
      </c>
      <c r="H2663" s="7" t="s">
        <v>8994</v>
      </c>
      <c r="I2663" s="7">
        <v>1</v>
      </c>
      <c r="J2663" s="7" t="s">
        <v>7879</v>
      </c>
      <c r="K2663" s="9" t="s">
        <v>8987</v>
      </c>
    </row>
    <row r="2664" spans="1:11">
      <c r="A2664" s="7">
        <v>2662</v>
      </c>
      <c r="B2664" s="7" t="s">
        <v>11105</v>
      </c>
      <c r="C2664" s="7" t="s">
        <v>8984</v>
      </c>
      <c r="D2664" s="7" t="s">
        <v>7573</v>
      </c>
      <c r="E2664" s="7" t="s">
        <v>12320</v>
      </c>
      <c r="F2664" s="8" t="s">
        <v>10059</v>
      </c>
      <c r="G2664" s="7">
        <v>10</v>
      </c>
      <c r="H2664" s="7" t="s">
        <v>9292</v>
      </c>
      <c r="I2664" s="7">
        <v>1</v>
      </c>
      <c r="J2664" s="7" t="s">
        <v>7768</v>
      </c>
      <c r="K2664" s="9" t="s">
        <v>8987</v>
      </c>
    </row>
    <row r="2665" spans="1:11">
      <c r="A2665" s="7">
        <v>2663</v>
      </c>
      <c r="B2665" s="7" t="s">
        <v>11105</v>
      </c>
      <c r="C2665" s="7" t="s">
        <v>8984</v>
      </c>
      <c r="D2665" s="7" t="s">
        <v>7573</v>
      </c>
      <c r="E2665" s="7" t="s">
        <v>12321</v>
      </c>
      <c r="F2665" s="8" t="s">
        <v>10059</v>
      </c>
      <c r="G2665" s="7">
        <v>17</v>
      </c>
      <c r="H2665" s="7" t="s">
        <v>9146</v>
      </c>
      <c r="I2665" s="7">
        <v>1</v>
      </c>
      <c r="J2665" s="7" t="s">
        <v>7850</v>
      </c>
      <c r="K2665" s="9" t="s">
        <v>8987</v>
      </c>
    </row>
    <row r="2666" spans="1:11">
      <c r="A2666" s="7">
        <v>2664</v>
      </c>
      <c r="B2666" s="7" t="s">
        <v>11105</v>
      </c>
      <c r="C2666" s="7" t="s">
        <v>8984</v>
      </c>
      <c r="D2666" s="7" t="s">
        <v>7573</v>
      </c>
      <c r="E2666" s="7" t="s">
        <v>12322</v>
      </c>
      <c r="F2666" s="8" t="s">
        <v>10059</v>
      </c>
      <c r="G2666" s="7">
        <v>10</v>
      </c>
      <c r="H2666" s="7" t="s">
        <v>9292</v>
      </c>
      <c r="I2666" s="7">
        <v>1</v>
      </c>
      <c r="J2666" s="7" t="s">
        <v>7768</v>
      </c>
      <c r="K2666" s="9" t="s">
        <v>8987</v>
      </c>
    </row>
    <row r="2667" spans="1:11">
      <c r="A2667" s="7">
        <v>2665</v>
      </c>
      <c r="B2667" s="7" t="s">
        <v>11105</v>
      </c>
      <c r="C2667" s="7" t="s">
        <v>8984</v>
      </c>
      <c r="D2667" s="7" t="s">
        <v>7573</v>
      </c>
      <c r="E2667" s="7" t="s">
        <v>12323</v>
      </c>
      <c r="F2667" s="8" t="s">
        <v>9264</v>
      </c>
      <c r="G2667" s="7">
        <v>34</v>
      </c>
      <c r="H2667" s="7" t="s">
        <v>11266</v>
      </c>
      <c r="I2667" s="7">
        <v>1</v>
      </c>
      <c r="J2667" s="7" t="s">
        <v>11267</v>
      </c>
      <c r="K2667" s="9" t="s">
        <v>8987</v>
      </c>
    </row>
    <row r="2668" spans="1:11">
      <c r="A2668" s="7">
        <v>2666</v>
      </c>
      <c r="B2668" s="7" t="s">
        <v>11105</v>
      </c>
      <c r="C2668" s="7" t="s">
        <v>8984</v>
      </c>
      <c r="D2668" s="7" t="s">
        <v>7573</v>
      </c>
      <c r="E2668" s="7" t="s">
        <v>12324</v>
      </c>
      <c r="F2668" s="8" t="s">
        <v>9264</v>
      </c>
      <c r="G2668" s="7">
        <v>74</v>
      </c>
      <c r="H2668" s="7" t="s">
        <v>11480</v>
      </c>
      <c r="I2668" s="7">
        <v>1</v>
      </c>
      <c r="J2668" s="7" t="s">
        <v>11481</v>
      </c>
      <c r="K2668" s="9" t="s">
        <v>8987</v>
      </c>
    </row>
    <row r="2669" spans="1:11">
      <c r="A2669" s="7">
        <v>2667</v>
      </c>
      <c r="B2669" s="7" t="s">
        <v>11105</v>
      </c>
      <c r="C2669" s="7" t="s">
        <v>8984</v>
      </c>
      <c r="D2669" s="7" t="s">
        <v>7573</v>
      </c>
      <c r="E2669" s="7" t="s">
        <v>12325</v>
      </c>
      <c r="F2669" s="8" t="s">
        <v>9264</v>
      </c>
      <c r="G2669" s="7">
        <v>34</v>
      </c>
      <c r="H2669" s="7" t="s">
        <v>11266</v>
      </c>
      <c r="I2669" s="7">
        <v>1</v>
      </c>
      <c r="J2669" s="7" t="s">
        <v>11267</v>
      </c>
      <c r="K2669" s="9" t="s">
        <v>8987</v>
      </c>
    </row>
    <row r="2670" spans="1:11">
      <c r="A2670" s="7">
        <v>2668</v>
      </c>
      <c r="B2670" s="7" t="s">
        <v>11105</v>
      </c>
      <c r="C2670" s="7" t="s">
        <v>8984</v>
      </c>
      <c r="D2670" s="7" t="s">
        <v>7573</v>
      </c>
      <c r="E2670" s="7" t="s">
        <v>12326</v>
      </c>
      <c r="F2670" s="8" t="s">
        <v>9264</v>
      </c>
      <c r="G2670" s="7">
        <v>57</v>
      </c>
      <c r="H2670" s="7" t="s">
        <v>11747</v>
      </c>
      <c r="I2670" s="7">
        <v>1</v>
      </c>
      <c r="J2670" s="7" t="s">
        <v>7843</v>
      </c>
      <c r="K2670" s="9" t="s">
        <v>8987</v>
      </c>
    </row>
    <row r="2671" spans="1:11">
      <c r="A2671" s="7">
        <v>2669</v>
      </c>
      <c r="B2671" s="7" t="s">
        <v>11105</v>
      </c>
      <c r="C2671" s="7" t="s">
        <v>8984</v>
      </c>
      <c r="D2671" s="7" t="s">
        <v>7573</v>
      </c>
      <c r="E2671" s="7" t="s">
        <v>12327</v>
      </c>
      <c r="F2671" s="8" t="s">
        <v>9264</v>
      </c>
      <c r="G2671" s="7">
        <v>34</v>
      </c>
      <c r="H2671" s="7" t="s">
        <v>11266</v>
      </c>
      <c r="I2671" s="7">
        <v>1</v>
      </c>
      <c r="J2671" s="7" t="s">
        <v>11267</v>
      </c>
      <c r="K2671" s="9" t="s">
        <v>8987</v>
      </c>
    </row>
    <row r="2672" spans="1:11">
      <c r="A2672" s="7">
        <v>2670</v>
      </c>
      <c r="B2672" s="7" t="s">
        <v>11105</v>
      </c>
      <c r="C2672" s="7" t="s">
        <v>8984</v>
      </c>
      <c r="D2672" s="7" t="s">
        <v>7573</v>
      </c>
      <c r="E2672" s="7" t="s">
        <v>12328</v>
      </c>
      <c r="F2672" s="8" t="s">
        <v>10172</v>
      </c>
      <c r="G2672" s="7">
        <v>12</v>
      </c>
      <c r="H2672" s="7" t="s">
        <v>9213</v>
      </c>
      <c r="I2672" s="7">
        <v>1</v>
      </c>
      <c r="J2672" s="7" t="s">
        <v>7864</v>
      </c>
      <c r="K2672" s="9" t="s">
        <v>8987</v>
      </c>
    </row>
    <row r="2673" spans="1:11">
      <c r="A2673" s="7">
        <v>2671</v>
      </c>
      <c r="B2673" s="7" t="s">
        <v>11105</v>
      </c>
      <c r="C2673" s="7" t="s">
        <v>8984</v>
      </c>
      <c r="D2673" s="7" t="s">
        <v>7573</v>
      </c>
      <c r="E2673" s="7" t="s">
        <v>12329</v>
      </c>
      <c r="F2673" s="8" t="s">
        <v>10172</v>
      </c>
      <c r="G2673" s="7">
        <v>25</v>
      </c>
      <c r="H2673" s="7" t="s">
        <v>9011</v>
      </c>
      <c r="I2673" s="7">
        <v>1</v>
      </c>
      <c r="J2673" s="7" t="s">
        <v>7840</v>
      </c>
      <c r="K2673" s="9" t="s">
        <v>8987</v>
      </c>
    </row>
    <row r="2674" spans="1:11">
      <c r="A2674" s="7">
        <v>2672</v>
      </c>
      <c r="B2674" s="7" t="s">
        <v>11105</v>
      </c>
      <c r="C2674" s="7" t="s">
        <v>8984</v>
      </c>
      <c r="D2674" s="7" t="s">
        <v>7573</v>
      </c>
      <c r="E2674" s="7" t="s">
        <v>12330</v>
      </c>
      <c r="F2674" s="8" t="s">
        <v>10172</v>
      </c>
      <c r="G2674" s="7">
        <v>12</v>
      </c>
      <c r="H2674" s="7" t="s">
        <v>9213</v>
      </c>
      <c r="I2674" s="7">
        <v>1</v>
      </c>
      <c r="J2674" s="7" t="s">
        <v>7864</v>
      </c>
      <c r="K2674" s="9" t="s">
        <v>8987</v>
      </c>
    </row>
    <row r="2675" spans="1:11">
      <c r="A2675" s="7">
        <v>2673</v>
      </c>
      <c r="B2675" s="7" t="s">
        <v>11105</v>
      </c>
      <c r="C2675" s="7" t="s">
        <v>8984</v>
      </c>
      <c r="D2675" s="7" t="s">
        <v>7573</v>
      </c>
      <c r="E2675" s="7" t="s">
        <v>12331</v>
      </c>
      <c r="F2675" s="8" t="s">
        <v>10172</v>
      </c>
      <c r="G2675" s="7">
        <v>19</v>
      </c>
      <c r="H2675" s="7" t="s">
        <v>10462</v>
      </c>
      <c r="I2675" s="7">
        <v>1</v>
      </c>
      <c r="J2675" s="7" t="s">
        <v>7841</v>
      </c>
      <c r="K2675" s="9" t="s">
        <v>8987</v>
      </c>
    </row>
    <row r="2676" spans="1:11">
      <c r="A2676" s="7">
        <v>2674</v>
      </c>
      <c r="B2676" s="7" t="s">
        <v>11105</v>
      </c>
      <c r="C2676" s="7" t="s">
        <v>8984</v>
      </c>
      <c r="D2676" s="7" t="s">
        <v>7573</v>
      </c>
      <c r="E2676" s="7" t="s">
        <v>12332</v>
      </c>
      <c r="F2676" s="8" t="s">
        <v>10172</v>
      </c>
      <c r="G2676" s="7">
        <v>12</v>
      </c>
      <c r="H2676" s="7" t="s">
        <v>9213</v>
      </c>
      <c r="I2676" s="7">
        <v>1</v>
      </c>
      <c r="J2676" s="7" t="s">
        <v>7864</v>
      </c>
      <c r="K2676" s="9" t="s">
        <v>8987</v>
      </c>
    </row>
    <row r="2677" spans="1:11">
      <c r="A2677" s="7">
        <v>2675</v>
      </c>
      <c r="B2677" s="7" t="s">
        <v>11105</v>
      </c>
      <c r="C2677" s="7" t="s">
        <v>8984</v>
      </c>
      <c r="D2677" s="7" t="s">
        <v>7542</v>
      </c>
      <c r="E2677" s="7" t="s">
        <v>12333</v>
      </c>
      <c r="F2677" s="8" t="s">
        <v>9002</v>
      </c>
      <c r="G2677" s="7">
        <v>42</v>
      </c>
      <c r="H2677" s="7" t="s">
        <v>11407</v>
      </c>
      <c r="I2677" s="7">
        <v>1</v>
      </c>
      <c r="J2677" s="7" t="s">
        <v>7849</v>
      </c>
      <c r="K2677" s="9" t="s">
        <v>8987</v>
      </c>
    </row>
    <row r="2678" spans="1:11">
      <c r="A2678" s="7">
        <v>2676</v>
      </c>
      <c r="B2678" s="7" t="s">
        <v>11105</v>
      </c>
      <c r="C2678" s="7" t="s">
        <v>8984</v>
      </c>
      <c r="D2678" s="7" t="s">
        <v>7542</v>
      </c>
      <c r="E2678" s="7" t="s">
        <v>12334</v>
      </c>
      <c r="F2678" s="8" t="s">
        <v>9006</v>
      </c>
      <c r="G2678" s="7">
        <v>42</v>
      </c>
      <c r="H2678" s="7" t="s">
        <v>11407</v>
      </c>
      <c r="I2678" s="7">
        <v>1</v>
      </c>
      <c r="J2678" s="7" t="s">
        <v>7849</v>
      </c>
      <c r="K2678" s="9" t="s">
        <v>8987</v>
      </c>
    </row>
    <row r="2679" spans="1:11">
      <c r="A2679" s="7">
        <v>2677</v>
      </c>
      <c r="B2679" s="7" t="s">
        <v>11105</v>
      </c>
      <c r="C2679" s="7" t="s">
        <v>8984</v>
      </c>
      <c r="D2679" s="7" t="s">
        <v>7542</v>
      </c>
      <c r="E2679" s="7" t="s">
        <v>12335</v>
      </c>
      <c r="F2679" s="8" t="s">
        <v>9008</v>
      </c>
      <c r="G2679" s="7">
        <v>42</v>
      </c>
      <c r="H2679" s="7" t="s">
        <v>11407</v>
      </c>
      <c r="I2679" s="7">
        <v>1</v>
      </c>
      <c r="J2679" s="7" t="s">
        <v>7849</v>
      </c>
      <c r="K2679" s="9" t="s">
        <v>8987</v>
      </c>
    </row>
    <row r="2680" spans="1:11">
      <c r="A2680" s="7">
        <v>2678</v>
      </c>
      <c r="B2680" s="7" t="s">
        <v>11105</v>
      </c>
      <c r="C2680" s="7" t="s">
        <v>8984</v>
      </c>
      <c r="D2680" s="7" t="s">
        <v>7542</v>
      </c>
      <c r="E2680" s="7" t="s">
        <v>12336</v>
      </c>
      <c r="F2680" s="8" t="s">
        <v>9010</v>
      </c>
      <c r="G2680" s="7">
        <v>42</v>
      </c>
      <c r="H2680" s="7" t="s">
        <v>11407</v>
      </c>
      <c r="I2680" s="7">
        <v>1</v>
      </c>
      <c r="J2680" s="7" t="s">
        <v>7849</v>
      </c>
      <c r="K2680" s="9" t="s">
        <v>8987</v>
      </c>
    </row>
    <row r="2681" spans="1:11">
      <c r="A2681" s="7">
        <v>2679</v>
      </c>
      <c r="B2681" s="7" t="s">
        <v>11105</v>
      </c>
      <c r="C2681" s="7" t="s">
        <v>8984</v>
      </c>
      <c r="D2681" s="7" t="s">
        <v>7542</v>
      </c>
      <c r="E2681" s="7" t="s">
        <v>12337</v>
      </c>
      <c r="F2681" s="8" t="s">
        <v>9014</v>
      </c>
      <c r="G2681" s="7">
        <v>42</v>
      </c>
      <c r="H2681" s="7" t="s">
        <v>11407</v>
      </c>
      <c r="I2681" s="7">
        <v>1</v>
      </c>
      <c r="J2681" s="7" t="s">
        <v>7849</v>
      </c>
      <c r="K2681" s="9" t="s">
        <v>8987</v>
      </c>
    </row>
    <row r="2682" spans="1:11">
      <c r="A2682" s="7">
        <v>2680</v>
      </c>
      <c r="B2682" s="7" t="s">
        <v>11335</v>
      </c>
      <c r="C2682" s="7" t="s">
        <v>8984</v>
      </c>
      <c r="D2682" s="7" t="s">
        <v>7542</v>
      </c>
      <c r="E2682" s="7" t="s">
        <v>12338</v>
      </c>
      <c r="F2682" s="8" t="s">
        <v>9145</v>
      </c>
      <c r="G2682" s="7">
        <v>76</v>
      </c>
      <c r="H2682" s="7" t="s">
        <v>12339</v>
      </c>
      <c r="I2682" s="7">
        <v>1</v>
      </c>
      <c r="J2682" s="7" t="s">
        <v>12340</v>
      </c>
      <c r="K2682" s="9" t="s">
        <v>8987</v>
      </c>
    </row>
    <row r="2683" spans="1:11">
      <c r="A2683" s="7">
        <v>2681</v>
      </c>
      <c r="B2683" s="7" t="s">
        <v>11105</v>
      </c>
      <c r="C2683" s="7" t="s">
        <v>8984</v>
      </c>
      <c r="D2683" s="7" t="s">
        <v>7542</v>
      </c>
      <c r="E2683" s="7" t="s">
        <v>12341</v>
      </c>
      <c r="F2683" s="8" t="s">
        <v>9145</v>
      </c>
      <c r="G2683" s="7">
        <v>38</v>
      </c>
      <c r="H2683" s="7" t="s">
        <v>11229</v>
      </c>
      <c r="I2683" s="7">
        <v>1</v>
      </c>
      <c r="J2683" s="7" t="s">
        <v>7847</v>
      </c>
      <c r="K2683" s="9" t="s">
        <v>8987</v>
      </c>
    </row>
    <row r="2684" spans="1:11">
      <c r="A2684" s="7">
        <v>2682</v>
      </c>
      <c r="B2684" s="7" t="s">
        <v>11105</v>
      </c>
      <c r="C2684" s="7" t="s">
        <v>8984</v>
      </c>
      <c r="D2684" s="7" t="s">
        <v>7542</v>
      </c>
      <c r="E2684" s="7" t="s">
        <v>12342</v>
      </c>
      <c r="F2684" s="8" t="s">
        <v>9864</v>
      </c>
      <c r="G2684" s="7">
        <v>20</v>
      </c>
      <c r="H2684" s="7" t="s">
        <v>9394</v>
      </c>
      <c r="I2684" s="7">
        <v>1</v>
      </c>
      <c r="J2684" s="7" t="s">
        <v>7851</v>
      </c>
      <c r="K2684" s="9" t="s">
        <v>8987</v>
      </c>
    </row>
    <row r="2685" spans="1:11">
      <c r="A2685" s="7">
        <v>2683</v>
      </c>
      <c r="B2685" s="7" t="s">
        <v>11105</v>
      </c>
      <c r="C2685" s="7" t="s">
        <v>8984</v>
      </c>
      <c r="D2685" s="7" t="s">
        <v>7542</v>
      </c>
      <c r="E2685" s="7" t="s">
        <v>12343</v>
      </c>
      <c r="F2685" s="8" t="s">
        <v>9864</v>
      </c>
      <c r="G2685" s="7">
        <v>40</v>
      </c>
      <c r="H2685" s="7" t="s">
        <v>9003</v>
      </c>
      <c r="I2685" s="7">
        <v>1</v>
      </c>
      <c r="J2685" s="7" t="s">
        <v>7860</v>
      </c>
      <c r="K2685" s="9" t="s">
        <v>8987</v>
      </c>
    </row>
    <row r="2686" spans="1:11">
      <c r="A2686" s="7">
        <v>2684</v>
      </c>
      <c r="B2686" s="7" t="s">
        <v>11105</v>
      </c>
      <c r="C2686" s="7" t="s">
        <v>8984</v>
      </c>
      <c r="D2686" s="7" t="s">
        <v>7542</v>
      </c>
      <c r="E2686" s="7" t="s">
        <v>12344</v>
      </c>
      <c r="F2686" s="8" t="s">
        <v>9864</v>
      </c>
      <c r="G2686" s="7">
        <v>20</v>
      </c>
      <c r="H2686" s="7" t="s">
        <v>9394</v>
      </c>
      <c r="I2686" s="7">
        <v>1</v>
      </c>
      <c r="J2686" s="7" t="s">
        <v>7851</v>
      </c>
      <c r="K2686" s="9" t="s">
        <v>8987</v>
      </c>
    </row>
    <row r="2687" spans="1:11">
      <c r="A2687" s="7">
        <v>2685</v>
      </c>
      <c r="B2687" s="7" t="s">
        <v>11105</v>
      </c>
      <c r="C2687" s="7" t="s">
        <v>8984</v>
      </c>
      <c r="D2687" s="7" t="s">
        <v>7542</v>
      </c>
      <c r="E2687" s="7" t="s">
        <v>12345</v>
      </c>
      <c r="F2687" s="8" t="s">
        <v>9864</v>
      </c>
      <c r="G2687" s="7">
        <v>30</v>
      </c>
      <c r="H2687" s="7" t="s">
        <v>9015</v>
      </c>
      <c r="I2687" s="7">
        <v>1</v>
      </c>
      <c r="J2687" s="7" t="s">
        <v>7855</v>
      </c>
      <c r="K2687" s="9" t="s">
        <v>8987</v>
      </c>
    </row>
    <row r="2688" spans="1:11">
      <c r="A2688" s="7">
        <v>2686</v>
      </c>
      <c r="B2688" s="7" t="s">
        <v>11105</v>
      </c>
      <c r="C2688" s="7" t="s">
        <v>8984</v>
      </c>
      <c r="D2688" s="7" t="s">
        <v>7542</v>
      </c>
      <c r="E2688" s="7" t="s">
        <v>12346</v>
      </c>
      <c r="F2688" s="8" t="s">
        <v>9864</v>
      </c>
      <c r="G2688" s="7">
        <v>20</v>
      </c>
      <c r="H2688" s="7" t="s">
        <v>9394</v>
      </c>
      <c r="I2688" s="7">
        <v>1</v>
      </c>
      <c r="J2688" s="7" t="s">
        <v>7851</v>
      </c>
      <c r="K2688" s="9" t="s">
        <v>8987</v>
      </c>
    </row>
    <row r="2689" spans="1:11">
      <c r="A2689" s="7">
        <v>2687</v>
      </c>
      <c r="B2689" s="7" t="s">
        <v>11105</v>
      </c>
      <c r="C2689" s="7" t="s">
        <v>8984</v>
      </c>
      <c r="D2689" s="7" t="s">
        <v>7542</v>
      </c>
      <c r="E2689" s="7" t="s">
        <v>12347</v>
      </c>
      <c r="F2689" s="8" t="s">
        <v>9703</v>
      </c>
      <c r="G2689" s="7">
        <v>49</v>
      </c>
      <c r="H2689" s="7" t="s">
        <v>11225</v>
      </c>
      <c r="I2689" s="7">
        <v>1</v>
      </c>
      <c r="J2689" s="7" t="s">
        <v>7884</v>
      </c>
      <c r="K2689" s="9" t="s">
        <v>8987</v>
      </c>
    </row>
    <row r="2690" spans="1:11">
      <c r="A2690" s="7">
        <v>2688</v>
      </c>
      <c r="B2690" s="7" t="s">
        <v>11105</v>
      </c>
      <c r="C2690" s="7" t="s">
        <v>8984</v>
      </c>
      <c r="D2690" s="7" t="s">
        <v>7542</v>
      </c>
      <c r="E2690" s="7" t="s">
        <v>12348</v>
      </c>
      <c r="F2690" s="8" t="s">
        <v>10202</v>
      </c>
      <c r="G2690" s="7">
        <v>42</v>
      </c>
      <c r="H2690" s="7" t="s">
        <v>11407</v>
      </c>
      <c r="I2690" s="7">
        <v>1</v>
      </c>
      <c r="J2690" s="7" t="s">
        <v>7849</v>
      </c>
      <c r="K2690" s="9" t="s">
        <v>8987</v>
      </c>
    </row>
    <row r="2691" spans="1:11">
      <c r="A2691" s="7">
        <v>2689</v>
      </c>
      <c r="B2691" s="7" t="s">
        <v>11105</v>
      </c>
      <c r="C2691" s="7" t="s">
        <v>8984</v>
      </c>
      <c r="D2691" s="7" t="s">
        <v>7542</v>
      </c>
      <c r="E2691" s="7" t="s">
        <v>12349</v>
      </c>
      <c r="F2691" s="8" t="s">
        <v>10416</v>
      </c>
      <c r="G2691" s="7">
        <v>40</v>
      </c>
      <c r="H2691" s="7" t="s">
        <v>9003</v>
      </c>
      <c r="I2691" s="7">
        <v>1</v>
      </c>
      <c r="J2691" s="7" t="s">
        <v>7860</v>
      </c>
      <c r="K2691" s="9" t="s">
        <v>8987</v>
      </c>
    </row>
    <row r="2692" spans="1:11">
      <c r="A2692" s="7">
        <v>2690</v>
      </c>
      <c r="B2692" s="7" t="s">
        <v>11335</v>
      </c>
      <c r="C2692" s="7" t="s">
        <v>8984</v>
      </c>
      <c r="D2692" s="7" t="s">
        <v>7542</v>
      </c>
      <c r="E2692" s="7" t="s">
        <v>12350</v>
      </c>
      <c r="F2692" s="8" t="s">
        <v>10416</v>
      </c>
      <c r="G2692" s="7">
        <v>80</v>
      </c>
      <c r="H2692" s="7" t="s">
        <v>9153</v>
      </c>
      <c r="I2692" s="7">
        <v>1</v>
      </c>
      <c r="J2692" s="7" t="s">
        <v>7867</v>
      </c>
      <c r="K2692" s="9" t="s">
        <v>8987</v>
      </c>
    </row>
    <row r="2693" spans="1:11">
      <c r="A2693" s="7">
        <v>2691</v>
      </c>
      <c r="B2693" s="7" t="s">
        <v>11105</v>
      </c>
      <c r="C2693" s="7" t="s">
        <v>8984</v>
      </c>
      <c r="D2693" s="7" t="s">
        <v>7542</v>
      </c>
      <c r="E2693" s="7" t="s">
        <v>12351</v>
      </c>
      <c r="F2693" s="8" t="s">
        <v>9798</v>
      </c>
      <c r="G2693" s="7">
        <v>20</v>
      </c>
      <c r="H2693" s="7" t="s">
        <v>9394</v>
      </c>
      <c r="I2693" s="7">
        <v>1</v>
      </c>
      <c r="J2693" s="7" t="s">
        <v>7851</v>
      </c>
      <c r="K2693" s="9" t="s">
        <v>8987</v>
      </c>
    </row>
    <row r="2694" spans="1:11">
      <c r="A2694" s="7">
        <v>2692</v>
      </c>
      <c r="B2694" s="7" t="s">
        <v>11105</v>
      </c>
      <c r="C2694" s="7" t="s">
        <v>8984</v>
      </c>
      <c r="D2694" s="7" t="s">
        <v>7542</v>
      </c>
      <c r="E2694" s="7" t="s">
        <v>12352</v>
      </c>
      <c r="F2694" s="8" t="s">
        <v>9798</v>
      </c>
      <c r="G2694" s="7">
        <v>40</v>
      </c>
      <c r="H2694" s="7" t="s">
        <v>9003</v>
      </c>
      <c r="I2694" s="7">
        <v>1</v>
      </c>
      <c r="J2694" s="7" t="s">
        <v>7860</v>
      </c>
      <c r="K2694" s="9" t="s">
        <v>8987</v>
      </c>
    </row>
    <row r="2695" spans="1:11">
      <c r="A2695" s="7">
        <v>2693</v>
      </c>
      <c r="B2695" s="7" t="s">
        <v>11105</v>
      </c>
      <c r="C2695" s="7" t="s">
        <v>8984</v>
      </c>
      <c r="D2695" s="7" t="s">
        <v>7542</v>
      </c>
      <c r="E2695" s="7" t="s">
        <v>12353</v>
      </c>
      <c r="F2695" s="8" t="s">
        <v>9798</v>
      </c>
      <c r="G2695" s="7">
        <v>20</v>
      </c>
      <c r="H2695" s="7" t="s">
        <v>9394</v>
      </c>
      <c r="I2695" s="7">
        <v>1</v>
      </c>
      <c r="J2695" s="7" t="s">
        <v>7851</v>
      </c>
      <c r="K2695" s="9" t="s">
        <v>8987</v>
      </c>
    </row>
    <row r="2696" spans="1:11">
      <c r="A2696" s="7">
        <v>2694</v>
      </c>
      <c r="B2696" s="7" t="s">
        <v>11105</v>
      </c>
      <c r="C2696" s="7" t="s">
        <v>8984</v>
      </c>
      <c r="D2696" s="7" t="s">
        <v>7542</v>
      </c>
      <c r="E2696" s="7" t="s">
        <v>12354</v>
      </c>
      <c r="F2696" s="8" t="s">
        <v>9798</v>
      </c>
      <c r="G2696" s="7">
        <v>30</v>
      </c>
      <c r="H2696" s="7" t="s">
        <v>9015</v>
      </c>
      <c r="I2696" s="7">
        <v>1</v>
      </c>
      <c r="J2696" s="7" t="s">
        <v>7855</v>
      </c>
      <c r="K2696" s="9" t="s">
        <v>8987</v>
      </c>
    </row>
    <row r="2697" spans="1:11">
      <c r="A2697" s="7">
        <v>2695</v>
      </c>
      <c r="B2697" s="7" t="s">
        <v>11105</v>
      </c>
      <c r="C2697" s="7" t="s">
        <v>8984</v>
      </c>
      <c r="D2697" s="7" t="s">
        <v>7542</v>
      </c>
      <c r="E2697" s="7" t="s">
        <v>12355</v>
      </c>
      <c r="F2697" s="8" t="s">
        <v>9798</v>
      </c>
      <c r="G2697" s="7">
        <v>20</v>
      </c>
      <c r="H2697" s="7" t="s">
        <v>9394</v>
      </c>
      <c r="I2697" s="7">
        <v>1</v>
      </c>
      <c r="J2697" s="7" t="s">
        <v>7851</v>
      </c>
      <c r="K2697" s="9" t="s">
        <v>8987</v>
      </c>
    </row>
    <row r="2698" spans="1:11">
      <c r="A2698" s="7">
        <v>2696</v>
      </c>
      <c r="B2698" s="7" t="s">
        <v>11105</v>
      </c>
      <c r="C2698" s="7" t="s">
        <v>8984</v>
      </c>
      <c r="D2698" s="7" t="s">
        <v>7542</v>
      </c>
      <c r="E2698" s="7" t="s">
        <v>12356</v>
      </c>
      <c r="F2698" s="8" t="s">
        <v>9812</v>
      </c>
      <c r="G2698" s="7">
        <v>46</v>
      </c>
      <c r="H2698" s="7" t="s">
        <v>11945</v>
      </c>
      <c r="I2698" s="7">
        <v>1</v>
      </c>
      <c r="J2698" s="7" t="s">
        <v>11946</v>
      </c>
      <c r="K2698" s="9" t="s">
        <v>8987</v>
      </c>
    </row>
    <row r="2699" spans="1:11">
      <c r="A2699" s="7">
        <v>2697</v>
      </c>
      <c r="B2699" s="7" t="s">
        <v>11105</v>
      </c>
      <c r="C2699" s="7" t="s">
        <v>8984</v>
      </c>
      <c r="D2699" s="7" t="s">
        <v>7542</v>
      </c>
      <c r="E2699" s="7" t="s">
        <v>12357</v>
      </c>
      <c r="F2699" s="8" t="s">
        <v>10174</v>
      </c>
      <c r="G2699" s="7">
        <v>44</v>
      </c>
      <c r="H2699" s="7" t="s">
        <v>9658</v>
      </c>
      <c r="I2699" s="7">
        <v>1</v>
      </c>
      <c r="J2699" s="7" t="s">
        <v>7890</v>
      </c>
      <c r="K2699" s="9" t="s">
        <v>8987</v>
      </c>
    </row>
    <row r="2700" spans="1:11">
      <c r="A2700" s="7">
        <v>2698</v>
      </c>
      <c r="B2700" s="7" t="s">
        <v>11105</v>
      </c>
      <c r="C2700" s="7" t="s">
        <v>8984</v>
      </c>
      <c r="D2700" s="7" t="s">
        <v>7542</v>
      </c>
      <c r="E2700" s="7" t="s">
        <v>12358</v>
      </c>
      <c r="F2700" s="8" t="s">
        <v>9314</v>
      </c>
      <c r="G2700" s="7">
        <v>45</v>
      </c>
      <c r="H2700" s="7" t="s">
        <v>9750</v>
      </c>
      <c r="I2700" s="7">
        <v>1</v>
      </c>
      <c r="J2700" s="7" t="s">
        <v>7880</v>
      </c>
      <c r="K2700" s="9" t="s">
        <v>8987</v>
      </c>
    </row>
    <row r="2701" spans="1:11">
      <c r="A2701" s="7">
        <v>2699</v>
      </c>
      <c r="B2701" s="7" t="s">
        <v>11105</v>
      </c>
      <c r="C2701" s="7" t="s">
        <v>8984</v>
      </c>
      <c r="D2701" s="7" t="s">
        <v>7542</v>
      </c>
      <c r="E2701" s="7" t="s">
        <v>12359</v>
      </c>
      <c r="F2701" s="8" t="s">
        <v>9314</v>
      </c>
      <c r="G2701" s="7">
        <v>20</v>
      </c>
      <c r="H2701" s="7" t="s">
        <v>9394</v>
      </c>
      <c r="I2701" s="7">
        <v>1</v>
      </c>
      <c r="J2701" s="7" t="s">
        <v>7851</v>
      </c>
      <c r="K2701" s="9" t="s">
        <v>8987</v>
      </c>
    </row>
    <row r="2702" spans="1:11">
      <c r="A2702" s="7">
        <v>2700</v>
      </c>
      <c r="B2702" s="7" t="s">
        <v>11105</v>
      </c>
      <c r="C2702" s="7" t="s">
        <v>8984</v>
      </c>
      <c r="D2702" s="7" t="s">
        <v>7542</v>
      </c>
      <c r="E2702" s="7" t="s">
        <v>12360</v>
      </c>
      <c r="F2702" s="8" t="s">
        <v>9314</v>
      </c>
      <c r="G2702" s="7">
        <v>40</v>
      </c>
      <c r="H2702" s="7" t="s">
        <v>9003</v>
      </c>
      <c r="I2702" s="7">
        <v>1</v>
      </c>
      <c r="J2702" s="7" t="s">
        <v>7860</v>
      </c>
      <c r="K2702" s="9" t="s">
        <v>8987</v>
      </c>
    </row>
    <row r="2703" spans="1:11">
      <c r="A2703" s="7">
        <v>2701</v>
      </c>
      <c r="B2703" s="7" t="s">
        <v>11105</v>
      </c>
      <c r="C2703" s="7" t="s">
        <v>8984</v>
      </c>
      <c r="D2703" s="7" t="s">
        <v>7542</v>
      </c>
      <c r="E2703" s="7" t="s">
        <v>12361</v>
      </c>
      <c r="F2703" s="8" t="s">
        <v>9314</v>
      </c>
      <c r="G2703" s="7">
        <v>20</v>
      </c>
      <c r="H2703" s="7" t="s">
        <v>9394</v>
      </c>
      <c r="I2703" s="7">
        <v>1</v>
      </c>
      <c r="J2703" s="7" t="s">
        <v>7851</v>
      </c>
      <c r="K2703" s="9" t="s">
        <v>8987</v>
      </c>
    </row>
    <row r="2704" spans="1:11">
      <c r="A2704" s="7">
        <v>2702</v>
      </c>
      <c r="B2704" s="7" t="s">
        <v>11105</v>
      </c>
      <c r="C2704" s="7" t="s">
        <v>8984</v>
      </c>
      <c r="D2704" s="7" t="s">
        <v>7542</v>
      </c>
      <c r="E2704" s="7" t="s">
        <v>12362</v>
      </c>
      <c r="F2704" s="8" t="s">
        <v>9314</v>
      </c>
      <c r="G2704" s="7">
        <v>30</v>
      </c>
      <c r="H2704" s="7" t="s">
        <v>9015</v>
      </c>
      <c r="I2704" s="7">
        <v>1</v>
      </c>
      <c r="J2704" s="7" t="s">
        <v>7855</v>
      </c>
      <c r="K2704" s="9" t="s">
        <v>8987</v>
      </c>
    </row>
    <row r="2705" spans="1:11">
      <c r="A2705" s="7">
        <v>2703</v>
      </c>
      <c r="B2705" s="7" t="s">
        <v>11105</v>
      </c>
      <c r="C2705" s="7" t="s">
        <v>8984</v>
      </c>
      <c r="D2705" s="7" t="s">
        <v>7542</v>
      </c>
      <c r="E2705" s="7" t="s">
        <v>12363</v>
      </c>
      <c r="F2705" s="8" t="s">
        <v>9314</v>
      </c>
      <c r="G2705" s="7">
        <v>20</v>
      </c>
      <c r="H2705" s="7" t="s">
        <v>9394</v>
      </c>
      <c r="I2705" s="7">
        <v>1</v>
      </c>
      <c r="J2705" s="7" t="s">
        <v>7851</v>
      </c>
      <c r="K2705" s="9" t="s">
        <v>8987</v>
      </c>
    </row>
    <row r="2706" spans="1:11">
      <c r="A2706" s="7">
        <v>2704</v>
      </c>
      <c r="B2706" s="7" t="s">
        <v>11105</v>
      </c>
      <c r="C2706" s="7" t="s">
        <v>8998</v>
      </c>
      <c r="D2706" s="7" t="s">
        <v>7542</v>
      </c>
      <c r="E2706" s="7" t="s">
        <v>12364</v>
      </c>
      <c r="F2706" s="8" t="s">
        <v>9314</v>
      </c>
      <c r="G2706" s="7">
        <v>20</v>
      </c>
      <c r="H2706" s="7" t="s">
        <v>9394</v>
      </c>
      <c r="I2706" s="7">
        <v>1</v>
      </c>
      <c r="J2706" s="7" t="s">
        <v>7851</v>
      </c>
      <c r="K2706" s="9" t="s">
        <v>8987</v>
      </c>
    </row>
    <row r="2707" spans="1:11">
      <c r="A2707" s="7">
        <v>2705</v>
      </c>
      <c r="B2707" s="7" t="s">
        <v>11105</v>
      </c>
      <c r="C2707" s="7" t="s">
        <v>8984</v>
      </c>
      <c r="D2707" s="7" t="s">
        <v>7555</v>
      </c>
      <c r="E2707" s="7" t="s">
        <v>12365</v>
      </c>
      <c r="F2707" s="8" t="s">
        <v>9246</v>
      </c>
      <c r="G2707" s="7">
        <v>33</v>
      </c>
      <c r="H2707" s="7" t="s">
        <v>11346</v>
      </c>
      <c r="I2707" s="7">
        <v>1</v>
      </c>
      <c r="J2707" s="7" t="s">
        <v>7887</v>
      </c>
      <c r="K2707" s="9" t="s">
        <v>8987</v>
      </c>
    </row>
    <row r="2708" spans="1:11">
      <c r="A2708" s="7">
        <v>2706</v>
      </c>
      <c r="B2708" s="7" t="s">
        <v>11105</v>
      </c>
      <c r="C2708" s="7" t="s">
        <v>8984</v>
      </c>
      <c r="D2708" s="7" t="s">
        <v>7566</v>
      </c>
      <c r="E2708" s="7" t="s">
        <v>12366</v>
      </c>
      <c r="F2708" s="8" t="s">
        <v>9628</v>
      </c>
      <c r="G2708" s="7">
        <v>8</v>
      </c>
      <c r="H2708" s="7" t="s">
        <v>8991</v>
      </c>
      <c r="I2708" s="7">
        <v>1</v>
      </c>
      <c r="J2708" s="7" t="s">
        <v>7764</v>
      </c>
      <c r="K2708" s="9" t="s">
        <v>8987</v>
      </c>
    </row>
    <row r="2709" spans="1:11">
      <c r="A2709" s="7">
        <v>2707</v>
      </c>
      <c r="B2709" s="7" t="s">
        <v>11105</v>
      </c>
      <c r="C2709" s="7" t="s">
        <v>8984</v>
      </c>
      <c r="D2709" s="7" t="s">
        <v>7566</v>
      </c>
      <c r="E2709" s="7" t="s">
        <v>12367</v>
      </c>
      <c r="F2709" s="8" t="s">
        <v>9628</v>
      </c>
      <c r="G2709" s="7">
        <v>17</v>
      </c>
      <c r="H2709" s="7" t="s">
        <v>9146</v>
      </c>
      <c r="I2709" s="7">
        <v>1</v>
      </c>
      <c r="J2709" s="7" t="s">
        <v>7850</v>
      </c>
      <c r="K2709" s="9" t="s">
        <v>8987</v>
      </c>
    </row>
    <row r="2710" spans="1:11">
      <c r="A2710" s="7">
        <v>2708</v>
      </c>
      <c r="B2710" s="7" t="s">
        <v>11105</v>
      </c>
      <c r="C2710" s="7" t="s">
        <v>8984</v>
      </c>
      <c r="D2710" s="7" t="s">
        <v>7566</v>
      </c>
      <c r="E2710" s="7" t="s">
        <v>12368</v>
      </c>
      <c r="F2710" s="8" t="s">
        <v>9628</v>
      </c>
      <c r="G2710" s="7">
        <v>8</v>
      </c>
      <c r="H2710" s="7" t="s">
        <v>8991</v>
      </c>
      <c r="I2710" s="7">
        <v>1</v>
      </c>
      <c r="J2710" s="7" t="s">
        <v>7764</v>
      </c>
      <c r="K2710" s="9" t="s">
        <v>8987</v>
      </c>
    </row>
    <row r="2711" spans="1:11">
      <c r="A2711" s="7">
        <v>2709</v>
      </c>
      <c r="B2711" s="7" t="s">
        <v>11105</v>
      </c>
      <c r="C2711" s="7" t="s">
        <v>8984</v>
      </c>
      <c r="D2711" s="7" t="s">
        <v>7566</v>
      </c>
      <c r="E2711" s="7" t="s">
        <v>12369</v>
      </c>
      <c r="F2711" s="8" t="s">
        <v>9628</v>
      </c>
      <c r="G2711" s="7">
        <v>13</v>
      </c>
      <c r="H2711" s="7" t="s">
        <v>9077</v>
      </c>
      <c r="I2711" s="7">
        <v>1</v>
      </c>
      <c r="J2711" s="7" t="s">
        <v>11187</v>
      </c>
      <c r="K2711" s="9" t="s">
        <v>8987</v>
      </c>
    </row>
    <row r="2712" spans="1:11">
      <c r="A2712" s="7">
        <v>2710</v>
      </c>
      <c r="B2712" s="7" t="s">
        <v>11105</v>
      </c>
      <c r="C2712" s="7" t="s">
        <v>8984</v>
      </c>
      <c r="D2712" s="7" t="s">
        <v>7566</v>
      </c>
      <c r="E2712" s="7" t="s">
        <v>12370</v>
      </c>
      <c r="F2712" s="8" t="s">
        <v>9628</v>
      </c>
      <c r="G2712" s="7">
        <v>8</v>
      </c>
      <c r="H2712" s="7" t="s">
        <v>8991</v>
      </c>
      <c r="I2712" s="7">
        <v>1</v>
      </c>
      <c r="J2712" s="7" t="s">
        <v>7764</v>
      </c>
      <c r="K2712" s="9" t="s">
        <v>8987</v>
      </c>
    </row>
    <row r="2713" spans="1:11">
      <c r="A2713" s="7">
        <v>2711</v>
      </c>
      <c r="B2713" s="7" t="s">
        <v>11105</v>
      </c>
      <c r="C2713" s="7" t="s">
        <v>8984</v>
      </c>
      <c r="D2713" s="7" t="s">
        <v>7566</v>
      </c>
      <c r="E2713" s="7" t="s">
        <v>12371</v>
      </c>
      <c r="F2713" s="8" t="s">
        <v>9312</v>
      </c>
      <c r="G2713" s="7">
        <v>5</v>
      </c>
      <c r="H2713" s="7" t="s">
        <v>9336</v>
      </c>
      <c r="I2713" s="7">
        <v>1</v>
      </c>
      <c r="J2713" s="7" t="s">
        <v>7620</v>
      </c>
      <c r="K2713" s="9" t="s">
        <v>8987</v>
      </c>
    </row>
    <row r="2714" spans="1:11">
      <c r="A2714" s="7">
        <v>2712</v>
      </c>
      <c r="B2714" s="7" t="s">
        <v>11105</v>
      </c>
      <c r="C2714" s="7" t="s">
        <v>8984</v>
      </c>
      <c r="D2714" s="7" t="s">
        <v>7566</v>
      </c>
      <c r="E2714" s="7" t="s">
        <v>12372</v>
      </c>
      <c r="F2714" s="8" t="s">
        <v>9312</v>
      </c>
      <c r="G2714" s="7">
        <v>11</v>
      </c>
      <c r="H2714" s="7" t="s">
        <v>9386</v>
      </c>
      <c r="I2714" s="7">
        <v>1</v>
      </c>
      <c r="J2714" s="7" t="s">
        <v>7865</v>
      </c>
      <c r="K2714" s="9" t="s">
        <v>8987</v>
      </c>
    </row>
    <row r="2715" spans="1:11">
      <c r="A2715" s="7">
        <v>2713</v>
      </c>
      <c r="B2715" s="7" t="s">
        <v>11105</v>
      </c>
      <c r="C2715" s="7" t="s">
        <v>8984</v>
      </c>
      <c r="D2715" s="7" t="s">
        <v>7566</v>
      </c>
      <c r="E2715" s="7" t="s">
        <v>12373</v>
      </c>
      <c r="F2715" s="8" t="s">
        <v>9312</v>
      </c>
      <c r="G2715" s="7">
        <v>5</v>
      </c>
      <c r="H2715" s="7" t="s">
        <v>9336</v>
      </c>
      <c r="I2715" s="7">
        <v>1</v>
      </c>
      <c r="J2715" s="7" t="s">
        <v>7620</v>
      </c>
      <c r="K2715" s="9" t="s">
        <v>8987</v>
      </c>
    </row>
    <row r="2716" spans="1:11">
      <c r="A2716" s="7">
        <v>2714</v>
      </c>
      <c r="B2716" s="7" t="s">
        <v>11105</v>
      </c>
      <c r="C2716" s="7" t="s">
        <v>8984</v>
      </c>
      <c r="D2716" s="7" t="s">
        <v>7566</v>
      </c>
      <c r="E2716" s="7" t="s">
        <v>12374</v>
      </c>
      <c r="F2716" s="8" t="s">
        <v>9312</v>
      </c>
      <c r="G2716" s="7">
        <v>8</v>
      </c>
      <c r="H2716" s="7" t="s">
        <v>8991</v>
      </c>
      <c r="I2716" s="7">
        <v>1</v>
      </c>
      <c r="J2716" s="7" t="s">
        <v>7764</v>
      </c>
      <c r="K2716" s="9" t="s">
        <v>8987</v>
      </c>
    </row>
    <row r="2717" spans="1:11">
      <c r="A2717" s="7">
        <v>2715</v>
      </c>
      <c r="B2717" s="7" t="s">
        <v>11105</v>
      </c>
      <c r="C2717" s="7" t="s">
        <v>8984</v>
      </c>
      <c r="D2717" s="7" t="s">
        <v>7566</v>
      </c>
      <c r="E2717" s="7" t="s">
        <v>12375</v>
      </c>
      <c r="F2717" s="8" t="s">
        <v>9312</v>
      </c>
      <c r="G2717" s="7">
        <v>5</v>
      </c>
      <c r="H2717" s="7" t="s">
        <v>9336</v>
      </c>
      <c r="I2717" s="7">
        <v>1</v>
      </c>
      <c r="J2717" s="7" t="s">
        <v>7620</v>
      </c>
      <c r="K2717" s="9" t="s">
        <v>8987</v>
      </c>
    </row>
    <row r="2718" spans="1:11">
      <c r="A2718" s="7">
        <v>2716</v>
      </c>
      <c r="B2718" s="7" t="s">
        <v>11105</v>
      </c>
      <c r="C2718" s="7" t="s">
        <v>8984</v>
      </c>
      <c r="D2718" s="7" t="s">
        <v>7566</v>
      </c>
      <c r="E2718" s="7" t="s">
        <v>12376</v>
      </c>
      <c r="F2718" s="8" t="s">
        <v>7968</v>
      </c>
      <c r="G2718" s="7">
        <v>5</v>
      </c>
      <c r="H2718" s="7" t="s">
        <v>9336</v>
      </c>
      <c r="I2718" s="7">
        <v>1</v>
      </c>
      <c r="J2718" s="7" t="s">
        <v>7620</v>
      </c>
      <c r="K2718" s="9" t="s">
        <v>8987</v>
      </c>
    </row>
    <row r="2719" spans="1:11">
      <c r="A2719" s="7">
        <v>2717</v>
      </c>
      <c r="B2719" s="7" t="s">
        <v>11105</v>
      </c>
      <c r="C2719" s="7" t="s">
        <v>8984</v>
      </c>
      <c r="D2719" s="7" t="s">
        <v>7566</v>
      </c>
      <c r="E2719" s="7" t="s">
        <v>12377</v>
      </c>
      <c r="F2719" s="8" t="s">
        <v>7968</v>
      </c>
      <c r="G2719" s="7">
        <v>10</v>
      </c>
      <c r="H2719" s="7" t="s">
        <v>9292</v>
      </c>
      <c r="I2719" s="7">
        <v>1</v>
      </c>
      <c r="J2719" s="7" t="s">
        <v>7768</v>
      </c>
      <c r="K2719" s="9" t="s">
        <v>8987</v>
      </c>
    </row>
    <row r="2720" spans="1:11">
      <c r="A2720" s="7">
        <v>2718</v>
      </c>
      <c r="B2720" s="7" t="s">
        <v>11105</v>
      </c>
      <c r="C2720" s="7" t="s">
        <v>8984</v>
      </c>
      <c r="D2720" s="7" t="s">
        <v>7566</v>
      </c>
      <c r="E2720" s="7" t="s">
        <v>12378</v>
      </c>
      <c r="F2720" s="8" t="s">
        <v>7968</v>
      </c>
      <c r="G2720" s="7">
        <v>5</v>
      </c>
      <c r="H2720" s="7" t="s">
        <v>9336</v>
      </c>
      <c r="I2720" s="7">
        <v>1</v>
      </c>
      <c r="J2720" s="7" t="s">
        <v>7620</v>
      </c>
      <c r="K2720" s="9" t="s">
        <v>8987</v>
      </c>
    </row>
    <row r="2721" spans="1:11">
      <c r="A2721" s="7">
        <v>2719</v>
      </c>
      <c r="B2721" s="7" t="s">
        <v>11105</v>
      </c>
      <c r="C2721" s="7" t="s">
        <v>8984</v>
      </c>
      <c r="D2721" s="7" t="s">
        <v>7566</v>
      </c>
      <c r="E2721" s="7" t="s">
        <v>12379</v>
      </c>
      <c r="F2721" s="8" t="s">
        <v>7968</v>
      </c>
      <c r="G2721" s="7">
        <v>8</v>
      </c>
      <c r="H2721" s="7" t="s">
        <v>8991</v>
      </c>
      <c r="I2721" s="7">
        <v>1</v>
      </c>
      <c r="J2721" s="7" t="s">
        <v>7764</v>
      </c>
      <c r="K2721" s="9" t="s">
        <v>8987</v>
      </c>
    </row>
    <row r="2722" spans="1:11">
      <c r="A2722" s="7">
        <v>2720</v>
      </c>
      <c r="B2722" s="7" t="s">
        <v>11105</v>
      </c>
      <c r="C2722" s="7" t="s">
        <v>8984</v>
      </c>
      <c r="D2722" s="7" t="s">
        <v>7566</v>
      </c>
      <c r="E2722" s="7" t="s">
        <v>12380</v>
      </c>
      <c r="F2722" s="8" t="s">
        <v>7968</v>
      </c>
      <c r="G2722" s="7">
        <v>5</v>
      </c>
      <c r="H2722" s="7" t="s">
        <v>9336</v>
      </c>
      <c r="I2722" s="7">
        <v>1</v>
      </c>
      <c r="J2722" s="7" t="s">
        <v>7620</v>
      </c>
      <c r="K2722" s="9" t="s">
        <v>8987</v>
      </c>
    </row>
    <row r="2723" spans="1:11">
      <c r="A2723" s="7">
        <v>2721</v>
      </c>
      <c r="B2723" s="7" t="s">
        <v>11105</v>
      </c>
      <c r="C2723" s="7" t="s">
        <v>8984</v>
      </c>
      <c r="D2723" s="7" t="s">
        <v>7566</v>
      </c>
      <c r="E2723" s="7" t="s">
        <v>12381</v>
      </c>
      <c r="F2723" s="8" t="s">
        <v>7968</v>
      </c>
      <c r="G2723" s="7">
        <v>15</v>
      </c>
      <c r="H2723" s="7" t="s">
        <v>9053</v>
      </c>
      <c r="I2723" s="7">
        <v>1</v>
      </c>
      <c r="J2723" s="7" t="s">
        <v>7862</v>
      </c>
      <c r="K2723" s="9" t="s">
        <v>8987</v>
      </c>
    </row>
    <row r="2724" spans="1:11">
      <c r="A2724" s="7">
        <v>2722</v>
      </c>
      <c r="B2724" s="7" t="s">
        <v>11105</v>
      </c>
      <c r="C2724" s="7" t="s">
        <v>8984</v>
      </c>
      <c r="D2724" s="7" t="s">
        <v>7566</v>
      </c>
      <c r="E2724" s="7" t="s">
        <v>12382</v>
      </c>
      <c r="F2724" s="8" t="s">
        <v>7969</v>
      </c>
      <c r="G2724" s="7">
        <v>15</v>
      </c>
      <c r="H2724" s="7" t="s">
        <v>9053</v>
      </c>
      <c r="I2724" s="7">
        <v>1</v>
      </c>
      <c r="J2724" s="7" t="s">
        <v>7862</v>
      </c>
      <c r="K2724" s="9" t="s">
        <v>8987</v>
      </c>
    </row>
    <row r="2725" spans="1:11">
      <c r="A2725" s="7">
        <v>2723</v>
      </c>
      <c r="B2725" s="7" t="s">
        <v>11105</v>
      </c>
      <c r="C2725" s="7" t="s">
        <v>8984</v>
      </c>
      <c r="D2725" s="7" t="s">
        <v>7566</v>
      </c>
      <c r="E2725" s="7" t="s">
        <v>12383</v>
      </c>
      <c r="F2725" s="8" t="s">
        <v>7970</v>
      </c>
      <c r="G2725" s="7">
        <v>15</v>
      </c>
      <c r="H2725" s="7" t="s">
        <v>9053</v>
      </c>
      <c r="I2725" s="7">
        <v>1</v>
      </c>
      <c r="J2725" s="7" t="s">
        <v>7862</v>
      </c>
      <c r="K2725" s="9" t="s">
        <v>8987</v>
      </c>
    </row>
    <row r="2726" spans="1:11">
      <c r="A2726" s="7">
        <v>2724</v>
      </c>
      <c r="B2726" s="7" t="s">
        <v>11105</v>
      </c>
      <c r="C2726" s="7" t="s">
        <v>8984</v>
      </c>
      <c r="D2726" s="7" t="s">
        <v>7566</v>
      </c>
      <c r="E2726" s="7" t="s">
        <v>12384</v>
      </c>
      <c r="F2726" s="8" t="s">
        <v>7971</v>
      </c>
      <c r="G2726" s="7">
        <v>15</v>
      </c>
      <c r="H2726" s="7" t="s">
        <v>9053</v>
      </c>
      <c r="I2726" s="7">
        <v>1</v>
      </c>
      <c r="J2726" s="7" t="s">
        <v>7862</v>
      </c>
      <c r="K2726" s="9" t="s">
        <v>8987</v>
      </c>
    </row>
    <row r="2727" spans="1:11">
      <c r="A2727" s="7">
        <v>2725</v>
      </c>
      <c r="B2727" s="7" t="s">
        <v>11335</v>
      </c>
      <c r="C2727" s="7" t="s">
        <v>8984</v>
      </c>
      <c r="D2727" s="7" t="s">
        <v>7556</v>
      </c>
      <c r="E2727" s="7" t="s">
        <v>12385</v>
      </c>
      <c r="F2727" s="8" t="s">
        <v>9067</v>
      </c>
      <c r="G2727" s="7">
        <v>28</v>
      </c>
      <c r="H2727" s="7" t="s">
        <v>10468</v>
      </c>
      <c r="I2727" s="7">
        <v>9</v>
      </c>
      <c r="J2727" s="7" t="s">
        <v>12386</v>
      </c>
      <c r="K2727" s="9" t="s">
        <v>8987</v>
      </c>
    </row>
    <row r="2728" spans="1:11">
      <c r="A2728" s="7">
        <v>2726</v>
      </c>
      <c r="B2728" s="7" t="s">
        <v>11335</v>
      </c>
      <c r="C2728" s="7" t="s">
        <v>8984</v>
      </c>
      <c r="D2728" s="7" t="s">
        <v>7556</v>
      </c>
      <c r="E2728" s="7" t="s">
        <v>12387</v>
      </c>
      <c r="F2728" s="8" t="s">
        <v>9069</v>
      </c>
      <c r="G2728" s="7">
        <v>28</v>
      </c>
      <c r="H2728" s="7" t="s">
        <v>10468</v>
      </c>
      <c r="I2728" s="7">
        <v>9</v>
      </c>
      <c r="J2728" s="7" t="s">
        <v>12386</v>
      </c>
      <c r="K2728" s="9" t="s">
        <v>8987</v>
      </c>
    </row>
    <row r="2729" spans="1:11">
      <c r="A2729" s="7">
        <v>2727</v>
      </c>
      <c r="B2729" s="7" t="s">
        <v>11335</v>
      </c>
      <c r="C2729" s="7" t="s">
        <v>8984</v>
      </c>
      <c r="D2729" s="7" t="s">
        <v>7556</v>
      </c>
      <c r="E2729" s="7" t="s">
        <v>12388</v>
      </c>
      <c r="F2729" s="8" t="s">
        <v>9071</v>
      </c>
      <c r="G2729" s="7">
        <v>28</v>
      </c>
      <c r="H2729" s="7" t="s">
        <v>10468</v>
      </c>
      <c r="I2729" s="7">
        <v>9</v>
      </c>
      <c r="J2729" s="7" t="s">
        <v>12386</v>
      </c>
      <c r="K2729" s="9" t="s">
        <v>8987</v>
      </c>
    </row>
    <row r="2730" spans="1:11">
      <c r="A2730" s="7">
        <v>2728</v>
      </c>
      <c r="B2730" s="7" t="s">
        <v>11335</v>
      </c>
      <c r="C2730" s="7" t="s">
        <v>8984</v>
      </c>
      <c r="D2730" s="7" t="s">
        <v>7556</v>
      </c>
      <c r="E2730" s="7" t="s">
        <v>12389</v>
      </c>
      <c r="F2730" s="8" t="s">
        <v>9563</v>
      </c>
      <c r="G2730" s="7">
        <v>28</v>
      </c>
      <c r="H2730" s="7" t="s">
        <v>10468</v>
      </c>
      <c r="I2730" s="7">
        <v>9</v>
      </c>
      <c r="J2730" s="7" t="s">
        <v>12386</v>
      </c>
      <c r="K2730" s="9" t="s">
        <v>8987</v>
      </c>
    </row>
    <row r="2731" spans="1:11">
      <c r="A2731" s="7">
        <v>2729</v>
      </c>
      <c r="B2731" s="7" t="s">
        <v>11105</v>
      </c>
      <c r="C2731" s="7" t="s">
        <v>8984</v>
      </c>
      <c r="D2731" s="7" t="s">
        <v>7556</v>
      </c>
      <c r="E2731" s="7" t="s">
        <v>5849</v>
      </c>
      <c r="F2731" s="8" t="s">
        <v>9067</v>
      </c>
      <c r="G2731" s="7">
        <v>16</v>
      </c>
      <c r="H2731" s="7" t="s">
        <v>9215</v>
      </c>
      <c r="I2731" s="7">
        <v>5</v>
      </c>
      <c r="J2731" s="7" t="s">
        <v>10368</v>
      </c>
      <c r="K2731" s="9" t="s">
        <v>8987</v>
      </c>
    </row>
    <row r="2732" spans="1:11">
      <c r="A2732" s="7">
        <v>2730</v>
      </c>
      <c r="B2732" s="7" t="s">
        <v>11105</v>
      </c>
      <c r="C2732" s="7" t="s">
        <v>8984</v>
      </c>
      <c r="D2732" s="7" t="s">
        <v>7556</v>
      </c>
      <c r="E2732" s="7" t="s">
        <v>12390</v>
      </c>
      <c r="F2732" s="8" t="s">
        <v>9069</v>
      </c>
      <c r="G2732" s="7">
        <v>16</v>
      </c>
      <c r="H2732" s="7" t="s">
        <v>9215</v>
      </c>
      <c r="I2732" s="7">
        <v>5</v>
      </c>
      <c r="J2732" s="7" t="s">
        <v>10368</v>
      </c>
      <c r="K2732" s="9" t="s">
        <v>8987</v>
      </c>
    </row>
    <row r="2733" spans="1:11">
      <c r="A2733" s="7">
        <v>2731</v>
      </c>
      <c r="B2733" s="7" t="s">
        <v>11105</v>
      </c>
      <c r="C2733" s="7" t="s">
        <v>8984</v>
      </c>
      <c r="D2733" s="7" t="s">
        <v>7556</v>
      </c>
      <c r="E2733" s="7" t="s">
        <v>12391</v>
      </c>
      <c r="F2733" s="8" t="s">
        <v>9071</v>
      </c>
      <c r="G2733" s="7">
        <v>16</v>
      </c>
      <c r="H2733" s="7" t="s">
        <v>9215</v>
      </c>
      <c r="I2733" s="7">
        <v>5</v>
      </c>
      <c r="J2733" s="7" t="s">
        <v>10368</v>
      </c>
      <c r="K2733" s="9" t="s">
        <v>8987</v>
      </c>
    </row>
    <row r="2734" spans="1:11">
      <c r="A2734" s="7">
        <v>2732</v>
      </c>
      <c r="B2734" s="7" t="s">
        <v>11105</v>
      </c>
      <c r="C2734" s="7" t="s">
        <v>8984</v>
      </c>
      <c r="D2734" s="7" t="s">
        <v>7556</v>
      </c>
      <c r="E2734" s="7" t="s">
        <v>12392</v>
      </c>
      <c r="F2734" s="8" t="s">
        <v>9563</v>
      </c>
      <c r="G2734" s="7">
        <v>16</v>
      </c>
      <c r="H2734" s="7" t="s">
        <v>9215</v>
      </c>
      <c r="I2734" s="7">
        <v>5</v>
      </c>
      <c r="J2734" s="7" t="s">
        <v>10368</v>
      </c>
      <c r="K2734" s="9" t="s">
        <v>8987</v>
      </c>
    </row>
    <row r="2735" spans="1:11">
      <c r="A2735" s="7">
        <v>2733</v>
      </c>
      <c r="B2735" s="7" t="s">
        <v>12393</v>
      </c>
      <c r="C2735" s="7" t="s">
        <v>8984</v>
      </c>
      <c r="D2735" s="7" t="s">
        <v>7556</v>
      </c>
      <c r="E2735" s="7" t="s">
        <v>12394</v>
      </c>
      <c r="F2735" s="8" t="s">
        <v>10118</v>
      </c>
      <c r="G2735" s="7">
        <v>12</v>
      </c>
      <c r="H2735" s="7" t="s">
        <v>9213</v>
      </c>
      <c r="I2735" s="7">
        <v>4</v>
      </c>
      <c r="J2735" s="7" t="s">
        <v>9280</v>
      </c>
      <c r="K2735" s="9" t="s">
        <v>8987</v>
      </c>
    </row>
    <row r="2736" spans="1:11">
      <c r="A2736" s="7">
        <v>2734</v>
      </c>
      <c r="B2736" s="7" t="s">
        <v>11105</v>
      </c>
      <c r="C2736" s="7" t="s">
        <v>8984</v>
      </c>
      <c r="D2736" s="7" t="s">
        <v>7552</v>
      </c>
      <c r="E2736" s="7" t="s">
        <v>12395</v>
      </c>
      <c r="F2736" s="8" t="s">
        <v>9297</v>
      </c>
      <c r="G2736" s="7">
        <v>4</v>
      </c>
      <c r="H2736" s="7" t="s">
        <v>9579</v>
      </c>
      <c r="I2736" s="7">
        <v>1</v>
      </c>
      <c r="J2736" s="7" t="s">
        <v>7617</v>
      </c>
      <c r="K2736" s="9" t="s">
        <v>8987</v>
      </c>
    </row>
    <row r="2737" spans="1:11">
      <c r="A2737" s="7">
        <v>2735</v>
      </c>
      <c r="B2737" s="7" t="s">
        <v>11105</v>
      </c>
      <c r="C2737" s="7" t="s">
        <v>8984</v>
      </c>
      <c r="D2737" s="7" t="s">
        <v>7552</v>
      </c>
      <c r="E2737" s="7" t="s">
        <v>12396</v>
      </c>
      <c r="F2737" s="8" t="s">
        <v>9297</v>
      </c>
      <c r="G2737" s="7">
        <v>5</v>
      </c>
      <c r="H2737" s="7" t="s">
        <v>9336</v>
      </c>
      <c r="I2737" s="7">
        <v>1</v>
      </c>
      <c r="J2737" s="7" t="s">
        <v>7620</v>
      </c>
      <c r="K2737" s="9" t="s">
        <v>8987</v>
      </c>
    </row>
    <row r="2738" spans="1:11">
      <c r="A2738" s="7">
        <v>2736</v>
      </c>
      <c r="B2738" s="7" t="s">
        <v>11105</v>
      </c>
      <c r="C2738" s="7" t="s">
        <v>8984</v>
      </c>
      <c r="D2738" s="7" t="s">
        <v>7552</v>
      </c>
      <c r="E2738" s="7" t="s">
        <v>12397</v>
      </c>
      <c r="F2738" s="8" t="s">
        <v>9297</v>
      </c>
      <c r="G2738" s="7">
        <v>3</v>
      </c>
      <c r="H2738" s="7" t="s">
        <v>9187</v>
      </c>
      <c r="I2738" s="7">
        <v>1</v>
      </c>
      <c r="J2738" s="7" t="s">
        <v>7872</v>
      </c>
      <c r="K2738" s="9" t="s">
        <v>8987</v>
      </c>
    </row>
    <row r="2739" spans="1:11">
      <c r="A2739" s="7">
        <v>2737</v>
      </c>
      <c r="B2739" s="7" t="s">
        <v>11105</v>
      </c>
      <c r="C2739" s="7" t="s">
        <v>8984</v>
      </c>
      <c r="D2739" s="7" t="s">
        <v>7552</v>
      </c>
      <c r="E2739" s="7" t="s">
        <v>12398</v>
      </c>
      <c r="F2739" s="8" t="s">
        <v>9297</v>
      </c>
      <c r="G2739" s="7">
        <v>4</v>
      </c>
      <c r="H2739" s="7" t="s">
        <v>9579</v>
      </c>
      <c r="I2739" s="7">
        <v>1</v>
      </c>
      <c r="J2739" s="7" t="s">
        <v>7617</v>
      </c>
      <c r="K2739" s="9" t="s">
        <v>8987</v>
      </c>
    </row>
    <row r="2740" spans="1:11">
      <c r="A2740" s="7">
        <v>2738</v>
      </c>
      <c r="B2740" s="7" t="s">
        <v>11105</v>
      </c>
      <c r="C2740" s="7" t="s">
        <v>8984</v>
      </c>
      <c r="D2740" s="7" t="s">
        <v>7552</v>
      </c>
      <c r="E2740" s="7" t="s">
        <v>12399</v>
      </c>
      <c r="F2740" s="8" t="s">
        <v>9297</v>
      </c>
      <c r="G2740" s="7">
        <v>3</v>
      </c>
      <c r="H2740" s="7" t="s">
        <v>9187</v>
      </c>
      <c r="I2740" s="7">
        <v>1</v>
      </c>
      <c r="J2740" s="7" t="s">
        <v>7872</v>
      </c>
      <c r="K2740" s="9" t="s">
        <v>8987</v>
      </c>
    </row>
    <row r="2741" spans="1:11">
      <c r="A2741" s="7">
        <v>2739</v>
      </c>
      <c r="B2741" s="7" t="s">
        <v>11105</v>
      </c>
      <c r="C2741" s="7" t="s">
        <v>8984</v>
      </c>
      <c r="D2741" s="7" t="s">
        <v>7555</v>
      </c>
      <c r="E2741" s="7" t="s">
        <v>12400</v>
      </c>
      <c r="F2741" s="8" t="s">
        <v>9249</v>
      </c>
      <c r="G2741" s="7">
        <v>33</v>
      </c>
      <c r="H2741" s="7" t="s">
        <v>11346</v>
      </c>
      <c r="I2741" s="7">
        <v>1</v>
      </c>
      <c r="J2741" s="7" t="s">
        <v>7887</v>
      </c>
      <c r="K2741" s="9" t="s">
        <v>8987</v>
      </c>
    </row>
    <row r="2742" spans="1:11">
      <c r="A2742" s="7">
        <v>2740</v>
      </c>
      <c r="B2742" s="7" t="s">
        <v>11105</v>
      </c>
      <c r="C2742" s="7" t="s">
        <v>8984</v>
      </c>
      <c r="D2742" s="7" t="s">
        <v>7555</v>
      </c>
      <c r="E2742" s="7" t="s">
        <v>12401</v>
      </c>
      <c r="F2742" s="8" t="s">
        <v>9712</v>
      </c>
      <c r="G2742" s="7">
        <v>33</v>
      </c>
      <c r="H2742" s="7" t="s">
        <v>11346</v>
      </c>
      <c r="I2742" s="7">
        <v>1</v>
      </c>
      <c r="J2742" s="7" t="s">
        <v>7887</v>
      </c>
      <c r="K2742" s="9" t="s">
        <v>8987</v>
      </c>
    </row>
    <row r="2743" spans="1:11">
      <c r="A2743" s="7">
        <v>2741</v>
      </c>
      <c r="B2743" s="7" t="s">
        <v>11335</v>
      </c>
      <c r="C2743" s="7" t="s">
        <v>8984</v>
      </c>
      <c r="D2743" s="7" t="s">
        <v>7551</v>
      </c>
      <c r="E2743" s="7" t="s">
        <v>12402</v>
      </c>
      <c r="F2743" s="8" t="s">
        <v>9111</v>
      </c>
      <c r="G2743" s="7">
        <v>6</v>
      </c>
      <c r="H2743" s="7" t="s">
        <v>9218</v>
      </c>
      <c r="I2743" s="7">
        <v>1</v>
      </c>
      <c r="J2743" s="7" t="s">
        <v>7623</v>
      </c>
      <c r="K2743" s="9" t="s">
        <v>8987</v>
      </c>
    </row>
    <row r="2744" spans="1:11">
      <c r="A2744" s="7">
        <v>2742</v>
      </c>
      <c r="B2744" s="7" t="s">
        <v>11105</v>
      </c>
      <c r="C2744" s="7" t="s">
        <v>8984</v>
      </c>
      <c r="D2744" s="7" t="s">
        <v>7551</v>
      </c>
      <c r="E2744" s="7" t="s">
        <v>12403</v>
      </c>
      <c r="F2744" s="8" t="s">
        <v>9111</v>
      </c>
      <c r="G2744" s="7">
        <v>3</v>
      </c>
      <c r="H2744" s="7" t="s">
        <v>9187</v>
      </c>
      <c r="I2744" s="7">
        <v>1</v>
      </c>
      <c r="J2744" s="7" t="s">
        <v>7872</v>
      </c>
      <c r="K2744" s="9" t="s">
        <v>8987</v>
      </c>
    </row>
    <row r="2745" spans="1:11">
      <c r="A2745" s="7">
        <v>2743</v>
      </c>
      <c r="B2745" s="7" t="s">
        <v>11105</v>
      </c>
      <c r="C2745" s="7" t="s">
        <v>8984</v>
      </c>
      <c r="D2745" s="7" t="s">
        <v>7551</v>
      </c>
      <c r="E2745" s="7" t="s">
        <v>12404</v>
      </c>
      <c r="F2745" s="8" t="s">
        <v>9119</v>
      </c>
      <c r="G2745" s="7">
        <v>4</v>
      </c>
      <c r="H2745" s="7" t="s">
        <v>9579</v>
      </c>
      <c r="I2745" s="7">
        <v>1</v>
      </c>
      <c r="J2745" s="7" t="s">
        <v>7617</v>
      </c>
      <c r="K2745" s="9" t="s">
        <v>8987</v>
      </c>
    </row>
    <row r="2746" spans="1:11">
      <c r="A2746" s="7">
        <v>2744</v>
      </c>
      <c r="B2746" s="7" t="s">
        <v>11105</v>
      </c>
      <c r="C2746" s="7" t="s">
        <v>8984</v>
      </c>
      <c r="D2746" s="7" t="s">
        <v>7551</v>
      </c>
      <c r="E2746" s="7" t="s">
        <v>12405</v>
      </c>
      <c r="F2746" s="8" t="s">
        <v>9133</v>
      </c>
      <c r="G2746" s="7">
        <v>5</v>
      </c>
      <c r="H2746" s="7" t="s">
        <v>9336</v>
      </c>
      <c r="I2746" s="7">
        <v>1</v>
      </c>
      <c r="J2746" s="7" t="s">
        <v>7620</v>
      </c>
      <c r="K2746" s="9" t="s">
        <v>8987</v>
      </c>
    </row>
    <row r="2747" spans="1:11">
      <c r="A2747" s="7">
        <v>2745</v>
      </c>
      <c r="B2747" s="7" t="s">
        <v>11105</v>
      </c>
      <c r="C2747" s="7" t="s">
        <v>8984</v>
      </c>
      <c r="D2747" s="7" t="s">
        <v>7551</v>
      </c>
      <c r="E2747" s="7" t="s">
        <v>12406</v>
      </c>
      <c r="F2747" s="8" t="s">
        <v>9135</v>
      </c>
      <c r="G2747" s="7">
        <v>4</v>
      </c>
      <c r="H2747" s="7" t="s">
        <v>9579</v>
      </c>
      <c r="I2747" s="7">
        <v>1</v>
      </c>
      <c r="J2747" s="7" t="s">
        <v>7617</v>
      </c>
      <c r="K2747" s="9" t="s">
        <v>8987</v>
      </c>
    </row>
    <row r="2748" spans="1:11">
      <c r="A2748" s="7">
        <v>2746</v>
      </c>
      <c r="B2748" s="7" t="s">
        <v>11105</v>
      </c>
      <c r="C2748" s="7" t="s">
        <v>8984</v>
      </c>
      <c r="D2748" s="7" t="s">
        <v>7551</v>
      </c>
      <c r="E2748" s="7" t="s">
        <v>12407</v>
      </c>
      <c r="F2748" s="8" t="s">
        <v>9129</v>
      </c>
      <c r="G2748" s="7">
        <v>4</v>
      </c>
      <c r="H2748" s="7" t="s">
        <v>9579</v>
      </c>
      <c r="I2748" s="7">
        <v>1</v>
      </c>
      <c r="J2748" s="7" t="s">
        <v>7617</v>
      </c>
      <c r="K2748" s="9" t="s">
        <v>8987</v>
      </c>
    </row>
    <row r="2749" spans="1:11">
      <c r="A2749" s="7">
        <v>2747</v>
      </c>
      <c r="B2749" s="7" t="s">
        <v>11335</v>
      </c>
      <c r="C2749" s="7" t="s">
        <v>8984</v>
      </c>
      <c r="D2749" s="7" t="s">
        <v>7556</v>
      </c>
      <c r="E2749" s="7" t="s">
        <v>12408</v>
      </c>
      <c r="F2749" s="8" t="s">
        <v>9735</v>
      </c>
      <c r="G2749" s="7">
        <v>30</v>
      </c>
      <c r="H2749" s="7" t="s">
        <v>9015</v>
      </c>
      <c r="I2749" s="7">
        <v>1</v>
      </c>
      <c r="J2749" s="7" t="s">
        <v>7855</v>
      </c>
      <c r="K2749" s="9" t="s">
        <v>8987</v>
      </c>
    </row>
    <row r="2750" spans="1:11">
      <c r="A2750" s="7">
        <v>2748</v>
      </c>
      <c r="B2750" s="7" t="s">
        <v>11335</v>
      </c>
      <c r="C2750" s="7" t="s">
        <v>8984</v>
      </c>
      <c r="D2750" s="7" t="s">
        <v>7556</v>
      </c>
      <c r="E2750" s="7" t="s">
        <v>3670</v>
      </c>
      <c r="F2750" s="8" t="s">
        <v>9735</v>
      </c>
      <c r="G2750" s="7">
        <v>30</v>
      </c>
      <c r="H2750" s="7" t="s">
        <v>9015</v>
      </c>
      <c r="I2750" s="7">
        <v>1</v>
      </c>
      <c r="J2750" s="7" t="s">
        <v>7855</v>
      </c>
      <c r="K2750" s="9" t="s">
        <v>8987</v>
      </c>
    </row>
    <row r="2751" spans="1:11">
      <c r="A2751" s="7">
        <v>2749</v>
      </c>
      <c r="B2751" s="7" t="s">
        <v>11105</v>
      </c>
      <c r="C2751" s="7" t="s">
        <v>8984</v>
      </c>
      <c r="D2751" s="7" t="s">
        <v>7556</v>
      </c>
      <c r="E2751" s="7" t="s">
        <v>12409</v>
      </c>
      <c r="F2751" s="8" t="s">
        <v>9735</v>
      </c>
      <c r="G2751" s="7">
        <v>15</v>
      </c>
      <c r="H2751" s="7" t="s">
        <v>9053</v>
      </c>
      <c r="I2751" s="7">
        <v>1</v>
      </c>
      <c r="J2751" s="7" t="s">
        <v>7862</v>
      </c>
      <c r="K2751" s="9" t="s">
        <v>8987</v>
      </c>
    </row>
    <row r="2752" spans="1:11">
      <c r="A2752" s="7">
        <v>2750</v>
      </c>
      <c r="B2752" s="7" t="s">
        <v>11105</v>
      </c>
      <c r="C2752" s="7" t="s">
        <v>8984</v>
      </c>
      <c r="D2752" s="7" t="s">
        <v>7556</v>
      </c>
      <c r="E2752" s="7" t="s">
        <v>12410</v>
      </c>
      <c r="F2752" s="8" t="s">
        <v>9735</v>
      </c>
      <c r="G2752" s="7">
        <v>15</v>
      </c>
      <c r="H2752" s="7" t="s">
        <v>9053</v>
      </c>
      <c r="I2752" s="7">
        <v>1</v>
      </c>
      <c r="J2752" s="7" t="s">
        <v>7862</v>
      </c>
      <c r="K2752" s="9" t="s">
        <v>8987</v>
      </c>
    </row>
    <row r="2753" spans="1:11">
      <c r="A2753" s="7">
        <v>2751</v>
      </c>
      <c r="B2753" s="7" t="s">
        <v>11105</v>
      </c>
      <c r="C2753" s="7" t="s">
        <v>8984</v>
      </c>
      <c r="D2753" s="7" t="s">
        <v>7566</v>
      </c>
      <c r="E2753" s="7" t="s">
        <v>12411</v>
      </c>
      <c r="F2753" s="8" t="s">
        <v>7972</v>
      </c>
      <c r="G2753" s="7">
        <v>15</v>
      </c>
      <c r="H2753" s="7" t="s">
        <v>9053</v>
      </c>
      <c r="I2753" s="7">
        <v>1</v>
      </c>
      <c r="J2753" s="7" t="s">
        <v>7862</v>
      </c>
      <c r="K2753" s="9" t="s">
        <v>8987</v>
      </c>
    </row>
    <row r="2754" spans="1:11">
      <c r="A2754" s="7">
        <v>2752</v>
      </c>
      <c r="B2754" s="7" t="s">
        <v>11105</v>
      </c>
      <c r="C2754" s="7" t="s">
        <v>8984</v>
      </c>
      <c r="D2754" s="7" t="s">
        <v>7566</v>
      </c>
      <c r="E2754" s="7" t="s">
        <v>12412</v>
      </c>
      <c r="F2754" s="12" t="s">
        <v>7973</v>
      </c>
      <c r="G2754" s="7">
        <v>15</v>
      </c>
      <c r="H2754" s="7" t="s">
        <v>9053</v>
      </c>
      <c r="I2754" s="7">
        <v>1</v>
      </c>
      <c r="J2754" s="7" t="s">
        <v>7862</v>
      </c>
      <c r="K2754" s="9" t="s">
        <v>8987</v>
      </c>
    </row>
    <row r="2755" spans="1:11">
      <c r="A2755" s="7">
        <v>2753</v>
      </c>
      <c r="B2755" s="7" t="s">
        <v>11105</v>
      </c>
      <c r="C2755" s="7" t="s">
        <v>8984</v>
      </c>
      <c r="D2755" s="7" t="s">
        <v>7547</v>
      </c>
      <c r="E2755" s="7" t="s">
        <v>12413</v>
      </c>
      <c r="F2755" s="8" t="s">
        <v>10384</v>
      </c>
      <c r="G2755" s="7">
        <v>12</v>
      </c>
      <c r="H2755" s="7" t="s">
        <v>9213</v>
      </c>
      <c r="I2755" s="7">
        <v>1</v>
      </c>
      <c r="J2755" s="7" t="s">
        <v>7864</v>
      </c>
      <c r="K2755" s="9" t="s">
        <v>8987</v>
      </c>
    </row>
    <row r="2756" spans="1:11">
      <c r="A2756" s="7">
        <v>2754</v>
      </c>
      <c r="B2756" s="7" t="s">
        <v>11105</v>
      </c>
      <c r="C2756" s="7" t="s">
        <v>8984</v>
      </c>
      <c r="D2756" s="7" t="s">
        <v>7547</v>
      </c>
      <c r="E2756" s="7" t="s">
        <v>12414</v>
      </c>
      <c r="F2756" s="8" t="s">
        <v>10384</v>
      </c>
      <c r="G2756" s="7">
        <v>24</v>
      </c>
      <c r="H2756" s="7" t="s">
        <v>9418</v>
      </c>
      <c r="I2756" s="7">
        <v>1</v>
      </c>
      <c r="J2756" s="7" t="s">
        <v>7871</v>
      </c>
      <c r="K2756" s="9" t="s">
        <v>8987</v>
      </c>
    </row>
    <row r="2757" spans="1:11">
      <c r="A2757" s="7">
        <v>2755</v>
      </c>
      <c r="B2757" s="7" t="s">
        <v>11105</v>
      </c>
      <c r="C2757" s="7" t="s">
        <v>8984</v>
      </c>
      <c r="D2757" s="7" t="s">
        <v>7547</v>
      </c>
      <c r="E2757" s="7" t="s">
        <v>12415</v>
      </c>
      <c r="F2757" s="8" t="s">
        <v>10384</v>
      </c>
      <c r="G2757" s="7">
        <v>12</v>
      </c>
      <c r="H2757" s="7" t="s">
        <v>9213</v>
      </c>
      <c r="I2757" s="7">
        <v>1</v>
      </c>
      <c r="J2757" s="7" t="s">
        <v>7864</v>
      </c>
      <c r="K2757" s="9" t="s">
        <v>8987</v>
      </c>
    </row>
    <row r="2758" spans="1:11">
      <c r="A2758" s="7">
        <v>2756</v>
      </c>
      <c r="B2758" s="7" t="s">
        <v>11105</v>
      </c>
      <c r="C2758" s="7" t="s">
        <v>8984</v>
      </c>
      <c r="D2758" s="7" t="s">
        <v>7547</v>
      </c>
      <c r="E2758" s="7" t="s">
        <v>12416</v>
      </c>
      <c r="F2758" s="8" t="s">
        <v>10384</v>
      </c>
      <c r="G2758" s="7">
        <v>18</v>
      </c>
      <c r="H2758" s="7" t="s">
        <v>9422</v>
      </c>
      <c r="I2758" s="7">
        <v>1</v>
      </c>
      <c r="J2758" s="7" t="s">
        <v>7885</v>
      </c>
      <c r="K2758" s="9" t="s">
        <v>8987</v>
      </c>
    </row>
    <row r="2759" spans="1:11">
      <c r="A2759" s="7">
        <v>2757</v>
      </c>
      <c r="B2759" s="7" t="s">
        <v>11105</v>
      </c>
      <c r="C2759" s="7" t="s">
        <v>8984</v>
      </c>
      <c r="D2759" s="7" t="s">
        <v>7547</v>
      </c>
      <c r="E2759" s="7" t="s">
        <v>12417</v>
      </c>
      <c r="F2759" s="8" t="s">
        <v>10384</v>
      </c>
      <c r="G2759" s="7">
        <v>12</v>
      </c>
      <c r="H2759" s="7" t="s">
        <v>9213</v>
      </c>
      <c r="I2759" s="7">
        <v>1</v>
      </c>
      <c r="J2759" s="7" t="s">
        <v>7864</v>
      </c>
      <c r="K2759" s="9" t="s">
        <v>8987</v>
      </c>
    </row>
    <row r="2760" spans="1:11">
      <c r="A2760" s="7">
        <v>2758</v>
      </c>
      <c r="B2760" s="7" t="s">
        <v>11105</v>
      </c>
      <c r="C2760" s="7" t="s">
        <v>8984</v>
      </c>
      <c r="D2760" s="7" t="s">
        <v>7547</v>
      </c>
      <c r="E2760" s="7" t="s">
        <v>12418</v>
      </c>
      <c r="F2760" s="8" t="s">
        <v>10384</v>
      </c>
      <c r="G2760" s="7">
        <v>31</v>
      </c>
      <c r="H2760" s="7" t="s">
        <v>9666</v>
      </c>
      <c r="I2760" s="7">
        <v>1</v>
      </c>
      <c r="J2760" s="7" t="s">
        <v>11236</v>
      </c>
      <c r="K2760" s="9" t="s">
        <v>8987</v>
      </c>
    </row>
    <row r="2761" spans="1:11">
      <c r="A2761" s="7">
        <v>2759</v>
      </c>
      <c r="B2761" s="7" t="s">
        <v>11105</v>
      </c>
      <c r="C2761" s="7" t="s">
        <v>8984</v>
      </c>
      <c r="D2761" s="7" t="s">
        <v>7547</v>
      </c>
      <c r="E2761" s="7" t="s">
        <v>12419</v>
      </c>
      <c r="F2761" s="8" t="s">
        <v>9593</v>
      </c>
      <c r="G2761" s="7">
        <v>8</v>
      </c>
      <c r="H2761" s="7" t="s">
        <v>8991</v>
      </c>
      <c r="I2761" s="7">
        <v>1</v>
      </c>
      <c r="J2761" s="7" t="s">
        <v>7764</v>
      </c>
      <c r="K2761" s="9" t="s">
        <v>8987</v>
      </c>
    </row>
    <row r="2762" spans="1:11">
      <c r="A2762" s="7">
        <v>2760</v>
      </c>
      <c r="B2762" s="7" t="s">
        <v>11105</v>
      </c>
      <c r="C2762" s="7" t="s">
        <v>8984</v>
      </c>
      <c r="D2762" s="7" t="s">
        <v>7547</v>
      </c>
      <c r="E2762" s="7" t="s">
        <v>12420</v>
      </c>
      <c r="F2762" s="8" t="s">
        <v>9593</v>
      </c>
      <c r="G2762" s="7">
        <v>16</v>
      </c>
      <c r="H2762" s="7" t="s">
        <v>9215</v>
      </c>
      <c r="I2762" s="7">
        <v>1</v>
      </c>
      <c r="J2762" s="7" t="s">
        <v>7882</v>
      </c>
      <c r="K2762" s="9" t="s">
        <v>8987</v>
      </c>
    </row>
    <row r="2763" spans="1:11">
      <c r="A2763" s="7">
        <v>2761</v>
      </c>
      <c r="B2763" s="7" t="s">
        <v>11105</v>
      </c>
      <c r="C2763" s="7" t="s">
        <v>8984</v>
      </c>
      <c r="D2763" s="7" t="s">
        <v>7547</v>
      </c>
      <c r="E2763" s="7" t="s">
        <v>12421</v>
      </c>
      <c r="F2763" s="8" t="s">
        <v>9593</v>
      </c>
      <c r="G2763" s="7">
        <v>8</v>
      </c>
      <c r="H2763" s="7" t="s">
        <v>8991</v>
      </c>
      <c r="I2763" s="7">
        <v>1</v>
      </c>
      <c r="J2763" s="7" t="s">
        <v>7764</v>
      </c>
      <c r="K2763" s="9" t="s">
        <v>8987</v>
      </c>
    </row>
    <row r="2764" spans="1:11">
      <c r="A2764" s="7">
        <v>2762</v>
      </c>
      <c r="B2764" s="7" t="s">
        <v>11105</v>
      </c>
      <c r="C2764" s="7" t="s">
        <v>8984</v>
      </c>
      <c r="D2764" s="7" t="s">
        <v>7547</v>
      </c>
      <c r="E2764" s="7" t="s">
        <v>12422</v>
      </c>
      <c r="F2764" s="8" t="s">
        <v>9593</v>
      </c>
      <c r="G2764" s="7">
        <v>12</v>
      </c>
      <c r="H2764" s="7" t="s">
        <v>9213</v>
      </c>
      <c r="I2764" s="7">
        <v>1</v>
      </c>
      <c r="J2764" s="7" t="s">
        <v>7864</v>
      </c>
      <c r="K2764" s="9" t="s">
        <v>8987</v>
      </c>
    </row>
    <row r="2765" spans="1:11">
      <c r="A2765" s="7">
        <v>2763</v>
      </c>
      <c r="B2765" s="7" t="s">
        <v>11105</v>
      </c>
      <c r="C2765" s="7" t="s">
        <v>8984</v>
      </c>
      <c r="D2765" s="7" t="s">
        <v>7547</v>
      </c>
      <c r="E2765" s="7" t="s">
        <v>12423</v>
      </c>
      <c r="F2765" s="8" t="s">
        <v>9593</v>
      </c>
      <c r="G2765" s="7">
        <v>8</v>
      </c>
      <c r="H2765" s="7" t="s">
        <v>8991</v>
      </c>
      <c r="I2765" s="7">
        <v>1</v>
      </c>
      <c r="J2765" s="7" t="s">
        <v>7764</v>
      </c>
      <c r="K2765" s="9" t="s">
        <v>8987</v>
      </c>
    </row>
    <row r="2766" spans="1:11">
      <c r="A2766" s="7">
        <v>2764</v>
      </c>
      <c r="B2766" s="7" t="s">
        <v>11105</v>
      </c>
      <c r="C2766" s="7" t="s">
        <v>8984</v>
      </c>
      <c r="D2766" s="7" t="s">
        <v>7547</v>
      </c>
      <c r="E2766" s="7" t="s">
        <v>7299</v>
      </c>
      <c r="F2766" s="8" t="s">
        <v>9272</v>
      </c>
      <c r="G2766" s="7">
        <v>8</v>
      </c>
      <c r="H2766" s="7" t="s">
        <v>8991</v>
      </c>
      <c r="I2766" s="7">
        <v>1</v>
      </c>
      <c r="J2766" s="7" t="s">
        <v>7764</v>
      </c>
      <c r="K2766" s="9" t="s">
        <v>8987</v>
      </c>
    </row>
    <row r="2767" spans="1:11">
      <c r="A2767" s="7">
        <v>2765</v>
      </c>
      <c r="B2767" s="7" t="s">
        <v>11105</v>
      </c>
      <c r="C2767" s="7" t="s">
        <v>8984</v>
      </c>
      <c r="D2767" s="7" t="s">
        <v>7547</v>
      </c>
      <c r="E2767" s="7" t="s">
        <v>12424</v>
      </c>
      <c r="F2767" s="8" t="s">
        <v>9272</v>
      </c>
      <c r="G2767" s="7">
        <v>16</v>
      </c>
      <c r="H2767" s="7" t="s">
        <v>9215</v>
      </c>
      <c r="I2767" s="7">
        <v>1</v>
      </c>
      <c r="J2767" s="7" t="s">
        <v>7882</v>
      </c>
      <c r="K2767" s="9" t="s">
        <v>8987</v>
      </c>
    </row>
    <row r="2768" spans="1:11">
      <c r="A2768" s="7">
        <v>2766</v>
      </c>
      <c r="B2768" s="7" t="s">
        <v>11105</v>
      </c>
      <c r="C2768" s="7" t="s">
        <v>8984</v>
      </c>
      <c r="D2768" s="7" t="s">
        <v>7547</v>
      </c>
      <c r="E2768" s="7" t="s">
        <v>12425</v>
      </c>
      <c r="F2768" s="8" t="s">
        <v>9272</v>
      </c>
      <c r="G2768" s="7">
        <v>8</v>
      </c>
      <c r="H2768" s="7" t="s">
        <v>8991</v>
      </c>
      <c r="I2768" s="7">
        <v>1</v>
      </c>
      <c r="J2768" s="7" t="s">
        <v>7764</v>
      </c>
      <c r="K2768" s="9" t="s">
        <v>8987</v>
      </c>
    </row>
    <row r="2769" spans="1:11">
      <c r="A2769" s="7">
        <v>2767</v>
      </c>
      <c r="B2769" s="7" t="s">
        <v>11105</v>
      </c>
      <c r="C2769" s="7" t="s">
        <v>8984</v>
      </c>
      <c r="D2769" s="7" t="s">
        <v>7547</v>
      </c>
      <c r="E2769" s="7" t="s">
        <v>12426</v>
      </c>
      <c r="F2769" s="8" t="s">
        <v>9272</v>
      </c>
      <c r="G2769" s="7">
        <v>12</v>
      </c>
      <c r="H2769" s="7" t="s">
        <v>9213</v>
      </c>
      <c r="I2769" s="7">
        <v>1</v>
      </c>
      <c r="J2769" s="7" t="s">
        <v>7864</v>
      </c>
      <c r="K2769" s="9" t="s">
        <v>8987</v>
      </c>
    </row>
    <row r="2770" spans="1:11">
      <c r="A2770" s="7">
        <v>2768</v>
      </c>
      <c r="B2770" s="7" t="s">
        <v>11105</v>
      </c>
      <c r="C2770" s="7" t="s">
        <v>8984</v>
      </c>
      <c r="D2770" s="7" t="s">
        <v>7547</v>
      </c>
      <c r="E2770" s="7" t="s">
        <v>12427</v>
      </c>
      <c r="F2770" s="8" t="s">
        <v>9272</v>
      </c>
      <c r="G2770" s="7">
        <v>8</v>
      </c>
      <c r="H2770" s="7" t="s">
        <v>8991</v>
      </c>
      <c r="I2770" s="7">
        <v>1</v>
      </c>
      <c r="J2770" s="7" t="s">
        <v>7764</v>
      </c>
      <c r="K2770" s="9" t="s">
        <v>8987</v>
      </c>
    </row>
    <row r="2771" spans="1:11">
      <c r="A2771" s="7">
        <v>2769</v>
      </c>
      <c r="B2771" s="7" t="s">
        <v>11105</v>
      </c>
      <c r="C2771" s="7" t="s">
        <v>8984</v>
      </c>
      <c r="D2771" s="7" t="s">
        <v>7547</v>
      </c>
      <c r="E2771" s="7" t="s">
        <v>12428</v>
      </c>
      <c r="F2771" s="8" t="s">
        <v>9272</v>
      </c>
      <c r="G2771" s="7">
        <v>31</v>
      </c>
      <c r="H2771" s="7" t="s">
        <v>9666</v>
      </c>
      <c r="I2771" s="7">
        <v>1</v>
      </c>
      <c r="J2771" s="7" t="s">
        <v>11236</v>
      </c>
      <c r="K2771" s="9" t="s">
        <v>8987</v>
      </c>
    </row>
    <row r="2772" spans="1:11">
      <c r="A2772" s="7">
        <v>2770</v>
      </c>
      <c r="B2772" s="7" t="s">
        <v>11105</v>
      </c>
      <c r="C2772" s="7" t="s">
        <v>8984</v>
      </c>
      <c r="D2772" s="7" t="s">
        <v>7555</v>
      </c>
      <c r="E2772" s="7" t="s">
        <v>12429</v>
      </c>
      <c r="F2772" s="8" t="s">
        <v>8092</v>
      </c>
      <c r="G2772" s="7">
        <v>0</v>
      </c>
      <c r="H2772" s="7" t="s">
        <v>8984</v>
      </c>
      <c r="I2772" s="7">
        <v>1</v>
      </c>
      <c r="J2772" s="7" t="s">
        <v>7838</v>
      </c>
      <c r="K2772" s="9" t="s">
        <v>8987</v>
      </c>
    </row>
    <row r="2773" spans="1:11">
      <c r="A2773" s="7">
        <v>2771</v>
      </c>
      <c r="B2773" s="7" t="s">
        <v>11105</v>
      </c>
      <c r="C2773" s="7" t="s">
        <v>8984</v>
      </c>
      <c r="D2773" s="7" t="s">
        <v>7547</v>
      </c>
      <c r="E2773" s="7" t="s">
        <v>12430</v>
      </c>
      <c r="F2773" s="8" t="s">
        <v>9275</v>
      </c>
      <c r="G2773" s="7">
        <v>8</v>
      </c>
      <c r="H2773" s="7" t="s">
        <v>8991</v>
      </c>
      <c r="I2773" s="7">
        <v>1</v>
      </c>
      <c r="J2773" s="7" t="s">
        <v>7764</v>
      </c>
      <c r="K2773" s="9" t="s">
        <v>8987</v>
      </c>
    </row>
    <row r="2774" spans="1:11">
      <c r="A2774" s="7">
        <v>2772</v>
      </c>
      <c r="B2774" s="7" t="s">
        <v>11105</v>
      </c>
      <c r="C2774" s="7" t="s">
        <v>8984</v>
      </c>
      <c r="D2774" s="7" t="s">
        <v>7547</v>
      </c>
      <c r="E2774" s="7" t="s">
        <v>12431</v>
      </c>
      <c r="F2774" s="8" t="s">
        <v>9275</v>
      </c>
      <c r="G2774" s="7">
        <v>16</v>
      </c>
      <c r="H2774" s="7" t="s">
        <v>9215</v>
      </c>
      <c r="I2774" s="7">
        <v>1</v>
      </c>
      <c r="J2774" s="7" t="s">
        <v>7882</v>
      </c>
      <c r="K2774" s="9" t="s">
        <v>8987</v>
      </c>
    </row>
    <row r="2775" spans="1:11">
      <c r="A2775" s="7">
        <v>2773</v>
      </c>
      <c r="B2775" s="7" t="s">
        <v>11105</v>
      </c>
      <c r="C2775" s="7" t="s">
        <v>8984</v>
      </c>
      <c r="D2775" s="7" t="s">
        <v>7547</v>
      </c>
      <c r="E2775" s="7" t="s">
        <v>12432</v>
      </c>
      <c r="F2775" s="8" t="s">
        <v>9275</v>
      </c>
      <c r="G2775" s="7">
        <v>8</v>
      </c>
      <c r="H2775" s="7" t="s">
        <v>8991</v>
      </c>
      <c r="I2775" s="7">
        <v>1</v>
      </c>
      <c r="J2775" s="7" t="s">
        <v>7764</v>
      </c>
      <c r="K2775" s="9" t="s">
        <v>8987</v>
      </c>
    </row>
    <row r="2776" spans="1:11">
      <c r="A2776" s="7">
        <v>2774</v>
      </c>
      <c r="B2776" s="7" t="s">
        <v>11105</v>
      </c>
      <c r="C2776" s="7" t="s">
        <v>8984</v>
      </c>
      <c r="D2776" s="7" t="s">
        <v>7547</v>
      </c>
      <c r="E2776" s="7" t="s">
        <v>12433</v>
      </c>
      <c r="F2776" s="8" t="s">
        <v>9275</v>
      </c>
      <c r="G2776" s="7">
        <v>12</v>
      </c>
      <c r="H2776" s="7" t="s">
        <v>9213</v>
      </c>
      <c r="I2776" s="7">
        <v>1</v>
      </c>
      <c r="J2776" s="7" t="s">
        <v>7864</v>
      </c>
      <c r="K2776" s="9" t="s">
        <v>8987</v>
      </c>
    </row>
    <row r="2777" spans="1:11">
      <c r="A2777" s="7">
        <v>2775</v>
      </c>
      <c r="B2777" s="7" t="s">
        <v>11105</v>
      </c>
      <c r="C2777" s="7" t="s">
        <v>8984</v>
      </c>
      <c r="D2777" s="7" t="s">
        <v>7547</v>
      </c>
      <c r="E2777" s="7" t="s">
        <v>12434</v>
      </c>
      <c r="F2777" s="8" t="s">
        <v>9275</v>
      </c>
      <c r="G2777" s="7">
        <v>8</v>
      </c>
      <c r="H2777" s="7" t="s">
        <v>8991</v>
      </c>
      <c r="I2777" s="7">
        <v>1</v>
      </c>
      <c r="J2777" s="7" t="s">
        <v>7764</v>
      </c>
      <c r="K2777" s="9" t="s">
        <v>8987</v>
      </c>
    </row>
    <row r="2778" spans="1:11">
      <c r="A2778" s="7">
        <v>2776</v>
      </c>
      <c r="B2778" s="7" t="s">
        <v>11105</v>
      </c>
      <c r="C2778" s="7" t="s">
        <v>8984</v>
      </c>
      <c r="D2778" s="7" t="s">
        <v>7547</v>
      </c>
      <c r="E2778" s="7" t="s">
        <v>12435</v>
      </c>
      <c r="F2778" s="8" t="s">
        <v>9275</v>
      </c>
      <c r="G2778" s="7">
        <v>31</v>
      </c>
      <c r="H2778" s="7" t="s">
        <v>9666</v>
      </c>
      <c r="I2778" s="7">
        <v>1</v>
      </c>
      <c r="J2778" s="7" t="s">
        <v>11236</v>
      </c>
      <c r="K2778" s="9" t="s">
        <v>8987</v>
      </c>
    </row>
    <row r="2779" spans="1:11">
      <c r="A2779" s="7">
        <v>2777</v>
      </c>
      <c r="B2779" s="7" t="s">
        <v>11105</v>
      </c>
      <c r="C2779" s="7" t="s">
        <v>8984</v>
      </c>
      <c r="D2779" s="7" t="s">
        <v>7547</v>
      </c>
      <c r="E2779" s="7" t="s">
        <v>12436</v>
      </c>
      <c r="F2779" s="8" t="s">
        <v>9279</v>
      </c>
      <c r="G2779" s="7">
        <v>8</v>
      </c>
      <c r="H2779" s="7" t="s">
        <v>8991</v>
      </c>
      <c r="I2779" s="7">
        <v>1</v>
      </c>
      <c r="J2779" s="7" t="s">
        <v>7764</v>
      </c>
      <c r="K2779" s="9" t="s">
        <v>8987</v>
      </c>
    </row>
    <row r="2780" spans="1:11">
      <c r="A2780" s="7">
        <v>2778</v>
      </c>
      <c r="B2780" s="7" t="s">
        <v>11105</v>
      </c>
      <c r="C2780" s="7" t="s">
        <v>8984</v>
      </c>
      <c r="D2780" s="7" t="s">
        <v>7547</v>
      </c>
      <c r="E2780" s="7" t="s">
        <v>12437</v>
      </c>
      <c r="F2780" s="8" t="s">
        <v>9279</v>
      </c>
      <c r="G2780" s="7">
        <v>16</v>
      </c>
      <c r="H2780" s="7" t="s">
        <v>9215</v>
      </c>
      <c r="I2780" s="7">
        <v>1</v>
      </c>
      <c r="J2780" s="7" t="s">
        <v>7882</v>
      </c>
      <c r="K2780" s="9" t="s">
        <v>8987</v>
      </c>
    </row>
    <row r="2781" spans="1:11">
      <c r="A2781" s="7">
        <v>2779</v>
      </c>
      <c r="B2781" s="7" t="s">
        <v>11105</v>
      </c>
      <c r="C2781" s="7" t="s">
        <v>8984</v>
      </c>
      <c r="D2781" s="7" t="s">
        <v>7547</v>
      </c>
      <c r="E2781" s="7" t="s">
        <v>12438</v>
      </c>
      <c r="F2781" s="8" t="s">
        <v>9279</v>
      </c>
      <c r="G2781" s="7">
        <v>8</v>
      </c>
      <c r="H2781" s="7" t="s">
        <v>8991</v>
      </c>
      <c r="I2781" s="7">
        <v>1</v>
      </c>
      <c r="J2781" s="7" t="s">
        <v>7764</v>
      </c>
      <c r="K2781" s="9" t="s">
        <v>8987</v>
      </c>
    </row>
    <row r="2782" spans="1:11">
      <c r="A2782" s="7">
        <v>2780</v>
      </c>
      <c r="B2782" s="7" t="s">
        <v>11105</v>
      </c>
      <c r="C2782" s="7" t="s">
        <v>8984</v>
      </c>
      <c r="D2782" s="7" t="s">
        <v>7547</v>
      </c>
      <c r="E2782" s="7" t="s">
        <v>12439</v>
      </c>
      <c r="F2782" s="8" t="s">
        <v>9279</v>
      </c>
      <c r="G2782" s="7">
        <v>12</v>
      </c>
      <c r="H2782" s="7" t="s">
        <v>9213</v>
      </c>
      <c r="I2782" s="7">
        <v>1</v>
      </c>
      <c r="J2782" s="7" t="s">
        <v>7864</v>
      </c>
      <c r="K2782" s="9" t="s">
        <v>8987</v>
      </c>
    </row>
    <row r="2783" spans="1:11">
      <c r="A2783" s="7">
        <v>2781</v>
      </c>
      <c r="B2783" s="7" t="s">
        <v>11105</v>
      </c>
      <c r="C2783" s="7" t="s">
        <v>8984</v>
      </c>
      <c r="D2783" s="7" t="s">
        <v>7547</v>
      </c>
      <c r="E2783" s="7" t="s">
        <v>12440</v>
      </c>
      <c r="F2783" s="8" t="s">
        <v>9279</v>
      </c>
      <c r="G2783" s="7">
        <v>8</v>
      </c>
      <c r="H2783" s="7" t="s">
        <v>8991</v>
      </c>
      <c r="I2783" s="7">
        <v>1</v>
      </c>
      <c r="J2783" s="7" t="s">
        <v>7764</v>
      </c>
      <c r="K2783" s="9" t="s">
        <v>8987</v>
      </c>
    </row>
    <row r="2784" spans="1:11">
      <c r="A2784" s="7">
        <v>2782</v>
      </c>
      <c r="B2784" s="7" t="s">
        <v>11105</v>
      </c>
      <c r="C2784" s="7" t="s">
        <v>8984</v>
      </c>
      <c r="D2784" s="7" t="s">
        <v>7547</v>
      </c>
      <c r="E2784" s="7" t="s">
        <v>12441</v>
      </c>
      <c r="F2784" s="8" t="s">
        <v>8172</v>
      </c>
      <c r="G2784" s="7">
        <v>8</v>
      </c>
      <c r="H2784" s="7" t="s">
        <v>8991</v>
      </c>
      <c r="I2784" s="7">
        <v>1</v>
      </c>
      <c r="J2784" s="7" t="s">
        <v>7764</v>
      </c>
      <c r="K2784" s="9" t="s">
        <v>8987</v>
      </c>
    </row>
    <row r="2785" spans="1:11">
      <c r="A2785" s="7">
        <v>2783</v>
      </c>
      <c r="B2785" s="7" t="s">
        <v>11105</v>
      </c>
      <c r="C2785" s="7" t="s">
        <v>8984</v>
      </c>
      <c r="D2785" s="7" t="s">
        <v>7547</v>
      </c>
      <c r="E2785" s="7" t="s">
        <v>12442</v>
      </c>
      <c r="F2785" s="8" t="s">
        <v>8167</v>
      </c>
      <c r="G2785" s="7">
        <v>8</v>
      </c>
      <c r="H2785" s="7" t="s">
        <v>8991</v>
      </c>
      <c r="I2785" s="7">
        <v>1</v>
      </c>
      <c r="J2785" s="7" t="s">
        <v>7764</v>
      </c>
      <c r="K2785" s="9" t="s">
        <v>8987</v>
      </c>
    </row>
    <row r="2786" spans="1:11">
      <c r="A2786" s="7">
        <v>2784</v>
      </c>
      <c r="B2786" s="7" t="s">
        <v>11105</v>
      </c>
      <c r="C2786" s="7" t="s">
        <v>8984</v>
      </c>
      <c r="D2786" s="7" t="s">
        <v>7547</v>
      </c>
      <c r="E2786" s="7" t="s">
        <v>12443</v>
      </c>
      <c r="F2786" s="8" t="s">
        <v>8185</v>
      </c>
      <c r="G2786" s="7">
        <v>31</v>
      </c>
      <c r="H2786" s="7" t="s">
        <v>9666</v>
      </c>
      <c r="I2786" s="7">
        <v>1</v>
      </c>
      <c r="J2786" s="7" t="s">
        <v>11236</v>
      </c>
      <c r="K2786" s="9" t="s">
        <v>8987</v>
      </c>
    </row>
    <row r="2787" spans="1:11">
      <c r="A2787" s="7">
        <v>2785</v>
      </c>
      <c r="B2787" s="7" t="s">
        <v>11105</v>
      </c>
      <c r="C2787" s="7" t="s">
        <v>8984</v>
      </c>
      <c r="D2787" s="7" t="s">
        <v>7547</v>
      </c>
      <c r="E2787" s="7" t="s">
        <v>12444</v>
      </c>
      <c r="F2787" s="8" t="s">
        <v>8168</v>
      </c>
      <c r="G2787" s="7">
        <v>8</v>
      </c>
      <c r="H2787" s="7" t="s">
        <v>8991</v>
      </c>
      <c r="I2787" s="7">
        <v>1</v>
      </c>
      <c r="J2787" s="7" t="s">
        <v>7764</v>
      </c>
      <c r="K2787" s="9" t="s">
        <v>8987</v>
      </c>
    </row>
    <row r="2788" spans="1:11">
      <c r="A2788" s="7">
        <v>2786</v>
      </c>
      <c r="B2788" s="7" t="s">
        <v>11105</v>
      </c>
      <c r="C2788" s="7" t="s">
        <v>8984</v>
      </c>
      <c r="D2788" s="7" t="s">
        <v>7577</v>
      </c>
      <c r="E2788" s="7" t="s">
        <v>12445</v>
      </c>
      <c r="F2788" s="8" t="s">
        <v>9545</v>
      </c>
      <c r="G2788" s="7">
        <v>15</v>
      </c>
      <c r="H2788" s="7" t="s">
        <v>9053</v>
      </c>
      <c r="I2788" s="7">
        <v>1</v>
      </c>
      <c r="J2788" s="7" t="s">
        <v>7862</v>
      </c>
      <c r="K2788" s="9" t="s">
        <v>8987</v>
      </c>
    </row>
    <row r="2789" spans="1:11">
      <c r="A2789" s="7">
        <v>2787</v>
      </c>
      <c r="B2789" s="7" t="s">
        <v>11105</v>
      </c>
      <c r="C2789" s="7" t="s">
        <v>8984</v>
      </c>
      <c r="D2789" s="7" t="s">
        <v>7577</v>
      </c>
      <c r="E2789" s="7" t="s">
        <v>12446</v>
      </c>
      <c r="F2789" s="8" t="s">
        <v>9545</v>
      </c>
      <c r="G2789" s="7">
        <v>30</v>
      </c>
      <c r="H2789" s="7" t="s">
        <v>9015</v>
      </c>
      <c r="I2789" s="7">
        <v>1</v>
      </c>
      <c r="J2789" s="7" t="s">
        <v>7855</v>
      </c>
      <c r="K2789" s="9" t="s">
        <v>8987</v>
      </c>
    </row>
    <row r="2790" spans="1:11">
      <c r="A2790" s="7">
        <v>2788</v>
      </c>
      <c r="B2790" s="7" t="s">
        <v>11105</v>
      </c>
      <c r="C2790" s="7" t="s">
        <v>8984</v>
      </c>
      <c r="D2790" s="7" t="s">
        <v>7577</v>
      </c>
      <c r="E2790" s="7" t="s">
        <v>12447</v>
      </c>
      <c r="F2790" s="8" t="s">
        <v>9545</v>
      </c>
      <c r="G2790" s="7">
        <v>15</v>
      </c>
      <c r="H2790" s="7" t="s">
        <v>9053</v>
      </c>
      <c r="I2790" s="7">
        <v>1</v>
      </c>
      <c r="J2790" s="7" t="s">
        <v>7862</v>
      </c>
      <c r="K2790" s="9" t="s">
        <v>8987</v>
      </c>
    </row>
    <row r="2791" spans="1:11">
      <c r="A2791" s="7">
        <v>2789</v>
      </c>
      <c r="B2791" s="7" t="s">
        <v>11105</v>
      </c>
      <c r="C2791" s="7" t="s">
        <v>8984</v>
      </c>
      <c r="D2791" s="7" t="s">
        <v>7577</v>
      </c>
      <c r="E2791" s="7" t="s">
        <v>12448</v>
      </c>
      <c r="F2791" s="8" t="s">
        <v>9545</v>
      </c>
      <c r="G2791" s="7">
        <v>20</v>
      </c>
      <c r="H2791" s="7" t="s">
        <v>9394</v>
      </c>
      <c r="I2791" s="7">
        <v>1</v>
      </c>
      <c r="J2791" s="7" t="s">
        <v>7851</v>
      </c>
      <c r="K2791" s="9" t="s">
        <v>8987</v>
      </c>
    </row>
    <row r="2792" spans="1:11">
      <c r="A2792" s="7">
        <v>2790</v>
      </c>
      <c r="B2792" s="7" t="s">
        <v>11105</v>
      </c>
      <c r="C2792" s="7" t="s">
        <v>8984</v>
      </c>
      <c r="D2792" s="7" t="s">
        <v>7577</v>
      </c>
      <c r="E2792" s="7" t="s">
        <v>12449</v>
      </c>
      <c r="F2792" s="8" t="s">
        <v>9545</v>
      </c>
      <c r="G2792" s="7">
        <v>15</v>
      </c>
      <c r="H2792" s="7" t="s">
        <v>9053</v>
      </c>
      <c r="I2792" s="7">
        <v>1</v>
      </c>
      <c r="J2792" s="7" t="s">
        <v>7862</v>
      </c>
      <c r="K2792" s="9" t="s">
        <v>8987</v>
      </c>
    </row>
    <row r="2793" spans="1:11">
      <c r="A2793" s="7">
        <v>2791</v>
      </c>
      <c r="B2793" s="7" t="s">
        <v>11105</v>
      </c>
      <c r="C2793" s="7" t="s">
        <v>8984</v>
      </c>
      <c r="D2793" s="7" t="s">
        <v>7542</v>
      </c>
      <c r="E2793" s="7" t="s">
        <v>12450</v>
      </c>
      <c r="F2793" s="8" t="s">
        <v>9541</v>
      </c>
      <c r="G2793" s="7">
        <v>33</v>
      </c>
      <c r="H2793" s="7" t="s">
        <v>11346</v>
      </c>
      <c r="I2793" s="7">
        <v>1</v>
      </c>
      <c r="J2793" s="7" t="s">
        <v>7887</v>
      </c>
      <c r="K2793" s="9" t="s">
        <v>8987</v>
      </c>
    </row>
    <row r="2794" spans="1:11">
      <c r="A2794" s="7">
        <v>2792</v>
      </c>
      <c r="B2794" s="7" t="s">
        <v>11105</v>
      </c>
      <c r="C2794" s="7" t="s">
        <v>8984</v>
      </c>
      <c r="D2794" s="7" t="s">
        <v>7555</v>
      </c>
      <c r="E2794" s="7" t="s">
        <v>12451</v>
      </c>
      <c r="F2794" s="8" t="s">
        <v>9325</v>
      </c>
      <c r="G2794" s="7">
        <v>100</v>
      </c>
      <c r="H2794" s="7" t="s">
        <v>9046</v>
      </c>
      <c r="I2794" s="7">
        <v>1</v>
      </c>
      <c r="J2794" s="7" t="s">
        <v>7878</v>
      </c>
      <c r="K2794" s="9" t="s">
        <v>8987</v>
      </c>
    </row>
    <row r="2795" spans="1:11">
      <c r="A2795" s="7">
        <v>2793</v>
      </c>
      <c r="B2795" s="7" t="s">
        <v>11105</v>
      </c>
      <c r="C2795" s="7" t="s">
        <v>8984</v>
      </c>
      <c r="D2795" s="7" t="s">
        <v>7555</v>
      </c>
      <c r="E2795" s="7" t="s">
        <v>12452</v>
      </c>
      <c r="F2795" s="8" t="s">
        <v>9244</v>
      </c>
      <c r="G2795" s="7">
        <v>20</v>
      </c>
      <c r="H2795" s="7" t="s">
        <v>9394</v>
      </c>
      <c r="I2795" s="7">
        <v>1</v>
      </c>
      <c r="J2795" s="7" t="s">
        <v>7851</v>
      </c>
      <c r="K2795" s="9" t="s">
        <v>8987</v>
      </c>
    </row>
    <row r="2796" spans="1:11">
      <c r="A2796" s="7">
        <v>2794</v>
      </c>
      <c r="B2796" s="7" t="s">
        <v>11105</v>
      </c>
      <c r="C2796" s="7" t="s">
        <v>8984</v>
      </c>
      <c r="D2796" s="7" t="s">
        <v>7555</v>
      </c>
      <c r="E2796" s="7" t="s">
        <v>12453</v>
      </c>
      <c r="F2796" s="8" t="s">
        <v>9244</v>
      </c>
      <c r="G2796" s="7">
        <v>20</v>
      </c>
      <c r="H2796" s="7" t="s">
        <v>9394</v>
      </c>
      <c r="I2796" s="7">
        <v>1</v>
      </c>
      <c r="J2796" s="7" t="s">
        <v>7851</v>
      </c>
      <c r="K2796" s="9" t="s">
        <v>8987</v>
      </c>
    </row>
    <row r="2797" spans="1:11">
      <c r="A2797" s="7">
        <v>2795</v>
      </c>
      <c r="B2797" s="7" t="s">
        <v>11105</v>
      </c>
      <c r="C2797" s="7" t="s">
        <v>8984</v>
      </c>
      <c r="D2797" s="7" t="s">
        <v>7555</v>
      </c>
      <c r="E2797" s="7" t="s">
        <v>12454</v>
      </c>
      <c r="F2797" s="8" t="s">
        <v>9244</v>
      </c>
      <c r="G2797" s="7">
        <v>40</v>
      </c>
      <c r="H2797" s="7" t="s">
        <v>9003</v>
      </c>
      <c r="I2797" s="7">
        <v>1</v>
      </c>
      <c r="J2797" s="7" t="s">
        <v>7860</v>
      </c>
      <c r="K2797" s="9" t="s">
        <v>8987</v>
      </c>
    </row>
    <row r="2798" spans="1:11">
      <c r="A2798" s="7">
        <v>2796</v>
      </c>
      <c r="B2798" s="7" t="s">
        <v>11105</v>
      </c>
      <c r="C2798" s="7" t="s">
        <v>8984</v>
      </c>
      <c r="D2798" s="7" t="s">
        <v>7555</v>
      </c>
      <c r="E2798" s="7" t="s">
        <v>12455</v>
      </c>
      <c r="F2798" s="8" t="s">
        <v>9244</v>
      </c>
      <c r="G2798" s="7">
        <v>20</v>
      </c>
      <c r="H2798" s="7" t="s">
        <v>9394</v>
      </c>
      <c r="I2798" s="7">
        <v>1</v>
      </c>
      <c r="J2798" s="7" t="s">
        <v>7851</v>
      </c>
      <c r="K2798" s="9" t="s">
        <v>8987</v>
      </c>
    </row>
    <row r="2799" spans="1:11">
      <c r="A2799" s="7">
        <v>2797</v>
      </c>
      <c r="B2799" s="7" t="s">
        <v>11105</v>
      </c>
      <c r="C2799" s="7" t="s">
        <v>8984</v>
      </c>
      <c r="D2799" s="7" t="s">
        <v>7555</v>
      </c>
      <c r="E2799" s="7" t="s">
        <v>12456</v>
      </c>
      <c r="F2799" s="8" t="s">
        <v>9244</v>
      </c>
      <c r="G2799" s="7">
        <v>30</v>
      </c>
      <c r="H2799" s="7" t="s">
        <v>9015</v>
      </c>
      <c r="I2799" s="7">
        <v>1</v>
      </c>
      <c r="J2799" s="7" t="s">
        <v>7855</v>
      </c>
      <c r="K2799" s="9" t="s">
        <v>8987</v>
      </c>
    </row>
    <row r="2800" spans="1:11">
      <c r="A2800" s="7">
        <v>2798</v>
      </c>
      <c r="B2800" s="7" t="s">
        <v>11105</v>
      </c>
      <c r="C2800" s="7" t="s">
        <v>8984</v>
      </c>
      <c r="D2800" s="7" t="s">
        <v>7555</v>
      </c>
      <c r="E2800" s="7" t="s">
        <v>12457</v>
      </c>
      <c r="F2800" s="8" t="s">
        <v>9244</v>
      </c>
      <c r="G2800" s="7">
        <v>20</v>
      </c>
      <c r="H2800" s="7" t="s">
        <v>9394</v>
      </c>
      <c r="I2800" s="7">
        <v>1</v>
      </c>
      <c r="J2800" s="7" t="s">
        <v>7851</v>
      </c>
      <c r="K2800" s="9" t="s">
        <v>8987</v>
      </c>
    </row>
    <row r="2801" spans="1:11">
      <c r="A2801" s="7">
        <v>2799</v>
      </c>
      <c r="B2801" s="7" t="s">
        <v>11105</v>
      </c>
      <c r="C2801" s="7" t="s">
        <v>8984</v>
      </c>
      <c r="D2801" s="7" t="s">
        <v>7555</v>
      </c>
      <c r="E2801" s="7" t="s">
        <v>12458</v>
      </c>
      <c r="F2801" s="8" t="s">
        <v>9251</v>
      </c>
      <c r="G2801" s="7">
        <v>33</v>
      </c>
      <c r="H2801" s="7" t="s">
        <v>11346</v>
      </c>
      <c r="I2801" s="7">
        <v>1</v>
      </c>
      <c r="J2801" s="7" t="s">
        <v>7887</v>
      </c>
      <c r="K2801" s="9" t="s">
        <v>8987</v>
      </c>
    </row>
    <row r="2802" spans="1:11">
      <c r="A2802" s="7">
        <v>2800</v>
      </c>
      <c r="B2802" s="7" t="s">
        <v>11105</v>
      </c>
      <c r="C2802" s="7" t="s">
        <v>8984</v>
      </c>
      <c r="D2802" s="7" t="s">
        <v>7555</v>
      </c>
      <c r="E2802" s="7" t="s">
        <v>12459</v>
      </c>
      <c r="F2802" s="8" t="s">
        <v>9708</v>
      </c>
      <c r="G2802" s="7">
        <v>33</v>
      </c>
      <c r="H2802" s="7" t="s">
        <v>11346</v>
      </c>
      <c r="I2802" s="7">
        <v>1</v>
      </c>
      <c r="J2802" s="7" t="s">
        <v>7887</v>
      </c>
      <c r="K2802" s="9" t="s">
        <v>8987</v>
      </c>
    </row>
    <row r="2803" spans="1:11">
      <c r="A2803" s="7">
        <v>2801</v>
      </c>
      <c r="B2803" s="7" t="s">
        <v>11105</v>
      </c>
      <c r="C2803" s="7" t="s">
        <v>8984</v>
      </c>
      <c r="D2803" s="7" t="s">
        <v>7555</v>
      </c>
      <c r="E2803" s="7" t="s">
        <v>12460</v>
      </c>
      <c r="F2803" s="8" t="s">
        <v>10096</v>
      </c>
      <c r="G2803" s="7">
        <v>40</v>
      </c>
      <c r="H2803" s="7" t="s">
        <v>9003</v>
      </c>
      <c r="I2803" s="7">
        <v>1</v>
      </c>
      <c r="J2803" s="7" t="s">
        <v>7860</v>
      </c>
      <c r="K2803" s="9" t="s">
        <v>8987</v>
      </c>
    </row>
    <row r="2804" spans="1:11">
      <c r="A2804" s="7">
        <v>2802</v>
      </c>
      <c r="B2804" s="7" t="s">
        <v>11105</v>
      </c>
      <c r="C2804" s="7" t="s">
        <v>8984</v>
      </c>
      <c r="D2804" s="7" t="s">
        <v>7542</v>
      </c>
      <c r="E2804" s="7" t="s">
        <v>12461</v>
      </c>
      <c r="F2804" s="8" t="s">
        <v>9320</v>
      </c>
      <c r="G2804" s="7">
        <v>45</v>
      </c>
      <c r="H2804" s="7" t="s">
        <v>9750</v>
      </c>
      <c r="I2804" s="7">
        <v>1</v>
      </c>
      <c r="J2804" s="7" t="s">
        <v>7880</v>
      </c>
      <c r="K2804" s="9" t="s">
        <v>8987</v>
      </c>
    </row>
    <row r="2805" spans="1:11">
      <c r="A2805" s="7">
        <v>2803</v>
      </c>
      <c r="B2805" s="7" t="s">
        <v>11105</v>
      </c>
      <c r="C2805" s="7" t="s">
        <v>8984</v>
      </c>
      <c r="D2805" s="7" t="s">
        <v>7548</v>
      </c>
      <c r="E2805" s="7" t="s">
        <v>12462</v>
      </c>
      <c r="F2805" s="8" t="s">
        <v>10267</v>
      </c>
      <c r="G2805" s="7">
        <v>15</v>
      </c>
      <c r="H2805" s="7" t="s">
        <v>9053</v>
      </c>
      <c r="I2805" s="7">
        <v>1</v>
      </c>
      <c r="J2805" s="7" t="s">
        <v>7862</v>
      </c>
      <c r="K2805" s="9" t="s">
        <v>8987</v>
      </c>
    </row>
    <row r="2806" spans="1:11">
      <c r="A2806" s="7">
        <v>2804</v>
      </c>
      <c r="B2806" s="7" t="s">
        <v>11105</v>
      </c>
      <c r="C2806" s="7" t="s">
        <v>8984</v>
      </c>
      <c r="D2806" s="7" t="s">
        <v>7548</v>
      </c>
      <c r="E2806" s="7" t="s">
        <v>7121</v>
      </c>
      <c r="F2806" s="8" t="s">
        <v>10267</v>
      </c>
      <c r="G2806" s="7">
        <v>11</v>
      </c>
      <c r="H2806" s="7" t="s">
        <v>9386</v>
      </c>
      <c r="I2806" s="7">
        <v>1</v>
      </c>
      <c r="J2806" s="7" t="s">
        <v>7865</v>
      </c>
      <c r="K2806" s="9" t="s">
        <v>8987</v>
      </c>
    </row>
    <row r="2807" spans="1:11">
      <c r="A2807" s="7">
        <v>2805</v>
      </c>
      <c r="B2807" s="7" t="s">
        <v>11105</v>
      </c>
      <c r="C2807" s="7" t="s">
        <v>8984</v>
      </c>
      <c r="D2807" s="7" t="s">
        <v>7548</v>
      </c>
      <c r="E2807" s="7" t="s">
        <v>12463</v>
      </c>
      <c r="F2807" s="8" t="s">
        <v>10267</v>
      </c>
      <c r="G2807" s="7">
        <v>8</v>
      </c>
      <c r="H2807" s="7" t="s">
        <v>8991</v>
      </c>
      <c r="I2807" s="7">
        <v>1</v>
      </c>
      <c r="J2807" s="7" t="s">
        <v>7764</v>
      </c>
      <c r="K2807" s="9" t="s">
        <v>8987</v>
      </c>
    </row>
    <row r="2808" spans="1:11">
      <c r="A2808" s="7">
        <v>2806</v>
      </c>
      <c r="B2808" s="7" t="s">
        <v>11105</v>
      </c>
      <c r="C2808" s="7" t="s">
        <v>8984</v>
      </c>
      <c r="D2808" s="7" t="s">
        <v>7548</v>
      </c>
      <c r="E2808" s="7" t="s">
        <v>12464</v>
      </c>
      <c r="F2808" s="8" t="s">
        <v>10267</v>
      </c>
      <c r="G2808" s="7">
        <v>11</v>
      </c>
      <c r="H2808" s="7" t="s">
        <v>9386</v>
      </c>
      <c r="I2808" s="7">
        <v>1</v>
      </c>
      <c r="J2808" s="7" t="s">
        <v>7865</v>
      </c>
      <c r="K2808" s="9" t="s">
        <v>8987</v>
      </c>
    </row>
    <row r="2809" spans="1:11">
      <c r="A2809" s="7">
        <v>2807</v>
      </c>
      <c r="B2809" s="7" t="s">
        <v>11105</v>
      </c>
      <c r="C2809" s="7" t="s">
        <v>8984</v>
      </c>
      <c r="D2809" s="7" t="s">
        <v>7548</v>
      </c>
      <c r="E2809" s="7" t="s">
        <v>12465</v>
      </c>
      <c r="F2809" s="8" t="s">
        <v>10267</v>
      </c>
      <c r="G2809" s="7">
        <v>8</v>
      </c>
      <c r="H2809" s="7" t="s">
        <v>8991</v>
      </c>
      <c r="I2809" s="7">
        <v>1</v>
      </c>
      <c r="J2809" s="7" t="s">
        <v>7764</v>
      </c>
      <c r="K2809" s="9" t="s">
        <v>8987</v>
      </c>
    </row>
    <row r="2810" spans="1:11">
      <c r="A2810" s="7">
        <v>2808</v>
      </c>
      <c r="B2810" s="7" t="s">
        <v>11105</v>
      </c>
      <c r="C2810" s="7" t="s">
        <v>8984</v>
      </c>
      <c r="D2810" s="7" t="s">
        <v>7548</v>
      </c>
      <c r="E2810" s="7" t="s">
        <v>12466</v>
      </c>
      <c r="F2810" s="8" t="s">
        <v>10244</v>
      </c>
      <c r="G2810" s="7">
        <v>7</v>
      </c>
      <c r="H2810" s="7" t="s">
        <v>9182</v>
      </c>
      <c r="I2810" s="7">
        <v>1</v>
      </c>
      <c r="J2810" s="7" t="s">
        <v>7866</v>
      </c>
      <c r="K2810" s="9" t="s">
        <v>8987</v>
      </c>
    </row>
    <row r="2811" spans="1:11">
      <c r="A2811" s="7">
        <v>2809</v>
      </c>
      <c r="B2811" s="7" t="s">
        <v>11105</v>
      </c>
      <c r="C2811" s="7" t="s">
        <v>8984</v>
      </c>
      <c r="D2811" s="7" t="s">
        <v>7548</v>
      </c>
      <c r="E2811" s="7" t="s">
        <v>12467</v>
      </c>
      <c r="F2811" s="8" t="s">
        <v>10244</v>
      </c>
      <c r="G2811" s="7">
        <v>14</v>
      </c>
      <c r="H2811" s="7" t="s">
        <v>9397</v>
      </c>
      <c r="I2811" s="7">
        <v>1</v>
      </c>
      <c r="J2811" s="7" t="s">
        <v>7888</v>
      </c>
      <c r="K2811" s="9" t="s">
        <v>8987</v>
      </c>
    </row>
    <row r="2812" spans="1:11">
      <c r="A2812" s="7">
        <v>2810</v>
      </c>
      <c r="B2812" s="7" t="s">
        <v>11105</v>
      </c>
      <c r="C2812" s="7" t="s">
        <v>8984</v>
      </c>
      <c r="D2812" s="7" t="s">
        <v>7548</v>
      </c>
      <c r="E2812" s="7" t="s">
        <v>12468</v>
      </c>
      <c r="F2812" s="8" t="s">
        <v>10244</v>
      </c>
      <c r="G2812" s="7">
        <v>10</v>
      </c>
      <c r="H2812" s="7" t="s">
        <v>9292</v>
      </c>
      <c r="I2812" s="7">
        <v>1</v>
      </c>
      <c r="J2812" s="7" t="s">
        <v>7768</v>
      </c>
      <c r="K2812" s="9" t="s">
        <v>8987</v>
      </c>
    </row>
    <row r="2813" spans="1:11">
      <c r="A2813" s="7">
        <v>2811</v>
      </c>
      <c r="B2813" s="7" t="s">
        <v>11105</v>
      </c>
      <c r="C2813" s="7" t="s">
        <v>8984</v>
      </c>
      <c r="D2813" s="7" t="s">
        <v>7548</v>
      </c>
      <c r="E2813" s="7" t="s">
        <v>12469</v>
      </c>
      <c r="F2813" s="8" t="s">
        <v>10244</v>
      </c>
      <c r="G2813" s="7">
        <v>7</v>
      </c>
      <c r="H2813" s="7" t="s">
        <v>9182</v>
      </c>
      <c r="I2813" s="7">
        <v>1</v>
      </c>
      <c r="J2813" s="7" t="s">
        <v>7866</v>
      </c>
      <c r="K2813" s="9" t="s">
        <v>8987</v>
      </c>
    </row>
    <row r="2814" spans="1:11">
      <c r="A2814" s="7">
        <v>2812</v>
      </c>
      <c r="B2814" s="7" t="s">
        <v>11105</v>
      </c>
      <c r="C2814" s="7" t="s">
        <v>8984</v>
      </c>
      <c r="D2814" s="7" t="s">
        <v>7548</v>
      </c>
      <c r="E2814" s="7" t="s">
        <v>12470</v>
      </c>
      <c r="F2814" s="8" t="s">
        <v>10244</v>
      </c>
      <c r="G2814" s="7">
        <v>10</v>
      </c>
      <c r="H2814" s="7" t="s">
        <v>9292</v>
      </c>
      <c r="I2814" s="7">
        <v>1</v>
      </c>
      <c r="J2814" s="7" t="s">
        <v>7768</v>
      </c>
      <c r="K2814" s="9" t="s">
        <v>8987</v>
      </c>
    </row>
    <row r="2815" spans="1:11">
      <c r="A2815" s="7">
        <v>2813</v>
      </c>
      <c r="B2815" s="7" t="s">
        <v>11105</v>
      </c>
      <c r="C2815" s="7" t="s">
        <v>8984</v>
      </c>
      <c r="D2815" s="7" t="s">
        <v>7548</v>
      </c>
      <c r="E2815" s="7" t="s">
        <v>12471</v>
      </c>
      <c r="F2815" s="8" t="s">
        <v>10244</v>
      </c>
      <c r="G2815" s="7">
        <v>7</v>
      </c>
      <c r="H2815" s="7" t="s">
        <v>9182</v>
      </c>
      <c r="I2815" s="7">
        <v>1</v>
      </c>
      <c r="J2815" s="7" t="s">
        <v>7866</v>
      </c>
      <c r="K2815" s="9" t="s">
        <v>8987</v>
      </c>
    </row>
    <row r="2816" spans="1:11">
      <c r="A2816" s="7">
        <v>2814</v>
      </c>
      <c r="B2816" s="7" t="s">
        <v>11105</v>
      </c>
      <c r="C2816" s="7" t="s">
        <v>8984</v>
      </c>
      <c r="D2816" s="7" t="s">
        <v>7548</v>
      </c>
      <c r="E2816" s="7" t="s">
        <v>12472</v>
      </c>
      <c r="F2816" s="8" t="s">
        <v>10244</v>
      </c>
      <c r="G2816" s="7">
        <v>14</v>
      </c>
      <c r="H2816" s="7" t="s">
        <v>9397</v>
      </c>
      <c r="I2816" s="7">
        <v>1</v>
      </c>
      <c r="J2816" s="7" t="s">
        <v>7888</v>
      </c>
      <c r="K2816" s="9" t="s">
        <v>8987</v>
      </c>
    </row>
    <row r="2817" spans="1:11">
      <c r="A2817" s="7">
        <v>2815</v>
      </c>
      <c r="B2817" s="7" t="s">
        <v>11105</v>
      </c>
      <c r="C2817" s="7" t="s">
        <v>8984</v>
      </c>
      <c r="D2817" s="7" t="s">
        <v>7548</v>
      </c>
      <c r="E2817" s="7" t="s">
        <v>12473</v>
      </c>
      <c r="F2817" s="8" t="s">
        <v>10247</v>
      </c>
      <c r="G2817" s="7">
        <v>41</v>
      </c>
      <c r="H2817" s="7" t="s">
        <v>9200</v>
      </c>
      <c r="I2817" s="7">
        <v>1</v>
      </c>
      <c r="J2817" s="7" t="s">
        <v>11244</v>
      </c>
      <c r="K2817" s="9" t="s">
        <v>8987</v>
      </c>
    </row>
    <row r="2818" spans="1:11">
      <c r="A2818" s="7">
        <v>2816</v>
      </c>
      <c r="B2818" s="7" t="s">
        <v>11105</v>
      </c>
      <c r="C2818" s="7" t="s">
        <v>8984</v>
      </c>
      <c r="D2818" s="7" t="s">
        <v>7548</v>
      </c>
      <c r="E2818" s="7" t="s">
        <v>12474</v>
      </c>
      <c r="F2818" s="8" t="s">
        <v>10252</v>
      </c>
      <c r="G2818" s="7">
        <v>17</v>
      </c>
      <c r="H2818" s="7" t="s">
        <v>9146</v>
      </c>
      <c r="I2818" s="7">
        <v>1</v>
      </c>
      <c r="J2818" s="7" t="s">
        <v>7850</v>
      </c>
      <c r="K2818" s="9" t="s">
        <v>8987</v>
      </c>
    </row>
    <row r="2819" spans="1:11">
      <c r="A2819" s="7">
        <v>2817</v>
      </c>
      <c r="B2819" s="7" t="s">
        <v>11335</v>
      </c>
      <c r="C2819" s="7" t="s">
        <v>8984</v>
      </c>
      <c r="D2819" s="7" t="s">
        <v>7548</v>
      </c>
      <c r="E2819" s="7" t="s">
        <v>12475</v>
      </c>
      <c r="F2819" s="8" t="s">
        <v>7548</v>
      </c>
      <c r="G2819" s="7">
        <v>10</v>
      </c>
      <c r="H2819" s="7" t="s">
        <v>9292</v>
      </c>
      <c r="I2819" s="7">
        <v>1</v>
      </c>
      <c r="J2819" s="7" t="s">
        <v>7768</v>
      </c>
      <c r="K2819" s="9" t="s">
        <v>8987</v>
      </c>
    </row>
    <row r="2820" spans="1:11">
      <c r="A2820" s="7">
        <v>2818</v>
      </c>
      <c r="B2820" s="7" t="s">
        <v>11105</v>
      </c>
      <c r="C2820" s="7" t="s">
        <v>8984</v>
      </c>
      <c r="D2820" s="7" t="s">
        <v>7548</v>
      </c>
      <c r="E2820" s="7" t="s">
        <v>12476</v>
      </c>
      <c r="F2820" s="8" t="s">
        <v>7548</v>
      </c>
      <c r="G2820" s="7">
        <v>2</v>
      </c>
      <c r="H2820" s="7" t="s">
        <v>10476</v>
      </c>
      <c r="I2820" s="7">
        <v>1</v>
      </c>
      <c r="J2820" s="7" t="s">
        <v>7861</v>
      </c>
      <c r="K2820" s="9" t="s">
        <v>8987</v>
      </c>
    </row>
    <row r="2821" spans="1:11">
      <c r="A2821" s="7">
        <v>2819</v>
      </c>
      <c r="B2821" s="7" t="s">
        <v>11105</v>
      </c>
      <c r="C2821" s="7" t="s">
        <v>8984</v>
      </c>
      <c r="D2821" s="7" t="s">
        <v>7548</v>
      </c>
      <c r="E2821" s="7" t="s">
        <v>12477</v>
      </c>
      <c r="F2821" s="8" t="s">
        <v>7548</v>
      </c>
      <c r="G2821" s="7">
        <v>2</v>
      </c>
      <c r="H2821" s="7" t="s">
        <v>10476</v>
      </c>
      <c r="I2821" s="7">
        <v>1</v>
      </c>
      <c r="J2821" s="7" t="s">
        <v>7861</v>
      </c>
      <c r="K2821" s="9" t="s">
        <v>8987</v>
      </c>
    </row>
    <row r="2822" spans="1:11">
      <c r="A2822" s="7">
        <v>2820</v>
      </c>
      <c r="B2822" s="7" t="s">
        <v>11105</v>
      </c>
      <c r="C2822" s="7" t="s">
        <v>8984</v>
      </c>
      <c r="D2822" s="7" t="s">
        <v>7548</v>
      </c>
      <c r="E2822" s="7" t="s">
        <v>12478</v>
      </c>
      <c r="F2822" s="8" t="s">
        <v>7548</v>
      </c>
      <c r="G2822" s="7">
        <v>4</v>
      </c>
      <c r="H2822" s="7" t="s">
        <v>9579</v>
      </c>
      <c r="I2822" s="7">
        <v>1</v>
      </c>
      <c r="J2822" s="7" t="s">
        <v>7617</v>
      </c>
      <c r="K2822" s="9" t="s">
        <v>8987</v>
      </c>
    </row>
    <row r="2823" spans="1:11">
      <c r="A2823" s="7">
        <v>2821</v>
      </c>
      <c r="B2823" s="7" t="s">
        <v>11105</v>
      </c>
      <c r="C2823" s="7" t="s">
        <v>8984</v>
      </c>
      <c r="D2823" s="7" t="s">
        <v>7548</v>
      </c>
      <c r="E2823" s="7" t="s">
        <v>12479</v>
      </c>
      <c r="F2823" s="8" t="s">
        <v>7548</v>
      </c>
      <c r="G2823" s="7">
        <v>2</v>
      </c>
      <c r="H2823" s="7" t="s">
        <v>10476</v>
      </c>
      <c r="I2823" s="7">
        <v>1</v>
      </c>
      <c r="J2823" s="7" t="s">
        <v>7861</v>
      </c>
      <c r="K2823" s="9" t="s">
        <v>8987</v>
      </c>
    </row>
    <row r="2824" spans="1:11">
      <c r="A2824" s="7">
        <v>2822</v>
      </c>
      <c r="B2824" s="7" t="s">
        <v>11105</v>
      </c>
      <c r="C2824" s="7" t="s">
        <v>8984</v>
      </c>
      <c r="D2824" s="7" t="s">
        <v>7548</v>
      </c>
      <c r="E2824" s="7" t="s">
        <v>12480</v>
      </c>
      <c r="F2824" s="8" t="s">
        <v>7548</v>
      </c>
      <c r="G2824" s="7">
        <v>3</v>
      </c>
      <c r="H2824" s="7" t="s">
        <v>9187</v>
      </c>
      <c r="I2824" s="7">
        <v>1</v>
      </c>
      <c r="J2824" s="7" t="s">
        <v>7872</v>
      </c>
      <c r="K2824" s="9" t="s">
        <v>8987</v>
      </c>
    </row>
    <row r="2825" spans="1:11">
      <c r="A2825" s="7">
        <v>2823</v>
      </c>
      <c r="B2825" s="7" t="s">
        <v>11105</v>
      </c>
      <c r="C2825" s="7" t="s">
        <v>8984</v>
      </c>
      <c r="D2825" s="7" t="s">
        <v>7548</v>
      </c>
      <c r="E2825" s="7" t="s">
        <v>12481</v>
      </c>
      <c r="F2825" s="8" t="s">
        <v>7548</v>
      </c>
      <c r="G2825" s="7">
        <v>2</v>
      </c>
      <c r="H2825" s="7" t="s">
        <v>10476</v>
      </c>
      <c r="I2825" s="7">
        <v>1</v>
      </c>
      <c r="J2825" s="7" t="s">
        <v>7861</v>
      </c>
      <c r="K2825" s="9" t="s">
        <v>8987</v>
      </c>
    </row>
    <row r="2826" spans="1:11">
      <c r="A2826" s="7">
        <v>2824</v>
      </c>
      <c r="B2826" s="7" t="s">
        <v>11105</v>
      </c>
      <c r="C2826" s="7" t="s">
        <v>8984</v>
      </c>
      <c r="D2826" s="7" t="s">
        <v>7548</v>
      </c>
      <c r="E2826" s="7" t="s">
        <v>12482</v>
      </c>
      <c r="F2826" s="8" t="s">
        <v>7548</v>
      </c>
      <c r="G2826" s="7">
        <v>4</v>
      </c>
      <c r="H2826" s="7" t="s">
        <v>9579</v>
      </c>
      <c r="I2826" s="7">
        <v>1</v>
      </c>
      <c r="J2826" s="7" t="s">
        <v>7617</v>
      </c>
      <c r="K2826" s="9" t="s">
        <v>8987</v>
      </c>
    </row>
    <row r="2827" spans="1:11">
      <c r="A2827" s="7">
        <v>2825</v>
      </c>
      <c r="B2827" s="7" t="s">
        <v>11335</v>
      </c>
      <c r="C2827" s="7" t="s">
        <v>8984</v>
      </c>
      <c r="D2827" s="7" t="s">
        <v>7548</v>
      </c>
      <c r="E2827" s="7" t="s">
        <v>12483</v>
      </c>
      <c r="F2827" s="8" t="s">
        <v>10222</v>
      </c>
      <c r="G2827" s="7">
        <v>7</v>
      </c>
      <c r="H2827" s="7" t="s">
        <v>9182</v>
      </c>
      <c r="I2827" s="7">
        <v>1</v>
      </c>
      <c r="J2827" s="7" t="s">
        <v>7866</v>
      </c>
      <c r="K2827" s="9" t="s">
        <v>8987</v>
      </c>
    </row>
    <row r="2828" spans="1:11">
      <c r="A2828" s="7">
        <v>2826</v>
      </c>
      <c r="B2828" s="7" t="s">
        <v>11105</v>
      </c>
      <c r="C2828" s="7" t="s">
        <v>8984</v>
      </c>
      <c r="D2828" s="7" t="s">
        <v>7548</v>
      </c>
      <c r="E2828" s="7" t="s">
        <v>12484</v>
      </c>
      <c r="F2828" s="8" t="s">
        <v>10222</v>
      </c>
      <c r="G2828" s="7">
        <v>4</v>
      </c>
      <c r="H2828" s="7" t="s">
        <v>9579</v>
      </c>
      <c r="I2828" s="7">
        <v>1</v>
      </c>
      <c r="J2828" s="7" t="s">
        <v>7617</v>
      </c>
      <c r="K2828" s="9" t="s">
        <v>8987</v>
      </c>
    </row>
    <row r="2829" spans="1:11">
      <c r="A2829" s="7">
        <v>2827</v>
      </c>
      <c r="B2829" s="7" t="s">
        <v>11105</v>
      </c>
      <c r="C2829" s="7" t="s">
        <v>8984</v>
      </c>
      <c r="D2829" s="7" t="s">
        <v>7548</v>
      </c>
      <c r="E2829" s="7" t="s">
        <v>12485</v>
      </c>
      <c r="F2829" s="8" t="s">
        <v>10283</v>
      </c>
      <c r="G2829" s="7">
        <v>3</v>
      </c>
      <c r="H2829" s="7" t="s">
        <v>9187</v>
      </c>
      <c r="I2829" s="7">
        <v>1</v>
      </c>
      <c r="J2829" s="7" t="s">
        <v>7872</v>
      </c>
      <c r="K2829" s="9" t="s">
        <v>8987</v>
      </c>
    </row>
    <row r="2830" spans="1:11">
      <c r="A2830" s="7">
        <v>2828</v>
      </c>
      <c r="B2830" s="7" t="s">
        <v>11105</v>
      </c>
      <c r="C2830" s="7" t="s">
        <v>8984</v>
      </c>
      <c r="D2830" s="7" t="s">
        <v>7548</v>
      </c>
      <c r="E2830" s="7" t="s">
        <v>12486</v>
      </c>
      <c r="F2830" s="8" t="s">
        <v>10283</v>
      </c>
      <c r="G2830" s="7">
        <v>5</v>
      </c>
      <c r="H2830" s="7" t="s">
        <v>9336</v>
      </c>
      <c r="I2830" s="7">
        <v>1</v>
      </c>
      <c r="J2830" s="7" t="s">
        <v>7620</v>
      </c>
      <c r="K2830" s="9" t="s">
        <v>8987</v>
      </c>
    </row>
    <row r="2831" spans="1:11">
      <c r="A2831" s="7">
        <v>2829</v>
      </c>
      <c r="B2831" s="7" t="s">
        <v>11105</v>
      </c>
      <c r="C2831" s="7" t="s">
        <v>8984</v>
      </c>
      <c r="D2831" s="7" t="s">
        <v>7548</v>
      </c>
      <c r="E2831" s="7" t="s">
        <v>12487</v>
      </c>
      <c r="F2831" s="8" t="s">
        <v>10283</v>
      </c>
      <c r="G2831" s="7">
        <v>3</v>
      </c>
      <c r="H2831" s="7" t="s">
        <v>9187</v>
      </c>
      <c r="I2831" s="7">
        <v>1</v>
      </c>
      <c r="J2831" s="7" t="s">
        <v>7872</v>
      </c>
      <c r="K2831" s="9" t="s">
        <v>8987</v>
      </c>
    </row>
    <row r="2832" spans="1:11">
      <c r="A2832" s="7">
        <v>2830</v>
      </c>
      <c r="B2832" s="7" t="s">
        <v>11105</v>
      </c>
      <c r="C2832" s="7" t="s">
        <v>8984</v>
      </c>
      <c r="D2832" s="7" t="s">
        <v>7548</v>
      </c>
      <c r="E2832" s="7" t="s">
        <v>12488</v>
      </c>
      <c r="F2832" s="8" t="s">
        <v>10283</v>
      </c>
      <c r="G2832" s="7">
        <v>4</v>
      </c>
      <c r="H2832" s="7" t="s">
        <v>9579</v>
      </c>
      <c r="I2832" s="7">
        <v>1</v>
      </c>
      <c r="J2832" s="7" t="s">
        <v>7617</v>
      </c>
      <c r="K2832" s="9" t="s">
        <v>8987</v>
      </c>
    </row>
    <row r="2833" spans="1:11">
      <c r="A2833" s="7">
        <v>2831</v>
      </c>
      <c r="B2833" s="7" t="s">
        <v>11105</v>
      </c>
      <c r="C2833" s="7" t="s">
        <v>8984</v>
      </c>
      <c r="D2833" s="7" t="s">
        <v>7548</v>
      </c>
      <c r="E2833" s="7" t="s">
        <v>12489</v>
      </c>
      <c r="F2833" s="8" t="s">
        <v>10283</v>
      </c>
      <c r="G2833" s="7">
        <v>3</v>
      </c>
      <c r="H2833" s="7" t="s">
        <v>9187</v>
      </c>
      <c r="I2833" s="7">
        <v>1</v>
      </c>
      <c r="J2833" s="7" t="s">
        <v>7872</v>
      </c>
      <c r="K2833" s="9" t="s">
        <v>8987</v>
      </c>
    </row>
    <row r="2834" spans="1:11">
      <c r="A2834" s="7">
        <v>2832</v>
      </c>
      <c r="B2834" s="7" t="s">
        <v>11105</v>
      </c>
      <c r="C2834" s="7" t="s">
        <v>8984</v>
      </c>
      <c r="D2834" s="7" t="s">
        <v>7548</v>
      </c>
      <c r="E2834" s="7" t="s">
        <v>12490</v>
      </c>
      <c r="F2834" s="8" t="s">
        <v>11037</v>
      </c>
      <c r="G2834" s="7">
        <v>40</v>
      </c>
      <c r="H2834" s="7" t="s">
        <v>9003</v>
      </c>
      <c r="I2834" s="7">
        <v>1</v>
      </c>
      <c r="J2834" s="7" t="s">
        <v>7860</v>
      </c>
      <c r="K2834" s="9" t="s">
        <v>8987</v>
      </c>
    </row>
    <row r="2835" spans="1:11">
      <c r="A2835" s="7">
        <v>2833</v>
      </c>
      <c r="B2835" s="7" t="s">
        <v>11105</v>
      </c>
      <c r="C2835" s="7" t="s">
        <v>8984</v>
      </c>
      <c r="D2835" s="7" t="s">
        <v>7548</v>
      </c>
      <c r="E2835" s="7" t="s">
        <v>12491</v>
      </c>
      <c r="F2835" s="8" t="s">
        <v>11037</v>
      </c>
      <c r="G2835" s="7">
        <v>80</v>
      </c>
      <c r="H2835" s="7" t="s">
        <v>9153</v>
      </c>
      <c r="I2835" s="7">
        <v>1</v>
      </c>
      <c r="J2835" s="7" t="s">
        <v>7867</v>
      </c>
      <c r="K2835" s="9" t="s">
        <v>8987</v>
      </c>
    </row>
    <row r="2836" spans="1:11">
      <c r="A2836" s="7">
        <v>2834</v>
      </c>
      <c r="B2836" s="7" t="s">
        <v>11105</v>
      </c>
      <c r="C2836" s="7" t="s">
        <v>8984</v>
      </c>
      <c r="D2836" s="7" t="s">
        <v>7548</v>
      </c>
      <c r="E2836" s="7" t="s">
        <v>12492</v>
      </c>
      <c r="F2836" s="8" t="s">
        <v>11037</v>
      </c>
      <c r="G2836" s="7">
        <v>40</v>
      </c>
      <c r="H2836" s="7" t="s">
        <v>9003</v>
      </c>
      <c r="I2836" s="7">
        <v>1</v>
      </c>
      <c r="J2836" s="7" t="s">
        <v>7860</v>
      </c>
      <c r="K2836" s="9" t="s">
        <v>8987</v>
      </c>
    </row>
    <row r="2837" spans="1:11">
      <c r="A2837" s="7">
        <v>2835</v>
      </c>
      <c r="B2837" s="7" t="s">
        <v>11105</v>
      </c>
      <c r="C2837" s="7" t="s">
        <v>8984</v>
      </c>
      <c r="D2837" s="7" t="s">
        <v>7548</v>
      </c>
      <c r="E2837" s="7" t="s">
        <v>12493</v>
      </c>
      <c r="F2837" s="8" t="s">
        <v>11037</v>
      </c>
      <c r="G2837" s="7">
        <v>50</v>
      </c>
      <c r="H2837" s="7" t="s">
        <v>9021</v>
      </c>
      <c r="I2837" s="7">
        <v>1</v>
      </c>
      <c r="J2837" s="7" t="s">
        <v>7881</v>
      </c>
      <c r="K2837" s="9" t="s">
        <v>8987</v>
      </c>
    </row>
    <row r="2838" spans="1:11">
      <c r="A2838" s="7">
        <v>2836</v>
      </c>
      <c r="B2838" s="7" t="s">
        <v>11105</v>
      </c>
      <c r="C2838" s="7" t="s">
        <v>8984</v>
      </c>
      <c r="D2838" s="7" t="s">
        <v>7548</v>
      </c>
      <c r="E2838" s="7" t="s">
        <v>12494</v>
      </c>
      <c r="F2838" s="8" t="s">
        <v>11037</v>
      </c>
      <c r="G2838" s="7">
        <v>40</v>
      </c>
      <c r="H2838" s="7" t="s">
        <v>9003</v>
      </c>
      <c r="I2838" s="7">
        <v>1</v>
      </c>
      <c r="J2838" s="7" t="s">
        <v>7860</v>
      </c>
      <c r="K2838" s="9" t="s">
        <v>8987</v>
      </c>
    </row>
    <row r="2839" spans="1:11">
      <c r="A2839" s="7">
        <v>2837</v>
      </c>
      <c r="B2839" s="7" t="s">
        <v>11105</v>
      </c>
      <c r="C2839" s="7" t="s">
        <v>8984</v>
      </c>
      <c r="D2839" s="7" t="s">
        <v>7581</v>
      </c>
      <c r="E2839" s="7" t="s">
        <v>12495</v>
      </c>
      <c r="F2839" s="8" t="s">
        <v>9453</v>
      </c>
      <c r="G2839" s="7">
        <v>10</v>
      </c>
      <c r="H2839" s="7" t="s">
        <v>9292</v>
      </c>
      <c r="I2839" s="7">
        <v>1</v>
      </c>
      <c r="J2839" s="7" t="s">
        <v>7768</v>
      </c>
      <c r="K2839" s="9" t="s">
        <v>8987</v>
      </c>
    </row>
    <row r="2840" spans="1:11">
      <c r="A2840" s="7">
        <v>2838</v>
      </c>
      <c r="B2840" s="7" t="s">
        <v>11105</v>
      </c>
      <c r="C2840" s="7" t="s">
        <v>8984</v>
      </c>
      <c r="D2840" s="7" t="s">
        <v>7581</v>
      </c>
      <c r="E2840" s="7" t="s">
        <v>12496</v>
      </c>
      <c r="F2840" s="8" t="s">
        <v>9453</v>
      </c>
      <c r="G2840" s="7">
        <v>20</v>
      </c>
      <c r="H2840" s="7" t="s">
        <v>9394</v>
      </c>
      <c r="I2840" s="7">
        <v>1</v>
      </c>
      <c r="J2840" s="7" t="s">
        <v>7851</v>
      </c>
      <c r="K2840" s="9" t="s">
        <v>8987</v>
      </c>
    </row>
    <row r="2841" spans="1:11">
      <c r="A2841" s="7">
        <v>2839</v>
      </c>
      <c r="B2841" s="7" t="s">
        <v>11105</v>
      </c>
      <c r="C2841" s="7" t="s">
        <v>8984</v>
      </c>
      <c r="D2841" s="7" t="s">
        <v>7581</v>
      </c>
      <c r="E2841" s="7" t="s">
        <v>12497</v>
      </c>
      <c r="F2841" s="8" t="s">
        <v>9453</v>
      </c>
      <c r="G2841" s="7">
        <v>10</v>
      </c>
      <c r="H2841" s="7" t="s">
        <v>9292</v>
      </c>
      <c r="I2841" s="7">
        <v>1</v>
      </c>
      <c r="J2841" s="7" t="s">
        <v>7768</v>
      </c>
      <c r="K2841" s="9" t="s">
        <v>8987</v>
      </c>
    </row>
    <row r="2842" spans="1:11">
      <c r="A2842" s="7">
        <v>2840</v>
      </c>
      <c r="B2842" s="7" t="s">
        <v>11105</v>
      </c>
      <c r="C2842" s="7" t="s">
        <v>8984</v>
      </c>
      <c r="D2842" s="7" t="s">
        <v>7581</v>
      </c>
      <c r="E2842" s="7" t="s">
        <v>6222</v>
      </c>
      <c r="F2842" s="8" t="s">
        <v>9453</v>
      </c>
      <c r="G2842" s="7">
        <v>30</v>
      </c>
      <c r="H2842" s="7" t="s">
        <v>9015</v>
      </c>
      <c r="I2842" s="7">
        <v>1</v>
      </c>
      <c r="J2842" s="7" t="s">
        <v>7855</v>
      </c>
      <c r="K2842" s="9" t="s">
        <v>8987</v>
      </c>
    </row>
    <row r="2843" spans="1:11">
      <c r="A2843" s="7">
        <v>2841</v>
      </c>
      <c r="B2843" s="7" t="s">
        <v>11105</v>
      </c>
      <c r="C2843" s="7" t="s">
        <v>8984</v>
      </c>
      <c r="D2843" s="7" t="s">
        <v>7581</v>
      </c>
      <c r="E2843" s="7" t="s">
        <v>12498</v>
      </c>
      <c r="F2843" s="8" t="s">
        <v>9453</v>
      </c>
      <c r="G2843" s="7">
        <v>20</v>
      </c>
      <c r="H2843" s="7" t="s">
        <v>9394</v>
      </c>
      <c r="I2843" s="7">
        <v>1</v>
      </c>
      <c r="J2843" s="7" t="s">
        <v>7851</v>
      </c>
      <c r="K2843" s="9" t="s">
        <v>8987</v>
      </c>
    </row>
    <row r="2844" spans="1:11">
      <c r="A2844" s="7">
        <v>2842</v>
      </c>
      <c r="B2844" s="7" t="s">
        <v>11105</v>
      </c>
      <c r="C2844" s="7" t="s">
        <v>8984</v>
      </c>
      <c r="D2844" s="7" t="s">
        <v>7581</v>
      </c>
      <c r="E2844" s="7" t="s">
        <v>12499</v>
      </c>
      <c r="F2844" s="8" t="s">
        <v>9648</v>
      </c>
      <c r="G2844" s="7">
        <v>40</v>
      </c>
      <c r="H2844" s="7" t="s">
        <v>9003</v>
      </c>
      <c r="I2844" s="7">
        <v>1</v>
      </c>
      <c r="J2844" s="7" t="s">
        <v>7860</v>
      </c>
      <c r="K2844" s="9" t="s">
        <v>8987</v>
      </c>
    </row>
    <row r="2845" spans="1:11">
      <c r="A2845" s="7">
        <v>2843</v>
      </c>
      <c r="B2845" s="7" t="s">
        <v>11105</v>
      </c>
      <c r="C2845" s="7" t="s">
        <v>8984</v>
      </c>
      <c r="D2845" s="7" t="s">
        <v>7581</v>
      </c>
      <c r="E2845" s="7" t="s">
        <v>12500</v>
      </c>
      <c r="F2845" s="8" t="s">
        <v>9648</v>
      </c>
      <c r="G2845" s="7">
        <v>80</v>
      </c>
      <c r="H2845" s="7" t="s">
        <v>9153</v>
      </c>
      <c r="I2845" s="7">
        <v>1</v>
      </c>
      <c r="J2845" s="7" t="s">
        <v>7867</v>
      </c>
      <c r="K2845" s="9" t="s">
        <v>8987</v>
      </c>
    </row>
    <row r="2846" spans="1:11">
      <c r="A2846" s="7">
        <v>2844</v>
      </c>
      <c r="B2846" s="7" t="s">
        <v>11105</v>
      </c>
      <c r="C2846" s="7" t="s">
        <v>8984</v>
      </c>
      <c r="D2846" s="7" t="s">
        <v>7581</v>
      </c>
      <c r="E2846" s="7" t="s">
        <v>12501</v>
      </c>
      <c r="F2846" s="8" t="s">
        <v>9648</v>
      </c>
      <c r="G2846" s="7">
        <v>40</v>
      </c>
      <c r="H2846" s="7" t="s">
        <v>9003</v>
      </c>
      <c r="I2846" s="7">
        <v>1</v>
      </c>
      <c r="J2846" s="7" t="s">
        <v>7860</v>
      </c>
      <c r="K2846" s="9" t="s">
        <v>8987</v>
      </c>
    </row>
    <row r="2847" spans="1:11">
      <c r="A2847" s="7">
        <v>2845</v>
      </c>
      <c r="B2847" s="7" t="s">
        <v>11105</v>
      </c>
      <c r="C2847" s="7" t="s">
        <v>8984</v>
      </c>
      <c r="D2847" s="7" t="s">
        <v>7581</v>
      </c>
      <c r="E2847" s="7" t="s">
        <v>12502</v>
      </c>
      <c r="F2847" s="8" t="s">
        <v>9648</v>
      </c>
      <c r="G2847" s="7">
        <v>50</v>
      </c>
      <c r="H2847" s="7" t="s">
        <v>9021</v>
      </c>
      <c r="I2847" s="7">
        <v>1</v>
      </c>
      <c r="J2847" s="7" t="s">
        <v>7881</v>
      </c>
      <c r="K2847" s="9" t="s">
        <v>8987</v>
      </c>
    </row>
    <row r="2848" spans="1:11">
      <c r="A2848" s="7">
        <v>2846</v>
      </c>
      <c r="B2848" s="7" t="s">
        <v>11105</v>
      </c>
      <c r="C2848" s="7" t="s">
        <v>8984</v>
      </c>
      <c r="D2848" s="7" t="s">
        <v>7581</v>
      </c>
      <c r="E2848" s="7" t="s">
        <v>12503</v>
      </c>
      <c r="F2848" s="8" t="s">
        <v>9648</v>
      </c>
      <c r="G2848" s="7">
        <v>40</v>
      </c>
      <c r="H2848" s="7" t="s">
        <v>9003</v>
      </c>
      <c r="I2848" s="7">
        <v>1</v>
      </c>
      <c r="J2848" s="7" t="s">
        <v>7860</v>
      </c>
      <c r="K2848" s="9" t="s">
        <v>8987</v>
      </c>
    </row>
    <row r="2849" spans="1:11">
      <c r="A2849" s="7">
        <v>2847</v>
      </c>
      <c r="B2849" s="7" t="s">
        <v>11105</v>
      </c>
      <c r="C2849" s="7" t="s">
        <v>8984</v>
      </c>
      <c r="D2849" s="7" t="s">
        <v>7555</v>
      </c>
      <c r="E2849" s="7" t="s">
        <v>12504</v>
      </c>
      <c r="F2849" s="8" t="s">
        <v>9782</v>
      </c>
      <c r="G2849" s="7">
        <v>500</v>
      </c>
      <c r="H2849" s="7" t="s">
        <v>9597</v>
      </c>
      <c r="I2849" s="7">
        <v>1</v>
      </c>
      <c r="J2849" s="7" t="s">
        <v>7876</v>
      </c>
      <c r="K2849" s="9" t="s">
        <v>8987</v>
      </c>
    </row>
    <row r="2850" spans="1:11">
      <c r="A2850" s="7">
        <v>2848</v>
      </c>
      <c r="B2850" s="7" t="s">
        <v>11105</v>
      </c>
      <c r="C2850" s="7" t="s">
        <v>8984</v>
      </c>
      <c r="D2850" s="7" t="s">
        <v>7555</v>
      </c>
      <c r="E2850" s="7" t="s">
        <v>12505</v>
      </c>
      <c r="F2850" s="8" t="s">
        <v>7955</v>
      </c>
      <c r="G2850" s="7">
        <v>0</v>
      </c>
      <c r="H2850" s="7" t="s">
        <v>8984</v>
      </c>
      <c r="I2850" s="7">
        <v>1</v>
      </c>
      <c r="J2850" s="7" t="s">
        <v>7838</v>
      </c>
      <c r="K2850" s="9" t="s">
        <v>8987</v>
      </c>
    </row>
    <row r="2851" spans="1:11">
      <c r="A2851" s="7">
        <v>2849</v>
      </c>
      <c r="B2851" s="7" t="s">
        <v>11105</v>
      </c>
      <c r="C2851" s="7" t="s">
        <v>8984</v>
      </c>
      <c r="D2851" s="7" t="s">
        <v>7555</v>
      </c>
      <c r="E2851" s="7" t="s">
        <v>12506</v>
      </c>
      <c r="F2851" s="8" t="s">
        <v>7950</v>
      </c>
      <c r="G2851" s="7">
        <v>0</v>
      </c>
      <c r="H2851" s="7" t="s">
        <v>8984</v>
      </c>
      <c r="I2851" s="7">
        <v>1</v>
      </c>
      <c r="J2851" s="7" t="s">
        <v>7838</v>
      </c>
      <c r="K2851" s="9" t="s">
        <v>8987</v>
      </c>
    </row>
    <row r="2852" spans="1:11">
      <c r="A2852" s="7">
        <v>2850</v>
      </c>
      <c r="B2852" s="7" t="s">
        <v>11105</v>
      </c>
      <c r="C2852" s="7" t="s">
        <v>8984</v>
      </c>
      <c r="D2852" s="7" t="s">
        <v>7555</v>
      </c>
      <c r="E2852" s="7" t="s">
        <v>12507</v>
      </c>
      <c r="F2852" s="8" t="s">
        <v>7958</v>
      </c>
      <c r="G2852" s="7">
        <v>0</v>
      </c>
      <c r="H2852" s="7" t="s">
        <v>8984</v>
      </c>
      <c r="I2852" s="7">
        <v>1</v>
      </c>
      <c r="J2852" s="7" t="s">
        <v>7838</v>
      </c>
      <c r="K2852" s="9" t="s">
        <v>8987</v>
      </c>
    </row>
    <row r="2853" spans="1:11">
      <c r="A2853" s="7">
        <v>2851</v>
      </c>
      <c r="B2853" s="7" t="s">
        <v>11105</v>
      </c>
      <c r="C2853" s="7" t="s">
        <v>8984</v>
      </c>
      <c r="D2853" s="7" t="s">
        <v>7551</v>
      </c>
      <c r="E2853" s="7" t="s">
        <v>12508</v>
      </c>
      <c r="F2853" s="8" t="s">
        <v>10059</v>
      </c>
      <c r="G2853" s="7">
        <v>17</v>
      </c>
      <c r="H2853" s="7" t="s">
        <v>9146</v>
      </c>
      <c r="I2853" s="7">
        <v>1</v>
      </c>
      <c r="J2853" s="7" t="s">
        <v>7850</v>
      </c>
      <c r="K2853" s="9" t="s">
        <v>8987</v>
      </c>
    </row>
    <row r="2854" spans="1:11">
      <c r="A2854" s="7">
        <v>2852</v>
      </c>
      <c r="B2854" s="7" t="s">
        <v>11105</v>
      </c>
      <c r="C2854" s="7" t="s">
        <v>8984</v>
      </c>
      <c r="D2854" s="7" t="s">
        <v>7551</v>
      </c>
      <c r="E2854" s="7" t="s">
        <v>12509</v>
      </c>
      <c r="F2854" s="8" t="s">
        <v>10059</v>
      </c>
      <c r="G2854" s="7">
        <v>33</v>
      </c>
      <c r="H2854" s="7" t="s">
        <v>11346</v>
      </c>
      <c r="I2854" s="7">
        <v>1</v>
      </c>
      <c r="J2854" s="7" t="s">
        <v>7887</v>
      </c>
      <c r="K2854" s="9" t="s">
        <v>8987</v>
      </c>
    </row>
    <row r="2855" spans="1:11">
      <c r="A2855" s="7">
        <v>2853</v>
      </c>
      <c r="B2855" s="7" t="s">
        <v>11105</v>
      </c>
      <c r="C2855" s="7" t="s">
        <v>8984</v>
      </c>
      <c r="D2855" s="7" t="s">
        <v>7551</v>
      </c>
      <c r="E2855" s="7" t="s">
        <v>12510</v>
      </c>
      <c r="F2855" s="8" t="s">
        <v>10059</v>
      </c>
      <c r="G2855" s="7">
        <v>17</v>
      </c>
      <c r="H2855" s="7" t="s">
        <v>9146</v>
      </c>
      <c r="I2855" s="7">
        <v>1</v>
      </c>
      <c r="J2855" s="7" t="s">
        <v>7850</v>
      </c>
      <c r="K2855" s="9" t="s">
        <v>8987</v>
      </c>
    </row>
    <row r="2856" spans="1:11">
      <c r="A2856" s="7">
        <v>2854</v>
      </c>
      <c r="B2856" s="7" t="s">
        <v>11105</v>
      </c>
      <c r="C2856" s="7" t="s">
        <v>8984</v>
      </c>
      <c r="D2856" s="7" t="s">
        <v>7551</v>
      </c>
      <c r="E2856" s="7" t="s">
        <v>12511</v>
      </c>
      <c r="F2856" s="8" t="s">
        <v>10059</v>
      </c>
      <c r="G2856" s="7">
        <v>27</v>
      </c>
      <c r="H2856" s="7" t="s">
        <v>9130</v>
      </c>
      <c r="I2856" s="7">
        <v>1</v>
      </c>
      <c r="J2856" s="7" t="s">
        <v>7852</v>
      </c>
      <c r="K2856" s="9" t="s">
        <v>8987</v>
      </c>
    </row>
    <row r="2857" spans="1:11">
      <c r="A2857" s="7">
        <v>2855</v>
      </c>
      <c r="B2857" s="7" t="s">
        <v>11105</v>
      </c>
      <c r="C2857" s="7" t="s">
        <v>8984</v>
      </c>
      <c r="D2857" s="7" t="s">
        <v>7551</v>
      </c>
      <c r="E2857" s="7" t="s">
        <v>12512</v>
      </c>
      <c r="F2857" s="8" t="s">
        <v>10059</v>
      </c>
      <c r="G2857" s="7">
        <v>9</v>
      </c>
      <c r="H2857" s="7" t="s">
        <v>9030</v>
      </c>
      <c r="I2857" s="7">
        <v>1</v>
      </c>
      <c r="J2857" s="7" t="s">
        <v>7766</v>
      </c>
      <c r="K2857" s="9" t="s">
        <v>8987</v>
      </c>
    </row>
    <row r="2858" spans="1:11">
      <c r="A2858" s="7">
        <v>2856</v>
      </c>
      <c r="B2858" s="7" t="s">
        <v>11105</v>
      </c>
      <c r="C2858" s="7" t="s">
        <v>8984</v>
      </c>
      <c r="D2858" s="7" t="s">
        <v>7551</v>
      </c>
      <c r="E2858" s="7" t="s">
        <v>12513</v>
      </c>
      <c r="F2858" s="8" t="s">
        <v>11028</v>
      </c>
      <c r="G2858" s="7">
        <v>7</v>
      </c>
      <c r="H2858" s="7" t="s">
        <v>9182</v>
      </c>
      <c r="I2858" s="7">
        <v>1</v>
      </c>
      <c r="J2858" s="7" t="s">
        <v>7866</v>
      </c>
      <c r="K2858" s="9" t="s">
        <v>8987</v>
      </c>
    </row>
    <row r="2859" spans="1:11">
      <c r="A2859" s="7">
        <v>2857</v>
      </c>
      <c r="B2859" s="7" t="s">
        <v>11105</v>
      </c>
      <c r="C2859" s="7" t="s">
        <v>8984</v>
      </c>
      <c r="D2859" s="7" t="s">
        <v>7551</v>
      </c>
      <c r="E2859" s="7" t="s">
        <v>12514</v>
      </c>
      <c r="F2859" s="8" t="s">
        <v>11028</v>
      </c>
      <c r="G2859" s="7">
        <v>15</v>
      </c>
      <c r="H2859" s="7" t="s">
        <v>9053</v>
      </c>
      <c r="I2859" s="7">
        <v>1</v>
      </c>
      <c r="J2859" s="7" t="s">
        <v>7862</v>
      </c>
      <c r="K2859" s="9" t="s">
        <v>8987</v>
      </c>
    </row>
    <row r="2860" spans="1:11">
      <c r="A2860" s="7">
        <v>2858</v>
      </c>
      <c r="B2860" s="7" t="s">
        <v>11105</v>
      </c>
      <c r="C2860" s="7" t="s">
        <v>8984</v>
      </c>
      <c r="D2860" s="7" t="s">
        <v>7551</v>
      </c>
      <c r="E2860" s="7" t="s">
        <v>12515</v>
      </c>
      <c r="F2860" s="8" t="s">
        <v>11028</v>
      </c>
      <c r="G2860" s="7">
        <v>7</v>
      </c>
      <c r="H2860" s="7" t="s">
        <v>9182</v>
      </c>
      <c r="I2860" s="7">
        <v>1</v>
      </c>
      <c r="J2860" s="7" t="s">
        <v>7866</v>
      </c>
      <c r="K2860" s="9" t="s">
        <v>8987</v>
      </c>
    </row>
    <row r="2861" spans="1:11">
      <c r="A2861" s="7">
        <v>2859</v>
      </c>
      <c r="B2861" s="7" t="s">
        <v>11105</v>
      </c>
      <c r="C2861" s="7" t="s">
        <v>8984</v>
      </c>
      <c r="D2861" s="7" t="s">
        <v>7551</v>
      </c>
      <c r="E2861" s="7" t="s">
        <v>12516</v>
      </c>
      <c r="F2861" s="8" t="s">
        <v>11028</v>
      </c>
      <c r="G2861" s="7">
        <v>8</v>
      </c>
      <c r="H2861" s="7" t="s">
        <v>8991</v>
      </c>
      <c r="I2861" s="7">
        <v>1</v>
      </c>
      <c r="J2861" s="7" t="s">
        <v>7764</v>
      </c>
      <c r="K2861" s="9" t="s">
        <v>8987</v>
      </c>
    </row>
    <row r="2862" spans="1:11">
      <c r="A2862" s="7">
        <v>2860</v>
      </c>
      <c r="B2862" s="7" t="s">
        <v>11105</v>
      </c>
      <c r="C2862" s="7" t="s">
        <v>8984</v>
      </c>
      <c r="D2862" s="7" t="s">
        <v>7551</v>
      </c>
      <c r="E2862" s="7" t="s">
        <v>12517</v>
      </c>
      <c r="F2862" s="8" t="s">
        <v>11028</v>
      </c>
      <c r="G2862" s="7">
        <v>7</v>
      </c>
      <c r="H2862" s="7" t="s">
        <v>9182</v>
      </c>
      <c r="I2862" s="7">
        <v>1</v>
      </c>
      <c r="J2862" s="7" t="s">
        <v>7866</v>
      </c>
      <c r="K2862" s="9" t="s">
        <v>8987</v>
      </c>
    </row>
    <row r="2863" spans="1:11">
      <c r="A2863" s="7">
        <v>2861</v>
      </c>
      <c r="B2863" s="7" t="s">
        <v>11105</v>
      </c>
      <c r="C2863" s="7" t="s">
        <v>8984</v>
      </c>
      <c r="D2863" s="7" t="s">
        <v>7551</v>
      </c>
      <c r="E2863" s="7" t="s">
        <v>12518</v>
      </c>
      <c r="F2863" s="8" t="s">
        <v>9288</v>
      </c>
      <c r="G2863" s="7">
        <v>28</v>
      </c>
      <c r="H2863" s="7" t="s">
        <v>10468</v>
      </c>
      <c r="I2863" s="7">
        <v>1</v>
      </c>
      <c r="J2863" s="7" t="s">
        <v>7844</v>
      </c>
      <c r="K2863" s="9" t="s">
        <v>8987</v>
      </c>
    </row>
    <row r="2864" spans="1:11">
      <c r="A2864" s="7">
        <v>2862</v>
      </c>
      <c r="B2864" s="7" t="s">
        <v>11105</v>
      </c>
      <c r="C2864" s="7" t="s">
        <v>8984</v>
      </c>
      <c r="D2864" s="7" t="s">
        <v>7551</v>
      </c>
      <c r="E2864" s="7" t="s">
        <v>12519</v>
      </c>
      <c r="F2864" s="8" t="s">
        <v>10049</v>
      </c>
      <c r="G2864" s="7">
        <v>42</v>
      </c>
      <c r="H2864" s="7" t="s">
        <v>11407</v>
      </c>
      <c r="I2864" s="7">
        <v>1</v>
      </c>
      <c r="J2864" s="7" t="s">
        <v>7849</v>
      </c>
      <c r="K2864" s="9" t="s">
        <v>8987</v>
      </c>
    </row>
    <row r="2865" spans="1:11">
      <c r="A2865" s="7">
        <v>2863</v>
      </c>
      <c r="B2865" s="7" t="s">
        <v>11105</v>
      </c>
      <c r="C2865" s="7" t="s">
        <v>8984</v>
      </c>
      <c r="D2865" s="7" t="s">
        <v>7551</v>
      </c>
      <c r="E2865" s="7" t="s">
        <v>12520</v>
      </c>
      <c r="F2865" s="8" t="s">
        <v>10049</v>
      </c>
      <c r="G2865" s="7">
        <v>83</v>
      </c>
      <c r="H2865" s="7" t="s">
        <v>9229</v>
      </c>
      <c r="I2865" s="7">
        <v>1</v>
      </c>
      <c r="J2865" s="7" t="s">
        <v>7856</v>
      </c>
      <c r="K2865" s="9" t="s">
        <v>8987</v>
      </c>
    </row>
    <row r="2866" spans="1:11">
      <c r="A2866" s="7">
        <v>2864</v>
      </c>
      <c r="B2866" s="7" t="s">
        <v>11105</v>
      </c>
      <c r="C2866" s="7" t="s">
        <v>8984</v>
      </c>
      <c r="D2866" s="7" t="s">
        <v>7551</v>
      </c>
      <c r="E2866" s="7" t="s">
        <v>12521</v>
      </c>
      <c r="F2866" s="8" t="s">
        <v>10049</v>
      </c>
      <c r="G2866" s="7">
        <v>42</v>
      </c>
      <c r="H2866" s="7" t="s">
        <v>11407</v>
      </c>
      <c r="I2866" s="7">
        <v>1</v>
      </c>
      <c r="J2866" s="7" t="s">
        <v>7849</v>
      </c>
      <c r="K2866" s="9" t="s">
        <v>8987</v>
      </c>
    </row>
    <row r="2867" spans="1:11">
      <c r="A2867" s="7">
        <v>2865</v>
      </c>
      <c r="B2867" s="7" t="s">
        <v>11105</v>
      </c>
      <c r="C2867" s="7" t="s">
        <v>8984</v>
      </c>
      <c r="D2867" s="7" t="s">
        <v>7551</v>
      </c>
      <c r="E2867" s="7" t="s">
        <v>12522</v>
      </c>
      <c r="F2867" s="8" t="s">
        <v>10049</v>
      </c>
      <c r="G2867" s="7">
        <v>66</v>
      </c>
      <c r="H2867" s="7" t="s">
        <v>11370</v>
      </c>
      <c r="I2867" s="7">
        <v>1</v>
      </c>
      <c r="J2867" s="7" t="s">
        <v>11371</v>
      </c>
      <c r="K2867" s="9" t="s">
        <v>8987</v>
      </c>
    </row>
    <row r="2868" spans="1:11">
      <c r="A2868" s="7">
        <v>2866</v>
      </c>
      <c r="B2868" s="7" t="s">
        <v>11105</v>
      </c>
      <c r="C2868" s="7" t="s">
        <v>8984</v>
      </c>
      <c r="D2868" s="7" t="s">
        <v>7551</v>
      </c>
      <c r="E2868" s="7" t="s">
        <v>12523</v>
      </c>
      <c r="F2868" s="8" t="s">
        <v>10049</v>
      </c>
      <c r="G2868" s="7">
        <v>42</v>
      </c>
      <c r="H2868" s="7" t="s">
        <v>11407</v>
      </c>
      <c r="I2868" s="7">
        <v>1</v>
      </c>
      <c r="J2868" s="7" t="s">
        <v>7849</v>
      </c>
      <c r="K2868" s="9" t="s">
        <v>8987</v>
      </c>
    </row>
    <row r="2869" spans="1:11">
      <c r="A2869" s="7">
        <v>2867</v>
      </c>
      <c r="B2869" s="7" t="s">
        <v>11105</v>
      </c>
      <c r="C2869" s="7" t="s">
        <v>8984</v>
      </c>
      <c r="D2869" s="7" t="s">
        <v>7551</v>
      </c>
      <c r="E2869" s="7" t="s">
        <v>12524</v>
      </c>
      <c r="F2869" s="8" t="s">
        <v>10121</v>
      </c>
      <c r="G2869" s="7">
        <v>18</v>
      </c>
      <c r="H2869" s="7" t="s">
        <v>9422</v>
      </c>
      <c r="I2869" s="7">
        <v>1</v>
      </c>
      <c r="J2869" s="7" t="s">
        <v>7885</v>
      </c>
      <c r="K2869" s="9" t="s">
        <v>8987</v>
      </c>
    </row>
    <row r="2870" spans="1:11">
      <c r="A2870" s="7">
        <v>2868</v>
      </c>
      <c r="B2870" s="7" t="s">
        <v>11105</v>
      </c>
      <c r="C2870" s="7" t="s">
        <v>8984</v>
      </c>
      <c r="D2870" s="7" t="s">
        <v>7551</v>
      </c>
      <c r="E2870" s="7" t="s">
        <v>12525</v>
      </c>
      <c r="F2870" s="8" t="s">
        <v>10121</v>
      </c>
      <c r="G2870" s="7">
        <v>36</v>
      </c>
      <c r="H2870" s="7" t="s">
        <v>10305</v>
      </c>
      <c r="I2870" s="7">
        <v>1</v>
      </c>
      <c r="J2870" s="7" t="s">
        <v>11492</v>
      </c>
      <c r="K2870" s="9" t="s">
        <v>8987</v>
      </c>
    </row>
    <row r="2871" spans="1:11">
      <c r="A2871" s="7">
        <v>2869</v>
      </c>
      <c r="B2871" s="7" t="s">
        <v>11105</v>
      </c>
      <c r="C2871" s="7" t="s">
        <v>8984</v>
      </c>
      <c r="D2871" s="7" t="s">
        <v>7551</v>
      </c>
      <c r="E2871" s="7" t="s">
        <v>12526</v>
      </c>
      <c r="F2871" s="8" t="s">
        <v>10121</v>
      </c>
      <c r="G2871" s="7">
        <v>18</v>
      </c>
      <c r="H2871" s="7" t="s">
        <v>9422</v>
      </c>
      <c r="I2871" s="7">
        <v>1</v>
      </c>
      <c r="J2871" s="7" t="s">
        <v>7885</v>
      </c>
      <c r="K2871" s="9" t="s">
        <v>8987</v>
      </c>
    </row>
    <row r="2872" spans="1:11">
      <c r="A2872" s="7">
        <v>2870</v>
      </c>
      <c r="B2872" s="7" t="s">
        <v>11105</v>
      </c>
      <c r="C2872" s="7" t="s">
        <v>8984</v>
      </c>
      <c r="D2872" s="7" t="s">
        <v>7551</v>
      </c>
      <c r="E2872" s="7" t="s">
        <v>4701</v>
      </c>
      <c r="F2872" s="8" t="s">
        <v>10121</v>
      </c>
      <c r="G2872" s="7">
        <v>29</v>
      </c>
      <c r="H2872" s="7" t="s">
        <v>11385</v>
      </c>
      <c r="I2872" s="7">
        <v>1</v>
      </c>
      <c r="J2872" s="7" t="s">
        <v>7853</v>
      </c>
      <c r="K2872" s="9" t="s">
        <v>8987</v>
      </c>
    </row>
    <row r="2873" spans="1:11">
      <c r="A2873" s="7">
        <v>2871</v>
      </c>
      <c r="B2873" s="7" t="s">
        <v>11105</v>
      </c>
      <c r="C2873" s="7" t="s">
        <v>8984</v>
      </c>
      <c r="D2873" s="7" t="s">
        <v>7551</v>
      </c>
      <c r="E2873" s="7" t="s">
        <v>12527</v>
      </c>
      <c r="F2873" s="8" t="s">
        <v>10121</v>
      </c>
      <c r="G2873" s="7">
        <v>18</v>
      </c>
      <c r="H2873" s="7" t="s">
        <v>9422</v>
      </c>
      <c r="I2873" s="7">
        <v>1</v>
      </c>
      <c r="J2873" s="7" t="s">
        <v>7885</v>
      </c>
      <c r="K2873" s="9" t="s">
        <v>8987</v>
      </c>
    </row>
    <row r="2874" spans="1:11">
      <c r="A2874" s="7">
        <v>2872</v>
      </c>
      <c r="B2874" s="7" t="s">
        <v>11105</v>
      </c>
      <c r="C2874" s="7" t="s">
        <v>8984</v>
      </c>
      <c r="D2874" s="7" t="s">
        <v>7551</v>
      </c>
      <c r="E2874" s="7" t="s">
        <v>12528</v>
      </c>
      <c r="F2874" s="8" t="s">
        <v>9812</v>
      </c>
      <c r="G2874" s="7">
        <v>28</v>
      </c>
      <c r="H2874" s="7" t="s">
        <v>10468</v>
      </c>
      <c r="I2874" s="7">
        <v>1</v>
      </c>
      <c r="J2874" s="7" t="s">
        <v>7844</v>
      </c>
      <c r="K2874" s="9" t="s">
        <v>8987</v>
      </c>
    </row>
    <row r="2875" spans="1:11">
      <c r="A2875" s="7">
        <v>2873</v>
      </c>
      <c r="B2875" s="7" t="s">
        <v>11105</v>
      </c>
      <c r="C2875" s="7" t="s">
        <v>8984</v>
      </c>
      <c r="D2875" s="7" t="s">
        <v>7551</v>
      </c>
      <c r="E2875" s="7" t="s">
        <v>12529</v>
      </c>
      <c r="F2875" s="8" t="s">
        <v>9192</v>
      </c>
      <c r="G2875" s="7">
        <v>13</v>
      </c>
      <c r="H2875" s="7" t="s">
        <v>9077</v>
      </c>
      <c r="I2875" s="7">
        <v>1</v>
      </c>
      <c r="J2875" s="7" t="s">
        <v>11187</v>
      </c>
      <c r="K2875" s="9" t="s">
        <v>8987</v>
      </c>
    </row>
    <row r="2876" spans="1:11">
      <c r="A2876" s="7">
        <v>2874</v>
      </c>
      <c r="B2876" s="7" t="s">
        <v>11105</v>
      </c>
      <c r="C2876" s="7" t="s">
        <v>8984</v>
      </c>
      <c r="D2876" s="7" t="s">
        <v>7551</v>
      </c>
      <c r="E2876" s="7" t="s">
        <v>12530</v>
      </c>
      <c r="F2876" s="8" t="s">
        <v>9192</v>
      </c>
      <c r="G2876" s="7">
        <v>25</v>
      </c>
      <c r="H2876" s="7" t="s">
        <v>9011</v>
      </c>
      <c r="I2876" s="7">
        <v>1</v>
      </c>
      <c r="J2876" s="7" t="s">
        <v>7840</v>
      </c>
      <c r="K2876" s="9" t="s">
        <v>8987</v>
      </c>
    </row>
    <row r="2877" spans="1:11">
      <c r="A2877" s="7">
        <v>2875</v>
      </c>
      <c r="B2877" s="7" t="s">
        <v>11105</v>
      </c>
      <c r="C2877" s="7" t="s">
        <v>8984</v>
      </c>
      <c r="D2877" s="7" t="s">
        <v>7551</v>
      </c>
      <c r="E2877" s="7" t="s">
        <v>12531</v>
      </c>
      <c r="F2877" s="8" t="s">
        <v>9192</v>
      </c>
      <c r="G2877" s="7">
        <v>13</v>
      </c>
      <c r="H2877" s="7" t="s">
        <v>9077</v>
      </c>
      <c r="I2877" s="7">
        <v>1</v>
      </c>
      <c r="J2877" s="7" t="s">
        <v>11187</v>
      </c>
      <c r="K2877" s="9" t="s">
        <v>8987</v>
      </c>
    </row>
    <row r="2878" spans="1:11">
      <c r="A2878" s="7">
        <v>2876</v>
      </c>
      <c r="B2878" s="7" t="s">
        <v>11105</v>
      </c>
      <c r="C2878" s="7" t="s">
        <v>8984</v>
      </c>
      <c r="D2878" s="7" t="s">
        <v>7551</v>
      </c>
      <c r="E2878" s="7" t="s">
        <v>12532</v>
      </c>
      <c r="F2878" s="8" t="s">
        <v>9192</v>
      </c>
      <c r="G2878" s="7">
        <v>20</v>
      </c>
      <c r="H2878" s="7" t="s">
        <v>9394</v>
      </c>
      <c r="I2878" s="7">
        <v>1</v>
      </c>
      <c r="J2878" s="7" t="s">
        <v>7851</v>
      </c>
      <c r="K2878" s="9" t="s">
        <v>8987</v>
      </c>
    </row>
    <row r="2879" spans="1:11">
      <c r="A2879" s="7">
        <v>2877</v>
      </c>
      <c r="B2879" s="7" t="s">
        <v>11105</v>
      </c>
      <c r="C2879" s="7" t="s">
        <v>8984</v>
      </c>
      <c r="D2879" s="7" t="s">
        <v>7551</v>
      </c>
      <c r="E2879" s="7" t="s">
        <v>12533</v>
      </c>
      <c r="F2879" s="8" t="s">
        <v>9192</v>
      </c>
      <c r="G2879" s="7">
        <v>13</v>
      </c>
      <c r="H2879" s="7" t="s">
        <v>9077</v>
      </c>
      <c r="I2879" s="7">
        <v>1</v>
      </c>
      <c r="J2879" s="7" t="s">
        <v>11187</v>
      </c>
      <c r="K2879" s="9" t="s">
        <v>8987</v>
      </c>
    </row>
    <row r="2880" spans="1:11">
      <c r="A2880" s="7">
        <v>2878</v>
      </c>
      <c r="B2880" s="7" t="s">
        <v>11105</v>
      </c>
      <c r="C2880" s="7" t="s">
        <v>8984</v>
      </c>
      <c r="D2880" s="7" t="s">
        <v>7551</v>
      </c>
      <c r="E2880" s="7" t="s">
        <v>12534</v>
      </c>
      <c r="F2880" s="8" t="s">
        <v>9192</v>
      </c>
      <c r="G2880" s="7">
        <v>25</v>
      </c>
      <c r="H2880" s="7" t="s">
        <v>9011</v>
      </c>
      <c r="I2880" s="7">
        <v>1</v>
      </c>
      <c r="J2880" s="7" t="s">
        <v>7840</v>
      </c>
      <c r="K2880" s="9" t="s">
        <v>8987</v>
      </c>
    </row>
    <row r="2881" spans="1:11">
      <c r="A2881" s="7">
        <v>2879</v>
      </c>
      <c r="B2881" s="7" t="s">
        <v>11105</v>
      </c>
      <c r="C2881" s="7" t="s">
        <v>8984</v>
      </c>
      <c r="D2881" s="7" t="s">
        <v>7555</v>
      </c>
      <c r="E2881" s="7" t="s">
        <v>12535</v>
      </c>
      <c r="F2881" s="8" t="s">
        <v>9621</v>
      </c>
      <c r="G2881" s="7">
        <v>2</v>
      </c>
      <c r="H2881" s="7" t="s">
        <v>10476</v>
      </c>
      <c r="I2881" s="7">
        <v>1</v>
      </c>
      <c r="J2881" s="7" t="s">
        <v>7861</v>
      </c>
      <c r="K2881" s="9" t="s">
        <v>8987</v>
      </c>
    </row>
    <row r="2882" spans="1:11">
      <c r="A2882" s="7">
        <v>2880</v>
      </c>
      <c r="B2882" s="7" t="s">
        <v>11105</v>
      </c>
      <c r="C2882" s="7" t="s">
        <v>8984</v>
      </c>
      <c r="D2882" s="7" t="s">
        <v>7555</v>
      </c>
      <c r="E2882" s="7" t="s">
        <v>12536</v>
      </c>
      <c r="F2882" s="8" t="s">
        <v>9621</v>
      </c>
      <c r="G2882" s="7">
        <v>2</v>
      </c>
      <c r="H2882" s="7" t="s">
        <v>10476</v>
      </c>
      <c r="I2882" s="7">
        <v>1</v>
      </c>
      <c r="J2882" s="7" t="s">
        <v>7861</v>
      </c>
      <c r="K2882" s="9" t="s">
        <v>8987</v>
      </c>
    </row>
    <row r="2883" spans="1:11">
      <c r="A2883" s="7">
        <v>2881</v>
      </c>
      <c r="B2883" s="7" t="s">
        <v>11105</v>
      </c>
      <c r="C2883" s="7" t="s">
        <v>8984</v>
      </c>
      <c r="D2883" s="7" t="s">
        <v>7555</v>
      </c>
      <c r="E2883" s="7" t="s">
        <v>12537</v>
      </c>
      <c r="F2883" s="8" t="s">
        <v>9621</v>
      </c>
      <c r="G2883" s="7">
        <v>2</v>
      </c>
      <c r="H2883" s="7" t="s">
        <v>10476</v>
      </c>
      <c r="I2883" s="7">
        <v>1</v>
      </c>
      <c r="J2883" s="7" t="s">
        <v>7861</v>
      </c>
      <c r="K2883" s="9" t="s">
        <v>8987</v>
      </c>
    </row>
    <row r="2884" spans="1:11">
      <c r="A2884" s="7">
        <v>2882</v>
      </c>
      <c r="B2884" s="7" t="s">
        <v>11105</v>
      </c>
      <c r="C2884" s="7" t="s">
        <v>8984</v>
      </c>
      <c r="D2884" s="7" t="s">
        <v>7555</v>
      </c>
      <c r="E2884" s="7" t="s">
        <v>12538</v>
      </c>
      <c r="F2884" s="8" t="s">
        <v>9621</v>
      </c>
      <c r="G2884" s="7">
        <v>2</v>
      </c>
      <c r="H2884" s="7" t="s">
        <v>10476</v>
      </c>
      <c r="I2884" s="7">
        <v>1</v>
      </c>
      <c r="J2884" s="7" t="s">
        <v>7861</v>
      </c>
      <c r="K2884" s="9" t="s">
        <v>8987</v>
      </c>
    </row>
    <row r="2885" spans="1:11">
      <c r="A2885" s="7">
        <v>2883</v>
      </c>
      <c r="B2885" s="7" t="s">
        <v>11105</v>
      </c>
      <c r="C2885" s="7" t="s">
        <v>8984</v>
      </c>
      <c r="D2885" s="7" t="s">
        <v>7555</v>
      </c>
      <c r="E2885" s="7" t="s">
        <v>12539</v>
      </c>
      <c r="F2885" s="8" t="s">
        <v>9621</v>
      </c>
      <c r="G2885" s="7">
        <v>2</v>
      </c>
      <c r="H2885" s="7" t="s">
        <v>10476</v>
      </c>
      <c r="I2885" s="7">
        <v>1</v>
      </c>
      <c r="J2885" s="7" t="s">
        <v>7861</v>
      </c>
      <c r="K2885" s="9" t="s">
        <v>8987</v>
      </c>
    </row>
    <row r="2886" spans="1:11">
      <c r="A2886" s="7">
        <v>2884</v>
      </c>
      <c r="B2886" s="7" t="s">
        <v>11105</v>
      </c>
      <c r="C2886" s="7" t="s">
        <v>8984</v>
      </c>
      <c r="D2886" s="7" t="s">
        <v>7555</v>
      </c>
      <c r="E2886" s="7" t="s">
        <v>12540</v>
      </c>
      <c r="F2886" s="8" t="s">
        <v>9621</v>
      </c>
      <c r="G2886" s="7">
        <v>4</v>
      </c>
      <c r="H2886" s="7" t="s">
        <v>9579</v>
      </c>
      <c r="I2886" s="7">
        <v>1</v>
      </c>
      <c r="J2886" s="7" t="s">
        <v>7617</v>
      </c>
      <c r="K2886" s="9" t="s">
        <v>8987</v>
      </c>
    </row>
    <row r="2887" spans="1:11">
      <c r="A2887" s="7">
        <v>2885</v>
      </c>
      <c r="B2887" s="7" t="s">
        <v>11105</v>
      </c>
      <c r="C2887" s="7" t="s">
        <v>8984</v>
      </c>
      <c r="D2887" s="7" t="s">
        <v>7549</v>
      </c>
      <c r="E2887" s="7" t="s">
        <v>12541</v>
      </c>
      <c r="F2887" s="8" t="s">
        <v>9330</v>
      </c>
      <c r="G2887" s="7">
        <v>50</v>
      </c>
      <c r="H2887" s="7" t="s">
        <v>9021</v>
      </c>
      <c r="I2887" s="7">
        <v>1</v>
      </c>
      <c r="J2887" s="7" t="s">
        <v>7881</v>
      </c>
      <c r="K2887" s="9" t="s">
        <v>8987</v>
      </c>
    </row>
    <row r="2888" spans="1:11">
      <c r="A2888" s="7">
        <v>2886</v>
      </c>
      <c r="B2888" s="7" t="s">
        <v>11105</v>
      </c>
      <c r="C2888" s="7" t="s">
        <v>8984</v>
      </c>
      <c r="D2888" s="7" t="s">
        <v>7549</v>
      </c>
      <c r="E2888" s="7" t="s">
        <v>12542</v>
      </c>
      <c r="F2888" s="8" t="s">
        <v>10215</v>
      </c>
      <c r="G2888" s="7">
        <v>200</v>
      </c>
      <c r="H2888" s="7" t="s">
        <v>9447</v>
      </c>
      <c r="I2888" s="7">
        <v>1</v>
      </c>
      <c r="J2888" s="7" t="s">
        <v>9448</v>
      </c>
      <c r="K2888" s="9" t="s">
        <v>8987</v>
      </c>
    </row>
    <row r="2889" spans="1:11">
      <c r="A2889" s="7">
        <v>2887</v>
      </c>
      <c r="B2889" s="7" t="s">
        <v>11105</v>
      </c>
      <c r="C2889" s="7" t="s">
        <v>8984</v>
      </c>
      <c r="D2889" s="7" t="s">
        <v>7573</v>
      </c>
      <c r="E2889" s="7" t="s">
        <v>12543</v>
      </c>
      <c r="F2889" s="8" t="s">
        <v>10156</v>
      </c>
      <c r="G2889" s="7">
        <v>20</v>
      </c>
      <c r="H2889" s="7" t="s">
        <v>9394</v>
      </c>
      <c r="I2889" s="7">
        <v>1</v>
      </c>
      <c r="J2889" s="7" t="s">
        <v>7851</v>
      </c>
      <c r="K2889" s="9" t="s">
        <v>8987</v>
      </c>
    </row>
    <row r="2890" spans="1:11">
      <c r="A2890" s="7">
        <v>2888</v>
      </c>
      <c r="B2890" s="7" t="s">
        <v>11105</v>
      </c>
      <c r="C2890" s="7" t="s">
        <v>8984</v>
      </c>
      <c r="D2890" s="7" t="s">
        <v>7573</v>
      </c>
      <c r="E2890" s="7" t="s">
        <v>12544</v>
      </c>
      <c r="F2890" s="8" t="s">
        <v>10156</v>
      </c>
      <c r="G2890" s="7">
        <v>40</v>
      </c>
      <c r="H2890" s="7" t="s">
        <v>9003</v>
      </c>
      <c r="I2890" s="7">
        <v>1</v>
      </c>
      <c r="J2890" s="7" t="s">
        <v>7860</v>
      </c>
      <c r="K2890" s="9" t="s">
        <v>8987</v>
      </c>
    </row>
    <row r="2891" spans="1:11">
      <c r="A2891" s="7">
        <v>2889</v>
      </c>
      <c r="B2891" s="7" t="s">
        <v>11105</v>
      </c>
      <c r="C2891" s="7" t="s">
        <v>8984</v>
      </c>
      <c r="D2891" s="7" t="s">
        <v>7573</v>
      </c>
      <c r="E2891" s="7" t="s">
        <v>12545</v>
      </c>
      <c r="F2891" s="8" t="s">
        <v>10156</v>
      </c>
      <c r="G2891" s="7">
        <v>20</v>
      </c>
      <c r="H2891" s="7" t="s">
        <v>9394</v>
      </c>
      <c r="I2891" s="7">
        <v>1</v>
      </c>
      <c r="J2891" s="7" t="s">
        <v>7851</v>
      </c>
      <c r="K2891" s="9" t="s">
        <v>8987</v>
      </c>
    </row>
    <row r="2892" spans="1:11">
      <c r="A2892" s="7">
        <v>2890</v>
      </c>
      <c r="B2892" s="7" t="s">
        <v>11105</v>
      </c>
      <c r="C2892" s="7" t="s">
        <v>8984</v>
      </c>
      <c r="D2892" s="7" t="s">
        <v>7573</v>
      </c>
      <c r="E2892" s="7" t="s">
        <v>12546</v>
      </c>
      <c r="F2892" s="8" t="s">
        <v>10156</v>
      </c>
      <c r="G2892" s="7">
        <v>30</v>
      </c>
      <c r="H2892" s="7" t="s">
        <v>9015</v>
      </c>
      <c r="I2892" s="7">
        <v>1</v>
      </c>
      <c r="J2892" s="7" t="s">
        <v>7855</v>
      </c>
      <c r="K2892" s="9" t="s">
        <v>8987</v>
      </c>
    </row>
    <row r="2893" spans="1:11">
      <c r="A2893" s="7">
        <v>2891</v>
      </c>
      <c r="B2893" s="7" t="s">
        <v>11105</v>
      </c>
      <c r="C2893" s="7" t="s">
        <v>8984</v>
      </c>
      <c r="D2893" s="7" t="s">
        <v>7573</v>
      </c>
      <c r="E2893" s="7" t="s">
        <v>12547</v>
      </c>
      <c r="F2893" s="8" t="s">
        <v>10156</v>
      </c>
      <c r="G2893" s="7">
        <v>20</v>
      </c>
      <c r="H2893" s="7" t="s">
        <v>9394</v>
      </c>
      <c r="I2893" s="7">
        <v>1</v>
      </c>
      <c r="J2893" s="7" t="s">
        <v>7851</v>
      </c>
      <c r="K2893" s="9" t="s">
        <v>8987</v>
      </c>
    </row>
    <row r="2894" spans="1:11">
      <c r="A2894" s="7">
        <v>2892</v>
      </c>
      <c r="B2894" s="7" t="s">
        <v>11105</v>
      </c>
      <c r="C2894" s="7" t="s">
        <v>8984</v>
      </c>
      <c r="D2894" s="7" t="s">
        <v>7573</v>
      </c>
      <c r="E2894" s="7" t="s">
        <v>12548</v>
      </c>
      <c r="F2894" s="8" t="s">
        <v>10523</v>
      </c>
      <c r="G2894" s="7">
        <v>20</v>
      </c>
      <c r="H2894" s="7" t="s">
        <v>9394</v>
      </c>
      <c r="I2894" s="7">
        <v>1</v>
      </c>
      <c r="J2894" s="7" t="s">
        <v>7851</v>
      </c>
      <c r="K2894" s="9" t="s">
        <v>8987</v>
      </c>
    </row>
    <row r="2895" spans="1:11">
      <c r="A2895" s="7">
        <v>2893</v>
      </c>
      <c r="B2895" s="7" t="s">
        <v>11105</v>
      </c>
      <c r="C2895" s="7" t="s">
        <v>8984</v>
      </c>
      <c r="D2895" s="7" t="s">
        <v>7573</v>
      </c>
      <c r="E2895" s="7" t="s">
        <v>12549</v>
      </c>
      <c r="F2895" s="8" t="s">
        <v>10523</v>
      </c>
      <c r="G2895" s="7">
        <v>40</v>
      </c>
      <c r="H2895" s="7" t="s">
        <v>9003</v>
      </c>
      <c r="I2895" s="7">
        <v>1</v>
      </c>
      <c r="J2895" s="7" t="s">
        <v>7860</v>
      </c>
      <c r="K2895" s="9" t="s">
        <v>8987</v>
      </c>
    </row>
    <row r="2896" spans="1:11">
      <c r="A2896" s="7">
        <v>2894</v>
      </c>
      <c r="B2896" s="7" t="s">
        <v>11105</v>
      </c>
      <c r="C2896" s="7" t="s">
        <v>8984</v>
      </c>
      <c r="D2896" s="7" t="s">
        <v>7573</v>
      </c>
      <c r="E2896" s="7" t="s">
        <v>12550</v>
      </c>
      <c r="F2896" s="8" t="s">
        <v>10523</v>
      </c>
      <c r="G2896" s="7">
        <v>20</v>
      </c>
      <c r="H2896" s="7" t="s">
        <v>9394</v>
      </c>
      <c r="I2896" s="7">
        <v>1</v>
      </c>
      <c r="J2896" s="7" t="s">
        <v>7851</v>
      </c>
      <c r="K2896" s="9" t="s">
        <v>8987</v>
      </c>
    </row>
    <row r="2897" spans="1:11">
      <c r="A2897" s="7">
        <v>2895</v>
      </c>
      <c r="B2897" s="7" t="s">
        <v>11105</v>
      </c>
      <c r="C2897" s="7" t="s">
        <v>8984</v>
      </c>
      <c r="D2897" s="7" t="s">
        <v>7573</v>
      </c>
      <c r="E2897" s="7" t="s">
        <v>12551</v>
      </c>
      <c r="F2897" s="8" t="s">
        <v>10523</v>
      </c>
      <c r="G2897" s="7">
        <v>30</v>
      </c>
      <c r="H2897" s="7" t="s">
        <v>9015</v>
      </c>
      <c r="I2897" s="7">
        <v>1</v>
      </c>
      <c r="J2897" s="7" t="s">
        <v>7855</v>
      </c>
      <c r="K2897" s="9" t="s">
        <v>8987</v>
      </c>
    </row>
    <row r="2898" spans="1:11">
      <c r="A2898" s="7">
        <v>2896</v>
      </c>
      <c r="B2898" s="7" t="s">
        <v>11105</v>
      </c>
      <c r="C2898" s="7" t="s">
        <v>8984</v>
      </c>
      <c r="D2898" s="7" t="s">
        <v>7573</v>
      </c>
      <c r="E2898" s="7" t="s">
        <v>12552</v>
      </c>
      <c r="F2898" s="8" t="s">
        <v>10523</v>
      </c>
      <c r="G2898" s="7">
        <v>20</v>
      </c>
      <c r="H2898" s="7" t="s">
        <v>9394</v>
      </c>
      <c r="I2898" s="7">
        <v>1</v>
      </c>
      <c r="J2898" s="7" t="s">
        <v>7851</v>
      </c>
      <c r="K2898" s="9" t="s">
        <v>8987</v>
      </c>
    </row>
    <row r="2899" spans="1:11">
      <c r="A2899" s="7">
        <v>2897</v>
      </c>
      <c r="B2899" s="7" t="s">
        <v>11105</v>
      </c>
      <c r="C2899" s="7" t="s">
        <v>8984</v>
      </c>
      <c r="D2899" s="7" t="s">
        <v>7573</v>
      </c>
      <c r="E2899" s="7" t="s">
        <v>12553</v>
      </c>
      <c r="F2899" s="8" t="s">
        <v>10520</v>
      </c>
      <c r="G2899" s="7">
        <v>20</v>
      </c>
      <c r="H2899" s="7" t="s">
        <v>9394</v>
      </c>
      <c r="I2899" s="7">
        <v>1</v>
      </c>
      <c r="J2899" s="7" t="s">
        <v>7851</v>
      </c>
      <c r="K2899" s="9" t="s">
        <v>8987</v>
      </c>
    </row>
    <row r="2900" spans="1:11">
      <c r="A2900" s="7">
        <v>2898</v>
      </c>
      <c r="B2900" s="7" t="s">
        <v>11105</v>
      </c>
      <c r="C2900" s="7" t="s">
        <v>8984</v>
      </c>
      <c r="D2900" s="7" t="s">
        <v>7573</v>
      </c>
      <c r="E2900" s="7" t="s">
        <v>12554</v>
      </c>
      <c r="F2900" s="8" t="s">
        <v>10520</v>
      </c>
      <c r="G2900" s="7">
        <v>40</v>
      </c>
      <c r="H2900" s="7" t="s">
        <v>9003</v>
      </c>
      <c r="I2900" s="7">
        <v>1</v>
      </c>
      <c r="J2900" s="7" t="s">
        <v>7860</v>
      </c>
      <c r="K2900" s="9" t="s">
        <v>8987</v>
      </c>
    </row>
    <row r="2901" spans="1:11">
      <c r="A2901" s="7">
        <v>2899</v>
      </c>
      <c r="B2901" s="7" t="s">
        <v>11105</v>
      </c>
      <c r="C2901" s="7" t="s">
        <v>8984</v>
      </c>
      <c r="D2901" s="7" t="s">
        <v>7573</v>
      </c>
      <c r="E2901" s="7" t="s">
        <v>12555</v>
      </c>
      <c r="F2901" s="8" t="s">
        <v>10520</v>
      </c>
      <c r="G2901" s="7">
        <v>20</v>
      </c>
      <c r="H2901" s="7" t="s">
        <v>9394</v>
      </c>
      <c r="I2901" s="7">
        <v>1</v>
      </c>
      <c r="J2901" s="7" t="s">
        <v>7851</v>
      </c>
      <c r="K2901" s="9" t="s">
        <v>8987</v>
      </c>
    </row>
    <row r="2902" spans="1:11">
      <c r="A2902" s="7">
        <v>2900</v>
      </c>
      <c r="B2902" s="7" t="s">
        <v>11105</v>
      </c>
      <c r="C2902" s="7" t="s">
        <v>8984</v>
      </c>
      <c r="D2902" s="7" t="s">
        <v>7573</v>
      </c>
      <c r="E2902" s="7" t="s">
        <v>12556</v>
      </c>
      <c r="F2902" s="8" t="s">
        <v>10520</v>
      </c>
      <c r="G2902" s="7">
        <v>30</v>
      </c>
      <c r="H2902" s="7" t="s">
        <v>9015</v>
      </c>
      <c r="I2902" s="7">
        <v>1</v>
      </c>
      <c r="J2902" s="7" t="s">
        <v>7855</v>
      </c>
      <c r="K2902" s="9" t="s">
        <v>8987</v>
      </c>
    </row>
    <row r="2903" spans="1:11">
      <c r="A2903" s="7">
        <v>2901</v>
      </c>
      <c r="B2903" s="7" t="s">
        <v>11105</v>
      </c>
      <c r="C2903" s="7" t="s">
        <v>8984</v>
      </c>
      <c r="D2903" s="7" t="s">
        <v>7573</v>
      </c>
      <c r="E2903" s="7" t="s">
        <v>12557</v>
      </c>
      <c r="F2903" s="8" t="s">
        <v>10520</v>
      </c>
      <c r="G2903" s="7">
        <v>20</v>
      </c>
      <c r="H2903" s="7" t="s">
        <v>9394</v>
      </c>
      <c r="I2903" s="7">
        <v>1</v>
      </c>
      <c r="J2903" s="7" t="s">
        <v>7851</v>
      </c>
      <c r="K2903" s="9" t="s">
        <v>8987</v>
      </c>
    </row>
    <row r="2904" spans="1:11">
      <c r="A2904" s="7">
        <v>2902</v>
      </c>
      <c r="B2904" s="7" t="s">
        <v>11105</v>
      </c>
      <c r="C2904" s="7" t="s">
        <v>8984</v>
      </c>
      <c r="D2904" s="7" t="s">
        <v>7566</v>
      </c>
      <c r="E2904" s="7" t="s">
        <v>12558</v>
      </c>
      <c r="F2904" s="8" t="s">
        <v>8085</v>
      </c>
      <c r="G2904" s="7">
        <v>20</v>
      </c>
      <c r="H2904" s="7" t="s">
        <v>9394</v>
      </c>
      <c r="I2904" s="7">
        <v>1</v>
      </c>
      <c r="J2904" s="7" t="s">
        <v>7851</v>
      </c>
      <c r="K2904" s="9" t="s">
        <v>8987</v>
      </c>
    </row>
    <row r="2905" spans="1:11">
      <c r="A2905" s="7">
        <v>2903</v>
      </c>
      <c r="B2905" s="7" t="s">
        <v>11105</v>
      </c>
      <c r="C2905" s="7" t="s">
        <v>8984</v>
      </c>
      <c r="D2905" s="7" t="s">
        <v>7566</v>
      </c>
      <c r="E2905" s="7" t="s">
        <v>12559</v>
      </c>
      <c r="F2905" s="8" t="s">
        <v>8085</v>
      </c>
      <c r="G2905" s="7">
        <v>40</v>
      </c>
      <c r="H2905" s="7" t="s">
        <v>9003</v>
      </c>
      <c r="I2905" s="7">
        <v>1</v>
      </c>
      <c r="J2905" s="7" t="s">
        <v>7860</v>
      </c>
      <c r="K2905" s="9" t="s">
        <v>8987</v>
      </c>
    </row>
    <row r="2906" spans="1:11">
      <c r="A2906" s="7">
        <v>2904</v>
      </c>
      <c r="B2906" s="7" t="s">
        <v>11105</v>
      </c>
      <c r="C2906" s="7" t="s">
        <v>8984</v>
      </c>
      <c r="D2906" s="7" t="s">
        <v>7566</v>
      </c>
      <c r="E2906" s="7" t="s">
        <v>12560</v>
      </c>
      <c r="F2906" s="8" t="s">
        <v>8085</v>
      </c>
      <c r="G2906" s="7">
        <v>20</v>
      </c>
      <c r="H2906" s="7" t="s">
        <v>9394</v>
      </c>
      <c r="I2906" s="7">
        <v>1</v>
      </c>
      <c r="J2906" s="7" t="s">
        <v>7851</v>
      </c>
      <c r="K2906" s="9" t="s">
        <v>8987</v>
      </c>
    </row>
    <row r="2907" spans="1:11">
      <c r="A2907" s="7">
        <v>2905</v>
      </c>
      <c r="B2907" s="7" t="s">
        <v>11105</v>
      </c>
      <c r="C2907" s="7" t="s">
        <v>8984</v>
      </c>
      <c r="D2907" s="7" t="s">
        <v>7566</v>
      </c>
      <c r="E2907" s="7" t="s">
        <v>12561</v>
      </c>
      <c r="F2907" s="8" t="s">
        <v>8085</v>
      </c>
      <c r="G2907" s="7">
        <v>30</v>
      </c>
      <c r="H2907" s="7" t="s">
        <v>9015</v>
      </c>
      <c r="I2907" s="7">
        <v>1</v>
      </c>
      <c r="J2907" s="7" t="s">
        <v>7855</v>
      </c>
      <c r="K2907" s="9" t="s">
        <v>8987</v>
      </c>
    </row>
    <row r="2908" spans="1:11">
      <c r="A2908" s="7">
        <v>2906</v>
      </c>
      <c r="B2908" s="7" t="s">
        <v>11105</v>
      </c>
      <c r="C2908" s="7" t="s">
        <v>8984</v>
      </c>
      <c r="D2908" s="7" t="s">
        <v>7566</v>
      </c>
      <c r="E2908" s="7" t="s">
        <v>5619</v>
      </c>
      <c r="F2908" s="8" t="s">
        <v>8085</v>
      </c>
      <c r="G2908" s="7">
        <v>20</v>
      </c>
      <c r="H2908" s="7" t="s">
        <v>9394</v>
      </c>
      <c r="I2908" s="7">
        <v>1</v>
      </c>
      <c r="J2908" s="7" t="s">
        <v>7851</v>
      </c>
      <c r="K2908" s="9" t="s">
        <v>8987</v>
      </c>
    </row>
    <row r="2909" spans="1:11">
      <c r="A2909" s="7">
        <v>2907</v>
      </c>
      <c r="B2909" s="7" t="s">
        <v>11105</v>
      </c>
      <c r="C2909" s="7" t="s">
        <v>8984</v>
      </c>
      <c r="D2909" s="7" t="s">
        <v>7549</v>
      </c>
      <c r="E2909" s="7" t="s">
        <v>12562</v>
      </c>
      <c r="F2909" s="8" t="s">
        <v>9717</v>
      </c>
      <c r="G2909" s="7">
        <v>20</v>
      </c>
      <c r="H2909" s="7" t="s">
        <v>9394</v>
      </c>
      <c r="I2909" s="7">
        <v>1</v>
      </c>
      <c r="J2909" s="7" t="s">
        <v>7851</v>
      </c>
      <c r="K2909" s="9" t="s">
        <v>8987</v>
      </c>
    </row>
    <row r="2910" spans="1:11">
      <c r="A2910" s="7">
        <v>2908</v>
      </c>
      <c r="B2910" s="7" t="s">
        <v>11105</v>
      </c>
      <c r="C2910" s="7" t="s">
        <v>8984</v>
      </c>
      <c r="D2910" s="7" t="s">
        <v>7549</v>
      </c>
      <c r="E2910" s="7" t="s">
        <v>12563</v>
      </c>
      <c r="F2910" s="8" t="s">
        <v>9717</v>
      </c>
      <c r="G2910" s="7">
        <v>40</v>
      </c>
      <c r="H2910" s="7" t="s">
        <v>9003</v>
      </c>
      <c r="I2910" s="7">
        <v>1</v>
      </c>
      <c r="J2910" s="7" t="s">
        <v>7860</v>
      </c>
      <c r="K2910" s="9" t="s">
        <v>8987</v>
      </c>
    </row>
    <row r="2911" spans="1:11">
      <c r="A2911" s="7">
        <v>2909</v>
      </c>
      <c r="B2911" s="7" t="s">
        <v>11105</v>
      </c>
      <c r="C2911" s="7" t="s">
        <v>8984</v>
      </c>
      <c r="D2911" s="7" t="s">
        <v>7549</v>
      </c>
      <c r="E2911" s="7" t="s">
        <v>12564</v>
      </c>
      <c r="F2911" s="8" t="s">
        <v>9717</v>
      </c>
      <c r="G2911" s="7">
        <v>20</v>
      </c>
      <c r="H2911" s="7" t="s">
        <v>9394</v>
      </c>
      <c r="I2911" s="7">
        <v>1</v>
      </c>
      <c r="J2911" s="7" t="s">
        <v>7851</v>
      </c>
      <c r="K2911" s="9" t="s">
        <v>8987</v>
      </c>
    </row>
    <row r="2912" spans="1:11">
      <c r="A2912" s="7">
        <v>2910</v>
      </c>
      <c r="B2912" s="7" t="s">
        <v>11105</v>
      </c>
      <c r="C2912" s="7" t="s">
        <v>8984</v>
      </c>
      <c r="D2912" s="7" t="s">
        <v>7549</v>
      </c>
      <c r="E2912" s="7" t="s">
        <v>12565</v>
      </c>
      <c r="F2912" s="8" t="s">
        <v>9717</v>
      </c>
      <c r="G2912" s="7">
        <v>30</v>
      </c>
      <c r="H2912" s="7" t="s">
        <v>9015</v>
      </c>
      <c r="I2912" s="7">
        <v>1</v>
      </c>
      <c r="J2912" s="7" t="s">
        <v>7855</v>
      </c>
      <c r="K2912" s="9" t="s">
        <v>8987</v>
      </c>
    </row>
    <row r="2913" spans="1:11">
      <c r="A2913" s="7">
        <v>2911</v>
      </c>
      <c r="B2913" s="7" t="s">
        <v>11105</v>
      </c>
      <c r="C2913" s="7" t="s">
        <v>8984</v>
      </c>
      <c r="D2913" s="7" t="s">
        <v>7549</v>
      </c>
      <c r="E2913" s="7" t="s">
        <v>12566</v>
      </c>
      <c r="F2913" s="8" t="s">
        <v>9717</v>
      </c>
      <c r="G2913" s="7">
        <v>20</v>
      </c>
      <c r="H2913" s="7" t="s">
        <v>9394</v>
      </c>
      <c r="I2913" s="7">
        <v>1</v>
      </c>
      <c r="J2913" s="7" t="s">
        <v>7851</v>
      </c>
      <c r="K2913" s="9" t="s">
        <v>8987</v>
      </c>
    </row>
    <row r="2914" spans="1:11">
      <c r="A2914" s="7">
        <v>2912</v>
      </c>
      <c r="B2914" s="7" t="s">
        <v>11105</v>
      </c>
      <c r="C2914" s="7" t="s">
        <v>8984</v>
      </c>
      <c r="D2914" s="7" t="s">
        <v>7542</v>
      </c>
      <c r="E2914" s="7" t="s">
        <v>12567</v>
      </c>
      <c r="F2914" s="8" t="s">
        <v>9335</v>
      </c>
      <c r="G2914" s="7">
        <v>3</v>
      </c>
      <c r="H2914" s="7" t="s">
        <v>9187</v>
      </c>
      <c r="I2914" s="7">
        <v>1</v>
      </c>
      <c r="J2914" s="7" t="s">
        <v>7872</v>
      </c>
      <c r="K2914" s="9" t="s">
        <v>8987</v>
      </c>
    </row>
    <row r="2915" spans="1:11">
      <c r="A2915" s="7">
        <v>2913</v>
      </c>
      <c r="B2915" s="7" t="s">
        <v>11105</v>
      </c>
      <c r="C2915" s="7" t="s">
        <v>8984</v>
      </c>
      <c r="D2915" s="7" t="s">
        <v>7542</v>
      </c>
      <c r="E2915" s="7" t="s">
        <v>12568</v>
      </c>
      <c r="F2915" s="8" t="s">
        <v>9581</v>
      </c>
      <c r="G2915" s="7">
        <v>4</v>
      </c>
      <c r="H2915" s="7" t="s">
        <v>9579</v>
      </c>
      <c r="I2915" s="7">
        <v>1</v>
      </c>
      <c r="J2915" s="7" t="s">
        <v>7617</v>
      </c>
      <c r="K2915" s="9" t="s">
        <v>8987</v>
      </c>
    </row>
    <row r="2916" spans="1:11">
      <c r="A2916" s="7">
        <v>2914</v>
      </c>
      <c r="B2916" s="7" t="s">
        <v>11105</v>
      </c>
      <c r="C2916" s="7" t="s">
        <v>8984</v>
      </c>
      <c r="D2916" s="7" t="s">
        <v>7542</v>
      </c>
      <c r="E2916" s="7" t="s">
        <v>3504</v>
      </c>
      <c r="F2916" s="8" t="s">
        <v>9581</v>
      </c>
      <c r="G2916" s="7">
        <v>6</v>
      </c>
      <c r="H2916" s="7" t="s">
        <v>9218</v>
      </c>
      <c r="I2916" s="7">
        <v>1</v>
      </c>
      <c r="J2916" s="7" t="s">
        <v>7623</v>
      </c>
      <c r="K2916" s="9" t="s">
        <v>8987</v>
      </c>
    </row>
    <row r="2917" spans="1:11">
      <c r="A2917" s="7">
        <v>2915</v>
      </c>
      <c r="B2917" s="7" t="s">
        <v>11105</v>
      </c>
      <c r="C2917" s="7" t="s">
        <v>8984</v>
      </c>
      <c r="D2917" s="7" t="s">
        <v>7542</v>
      </c>
      <c r="E2917" s="7" t="s">
        <v>12569</v>
      </c>
      <c r="F2917" s="8" t="s">
        <v>9581</v>
      </c>
      <c r="G2917" s="7">
        <v>4</v>
      </c>
      <c r="H2917" s="7" t="s">
        <v>9579</v>
      </c>
      <c r="I2917" s="7">
        <v>1</v>
      </c>
      <c r="J2917" s="7" t="s">
        <v>7617</v>
      </c>
      <c r="K2917" s="9" t="s">
        <v>8987</v>
      </c>
    </row>
    <row r="2918" spans="1:11">
      <c r="A2918" s="7">
        <v>2916</v>
      </c>
      <c r="B2918" s="7" t="s">
        <v>11105</v>
      </c>
      <c r="C2918" s="7" t="s">
        <v>8984</v>
      </c>
      <c r="D2918" s="7" t="s">
        <v>7542</v>
      </c>
      <c r="E2918" s="7" t="s">
        <v>12570</v>
      </c>
      <c r="F2918" s="8" t="s">
        <v>9581</v>
      </c>
      <c r="G2918" s="7">
        <v>5</v>
      </c>
      <c r="H2918" s="7" t="s">
        <v>9336</v>
      </c>
      <c r="I2918" s="7">
        <v>1</v>
      </c>
      <c r="J2918" s="7" t="s">
        <v>7620</v>
      </c>
      <c r="K2918" s="9" t="s">
        <v>8987</v>
      </c>
    </row>
    <row r="2919" spans="1:11">
      <c r="A2919" s="7">
        <v>2917</v>
      </c>
      <c r="B2919" s="7" t="s">
        <v>11105</v>
      </c>
      <c r="C2919" s="7" t="s">
        <v>8984</v>
      </c>
      <c r="D2919" s="7" t="s">
        <v>7542</v>
      </c>
      <c r="E2919" s="7" t="s">
        <v>12571</v>
      </c>
      <c r="F2919" s="8" t="s">
        <v>9581</v>
      </c>
      <c r="G2919" s="7">
        <v>4</v>
      </c>
      <c r="H2919" s="7" t="s">
        <v>9579</v>
      </c>
      <c r="I2919" s="7">
        <v>1</v>
      </c>
      <c r="J2919" s="7" t="s">
        <v>7617</v>
      </c>
      <c r="K2919" s="9" t="s">
        <v>8987</v>
      </c>
    </row>
    <row r="2920" spans="1:11">
      <c r="A2920" s="7">
        <v>2918</v>
      </c>
      <c r="B2920" s="7" t="s">
        <v>11105</v>
      </c>
      <c r="C2920" s="7" t="s">
        <v>8984</v>
      </c>
      <c r="D2920" s="7" t="s">
        <v>7542</v>
      </c>
      <c r="E2920" s="7" t="s">
        <v>12572</v>
      </c>
      <c r="F2920" s="8" t="s">
        <v>10495</v>
      </c>
      <c r="G2920" s="7">
        <v>2</v>
      </c>
      <c r="H2920" s="7" t="s">
        <v>10476</v>
      </c>
      <c r="I2920" s="7">
        <v>1</v>
      </c>
      <c r="J2920" s="7" t="s">
        <v>7861</v>
      </c>
      <c r="K2920" s="9" t="s">
        <v>8987</v>
      </c>
    </row>
    <row r="2921" spans="1:11">
      <c r="A2921" s="7">
        <v>2919</v>
      </c>
      <c r="B2921" s="7" t="s">
        <v>11105</v>
      </c>
      <c r="C2921" s="7" t="s">
        <v>8984</v>
      </c>
      <c r="D2921" s="7" t="s">
        <v>7549</v>
      </c>
      <c r="E2921" s="7" t="s">
        <v>12573</v>
      </c>
      <c r="F2921" s="8" t="s">
        <v>10493</v>
      </c>
      <c r="G2921" s="7">
        <v>2</v>
      </c>
      <c r="H2921" s="7" t="s">
        <v>10476</v>
      </c>
      <c r="I2921" s="7">
        <v>1</v>
      </c>
      <c r="J2921" s="7" t="s">
        <v>7861</v>
      </c>
      <c r="K2921" s="9" t="s">
        <v>8987</v>
      </c>
    </row>
    <row r="2922" spans="1:11">
      <c r="A2922" s="7">
        <v>2920</v>
      </c>
      <c r="B2922" s="7" t="s">
        <v>11105</v>
      </c>
      <c r="C2922" s="7" t="s">
        <v>8984</v>
      </c>
      <c r="D2922" s="7" t="s">
        <v>7556</v>
      </c>
      <c r="E2922" s="7" t="s">
        <v>12574</v>
      </c>
      <c r="F2922" s="8" t="s">
        <v>9595</v>
      </c>
      <c r="G2922" s="7">
        <v>20</v>
      </c>
      <c r="H2922" s="7" t="s">
        <v>9394</v>
      </c>
      <c r="I2922" s="7">
        <v>1</v>
      </c>
      <c r="J2922" s="7" t="s">
        <v>7851</v>
      </c>
      <c r="K2922" s="9" t="s">
        <v>8987</v>
      </c>
    </row>
    <row r="2923" spans="1:11">
      <c r="A2923" s="7">
        <v>2921</v>
      </c>
      <c r="B2923" s="7" t="s">
        <v>11105</v>
      </c>
      <c r="C2923" s="7" t="s">
        <v>8984</v>
      </c>
      <c r="D2923" s="7" t="s">
        <v>7556</v>
      </c>
      <c r="E2923" s="7" t="s">
        <v>12575</v>
      </c>
      <c r="F2923" s="8" t="s">
        <v>9595</v>
      </c>
      <c r="G2923" s="7">
        <v>40</v>
      </c>
      <c r="H2923" s="7" t="s">
        <v>9003</v>
      </c>
      <c r="I2923" s="7">
        <v>1</v>
      </c>
      <c r="J2923" s="7" t="s">
        <v>7860</v>
      </c>
      <c r="K2923" s="9" t="s">
        <v>8987</v>
      </c>
    </row>
    <row r="2924" spans="1:11">
      <c r="A2924" s="7">
        <v>2922</v>
      </c>
      <c r="B2924" s="7" t="s">
        <v>11105</v>
      </c>
      <c r="C2924" s="7" t="s">
        <v>8984</v>
      </c>
      <c r="D2924" s="7" t="s">
        <v>7556</v>
      </c>
      <c r="E2924" s="7" t="s">
        <v>12576</v>
      </c>
      <c r="F2924" s="8" t="s">
        <v>9595</v>
      </c>
      <c r="G2924" s="7">
        <v>20</v>
      </c>
      <c r="H2924" s="7" t="s">
        <v>9394</v>
      </c>
      <c r="I2924" s="7">
        <v>1</v>
      </c>
      <c r="J2924" s="7" t="s">
        <v>7851</v>
      </c>
      <c r="K2924" s="9" t="s">
        <v>8987</v>
      </c>
    </row>
    <row r="2925" spans="1:11">
      <c r="A2925" s="7">
        <v>2923</v>
      </c>
      <c r="B2925" s="7" t="s">
        <v>11105</v>
      </c>
      <c r="C2925" s="7" t="s">
        <v>8984</v>
      </c>
      <c r="D2925" s="7" t="s">
        <v>7556</v>
      </c>
      <c r="E2925" s="7" t="s">
        <v>12577</v>
      </c>
      <c r="F2925" s="8" t="s">
        <v>9595</v>
      </c>
      <c r="G2925" s="7">
        <v>30</v>
      </c>
      <c r="H2925" s="7" t="s">
        <v>9015</v>
      </c>
      <c r="I2925" s="7">
        <v>1</v>
      </c>
      <c r="J2925" s="7" t="s">
        <v>7855</v>
      </c>
      <c r="K2925" s="9" t="s">
        <v>8987</v>
      </c>
    </row>
    <row r="2926" spans="1:11">
      <c r="A2926" s="7">
        <v>2924</v>
      </c>
      <c r="B2926" s="7" t="s">
        <v>11105</v>
      </c>
      <c r="C2926" s="7" t="s">
        <v>8984</v>
      </c>
      <c r="D2926" s="7" t="s">
        <v>7556</v>
      </c>
      <c r="E2926" s="7" t="s">
        <v>12578</v>
      </c>
      <c r="F2926" s="8" t="s">
        <v>9595</v>
      </c>
      <c r="G2926" s="7">
        <v>20</v>
      </c>
      <c r="H2926" s="7" t="s">
        <v>9394</v>
      </c>
      <c r="I2926" s="7">
        <v>1</v>
      </c>
      <c r="J2926" s="7" t="s">
        <v>7851</v>
      </c>
      <c r="K2926" s="9" t="s">
        <v>8987</v>
      </c>
    </row>
    <row r="2927" spans="1:11">
      <c r="A2927" s="7">
        <v>2925</v>
      </c>
      <c r="B2927" s="7" t="s">
        <v>11105</v>
      </c>
      <c r="C2927" s="7" t="s">
        <v>8984</v>
      </c>
      <c r="D2927" s="7" t="s">
        <v>7556</v>
      </c>
      <c r="E2927" s="7" t="s">
        <v>12579</v>
      </c>
      <c r="F2927" s="8" t="s">
        <v>10116</v>
      </c>
      <c r="G2927" s="7">
        <v>12</v>
      </c>
      <c r="H2927" s="7" t="s">
        <v>9213</v>
      </c>
      <c r="I2927" s="7">
        <v>4</v>
      </c>
      <c r="J2927" s="7" t="s">
        <v>9280</v>
      </c>
      <c r="K2927" s="9" t="s">
        <v>8987</v>
      </c>
    </row>
    <row r="2928" spans="1:11">
      <c r="A2928" s="7">
        <v>2926</v>
      </c>
      <c r="B2928" s="7" t="s">
        <v>11105</v>
      </c>
      <c r="C2928" s="7" t="s">
        <v>8984</v>
      </c>
      <c r="D2928" s="7" t="s">
        <v>7556</v>
      </c>
      <c r="E2928" s="7" t="s">
        <v>12580</v>
      </c>
      <c r="F2928" s="8" t="s">
        <v>10114</v>
      </c>
      <c r="G2928" s="7">
        <v>12</v>
      </c>
      <c r="H2928" s="7" t="s">
        <v>9213</v>
      </c>
      <c r="I2928" s="7">
        <v>4</v>
      </c>
      <c r="J2928" s="7" t="s">
        <v>9280</v>
      </c>
      <c r="K2928" s="9" t="s">
        <v>8987</v>
      </c>
    </row>
    <row r="2929" spans="1:11">
      <c r="A2929" s="7">
        <v>2927</v>
      </c>
      <c r="B2929" s="7" t="s">
        <v>11105</v>
      </c>
      <c r="C2929" s="7" t="s">
        <v>8984</v>
      </c>
      <c r="D2929" s="7" t="s">
        <v>7573</v>
      </c>
      <c r="E2929" s="7" t="s">
        <v>12581</v>
      </c>
      <c r="F2929" s="8" t="s">
        <v>9173</v>
      </c>
      <c r="G2929" s="7">
        <v>10</v>
      </c>
      <c r="H2929" s="7" t="s">
        <v>9292</v>
      </c>
      <c r="I2929" s="7">
        <v>1</v>
      </c>
      <c r="J2929" s="7" t="s">
        <v>7768</v>
      </c>
      <c r="K2929" s="9" t="s">
        <v>8987</v>
      </c>
    </row>
    <row r="2930" spans="1:11">
      <c r="A2930" s="7">
        <v>2928</v>
      </c>
      <c r="B2930" s="7" t="s">
        <v>11105</v>
      </c>
      <c r="C2930" s="7" t="s">
        <v>8984</v>
      </c>
      <c r="D2930" s="7" t="s">
        <v>7556</v>
      </c>
      <c r="E2930" s="7" t="s">
        <v>12582</v>
      </c>
      <c r="F2930" s="8" t="s">
        <v>12583</v>
      </c>
      <c r="G2930" s="7">
        <v>25</v>
      </c>
      <c r="H2930" s="7" t="s">
        <v>9011</v>
      </c>
      <c r="I2930" s="7">
        <v>1</v>
      </c>
      <c r="J2930" s="7" t="s">
        <v>7840</v>
      </c>
      <c r="K2930" s="9" t="s">
        <v>8987</v>
      </c>
    </row>
    <row r="2931" spans="1:11">
      <c r="A2931" s="7">
        <v>2929</v>
      </c>
      <c r="B2931" s="7" t="s">
        <v>11105</v>
      </c>
      <c r="C2931" s="7" t="s">
        <v>8984</v>
      </c>
      <c r="D2931" s="7" t="s">
        <v>7548</v>
      </c>
      <c r="E2931" s="7" t="s">
        <v>12584</v>
      </c>
      <c r="F2931" s="8" t="s">
        <v>10222</v>
      </c>
      <c r="G2931" s="7">
        <v>7</v>
      </c>
      <c r="H2931" s="7" t="s">
        <v>9182</v>
      </c>
      <c r="I2931" s="7">
        <v>1</v>
      </c>
      <c r="J2931" s="7" t="s">
        <v>7866</v>
      </c>
      <c r="K2931" s="9" t="s">
        <v>8987</v>
      </c>
    </row>
    <row r="2932" spans="1:11">
      <c r="A2932" s="7">
        <v>2930</v>
      </c>
      <c r="B2932" s="7" t="s">
        <v>11105</v>
      </c>
      <c r="C2932" s="7" t="s">
        <v>8984</v>
      </c>
      <c r="D2932" s="7" t="s">
        <v>7551</v>
      </c>
      <c r="E2932" s="7" t="s">
        <v>12585</v>
      </c>
      <c r="F2932" s="8" t="s">
        <v>9357</v>
      </c>
      <c r="G2932" s="7">
        <v>4</v>
      </c>
      <c r="H2932" s="7" t="s">
        <v>9579</v>
      </c>
      <c r="I2932" s="7">
        <v>1</v>
      </c>
      <c r="J2932" s="7" t="s">
        <v>7617</v>
      </c>
      <c r="K2932" s="9" t="s">
        <v>8987</v>
      </c>
    </row>
    <row r="2933" spans="1:11">
      <c r="A2933" s="7">
        <v>2931</v>
      </c>
      <c r="B2933" s="7" t="s">
        <v>11105</v>
      </c>
      <c r="C2933" s="7" t="s">
        <v>8984</v>
      </c>
      <c r="D2933" s="7" t="s">
        <v>7556</v>
      </c>
      <c r="E2933" s="7" t="s">
        <v>12586</v>
      </c>
      <c r="F2933" s="8" t="s">
        <v>9306</v>
      </c>
      <c r="G2933" s="7">
        <v>33</v>
      </c>
      <c r="H2933" s="7" t="s">
        <v>11346</v>
      </c>
      <c r="I2933" s="7">
        <v>1</v>
      </c>
      <c r="J2933" s="7" t="s">
        <v>7887</v>
      </c>
      <c r="K2933" s="9" t="s">
        <v>8987</v>
      </c>
    </row>
    <row r="2934" spans="1:11">
      <c r="A2934" s="7">
        <v>2932</v>
      </c>
      <c r="B2934" s="7" t="s">
        <v>9579</v>
      </c>
      <c r="C2934" s="7" t="s">
        <v>8984</v>
      </c>
      <c r="D2934" s="7" t="s">
        <v>7548</v>
      </c>
      <c r="E2934" s="7" t="s">
        <v>12587</v>
      </c>
      <c r="F2934" s="8" t="s">
        <v>11034</v>
      </c>
      <c r="G2934" s="7">
        <v>14</v>
      </c>
      <c r="H2934" s="7" t="s">
        <v>9397</v>
      </c>
      <c r="I2934" s="7">
        <v>1</v>
      </c>
      <c r="J2934" s="7" t="s">
        <v>7888</v>
      </c>
      <c r="K2934" s="9" t="s">
        <v>8987</v>
      </c>
    </row>
    <row r="2935" spans="1:11">
      <c r="A2935" s="7">
        <v>2933</v>
      </c>
      <c r="B2935" s="7" t="s">
        <v>11105</v>
      </c>
      <c r="C2935" s="7" t="s">
        <v>8984</v>
      </c>
      <c r="D2935" s="7" t="s">
        <v>7549</v>
      </c>
      <c r="E2935" s="7" t="s">
        <v>12588</v>
      </c>
      <c r="F2935" s="8" t="s">
        <v>9210</v>
      </c>
      <c r="G2935" s="7">
        <v>20</v>
      </c>
      <c r="H2935" s="7" t="s">
        <v>9394</v>
      </c>
      <c r="I2935" s="7">
        <v>1</v>
      </c>
      <c r="J2935" s="7" t="s">
        <v>7851</v>
      </c>
      <c r="K2935" s="9" t="s">
        <v>8987</v>
      </c>
    </row>
    <row r="2936" spans="1:11">
      <c r="A2936" s="7">
        <v>2934</v>
      </c>
      <c r="B2936" s="7" t="s">
        <v>11105</v>
      </c>
      <c r="C2936" s="7" t="s">
        <v>8984</v>
      </c>
      <c r="D2936" s="7" t="s">
        <v>7546</v>
      </c>
      <c r="E2936" s="7" t="s">
        <v>12589</v>
      </c>
      <c r="F2936" s="8" t="s">
        <v>9083</v>
      </c>
      <c r="G2936" s="7">
        <v>45</v>
      </c>
      <c r="H2936" s="7" t="s">
        <v>9750</v>
      </c>
      <c r="I2936" s="7">
        <v>1</v>
      </c>
      <c r="J2936" s="7" t="s">
        <v>7880</v>
      </c>
      <c r="K2936" s="9" t="s">
        <v>8987</v>
      </c>
    </row>
    <row r="2937" spans="1:11">
      <c r="A2937" s="7">
        <v>2935</v>
      </c>
      <c r="B2937" s="7" t="s">
        <v>11105</v>
      </c>
      <c r="C2937" s="7" t="s">
        <v>8984</v>
      </c>
      <c r="D2937" s="7" t="s">
        <v>7547</v>
      </c>
      <c r="E2937" s="7" t="s">
        <v>12590</v>
      </c>
      <c r="F2937" s="8" t="s">
        <v>11022</v>
      </c>
      <c r="G2937" s="7">
        <v>45</v>
      </c>
      <c r="H2937" s="7" t="s">
        <v>9750</v>
      </c>
      <c r="I2937" s="7">
        <v>1</v>
      </c>
      <c r="J2937" s="7" t="s">
        <v>7880</v>
      </c>
      <c r="K2937" s="9" t="s">
        <v>8987</v>
      </c>
    </row>
    <row r="2938" spans="1:11">
      <c r="A2938" s="7">
        <v>2936</v>
      </c>
      <c r="B2938" s="7" t="s">
        <v>11105</v>
      </c>
      <c r="C2938" s="7" t="s">
        <v>8984</v>
      </c>
      <c r="D2938" s="7" t="s">
        <v>7548</v>
      </c>
      <c r="E2938" s="7" t="s">
        <v>12591</v>
      </c>
      <c r="F2938" s="8" t="s">
        <v>12261</v>
      </c>
      <c r="G2938" s="7">
        <v>14</v>
      </c>
      <c r="H2938" s="7" t="s">
        <v>9397</v>
      </c>
      <c r="I2938" s="7">
        <v>1</v>
      </c>
      <c r="J2938" s="7" t="s">
        <v>7888</v>
      </c>
      <c r="K2938" s="9" t="s">
        <v>8987</v>
      </c>
    </row>
    <row r="2939" spans="1:11">
      <c r="A2939" s="7">
        <v>2937</v>
      </c>
      <c r="B2939" s="7" t="s">
        <v>11105</v>
      </c>
      <c r="C2939" s="7" t="s">
        <v>8984</v>
      </c>
      <c r="D2939" s="7" t="s">
        <v>7566</v>
      </c>
      <c r="E2939" s="7" t="s">
        <v>12592</v>
      </c>
      <c r="F2939" s="8" t="s">
        <v>12593</v>
      </c>
      <c r="G2939" s="7">
        <v>10</v>
      </c>
      <c r="H2939" s="7" t="s">
        <v>9292</v>
      </c>
      <c r="I2939" s="7">
        <v>1</v>
      </c>
      <c r="J2939" s="7" t="s">
        <v>7768</v>
      </c>
      <c r="K2939" s="9" t="s">
        <v>8987</v>
      </c>
    </row>
    <row r="2940" spans="1:11">
      <c r="A2940" s="7">
        <v>2938</v>
      </c>
      <c r="B2940" s="7" t="s">
        <v>11105</v>
      </c>
      <c r="C2940" s="7" t="s">
        <v>8984</v>
      </c>
      <c r="D2940" s="7" t="s">
        <v>7566</v>
      </c>
      <c r="E2940" s="7" t="s">
        <v>12594</v>
      </c>
      <c r="F2940" s="8" t="s">
        <v>9312</v>
      </c>
      <c r="G2940" s="7">
        <v>8</v>
      </c>
      <c r="H2940" s="7" t="s">
        <v>8991</v>
      </c>
      <c r="I2940" s="7">
        <v>1</v>
      </c>
      <c r="J2940" s="7" t="s">
        <v>7764</v>
      </c>
      <c r="K2940" s="9" t="s">
        <v>8987</v>
      </c>
    </row>
    <row r="2941" spans="1:11">
      <c r="A2941" s="7">
        <v>2939</v>
      </c>
      <c r="B2941" s="7" t="s">
        <v>9579</v>
      </c>
      <c r="C2941" s="7" t="s">
        <v>8984</v>
      </c>
      <c r="D2941" s="7" t="s">
        <v>7573</v>
      </c>
      <c r="E2941" s="7" t="s">
        <v>12595</v>
      </c>
      <c r="F2941" s="8" t="s">
        <v>9955</v>
      </c>
      <c r="G2941" s="7">
        <v>0</v>
      </c>
      <c r="H2941" s="7" t="s">
        <v>8984</v>
      </c>
      <c r="I2941" s="7">
        <v>1</v>
      </c>
      <c r="J2941" s="7" t="s">
        <v>7838</v>
      </c>
      <c r="K2941" s="9" t="s">
        <v>8987</v>
      </c>
    </row>
    <row r="2942" spans="1:11">
      <c r="A2942" s="7">
        <v>2940</v>
      </c>
      <c r="B2942" s="7" t="s">
        <v>11105</v>
      </c>
      <c r="C2942" s="7" t="s">
        <v>8984</v>
      </c>
      <c r="D2942" s="7" t="s">
        <v>7581</v>
      </c>
      <c r="E2942" s="7" t="s">
        <v>12596</v>
      </c>
      <c r="F2942" s="8" t="s">
        <v>9812</v>
      </c>
      <c r="G2942" s="7">
        <v>0</v>
      </c>
      <c r="H2942" s="7" t="s">
        <v>8984</v>
      </c>
      <c r="I2942" s="7">
        <v>1</v>
      </c>
      <c r="J2942" s="7" t="s">
        <v>7838</v>
      </c>
      <c r="K2942" s="9" t="s">
        <v>8987</v>
      </c>
    </row>
    <row r="2943" spans="1:11">
      <c r="A2943" s="7">
        <v>2941</v>
      </c>
      <c r="B2943" s="7" t="s">
        <v>11105</v>
      </c>
      <c r="C2943" s="7" t="s">
        <v>8984</v>
      </c>
      <c r="D2943" s="7" t="s">
        <v>7548</v>
      </c>
      <c r="E2943" s="7" t="s">
        <v>12597</v>
      </c>
      <c r="F2943" s="8" t="s">
        <v>10731</v>
      </c>
      <c r="G2943" s="7">
        <v>7</v>
      </c>
      <c r="H2943" s="7" t="s">
        <v>9182</v>
      </c>
      <c r="I2943" s="7">
        <v>1</v>
      </c>
      <c r="J2943" s="7" t="s">
        <v>7866</v>
      </c>
      <c r="K2943" s="9" t="s">
        <v>8987</v>
      </c>
    </row>
    <row r="2944" spans="1:11">
      <c r="A2944" s="7">
        <v>2942</v>
      </c>
      <c r="B2944" s="7" t="s">
        <v>11105</v>
      </c>
      <c r="C2944" s="7" t="s">
        <v>8984</v>
      </c>
      <c r="D2944" s="7" t="s">
        <v>7548</v>
      </c>
      <c r="E2944" s="7" t="s">
        <v>12598</v>
      </c>
      <c r="F2944" s="8" t="s">
        <v>10729</v>
      </c>
      <c r="G2944" s="7">
        <v>7</v>
      </c>
      <c r="H2944" s="7" t="s">
        <v>9182</v>
      </c>
      <c r="I2944" s="7">
        <v>1</v>
      </c>
      <c r="J2944" s="7" t="s">
        <v>7866</v>
      </c>
      <c r="K2944" s="9" t="s">
        <v>8987</v>
      </c>
    </row>
    <row r="2945" spans="1:11">
      <c r="A2945" s="7">
        <v>2943</v>
      </c>
      <c r="B2945" s="7" t="s">
        <v>8991</v>
      </c>
      <c r="C2945" s="7" t="s">
        <v>8984</v>
      </c>
      <c r="D2945" s="7" t="s">
        <v>7548</v>
      </c>
      <c r="E2945" s="7" t="s">
        <v>12599</v>
      </c>
      <c r="F2945" s="8" t="s">
        <v>11036</v>
      </c>
      <c r="G2945" s="7">
        <v>14</v>
      </c>
      <c r="H2945" s="7" t="s">
        <v>9397</v>
      </c>
      <c r="I2945" s="7">
        <v>1</v>
      </c>
      <c r="J2945" s="7" t="s">
        <v>7888</v>
      </c>
      <c r="K2945" s="9" t="s">
        <v>8987</v>
      </c>
    </row>
    <row r="2946" spans="1:11">
      <c r="A2946" s="7">
        <v>2944</v>
      </c>
      <c r="B2946" s="7" t="s">
        <v>11105</v>
      </c>
      <c r="C2946" s="7" t="s">
        <v>8984</v>
      </c>
      <c r="D2946" s="7" t="s">
        <v>7547</v>
      </c>
      <c r="E2946" s="7" t="s">
        <v>12600</v>
      </c>
      <c r="F2946" s="8" t="s">
        <v>9593</v>
      </c>
      <c r="G2946" s="7">
        <v>18</v>
      </c>
      <c r="H2946" s="7" t="s">
        <v>9422</v>
      </c>
      <c r="I2946" s="7">
        <v>1</v>
      </c>
      <c r="J2946" s="7" t="s">
        <v>7885</v>
      </c>
      <c r="K2946" s="9" t="s">
        <v>8987</v>
      </c>
    </row>
    <row r="2947" spans="1:11">
      <c r="A2947" s="7">
        <v>2945</v>
      </c>
      <c r="B2947" s="7" t="s">
        <v>11105</v>
      </c>
      <c r="C2947" s="7" t="s">
        <v>8984</v>
      </c>
      <c r="D2947" s="7" t="s">
        <v>7551</v>
      </c>
      <c r="E2947" s="7" t="s">
        <v>12601</v>
      </c>
      <c r="F2947" s="8" t="s">
        <v>12602</v>
      </c>
      <c r="G2947" s="7">
        <v>25</v>
      </c>
      <c r="H2947" s="7" t="s">
        <v>9011</v>
      </c>
      <c r="I2947" s="7">
        <v>1</v>
      </c>
      <c r="J2947" s="7" t="s">
        <v>7840</v>
      </c>
      <c r="K2947" s="9" t="s">
        <v>8987</v>
      </c>
    </row>
    <row r="2948" spans="1:11">
      <c r="A2948" s="7">
        <v>2946</v>
      </c>
      <c r="B2948" s="7" t="s">
        <v>11105</v>
      </c>
      <c r="C2948" s="7" t="s">
        <v>8984</v>
      </c>
      <c r="D2948" s="7" t="s">
        <v>7542</v>
      </c>
      <c r="E2948" s="7" t="s">
        <v>12603</v>
      </c>
      <c r="F2948" s="8" t="s">
        <v>10801</v>
      </c>
      <c r="G2948" s="7">
        <v>200</v>
      </c>
      <c r="H2948" s="7" t="s">
        <v>9447</v>
      </c>
      <c r="I2948" s="7">
        <v>1</v>
      </c>
      <c r="J2948" s="7" t="s">
        <v>9448</v>
      </c>
      <c r="K2948" s="9" t="s">
        <v>8987</v>
      </c>
    </row>
    <row r="2949" spans="1:11">
      <c r="A2949" s="7">
        <v>2947</v>
      </c>
      <c r="B2949" s="7" t="s">
        <v>9579</v>
      </c>
      <c r="C2949" s="7" t="s">
        <v>8984</v>
      </c>
      <c r="D2949" s="7" t="s">
        <v>7548</v>
      </c>
      <c r="E2949" s="7" t="s">
        <v>12604</v>
      </c>
      <c r="F2949" s="8" t="s">
        <v>11034</v>
      </c>
      <c r="G2949" s="7">
        <v>10</v>
      </c>
      <c r="H2949" s="7" t="s">
        <v>9292</v>
      </c>
      <c r="I2949" s="7">
        <v>1</v>
      </c>
      <c r="J2949" s="7" t="s">
        <v>7768</v>
      </c>
      <c r="K2949" s="9" t="s">
        <v>8987</v>
      </c>
    </row>
    <row r="2950" spans="1:11">
      <c r="A2950" s="7">
        <v>2948</v>
      </c>
      <c r="B2950" s="7" t="s">
        <v>8991</v>
      </c>
      <c r="C2950" s="7" t="s">
        <v>8984</v>
      </c>
      <c r="D2950" s="7" t="s">
        <v>7548</v>
      </c>
      <c r="E2950" s="7" t="s">
        <v>12605</v>
      </c>
      <c r="F2950" s="8" t="s">
        <v>11036</v>
      </c>
      <c r="G2950" s="7">
        <v>10</v>
      </c>
      <c r="H2950" s="7" t="s">
        <v>9292</v>
      </c>
      <c r="I2950" s="7">
        <v>1</v>
      </c>
      <c r="J2950" s="7" t="s">
        <v>7768</v>
      </c>
      <c r="K2950" s="9" t="s">
        <v>8987</v>
      </c>
    </row>
    <row r="2951" spans="1:11">
      <c r="A2951" s="7">
        <v>2949</v>
      </c>
      <c r="B2951" s="7" t="s">
        <v>9174</v>
      </c>
      <c r="C2951" s="7" t="s">
        <v>8991</v>
      </c>
      <c r="D2951" s="7" t="s">
        <v>7553</v>
      </c>
      <c r="E2951" s="7" t="s">
        <v>12606</v>
      </c>
      <c r="F2951" s="8" t="s">
        <v>9360</v>
      </c>
      <c r="G2951" s="7">
        <v>11</v>
      </c>
      <c r="H2951" s="7" t="s">
        <v>9386</v>
      </c>
      <c r="I2951" s="7">
        <v>1</v>
      </c>
      <c r="J2951" s="7" t="s">
        <v>7865</v>
      </c>
      <c r="K2951" s="9" t="s">
        <v>8987</v>
      </c>
    </row>
    <row r="2952" spans="1:11">
      <c r="A2952" s="7">
        <v>2950</v>
      </c>
      <c r="B2952" s="7" t="s">
        <v>9174</v>
      </c>
      <c r="C2952" s="7" t="s">
        <v>8991</v>
      </c>
      <c r="D2952" s="7" t="s">
        <v>7553</v>
      </c>
      <c r="E2952" s="7" t="s">
        <v>12607</v>
      </c>
      <c r="F2952" s="8" t="s">
        <v>9360</v>
      </c>
      <c r="G2952" s="7">
        <v>6</v>
      </c>
      <c r="H2952" s="7" t="s">
        <v>9218</v>
      </c>
      <c r="I2952" s="7">
        <v>1</v>
      </c>
      <c r="J2952" s="7" t="s">
        <v>7623</v>
      </c>
      <c r="K2952" s="9" t="s">
        <v>8987</v>
      </c>
    </row>
    <row r="2953" spans="1:11">
      <c r="A2953" s="7">
        <v>2951</v>
      </c>
      <c r="B2953" s="7" t="s">
        <v>9174</v>
      </c>
      <c r="C2953" s="7" t="s">
        <v>8991</v>
      </c>
      <c r="D2953" s="7" t="s">
        <v>7553</v>
      </c>
      <c r="E2953" s="7" t="s">
        <v>12608</v>
      </c>
      <c r="F2953" s="8" t="s">
        <v>9360</v>
      </c>
      <c r="G2953" s="7">
        <v>11</v>
      </c>
      <c r="H2953" s="7" t="s">
        <v>9386</v>
      </c>
      <c r="I2953" s="7">
        <v>1</v>
      </c>
      <c r="J2953" s="7" t="s">
        <v>7865</v>
      </c>
      <c r="K2953" s="9" t="s">
        <v>8987</v>
      </c>
    </row>
    <row r="2954" spans="1:11">
      <c r="A2954" s="7">
        <v>2952</v>
      </c>
      <c r="B2954" s="7" t="s">
        <v>9174</v>
      </c>
      <c r="C2954" s="7" t="s">
        <v>8991</v>
      </c>
      <c r="D2954" s="7" t="s">
        <v>7553</v>
      </c>
      <c r="E2954" s="7" t="s">
        <v>12609</v>
      </c>
      <c r="F2954" s="8" t="s">
        <v>9360</v>
      </c>
      <c r="G2954" s="7">
        <v>21</v>
      </c>
      <c r="H2954" s="7" t="s">
        <v>9116</v>
      </c>
      <c r="I2954" s="7">
        <v>1</v>
      </c>
      <c r="J2954" s="7" t="s">
        <v>7842</v>
      </c>
      <c r="K2954" s="9" t="s">
        <v>8987</v>
      </c>
    </row>
    <row r="2955" spans="1:11">
      <c r="A2955" s="7">
        <v>2953</v>
      </c>
      <c r="B2955" s="7" t="s">
        <v>9174</v>
      </c>
      <c r="C2955" s="7" t="s">
        <v>8991</v>
      </c>
      <c r="D2955" s="7" t="s">
        <v>7553</v>
      </c>
      <c r="E2955" s="7" t="s">
        <v>12610</v>
      </c>
      <c r="F2955" s="8" t="s">
        <v>9360</v>
      </c>
      <c r="G2955" s="7">
        <v>17</v>
      </c>
      <c r="H2955" s="7" t="s">
        <v>9146</v>
      </c>
      <c r="I2955" s="7">
        <v>1</v>
      </c>
      <c r="J2955" s="7" t="s">
        <v>7850</v>
      </c>
      <c r="K2955" s="9" t="s">
        <v>8987</v>
      </c>
    </row>
    <row r="2956" spans="1:11">
      <c r="A2956" s="7">
        <v>2954</v>
      </c>
      <c r="B2956" s="7" t="s">
        <v>9174</v>
      </c>
      <c r="C2956" s="7" t="s">
        <v>8991</v>
      </c>
      <c r="D2956" s="7" t="s">
        <v>7553</v>
      </c>
      <c r="E2956" s="7" t="s">
        <v>12611</v>
      </c>
      <c r="F2956" s="8" t="s">
        <v>9360</v>
      </c>
      <c r="G2956" s="7">
        <v>21</v>
      </c>
      <c r="H2956" s="7" t="s">
        <v>9116</v>
      </c>
      <c r="I2956" s="7">
        <v>1</v>
      </c>
      <c r="J2956" s="7" t="s">
        <v>7842</v>
      </c>
      <c r="K2956" s="9" t="s">
        <v>8987</v>
      </c>
    </row>
    <row r="2957" spans="1:11">
      <c r="A2957" s="7">
        <v>2955</v>
      </c>
      <c r="B2957" s="7" t="s">
        <v>9174</v>
      </c>
      <c r="C2957" s="7" t="s">
        <v>9386</v>
      </c>
      <c r="D2957" s="7" t="s">
        <v>7553</v>
      </c>
      <c r="E2957" s="7" t="s">
        <v>12612</v>
      </c>
      <c r="F2957" s="8" t="s">
        <v>9360</v>
      </c>
      <c r="G2957" s="7">
        <v>11</v>
      </c>
      <c r="H2957" s="7" t="s">
        <v>9386</v>
      </c>
      <c r="I2957" s="7">
        <v>1</v>
      </c>
      <c r="J2957" s="7" t="s">
        <v>7865</v>
      </c>
      <c r="K2957" s="9" t="s">
        <v>8987</v>
      </c>
    </row>
    <row r="2958" spans="1:11">
      <c r="A2958" s="7">
        <v>2956</v>
      </c>
      <c r="B2958" s="7" t="s">
        <v>9174</v>
      </c>
      <c r="C2958" s="7" t="s">
        <v>8991</v>
      </c>
      <c r="D2958" s="7" t="s">
        <v>7553</v>
      </c>
      <c r="E2958" s="7" t="s">
        <v>12613</v>
      </c>
      <c r="F2958" s="8" t="s">
        <v>10617</v>
      </c>
      <c r="G2958" s="7">
        <v>0</v>
      </c>
      <c r="H2958" s="7" t="s">
        <v>8984</v>
      </c>
      <c r="I2958" s="7">
        <v>1</v>
      </c>
      <c r="J2958" s="7" t="s">
        <v>7838</v>
      </c>
      <c r="K2958" s="9" t="s">
        <v>8987</v>
      </c>
    </row>
    <row r="2959" spans="1:11">
      <c r="A2959" s="7">
        <v>2957</v>
      </c>
      <c r="B2959" s="7" t="s">
        <v>9174</v>
      </c>
      <c r="C2959" s="7" t="s">
        <v>8991</v>
      </c>
      <c r="D2959" s="7" t="s">
        <v>7553</v>
      </c>
      <c r="E2959" s="7" t="s">
        <v>12614</v>
      </c>
      <c r="F2959" s="8" t="s">
        <v>10617</v>
      </c>
      <c r="G2959" s="7">
        <v>0</v>
      </c>
      <c r="H2959" s="7" t="s">
        <v>8984</v>
      </c>
      <c r="I2959" s="7">
        <v>1</v>
      </c>
      <c r="J2959" s="7" t="s">
        <v>7838</v>
      </c>
      <c r="K2959" s="9" t="s">
        <v>8987</v>
      </c>
    </row>
    <row r="2960" spans="1:11">
      <c r="A2960" s="7">
        <v>2958</v>
      </c>
      <c r="B2960" s="7" t="s">
        <v>9174</v>
      </c>
      <c r="C2960" s="7" t="s">
        <v>8991</v>
      </c>
      <c r="D2960" s="7" t="s">
        <v>7553</v>
      </c>
      <c r="E2960" s="7" t="s">
        <v>12615</v>
      </c>
      <c r="F2960" s="8" t="s">
        <v>10617</v>
      </c>
      <c r="G2960" s="7">
        <v>0</v>
      </c>
      <c r="H2960" s="7" t="s">
        <v>8984</v>
      </c>
      <c r="I2960" s="7">
        <v>1</v>
      </c>
      <c r="J2960" s="7" t="s">
        <v>7838</v>
      </c>
      <c r="K2960" s="9" t="s">
        <v>8987</v>
      </c>
    </row>
    <row r="2961" spans="1:11">
      <c r="A2961" s="7">
        <v>2959</v>
      </c>
      <c r="B2961" s="7" t="s">
        <v>9174</v>
      </c>
      <c r="C2961" s="7" t="s">
        <v>8991</v>
      </c>
      <c r="D2961" s="7" t="s">
        <v>7553</v>
      </c>
      <c r="E2961" s="7" t="s">
        <v>12616</v>
      </c>
      <c r="F2961" s="8" t="s">
        <v>10617</v>
      </c>
      <c r="G2961" s="7">
        <v>38</v>
      </c>
      <c r="H2961" s="7" t="s">
        <v>11229</v>
      </c>
      <c r="I2961" s="7">
        <v>1</v>
      </c>
      <c r="J2961" s="7" t="s">
        <v>7847</v>
      </c>
      <c r="K2961" s="9" t="s">
        <v>8987</v>
      </c>
    </row>
    <row r="2962" spans="1:11">
      <c r="A2962" s="7">
        <v>2960</v>
      </c>
      <c r="B2962" s="7" t="s">
        <v>9174</v>
      </c>
      <c r="C2962" s="7" t="s">
        <v>8991</v>
      </c>
      <c r="D2962" s="7" t="s">
        <v>7553</v>
      </c>
      <c r="E2962" s="7" t="s">
        <v>12617</v>
      </c>
      <c r="F2962" s="8" t="s">
        <v>10617</v>
      </c>
      <c r="G2962" s="7">
        <v>0</v>
      </c>
      <c r="H2962" s="7" t="s">
        <v>8984</v>
      </c>
      <c r="I2962" s="7">
        <v>1</v>
      </c>
      <c r="J2962" s="7" t="s">
        <v>7838</v>
      </c>
      <c r="K2962" s="9" t="s">
        <v>8987</v>
      </c>
    </row>
    <row r="2963" spans="1:11">
      <c r="A2963" s="7">
        <v>2961</v>
      </c>
      <c r="B2963" s="7" t="s">
        <v>9174</v>
      </c>
      <c r="C2963" s="7" t="s">
        <v>8991</v>
      </c>
      <c r="D2963" s="7" t="s">
        <v>7553</v>
      </c>
      <c r="E2963" s="7" t="s">
        <v>12618</v>
      </c>
      <c r="F2963" s="8" t="s">
        <v>10617</v>
      </c>
      <c r="G2963" s="7">
        <v>38</v>
      </c>
      <c r="H2963" s="7" t="s">
        <v>11229</v>
      </c>
      <c r="I2963" s="7">
        <v>1</v>
      </c>
      <c r="J2963" s="7" t="s">
        <v>7847</v>
      </c>
      <c r="K2963" s="9" t="s">
        <v>8987</v>
      </c>
    </row>
    <row r="2964" spans="1:11">
      <c r="A2964" s="7">
        <v>2962</v>
      </c>
      <c r="B2964" s="7" t="s">
        <v>9174</v>
      </c>
      <c r="C2964" s="7" t="s">
        <v>9386</v>
      </c>
      <c r="D2964" s="7" t="s">
        <v>7553</v>
      </c>
      <c r="E2964" s="7" t="s">
        <v>12619</v>
      </c>
      <c r="F2964" s="8" t="s">
        <v>10617</v>
      </c>
      <c r="G2964" s="7">
        <v>0</v>
      </c>
      <c r="H2964" s="7" t="s">
        <v>8984</v>
      </c>
      <c r="I2964" s="7">
        <v>1</v>
      </c>
      <c r="J2964" s="7" t="s">
        <v>7838</v>
      </c>
      <c r="K2964" s="9" t="s">
        <v>8987</v>
      </c>
    </row>
    <row r="2965" spans="1:11">
      <c r="A2965" s="7">
        <v>2963</v>
      </c>
      <c r="B2965" s="7" t="s">
        <v>9174</v>
      </c>
      <c r="C2965" s="7" t="s">
        <v>8991</v>
      </c>
      <c r="D2965" s="7" t="s">
        <v>7547</v>
      </c>
      <c r="E2965" s="7" t="s">
        <v>12620</v>
      </c>
      <c r="F2965" s="8" t="s">
        <v>10384</v>
      </c>
      <c r="G2965" s="7">
        <v>18</v>
      </c>
      <c r="H2965" s="7" t="s">
        <v>9422</v>
      </c>
      <c r="I2965" s="7">
        <v>1</v>
      </c>
      <c r="J2965" s="7" t="s">
        <v>7885</v>
      </c>
      <c r="K2965" s="9" t="s">
        <v>8987</v>
      </c>
    </row>
    <row r="2966" spans="1:11">
      <c r="A2966" s="7">
        <v>2964</v>
      </c>
      <c r="B2966" s="7" t="s">
        <v>9174</v>
      </c>
      <c r="C2966" s="7" t="s">
        <v>8991</v>
      </c>
      <c r="D2966" s="7" t="s">
        <v>7547</v>
      </c>
      <c r="E2966" s="7" t="s">
        <v>12621</v>
      </c>
      <c r="F2966" s="8" t="s">
        <v>10384</v>
      </c>
      <c r="G2966" s="7">
        <v>18</v>
      </c>
      <c r="H2966" s="7" t="s">
        <v>9422</v>
      </c>
      <c r="I2966" s="7">
        <v>1</v>
      </c>
      <c r="J2966" s="7" t="s">
        <v>7885</v>
      </c>
      <c r="K2966" s="9" t="s">
        <v>8987</v>
      </c>
    </row>
    <row r="2967" spans="1:11">
      <c r="A2967" s="7">
        <v>2965</v>
      </c>
      <c r="B2967" s="7" t="s">
        <v>9174</v>
      </c>
      <c r="C2967" s="7" t="s">
        <v>8991</v>
      </c>
      <c r="D2967" s="7" t="s">
        <v>7547</v>
      </c>
      <c r="E2967" s="7" t="s">
        <v>12622</v>
      </c>
      <c r="F2967" s="8" t="s">
        <v>10384</v>
      </c>
      <c r="G2967" s="7">
        <v>18</v>
      </c>
      <c r="H2967" s="7" t="s">
        <v>9422</v>
      </c>
      <c r="I2967" s="7">
        <v>1</v>
      </c>
      <c r="J2967" s="7" t="s">
        <v>7885</v>
      </c>
      <c r="K2967" s="9" t="s">
        <v>8987</v>
      </c>
    </row>
    <row r="2968" spans="1:11">
      <c r="A2968" s="7">
        <v>2966</v>
      </c>
      <c r="B2968" s="7" t="s">
        <v>9174</v>
      </c>
      <c r="C2968" s="7" t="s">
        <v>8991</v>
      </c>
      <c r="D2968" s="7" t="s">
        <v>7547</v>
      </c>
      <c r="E2968" s="7" t="s">
        <v>12623</v>
      </c>
      <c r="F2968" s="8" t="s">
        <v>10384</v>
      </c>
      <c r="G2968" s="7">
        <v>36</v>
      </c>
      <c r="H2968" s="7" t="s">
        <v>10305</v>
      </c>
      <c r="I2968" s="7">
        <v>1</v>
      </c>
      <c r="J2968" s="7" t="s">
        <v>11492</v>
      </c>
      <c r="K2968" s="9" t="s">
        <v>8987</v>
      </c>
    </row>
    <row r="2969" spans="1:11">
      <c r="A2969" s="7">
        <v>2967</v>
      </c>
      <c r="B2969" s="7" t="s">
        <v>9174</v>
      </c>
      <c r="C2969" s="7" t="s">
        <v>8991</v>
      </c>
      <c r="D2969" s="7" t="s">
        <v>7547</v>
      </c>
      <c r="E2969" s="7" t="s">
        <v>12624</v>
      </c>
      <c r="F2969" s="8" t="s">
        <v>10384</v>
      </c>
      <c r="G2969" s="7">
        <v>27</v>
      </c>
      <c r="H2969" s="7" t="s">
        <v>9130</v>
      </c>
      <c r="I2969" s="7">
        <v>1</v>
      </c>
      <c r="J2969" s="7" t="s">
        <v>7852</v>
      </c>
      <c r="K2969" s="9" t="s">
        <v>8987</v>
      </c>
    </row>
    <row r="2970" spans="1:11">
      <c r="A2970" s="7">
        <v>2968</v>
      </c>
      <c r="B2970" s="7" t="s">
        <v>9174</v>
      </c>
      <c r="C2970" s="7" t="s">
        <v>8991</v>
      </c>
      <c r="D2970" s="7" t="s">
        <v>7547</v>
      </c>
      <c r="E2970" s="7" t="s">
        <v>12625</v>
      </c>
      <c r="F2970" s="8" t="s">
        <v>10384</v>
      </c>
      <c r="G2970" s="7">
        <v>47</v>
      </c>
      <c r="H2970" s="7" t="s">
        <v>11393</v>
      </c>
      <c r="I2970" s="7">
        <v>1</v>
      </c>
      <c r="J2970" s="7" t="s">
        <v>11394</v>
      </c>
      <c r="K2970" s="9" t="s">
        <v>8987</v>
      </c>
    </row>
    <row r="2971" spans="1:11">
      <c r="A2971" s="7">
        <v>2969</v>
      </c>
      <c r="B2971" s="7" t="s">
        <v>9174</v>
      </c>
      <c r="C2971" s="7" t="s">
        <v>9386</v>
      </c>
      <c r="D2971" s="7" t="s">
        <v>7547</v>
      </c>
      <c r="E2971" s="7" t="s">
        <v>12626</v>
      </c>
      <c r="F2971" s="8" t="s">
        <v>10384</v>
      </c>
      <c r="G2971" s="7">
        <v>18</v>
      </c>
      <c r="H2971" s="7" t="s">
        <v>9422</v>
      </c>
      <c r="I2971" s="7">
        <v>1</v>
      </c>
      <c r="J2971" s="7" t="s">
        <v>7885</v>
      </c>
      <c r="K2971" s="9" t="s">
        <v>8987</v>
      </c>
    </row>
    <row r="2972" spans="1:11">
      <c r="A2972" s="7">
        <v>2970</v>
      </c>
      <c r="B2972" s="7" t="s">
        <v>9174</v>
      </c>
      <c r="C2972" s="7" t="s">
        <v>8991</v>
      </c>
      <c r="D2972" s="7" t="s">
        <v>7547</v>
      </c>
      <c r="E2972" s="7" t="s">
        <v>12627</v>
      </c>
      <c r="F2972" s="8" t="s">
        <v>9593</v>
      </c>
      <c r="G2972" s="7">
        <v>12</v>
      </c>
      <c r="H2972" s="7" t="s">
        <v>9213</v>
      </c>
      <c r="I2972" s="7">
        <v>1</v>
      </c>
      <c r="J2972" s="7" t="s">
        <v>7864</v>
      </c>
      <c r="K2972" s="9" t="s">
        <v>8987</v>
      </c>
    </row>
    <row r="2973" spans="1:11">
      <c r="A2973" s="7">
        <v>2971</v>
      </c>
      <c r="B2973" s="7" t="s">
        <v>9174</v>
      </c>
      <c r="C2973" s="7" t="s">
        <v>8991</v>
      </c>
      <c r="D2973" s="7" t="s">
        <v>7547</v>
      </c>
      <c r="E2973" s="7" t="s">
        <v>12628</v>
      </c>
      <c r="F2973" s="8" t="s">
        <v>9593</v>
      </c>
      <c r="G2973" s="7">
        <v>6</v>
      </c>
      <c r="H2973" s="7" t="s">
        <v>9218</v>
      </c>
      <c r="I2973" s="7">
        <v>1</v>
      </c>
      <c r="J2973" s="7" t="s">
        <v>7623</v>
      </c>
      <c r="K2973" s="9" t="s">
        <v>8987</v>
      </c>
    </row>
    <row r="2974" spans="1:11">
      <c r="A2974" s="7">
        <v>2972</v>
      </c>
      <c r="B2974" s="7" t="s">
        <v>9174</v>
      </c>
      <c r="C2974" s="7" t="s">
        <v>8991</v>
      </c>
      <c r="D2974" s="7" t="s">
        <v>7547</v>
      </c>
      <c r="E2974" s="7" t="s">
        <v>12629</v>
      </c>
      <c r="F2974" s="8" t="s">
        <v>9593</v>
      </c>
      <c r="G2974" s="7">
        <v>12</v>
      </c>
      <c r="H2974" s="7" t="s">
        <v>9213</v>
      </c>
      <c r="I2974" s="7">
        <v>1</v>
      </c>
      <c r="J2974" s="7" t="s">
        <v>7864</v>
      </c>
      <c r="K2974" s="9" t="s">
        <v>8987</v>
      </c>
    </row>
    <row r="2975" spans="1:11">
      <c r="A2975" s="7">
        <v>2973</v>
      </c>
      <c r="B2975" s="7" t="s">
        <v>9174</v>
      </c>
      <c r="C2975" s="7" t="s">
        <v>8991</v>
      </c>
      <c r="D2975" s="7" t="s">
        <v>7547</v>
      </c>
      <c r="E2975" s="7" t="s">
        <v>12630</v>
      </c>
      <c r="F2975" s="8" t="s">
        <v>9593</v>
      </c>
      <c r="G2975" s="7">
        <v>24</v>
      </c>
      <c r="H2975" s="7" t="s">
        <v>9418</v>
      </c>
      <c r="I2975" s="7">
        <v>1</v>
      </c>
      <c r="J2975" s="7" t="s">
        <v>7871</v>
      </c>
      <c r="K2975" s="9" t="s">
        <v>8987</v>
      </c>
    </row>
    <row r="2976" spans="1:11">
      <c r="A2976" s="7">
        <v>2974</v>
      </c>
      <c r="B2976" s="7" t="s">
        <v>9174</v>
      </c>
      <c r="C2976" s="7" t="s">
        <v>8991</v>
      </c>
      <c r="D2976" s="7" t="s">
        <v>7547</v>
      </c>
      <c r="E2976" s="7" t="s">
        <v>12631</v>
      </c>
      <c r="F2976" s="8" t="s">
        <v>9593</v>
      </c>
      <c r="G2976" s="7">
        <v>18</v>
      </c>
      <c r="H2976" s="7" t="s">
        <v>9422</v>
      </c>
      <c r="I2976" s="7">
        <v>1</v>
      </c>
      <c r="J2976" s="7" t="s">
        <v>7885</v>
      </c>
      <c r="K2976" s="9" t="s">
        <v>8987</v>
      </c>
    </row>
    <row r="2977" spans="1:11">
      <c r="A2977" s="7">
        <v>2975</v>
      </c>
      <c r="B2977" s="7" t="s">
        <v>9174</v>
      </c>
      <c r="C2977" s="7" t="s">
        <v>8991</v>
      </c>
      <c r="D2977" s="7" t="s">
        <v>7547</v>
      </c>
      <c r="E2977" s="7" t="s">
        <v>12632</v>
      </c>
      <c r="F2977" s="8" t="s">
        <v>9593</v>
      </c>
      <c r="G2977" s="7">
        <v>47</v>
      </c>
      <c r="H2977" s="7" t="s">
        <v>11393</v>
      </c>
      <c r="I2977" s="7">
        <v>1</v>
      </c>
      <c r="J2977" s="7" t="s">
        <v>11394</v>
      </c>
      <c r="K2977" s="9" t="s">
        <v>8987</v>
      </c>
    </row>
    <row r="2978" spans="1:11">
      <c r="A2978" s="7">
        <v>2976</v>
      </c>
      <c r="B2978" s="7" t="s">
        <v>9174</v>
      </c>
      <c r="C2978" s="7" t="s">
        <v>9386</v>
      </c>
      <c r="D2978" s="7" t="s">
        <v>7547</v>
      </c>
      <c r="E2978" s="7" t="s">
        <v>12633</v>
      </c>
      <c r="F2978" s="8" t="s">
        <v>9593</v>
      </c>
      <c r="G2978" s="7">
        <v>12</v>
      </c>
      <c r="H2978" s="7" t="s">
        <v>9213</v>
      </c>
      <c r="I2978" s="7">
        <v>1</v>
      </c>
      <c r="J2978" s="7" t="s">
        <v>7864</v>
      </c>
      <c r="K2978" s="9" t="s">
        <v>8987</v>
      </c>
    </row>
    <row r="2979" spans="1:11">
      <c r="A2979" s="7">
        <v>2977</v>
      </c>
      <c r="B2979" s="7" t="s">
        <v>9174</v>
      </c>
      <c r="C2979" s="7" t="s">
        <v>8991</v>
      </c>
      <c r="D2979" s="7" t="s">
        <v>7547</v>
      </c>
      <c r="E2979" s="7" t="s">
        <v>12634</v>
      </c>
      <c r="F2979" s="8" t="s">
        <v>9272</v>
      </c>
      <c r="G2979" s="7">
        <v>60</v>
      </c>
      <c r="H2979" s="7" t="s">
        <v>9289</v>
      </c>
      <c r="I2979" s="7">
        <v>1</v>
      </c>
      <c r="J2979" s="7" t="s">
        <v>7870</v>
      </c>
      <c r="K2979" s="9" t="s">
        <v>8987</v>
      </c>
    </row>
    <row r="2980" spans="1:11">
      <c r="A2980" s="7">
        <v>2978</v>
      </c>
      <c r="B2980" s="7" t="s">
        <v>9174</v>
      </c>
      <c r="C2980" s="7" t="s">
        <v>8991</v>
      </c>
      <c r="D2980" s="7" t="s">
        <v>7547</v>
      </c>
      <c r="E2980" s="7" t="s">
        <v>12635</v>
      </c>
      <c r="F2980" s="8" t="s">
        <v>9272</v>
      </c>
      <c r="G2980" s="7">
        <v>30</v>
      </c>
      <c r="H2980" s="7" t="s">
        <v>9015</v>
      </c>
      <c r="I2980" s="7">
        <v>1</v>
      </c>
      <c r="J2980" s="7" t="s">
        <v>7855</v>
      </c>
      <c r="K2980" s="9" t="s">
        <v>8987</v>
      </c>
    </row>
    <row r="2981" spans="1:11">
      <c r="A2981" s="7">
        <v>2979</v>
      </c>
      <c r="B2981" s="7" t="s">
        <v>9174</v>
      </c>
      <c r="C2981" s="7" t="s">
        <v>8991</v>
      </c>
      <c r="D2981" s="7" t="s">
        <v>7547</v>
      </c>
      <c r="E2981" s="7" t="s">
        <v>12636</v>
      </c>
      <c r="F2981" s="8" t="s">
        <v>9272</v>
      </c>
      <c r="G2981" s="7">
        <v>60</v>
      </c>
      <c r="H2981" s="7" t="s">
        <v>9289</v>
      </c>
      <c r="I2981" s="7">
        <v>1</v>
      </c>
      <c r="J2981" s="7" t="s">
        <v>7870</v>
      </c>
      <c r="K2981" s="9" t="s">
        <v>8987</v>
      </c>
    </row>
    <row r="2982" spans="1:11">
      <c r="A2982" s="7">
        <v>2980</v>
      </c>
      <c r="B2982" s="7" t="s">
        <v>9174</v>
      </c>
      <c r="C2982" s="7" t="s">
        <v>8991</v>
      </c>
      <c r="D2982" s="7" t="s">
        <v>7547</v>
      </c>
      <c r="E2982" s="7" t="s">
        <v>12637</v>
      </c>
      <c r="F2982" s="8" t="s">
        <v>9272</v>
      </c>
      <c r="G2982" s="7">
        <v>120</v>
      </c>
      <c r="H2982" s="7" t="s">
        <v>9036</v>
      </c>
      <c r="I2982" s="7">
        <v>1</v>
      </c>
      <c r="J2982" s="7" t="s">
        <v>11076</v>
      </c>
      <c r="K2982" s="9" t="s">
        <v>8987</v>
      </c>
    </row>
    <row r="2983" spans="1:11">
      <c r="A2983" s="7">
        <v>2981</v>
      </c>
      <c r="B2983" s="7" t="s">
        <v>9174</v>
      </c>
      <c r="C2983" s="7" t="s">
        <v>8991</v>
      </c>
      <c r="D2983" s="7" t="s">
        <v>7547</v>
      </c>
      <c r="E2983" s="7" t="s">
        <v>12638</v>
      </c>
      <c r="F2983" s="8" t="s">
        <v>9272</v>
      </c>
      <c r="G2983" s="7">
        <v>90</v>
      </c>
      <c r="H2983" s="7" t="s">
        <v>9642</v>
      </c>
      <c r="I2983" s="7">
        <v>1</v>
      </c>
      <c r="J2983" s="7" t="s">
        <v>7869</v>
      </c>
      <c r="K2983" s="9" t="s">
        <v>8987</v>
      </c>
    </row>
    <row r="2984" spans="1:11">
      <c r="A2984" s="7">
        <v>2982</v>
      </c>
      <c r="B2984" s="7" t="s">
        <v>9174</v>
      </c>
      <c r="C2984" s="7" t="s">
        <v>8991</v>
      </c>
      <c r="D2984" s="7" t="s">
        <v>7547</v>
      </c>
      <c r="E2984" s="7" t="s">
        <v>12639</v>
      </c>
      <c r="F2984" s="8" t="s">
        <v>9272</v>
      </c>
      <c r="G2984" s="7">
        <v>150</v>
      </c>
      <c r="H2984" s="7" t="s">
        <v>9253</v>
      </c>
      <c r="I2984" s="7">
        <v>1</v>
      </c>
      <c r="J2984" s="7" t="s">
        <v>7846</v>
      </c>
      <c r="K2984" s="9" t="s">
        <v>8987</v>
      </c>
    </row>
    <row r="2985" spans="1:11">
      <c r="A2985" s="7">
        <v>2983</v>
      </c>
      <c r="B2985" s="7" t="s">
        <v>9174</v>
      </c>
      <c r="C2985" s="7" t="s">
        <v>9386</v>
      </c>
      <c r="D2985" s="7" t="s">
        <v>7547</v>
      </c>
      <c r="E2985" s="7" t="s">
        <v>12640</v>
      </c>
      <c r="F2985" s="8" t="s">
        <v>9272</v>
      </c>
      <c r="G2985" s="7">
        <v>120</v>
      </c>
      <c r="H2985" s="7" t="s">
        <v>9036</v>
      </c>
      <c r="I2985" s="7">
        <v>1</v>
      </c>
      <c r="J2985" s="7" t="s">
        <v>11076</v>
      </c>
      <c r="K2985" s="9" t="s">
        <v>8987</v>
      </c>
    </row>
    <row r="2986" spans="1:11">
      <c r="A2986" s="7">
        <v>2984</v>
      </c>
      <c r="B2986" s="7" t="s">
        <v>9174</v>
      </c>
      <c r="C2986" s="7" t="s">
        <v>8991</v>
      </c>
      <c r="D2986" s="7" t="s">
        <v>7547</v>
      </c>
      <c r="E2986" s="7" t="s">
        <v>12641</v>
      </c>
      <c r="F2986" s="8" t="s">
        <v>9275</v>
      </c>
      <c r="G2986" s="7">
        <v>60</v>
      </c>
      <c r="H2986" s="7" t="s">
        <v>9289</v>
      </c>
      <c r="I2986" s="7">
        <v>1</v>
      </c>
      <c r="J2986" s="7" t="s">
        <v>7870</v>
      </c>
      <c r="K2986" s="9" t="s">
        <v>8987</v>
      </c>
    </row>
    <row r="2987" spans="1:11">
      <c r="A2987" s="7">
        <v>2985</v>
      </c>
      <c r="B2987" s="7" t="s">
        <v>9174</v>
      </c>
      <c r="C2987" s="7" t="s">
        <v>8991</v>
      </c>
      <c r="D2987" s="7" t="s">
        <v>7547</v>
      </c>
      <c r="E2987" s="7" t="s">
        <v>12642</v>
      </c>
      <c r="F2987" s="8" t="s">
        <v>9275</v>
      </c>
      <c r="G2987" s="7">
        <v>30</v>
      </c>
      <c r="H2987" s="7" t="s">
        <v>9015</v>
      </c>
      <c r="I2987" s="7">
        <v>1</v>
      </c>
      <c r="J2987" s="7" t="s">
        <v>7855</v>
      </c>
      <c r="K2987" s="9" t="s">
        <v>8987</v>
      </c>
    </row>
    <row r="2988" spans="1:11">
      <c r="A2988" s="7">
        <v>2986</v>
      </c>
      <c r="B2988" s="7" t="s">
        <v>9174</v>
      </c>
      <c r="C2988" s="7" t="s">
        <v>8991</v>
      </c>
      <c r="D2988" s="7" t="s">
        <v>7547</v>
      </c>
      <c r="E2988" s="7" t="s">
        <v>12643</v>
      </c>
      <c r="F2988" s="8" t="s">
        <v>9275</v>
      </c>
      <c r="G2988" s="7">
        <v>60</v>
      </c>
      <c r="H2988" s="7" t="s">
        <v>9289</v>
      </c>
      <c r="I2988" s="7">
        <v>1</v>
      </c>
      <c r="J2988" s="7" t="s">
        <v>7870</v>
      </c>
      <c r="K2988" s="9" t="s">
        <v>8987</v>
      </c>
    </row>
    <row r="2989" spans="1:11">
      <c r="A2989" s="7">
        <v>2987</v>
      </c>
      <c r="B2989" s="7" t="s">
        <v>9174</v>
      </c>
      <c r="C2989" s="7" t="s">
        <v>8991</v>
      </c>
      <c r="D2989" s="7" t="s">
        <v>7547</v>
      </c>
      <c r="E2989" s="7" t="s">
        <v>12644</v>
      </c>
      <c r="F2989" s="8" t="s">
        <v>9275</v>
      </c>
      <c r="G2989" s="7">
        <v>120</v>
      </c>
      <c r="H2989" s="7" t="s">
        <v>9036</v>
      </c>
      <c r="I2989" s="7">
        <v>1</v>
      </c>
      <c r="J2989" s="7" t="s">
        <v>11076</v>
      </c>
      <c r="K2989" s="9" t="s">
        <v>8987</v>
      </c>
    </row>
    <row r="2990" spans="1:11">
      <c r="A2990" s="7">
        <v>2988</v>
      </c>
      <c r="B2990" s="7" t="s">
        <v>9174</v>
      </c>
      <c r="C2990" s="7" t="s">
        <v>8991</v>
      </c>
      <c r="D2990" s="7" t="s">
        <v>7547</v>
      </c>
      <c r="E2990" s="7" t="s">
        <v>12645</v>
      </c>
      <c r="F2990" s="8" t="s">
        <v>9275</v>
      </c>
      <c r="G2990" s="7">
        <v>90</v>
      </c>
      <c r="H2990" s="7" t="s">
        <v>9642</v>
      </c>
      <c r="I2990" s="7">
        <v>1</v>
      </c>
      <c r="J2990" s="7" t="s">
        <v>7869</v>
      </c>
      <c r="K2990" s="9" t="s">
        <v>8987</v>
      </c>
    </row>
    <row r="2991" spans="1:11">
      <c r="A2991" s="7">
        <v>2989</v>
      </c>
      <c r="B2991" s="7" t="s">
        <v>9174</v>
      </c>
      <c r="C2991" s="7" t="s">
        <v>8991</v>
      </c>
      <c r="D2991" s="7" t="s">
        <v>7547</v>
      </c>
      <c r="E2991" s="7" t="s">
        <v>12646</v>
      </c>
      <c r="F2991" s="8" t="s">
        <v>9275</v>
      </c>
      <c r="G2991" s="7">
        <v>150</v>
      </c>
      <c r="H2991" s="7" t="s">
        <v>9253</v>
      </c>
      <c r="I2991" s="7">
        <v>1</v>
      </c>
      <c r="J2991" s="7" t="s">
        <v>7846</v>
      </c>
      <c r="K2991" s="9" t="s">
        <v>8987</v>
      </c>
    </row>
    <row r="2992" spans="1:11">
      <c r="A2992" s="7">
        <v>2990</v>
      </c>
      <c r="B2992" s="7" t="s">
        <v>9174</v>
      </c>
      <c r="C2992" s="7" t="s">
        <v>9386</v>
      </c>
      <c r="D2992" s="7" t="s">
        <v>7547</v>
      </c>
      <c r="E2992" s="7" t="s">
        <v>3938</v>
      </c>
      <c r="F2992" s="8" t="s">
        <v>9275</v>
      </c>
      <c r="G2992" s="7">
        <v>120</v>
      </c>
      <c r="H2992" s="7" t="s">
        <v>9036</v>
      </c>
      <c r="I2992" s="7">
        <v>1</v>
      </c>
      <c r="J2992" s="7" t="s">
        <v>11076</v>
      </c>
      <c r="K2992" s="9" t="s">
        <v>8987</v>
      </c>
    </row>
    <row r="2993" spans="1:11">
      <c r="A2993" s="7">
        <v>2991</v>
      </c>
      <c r="B2993" s="7" t="s">
        <v>9174</v>
      </c>
      <c r="C2993" s="7" t="s">
        <v>9030</v>
      </c>
      <c r="D2993" s="7" t="s">
        <v>7547</v>
      </c>
      <c r="E2993" s="7" t="s">
        <v>12647</v>
      </c>
      <c r="F2993" s="8" t="s">
        <v>11022</v>
      </c>
      <c r="G2993" s="7">
        <v>60</v>
      </c>
      <c r="H2993" s="7" t="s">
        <v>9289</v>
      </c>
      <c r="I2993" s="7">
        <v>1</v>
      </c>
      <c r="J2993" s="7" t="s">
        <v>7870</v>
      </c>
      <c r="K2993" s="9" t="s">
        <v>8987</v>
      </c>
    </row>
    <row r="2994" spans="1:11">
      <c r="A2994" s="7">
        <v>2992</v>
      </c>
      <c r="B2994" s="7" t="s">
        <v>9174</v>
      </c>
      <c r="C2994" s="7" t="s">
        <v>9030</v>
      </c>
      <c r="D2994" s="7" t="s">
        <v>7547</v>
      </c>
      <c r="E2994" s="7" t="s">
        <v>12648</v>
      </c>
      <c r="F2994" s="8" t="s">
        <v>11022</v>
      </c>
      <c r="G2994" s="7">
        <v>30</v>
      </c>
      <c r="H2994" s="7" t="s">
        <v>9015</v>
      </c>
      <c r="I2994" s="7">
        <v>1</v>
      </c>
      <c r="J2994" s="7" t="s">
        <v>7855</v>
      </c>
      <c r="K2994" s="9" t="s">
        <v>8987</v>
      </c>
    </row>
    <row r="2995" spans="1:11">
      <c r="A2995" s="7">
        <v>2993</v>
      </c>
      <c r="B2995" s="7" t="s">
        <v>9174</v>
      </c>
      <c r="C2995" s="7" t="s">
        <v>9030</v>
      </c>
      <c r="D2995" s="7" t="s">
        <v>7547</v>
      </c>
      <c r="E2995" s="7" t="s">
        <v>12649</v>
      </c>
      <c r="F2995" s="8" t="s">
        <v>11022</v>
      </c>
      <c r="G2995" s="7">
        <v>60</v>
      </c>
      <c r="H2995" s="7" t="s">
        <v>9289</v>
      </c>
      <c r="I2995" s="7">
        <v>1</v>
      </c>
      <c r="J2995" s="7" t="s">
        <v>7870</v>
      </c>
      <c r="K2995" s="9" t="s">
        <v>8987</v>
      </c>
    </row>
    <row r="2996" spans="1:11">
      <c r="A2996" s="7">
        <v>2994</v>
      </c>
      <c r="B2996" s="7" t="s">
        <v>9174</v>
      </c>
      <c r="C2996" s="7" t="s">
        <v>9030</v>
      </c>
      <c r="D2996" s="7" t="s">
        <v>7547</v>
      </c>
      <c r="E2996" s="7" t="s">
        <v>12650</v>
      </c>
      <c r="F2996" s="8" t="s">
        <v>11022</v>
      </c>
      <c r="G2996" s="7">
        <v>120</v>
      </c>
      <c r="H2996" s="7" t="s">
        <v>9036</v>
      </c>
      <c r="I2996" s="7">
        <v>1</v>
      </c>
      <c r="J2996" s="7" t="s">
        <v>11076</v>
      </c>
      <c r="K2996" s="9" t="s">
        <v>8987</v>
      </c>
    </row>
    <row r="2997" spans="1:11">
      <c r="A2997" s="7">
        <v>2995</v>
      </c>
      <c r="B2997" s="7" t="s">
        <v>9174</v>
      </c>
      <c r="C2997" s="7" t="s">
        <v>9030</v>
      </c>
      <c r="D2997" s="7" t="s">
        <v>7547</v>
      </c>
      <c r="E2997" s="7" t="s">
        <v>12651</v>
      </c>
      <c r="F2997" s="8" t="s">
        <v>11022</v>
      </c>
      <c r="G2997" s="7">
        <v>90</v>
      </c>
      <c r="H2997" s="7" t="s">
        <v>9642</v>
      </c>
      <c r="I2997" s="7">
        <v>1</v>
      </c>
      <c r="J2997" s="7" t="s">
        <v>7869</v>
      </c>
      <c r="K2997" s="9" t="s">
        <v>8987</v>
      </c>
    </row>
    <row r="2998" spans="1:11">
      <c r="A2998" s="7">
        <v>2996</v>
      </c>
      <c r="B2998" s="7" t="s">
        <v>9174</v>
      </c>
      <c r="C2998" s="7" t="s">
        <v>9030</v>
      </c>
      <c r="D2998" s="7" t="s">
        <v>7547</v>
      </c>
      <c r="E2998" s="7" t="s">
        <v>12652</v>
      </c>
      <c r="F2998" s="8" t="s">
        <v>11022</v>
      </c>
      <c r="G2998" s="7">
        <v>150</v>
      </c>
      <c r="H2998" s="7" t="s">
        <v>9253</v>
      </c>
      <c r="I2998" s="7">
        <v>1</v>
      </c>
      <c r="J2998" s="7" t="s">
        <v>7846</v>
      </c>
      <c r="K2998" s="9" t="s">
        <v>8987</v>
      </c>
    </row>
    <row r="2999" spans="1:11">
      <c r="A2999" s="7">
        <v>2997</v>
      </c>
      <c r="B2999" s="7" t="s">
        <v>9174</v>
      </c>
      <c r="C2999" s="7" t="s">
        <v>9386</v>
      </c>
      <c r="D2999" s="7" t="s">
        <v>7547</v>
      </c>
      <c r="E2999" s="7" t="s">
        <v>12653</v>
      </c>
      <c r="F2999" s="8" t="s">
        <v>11022</v>
      </c>
      <c r="G2999" s="7">
        <v>120</v>
      </c>
      <c r="H2999" s="7" t="s">
        <v>9036</v>
      </c>
      <c r="I2999" s="7">
        <v>1</v>
      </c>
      <c r="J2999" s="7" t="s">
        <v>11076</v>
      </c>
      <c r="K2999" s="9" t="s">
        <v>8987</v>
      </c>
    </row>
    <row r="3000" spans="1:11">
      <c r="A3000" s="7">
        <v>2998</v>
      </c>
      <c r="B3000" s="7" t="s">
        <v>9174</v>
      </c>
      <c r="C3000" s="7" t="s">
        <v>8991</v>
      </c>
      <c r="D3000" s="7" t="s">
        <v>7547</v>
      </c>
      <c r="E3000" s="7" t="s">
        <v>12654</v>
      </c>
      <c r="F3000" s="8" t="s">
        <v>9279</v>
      </c>
      <c r="G3000" s="7">
        <v>12</v>
      </c>
      <c r="H3000" s="7" t="s">
        <v>9213</v>
      </c>
      <c r="I3000" s="7">
        <v>1</v>
      </c>
      <c r="J3000" s="7" t="s">
        <v>7864</v>
      </c>
      <c r="K3000" s="9" t="s">
        <v>8987</v>
      </c>
    </row>
    <row r="3001" spans="1:11">
      <c r="A3001" s="7">
        <v>2999</v>
      </c>
      <c r="B3001" s="7" t="s">
        <v>9174</v>
      </c>
      <c r="C3001" s="7" t="s">
        <v>8991</v>
      </c>
      <c r="D3001" s="7" t="s">
        <v>7547</v>
      </c>
      <c r="E3001" s="7" t="s">
        <v>12655</v>
      </c>
      <c r="F3001" s="8" t="s">
        <v>9279</v>
      </c>
      <c r="G3001" s="7">
        <v>6</v>
      </c>
      <c r="H3001" s="7" t="s">
        <v>9218</v>
      </c>
      <c r="I3001" s="7">
        <v>1</v>
      </c>
      <c r="J3001" s="7" t="s">
        <v>7623</v>
      </c>
      <c r="K3001" s="9" t="s">
        <v>8987</v>
      </c>
    </row>
    <row r="3002" spans="1:11">
      <c r="A3002" s="7">
        <v>3000</v>
      </c>
      <c r="B3002" s="7" t="s">
        <v>9174</v>
      </c>
      <c r="C3002" s="7" t="s">
        <v>8991</v>
      </c>
      <c r="D3002" s="7" t="s">
        <v>7547</v>
      </c>
      <c r="E3002" s="7" t="s">
        <v>12656</v>
      </c>
      <c r="F3002" s="8" t="s">
        <v>9279</v>
      </c>
      <c r="G3002" s="7">
        <v>12</v>
      </c>
      <c r="H3002" s="7" t="s">
        <v>9213</v>
      </c>
      <c r="I3002" s="7">
        <v>1</v>
      </c>
      <c r="J3002" s="7" t="s">
        <v>7864</v>
      </c>
      <c r="K3002" s="9" t="s">
        <v>8987</v>
      </c>
    </row>
    <row r="3003" spans="1:11">
      <c r="A3003" s="7">
        <v>3001</v>
      </c>
      <c r="B3003" s="7" t="s">
        <v>9174</v>
      </c>
      <c r="C3003" s="7" t="s">
        <v>8991</v>
      </c>
      <c r="D3003" s="7" t="s">
        <v>7547</v>
      </c>
      <c r="E3003" s="7" t="s">
        <v>12657</v>
      </c>
      <c r="F3003" s="8" t="s">
        <v>9279</v>
      </c>
      <c r="G3003" s="7">
        <v>24</v>
      </c>
      <c r="H3003" s="7" t="s">
        <v>9418</v>
      </c>
      <c r="I3003" s="7">
        <v>1</v>
      </c>
      <c r="J3003" s="7" t="s">
        <v>7871</v>
      </c>
      <c r="K3003" s="9" t="s">
        <v>8987</v>
      </c>
    </row>
    <row r="3004" spans="1:11">
      <c r="A3004" s="7">
        <v>3002</v>
      </c>
      <c r="B3004" s="7" t="s">
        <v>9174</v>
      </c>
      <c r="C3004" s="7" t="s">
        <v>8991</v>
      </c>
      <c r="D3004" s="7" t="s">
        <v>7547</v>
      </c>
      <c r="E3004" s="7" t="s">
        <v>12658</v>
      </c>
      <c r="F3004" s="8" t="s">
        <v>9279</v>
      </c>
      <c r="G3004" s="7">
        <v>18</v>
      </c>
      <c r="H3004" s="7" t="s">
        <v>9422</v>
      </c>
      <c r="I3004" s="7">
        <v>1</v>
      </c>
      <c r="J3004" s="7" t="s">
        <v>7885</v>
      </c>
      <c r="K3004" s="9" t="s">
        <v>8987</v>
      </c>
    </row>
    <row r="3005" spans="1:11">
      <c r="A3005" s="7">
        <v>3003</v>
      </c>
      <c r="B3005" s="7" t="s">
        <v>9174</v>
      </c>
      <c r="C3005" s="7" t="s">
        <v>8991</v>
      </c>
      <c r="D3005" s="7" t="s">
        <v>7547</v>
      </c>
      <c r="E3005" s="7" t="s">
        <v>12659</v>
      </c>
      <c r="F3005" s="8" t="s">
        <v>9279</v>
      </c>
      <c r="G3005" s="7">
        <v>24</v>
      </c>
      <c r="H3005" s="7" t="s">
        <v>9418</v>
      </c>
      <c r="I3005" s="7">
        <v>1</v>
      </c>
      <c r="J3005" s="7" t="s">
        <v>7871</v>
      </c>
      <c r="K3005" s="9" t="s">
        <v>8987</v>
      </c>
    </row>
    <row r="3006" spans="1:11">
      <c r="A3006" s="7">
        <v>3004</v>
      </c>
      <c r="B3006" s="7" t="s">
        <v>9174</v>
      </c>
      <c r="C3006" s="7" t="s">
        <v>9386</v>
      </c>
      <c r="D3006" s="7" t="s">
        <v>7547</v>
      </c>
      <c r="E3006" s="7" t="s">
        <v>12660</v>
      </c>
      <c r="F3006" s="8" t="s">
        <v>9279</v>
      </c>
      <c r="G3006" s="7">
        <v>12</v>
      </c>
      <c r="H3006" s="7" t="s">
        <v>9213</v>
      </c>
      <c r="I3006" s="7">
        <v>1</v>
      </c>
      <c r="J3006" s="7" t="s">
        <v>7864</v>
      </c>
      <c r="K3006" s="9" t="s">
        <v>8987</v>
      </c>
    </row>
    <row r="3007" spans="1:11">
      <c r="A3007" s="7">
        <v>3005</v>
      </c>
      <c r="B3007" s="7" t="s">
        <v>9174</v>
      </c>
      <c r="C3007" s="7" t="s">
        <v>8991</v>
      </c>
      <c r="D3007" s="7" t="s">
        <v>7581</v>
      </c>
      <c r="E3007" s="7" t="s">
        <v>12661</v>
      </c>
      <c r="F3007" s="8" t="s">
        <v>9453</v>
      </c>
      <c r="G3007" s="7">
        <v>15</v>
      </c>
      <c r="H3007" s="7" t="s">
        <v>9053</v>
      </c>
      <c r="I3007" s="7">
        <v>1</v>
      </c>
      <c r="J3007" s="7" t="s">
        <v>7862</v>
      </c>
      <c r="K3007" s="9" t="s">
        <v>8987</v>
      </c>
    </row>
    <row r="3008" spans="1:11">
      <c r="A3008" s="7">
        <v>3006</v>
      </c>
      <c r="B3008" s="7" t="s">
        <v>9174</v>
      </c>
      <c r="C3008" s="7" t="s">
        <v>8991</v>
      </c>
      <c r="D3008" s="7" t="s">
        <v>7581</v>
      </c>
      <c r="E3008" s="7" t="s">
        <v>12662</v>
      </c>
      <c r="F3008" s="8" t="s">
        <v>9453</v>
      </c>
      <c r="G3008" s="7">
        <v>30</v>
      </c>
      <c r="H3008" s="7" t="s">
        <v>9015</v>
      </c>
      <c r="I3008" s="7">
        <v>1</v>
      </c>
      <c r="J3008" s="7" t="s">
        <v>7855</v>
      </c>
      <c r="K3008" s="9" t="s">
        <v>8987</v>
      </c>
    </row>
    <row r="3009" spans="1:11">
      <c r="A3009" s="7">
        <v>3007</v>
      </c>
      <c r="B3009" s="7" t="s">
        <v>9174</v>
      </c>
      <c r="C3009" s="7" t="s">
        <v>8991</v>
      </c>
      <c r="D3009" s="7" t="s">
        <v>7581</v>
      </c>
      <c r="E3009" s="7" t="s">
        <v>12663</v>
      </c>
      <c r="F3009" s="8" t="s">
        <v>9453</v>
      </c>
      <c r="G3009" s="7">
        <v>45</v>
      </c>
      <c r="H3009" s="7" t="s">
        <v>9750</v>
      </c>
      <c r="I3009" s="7">
        <v>1</v>
      </c>
      <c r="J3009" s="7" t="s">
        <v>7880</v>
      </c>
      <c r="K3009" s="9" t="s">
        <v>8987</v>
      </c>
    </row>
    <row r="3010" spans="1:11">
      <c r="A3010" s="7">
        <v>3008</v>
      </c>
      <c r="B3010" s="7" t="s">
        <v>9174</v>
      </c>
      <c r="C3010" s="7" t="s">
        <v>8991</v>
      </c>
      <c r="D3010" s="7" t="s">
        <v>7581</v>
      </c>
      <c r="E3010" s="7" t="s">
        <v>12664</v>
      </c>
      <c r="F3010" s="8" t="s">
        <v>9453</v>
      </c>
      <c r="G3010" s="7">
        <v>30</v>
      </c>
      <c r="H3010" s="7" t="s">
        <v>9015</v>
      </c>
      <c r="I3010" s="7">
        <v>1</v>
      </c>
      <c r="J3010" s="7" t="s">
        <v>7855</v>
      </c>
      <c r="K3010" s="9" t="s">
        <v>8987</v>
      </c>
    </row>
    <row r="3011" spans="1:11">
      <c r="A3011" s="7">
        <v>3009</v>
      </c>
      <c r="B3011" s="7" t="s">
        <v>9174</v>
      </c>
      <c r="C3011" s="7" t="s">
        <v>8991</v>
      </c>
      <c r="D3011" s="7" t="s">
        <v>7581</v>
      </c>
      <c r="E3011" s="7" t="s">
        <v>12665</v>
      </c>
      <c r="F3011" s="8" t="s">
        <v>9453</v>
      </c>
      <c r="G3011" s="7">
        <v>30</v>
      </c>
      <c r="H3011" s="7" t="s">
        <v>9015</v>
      </c>
      <c r="I3011" s="7">
        <v>1</v>
      </c>
      <c r="J3011" s="7" t="s">
        <v>7855</v>
      </c>
      <c r="K3011" s="9" t="s">
        <v>8987</v>
      </c>
    </row>
    <row r="3012" spans="1:11">
      <c r="A3012" s="7">
        <v>3010</v>
      </c>
      <c r="B3012" s="7" t="s">
        <v>9174</v>
      </c>
      <c r="C3012" s="7" t="s">
        <v>9386</v>
      </c>
      <c r="D3012" s="7" t="s">
        <v>7581</v>
      </c>
      <c r="E3012" s="7" t="s">
        <v>12666</v>
      </c>
      <c r="F3012" s="8" t="s">
        <v>9453</v>
      </c>
      <c r="G3012" s="7">
        <v>15</v>
      </c>
      <c r="H3012" s="7" t="s">
        <v>9053</v>
      </c>
      <c r="I3012" s="7">
        <v>1</v>
      </c>
      <c r="J3012" s="7" t="s">
        <v>7862</v>
      </c>
      <c r="K3012" s="9" t="s">
        <v>8987</v>
      </c>
    </row>
    <row r="3013" spans="1:11">
      <c r="A3013" s="7">
        <v>3011</v>
      </c>
      <c r="B3013" s="7" t="s">
        <v>9174</v>
      </c>
      <c r="C3013" s="7" t="s">
        <v>8991</v>
      </c>
      <c r="D3013" s="7" t="s">
        <v>7555</v>
      </c>
      <c r="E3013" s="7" t="s">
        <v>12667</v>
      </c>
      <c r="F3013" s="8" t="s">
        <v>9244</v>
      </c>
      <c r="G3013" s="7">
        <v>50</v>
      </c>
      <c r="H3013" s="7" t="s">
        <v>9021</v>
      </c>
      <c r="I3013" s="7">
        <v>1</v>
      </c>
      <c r="J3013" s="7" t="s">
        <v>7881</v>
      </c>
      <c r="K3013" s="9" t="s">
        <v>8987</v>
      </c>
    </row>
    <row r="3014" spans="1:11">
      <c r="A3014" s="7">
        <v>3012</v>
      </c>
      <c r="B3014" s="7" t="s">
        <v>9174</v>
      </c>
      <c r="C3014" s="7" t="s">
        <v>8991</v>
      </c>
      <c r="D3014" s="7" t="s">
        <v>7555</v>
      </c>
      <c r="E3014" s="7" t="s">
        <v>12668</v>
      </c>
      <c r="F3014" s="8" t="s">
        <v>9244</v>
      </c>
      <c r="G3014" s="7">
        <v>26</v>
      </c>
      <c r="H3014" s="7" t="s">
        <v>9136</v>
      </c>
      <c r="I3014" s="7">
        <v>1</v>
      </c>
      <c r="J3014" s="7" t="s">
        <v>10966</v>
      </c>
      <c r="K3014" s="9" t="s">
        <v>8987</v>
      </c>
    </row>
    <row r="3015" spans="1:11">
      <c r="A3015" s="7">
        <v>3013</v>
      </c>
      <c r="B3015" s="7" t="s">
        <v>9174</v>
      </c>
      <c r="C3015" s="7" t="s">
        <v>8991</v>
      </c>
      <c r="D3015" s="7" t="s">
        <v>7555</v>
      </c>
      <c r="E3015" s="7" t="s">
        <v>12669</v>
      </c>
      <c r="F3015" s="8" t="s">
        <v>9246</v>
      </c>
      <c r="G3015" s="7">
        <v>50</v>
      </c>
      <c r="H3015" s="7" t="s">
        <v>9021</v>
      </c>
      <c r="I3015" s="7">
        <v>1</v>
      </c>
      <c r="J3015" s="7" t="s">
        <v>7881</v>
      </c>
      <c r="K3015" s="9" t="s">
        <v>8987</v>
      </c>
    </row>
    <row r="3016" spans="1:11">
      <c r="A3016" s="7">
        <v>3014</v>
      </c>
      <c r="B3016" s="7" t="s">
        <v>9174</v>
      </c>
      <c r="C3016" s="7" t="s">
        <v>8991</v>
      </c>
      <c r="D3016" s="7" t="s">
        <v>7555</v>
      </c>
      <c r="E3016" s="7" t="s">
        <v>12670</v>
      </c>
      <c r="F3016" s="8" t="s">
        <v>9246</v>
      </c>
      <c r="G3016" s="7">
        <v>26</v>
      </c>
      <c r="H3016" s="7" t="s">
        <v>9136</v>
      </c>
      <c r="I3016" s="7">
        <v>1</v>
      </c>
      <c r="J3016" s="7" t="s">
        <v>10966</v>
      </c>
      <c r="K3016" s="9" t="s">
        <v>8987</v>
      </c>
    </row>
    <row r="3017" spans="1:11">
      <c r="A3017" s="7">
        <v>3015</v>
      </c>
      <c r="B3017" s="7" t="s">
        <v>9174</v>
      </c>
      <c r="C3017" s="7" t="s">
        <v>8991</v>
      </c>
      <c r="D3017" s="7" t="s">
        <v>7555</v>
      </c>
      <c r="E3017" s="7" t="s">
        <v>12671</v>
      </c>
      <c r="F3017" s="8" t="s">
        <v>9249</v>
      </c>
      <c r="G3017" s="7">
        <v>50</v>
      </c>
      <c r="H3017" s="7" t="s">
        <v>9021</v>
      </c>
      <c r="I3017" s="7">
        <v>1</v>
      </c>
      <c r="J3017" s="7" t="s">
        <v>7881</v>
      </c>
      <c r="K3017" s="9" t="s">
        <v>8987</v>
      </c>
    </row>
    <row r="3018" spans="1:11">
      <c r="A3018" s="7">
        <v>3016</v>
      </c>
      <c r="B3018" s="7" t="s">
        <v>9174</v>
      </c>
      <c r="C3018" s="7" t="s">
        <v>8991</v>
      </c>
      <c r="D3018" s="7" t="s">
        <v>7555</v>
      </c>
      <c r="E3018" s="7" t="s">
        <v>12672</v>
      </c>
      <c r="F3018" s="8" t="s">
        <v>9249</v>
      </c>
      <c r="G3018" s="7">
        <v>26</v>
      </c>
      <c r="H3018" s="7" t="s">
        <v>9136</v>
      </c>
      <c r="I3018" s="7">
        <v>1</v>
      </c>
      <c r="J3018" s="7" t="s">
        <v>10966</v>
      </c>
      <c r="K3018" s="9" t="s">
        <v>8987</v>
      </c>
    </row>
    <row r="3019" spans="1:11">
      <c r="A3019" s="7">
        <v>3017</v>
      </c>
      <c r="B3019" s="7" t="s">
        <v>9174</v>
      </c>
      <c r="C3019" s="7" t="s">
        <v>8991</v>
      </c>
      <c r="D3019" s="7" t="s">
        <v>7555</v>
      </c>
      <c r="E3019" s="7" t="s">
        <v>12673</v>
      </c>
      <c r="F3019" s="8" t="s">
        <v>9251</v>
      </c>
      <c r="G3019" s="7">
        <v>50</v>
      </c>
      <c r="H3019" s="7" t="s">
        <v>9021</v>
      </c>
      <c r="I3019" s="7">
        <v>1</v>
      </c>
      <c r="J3019" s="7" t="s">
        <v>7881</v>
      </c>
      <c r="K3019" s="9" t="s">
        <v>8987</v>
      </c>
    </row>
    <row r="3020" spans="1:11">
      <c r="A3020" s="7">
        <v>3018</v>
      </c>
      <c r="B3020" s="7" t="s">
        <v>9174</v>
      </c>
      <c r="C3020" s="7" t="s">
        <v>8991</v>
      </c>
      <c r="D3020" s="7" t="s">
        <v>7555</v>
      </c>
      <c r="E3020" s="7" t="s">
        <v>12674</v>
      </c>
      <c r="F3020" s="8" t="s">
        <v>9251</v>
      </c>
      <c r="G3020" s="7">
        <v>26</v>
      </c>
      <c r="H3020" s="7" t="s">
        <v>9136</v>
      </c>
      <c r="I3020" s="7">
        <v>1</v>
      </c>
      <c r="J3020" s="7" t="s">
        <v>10966</v>
      </c>
      <c r="K3020" s="9" t="s">
        <v>8987</v>
      </c>
    </row>
    <row r="3021" spans="1:11">
      <c r="A3021" s="7">
        <v>3019</v>
      </c>
      <c r="B3021" s="7" t="s">
        <v>9174</v>
      </c>
      <c r="C3021" s="7" t="s">
        <v>8991</v>
      </c>
      <c r="D3021" s="7" t="s">
        <v>7555</v>
      </c>
      <c r="E3021" s="7" t="s">
        <v>12675</v>
      </c>
      <c r="F3021" s="8" t="s">
        <v>9325</v>
      </c>
      <c r="G3021" s="7">
        <v>120</v>
      </c>
      <c r="H3021" s="7" t="s">
        <v>9036</v>
      </c>
      <c r="I3021" s="7">
        <v>1</v>
      </c>
      <c r="J3021" s="7" t="s">
        <v>11076</v>
      </c>
      <c r="K3021" s="9" t="s">
        <v>8987</v>
      </c>
    </row>
    <row r="3022" spans="1:11">
      <c r="A3022" s="7">
        <v>3020</v>
      </c>
      <c r="B3022" s="7" t="s">
        <v>9174</v>
      </c>
      <c r="C3022" s="7" t="s">
        <v>8991</v>
      </c>
      <c r="D3022" s="7" t="s">
        <v>7555</v>
      </c>
      <c r="E3022" s="7" t="s">
        <v>12676</v>
      </c>
      <c r="F3022" s="8" t="s">
        <v>9325</v>
      </c>
      <c r="G3022" s="7">
        <v>75</v>
      </c>
      <c r="H3022" s="7" t="s">
        <v>9265</v>
      </c>
      <c r="I3022" s="7">
        <v>1</v>
      </c>
      <c r="J3022" s="7" t="s">
        <v>7859</v>
      </c>
      <c r="K3022" s="9" t="s">
        <v>8987</v>
      </c>
    </row>
    <row r="3023" spans="1:11">
      <c r="A3023" s="7">
        <v>3021</v>
      </c>
      <c r="B3023" s="7" t="s">
        <v>9088</v>
      </c>
      <c r="C3023" s="7" t="s">
        <v>8991</v>
      </c>
      <c r="D3023" s="7" t="s">
        <v>7552</v>
      </c>
      <c r="E3023" s="7" t="s">
        <v>12677</v>
      </c>
      <c r="F3023" s="8" t="s">
        <v>11467</v>
      </c>
      <c r="G3023" s="7">
        <v>6</v>
      </c>
      <c r="H3023" s="7" t="s">
        <v>9218</v>
      </c>
      <c r="I3023" s="7">
        <v>1</v>
      </c>
      <c r="J3023" s="7" t="s">
        <v>7623</v>
      </c>
      <c r="K3023" s="9" t="s">
        <v>8987</v>
      </c>
    </row>
    <row r="3024" spans="1:11">
      <c r="A3024" s="7">
        <v>3022</v>
      </c>
      <c r="B3024" s="7" t="s">
        <v>9088</v>
      </c>
      <c r="C3024" s="7" t="s">
        <v>8991</v>
      </c>
      <c r="D3024" s="7" t="s">
        <v>7552</v>
      </c>
      <c r="E3024" s="7" t="s">
        <v>12678</v>
      </c>
      <c r="F3024" s="8" t="s">
        <v>11467</v>
      </c>
      <c r="G3024" s="7">
        <v>15</v>
      </c>
      <c r="H3024" s="7" t="s">
        <v>9053</v>
      </c>
      <c r="I3024" s="7">
        <v>1</v>
      </c>
      <c r="J3024" s="7" t="s">
        <v>7862</v>
      </c>
      <c r="K3024" s="9" t="s">
        <v>8987</v>
      </c>
    </row>
    <row r="3025" spans="1:11">
      <c r="A3025" s="7">
        <v>3023</v>
      </c>
      <c r="B3025" s="7" t="s">
        <v>9088</v>
      </c>
      <c r="C3025" s="7" t="s">
        <v>8991</v>
      </c>
      <c r="D3025" s="7" t="s">
        <v>7552</v>
      </c>
      <c r="E3025" s="7" t="s">
        <v>12679</v>
      </c>
      <c r="F3025" s="8" t="s">
        <v>11467</v>
      </c>
      <c r="G3025" s="7">
        <v>20</v>
      </c>
      <c r="H3025" s="7" t="s">
        <v>9394</v>
      </c>
      <c r="I3025" s="7">
        <v>1</v>
      </c>
      <c r="J3025" s="7" t="s">
        <v>7851</v>
      </c>
      <c r="K3025" s="9" t="s">
        <v>8987</v>
      </c>
    </row>
    <row r="3026" spans="1:11">
      <c r="A3026" s="7">
        <v>3024</v>
      </c>
      <c r="B3026" s="7" t="s">
        <v>9088</v>
      </c>
      <c r="C3026" s="7" t="s">
        <v>8991</v>
      </c>
      <c r="D3026" s="7" t="s">
        <v>7552</v>
      </c>
      <c r="E3026" s="7" t="s">
        <v>4717</v>
      </c>
      <c r="F3026" s="8" t="s">
        <v>11467</v>
      </c>
      <c r="G3026" s="7">
        <v>15</v>
      </c>
      <c r="H3026" s="7" t="s">
        <v>9053</v>
      </c>
      <c r="I3026" s="7">
        <v>1</v>
      </c>
      <c r="J3026" s="7" t="s">
        <v>7862</v>
      </c>
      <c r="K3026" s="9" t="s">
        <v>8987</v>
      </c>
    </row>
    <row r="3027" spans="1:11">
      <c r="A3027" s="7">
        <v>3025</v>
      </c>
      <c r="B3027" s="7" t="s">
        <v>9088</v>
      </c>
      <c r="C3027" s="7" t="s">
        <v>8991</v>
      </c>
      <c r="D3027" s="7" t="s">
        <v>7552</v>
      </c>
      <c r="E3027" s="7" t="s">
        <v>12680</v>
      </c>
      <c r="F3027" s="8" t="s">
        <v>11467</v>
      </c>
      <c r="G3027" s="7">
        <v>20</v>
      </c>
      <c r="H3027" s="7" t="s">
        <v>9394</v>
      </c>
      <c r="I3027" s="7">
        <v>1</v>
      </c>
      <c r="J3027" s="7" t="s">
        <v>7851</v>
      </c>
      <c r="K3027" s="9" t="s">
        <v>8987</v>
      </c>
    </row>
    <row r="3028" spans="1:11">
      <c r="A3028" s="7">
        <v>3026</v>
      </c>
      <c r="B3028" s="7" t="s">
        <v>9088</v>
      </c>
      <c r="C3028" s="7" t="s">
        <v>9386</v>
      </c>
      <c r="D3028" s="7" t="s">
        <v>7552</v>
      </c>
      <c r="E3028" s="7" t="s">
        <v>12681</v>
      </c>
      <c r="F3028" s="8" t="s">
        <v>11467</v>
      </c>
      <c r="G3028" s="7">
        <v>11</v>
      </c>
      <c r="H3028" s="7" t="s">
        <v>9386</v>
      </c>
      <c r="I3028" s="7">
        <v>1</v>
      </c>
      <c r="J3028" s="7" t="s">
        <v>7865</v>
      </c>
      <c r="K3028" s="9" t="s">
        <v>8987</v>
      </c>
    </row>
    <row r="3029" spans="1:11">
      <c r="A3029" s="7">
        <v>3027</v>
      </c>
      <c r="B3029" s="7" t="s">
        <v>9174</v>
      </c>
      <c r="C3029" s="7" t="s">
        <v>8991</v>
      </c>
      <c r="D3029" s="7" t="s">
        <v>7552</v>
      </c>
      <c r="E3029" s="7" t="s">
        <v>12682</v>
      </c>
      <c r="F3029" s="8" t="s">
        <v>9450</v>
      </c>
      <c r="G3029" s="7">
        <v>25</v>
      </c>
      <c r="H3029" s="7" t="s">
        <v>9011</v>
      </c>
      <c r="I3029" s="7">
        <v>1</v>
      </c>
      <c r="J3029" s="7" t="s">
        <v>7840</v>
      </c>
      <c r="K3029" s="9" t="s">
        <v>8987</v>
      </c>
    </row>
    <row r="3030" spans="1:11">
      <c r="A3030" s="7">
        <v>3028</v>
      </c>
      <c r="B3030" s="7" t="s">
        <v>9174</v>
      </c>
      <c r="C3030" s="7" t="s">
        <v>8991</v>
      </c>
      <c r="D3030" s="7" t="s">
        <v>7552</v>
      </c>
      <c r="E3030" s="7" t="s">
        <v>12683</v>
      </c>
      <c r="F3030" s="8" t="s">
        <v>9450</v>
      </c>
      <c r="G3030" s="7">
        <v>35</v>
      </c>
      <c r="H3030" s="7" t="s">
        <v>9026</v>
      </c>
      <c r="I3030" s="7">
        <v>1</v>
      </c>
      <c r="J3030" s="7" t="s">
        <v>7868</v>
      </c>
      <c r="K3030" s="9" t="s">
        <v>8987</v>
      </c>
    </row>
    <row r="3031" spans="1:11">
      <c r="A3031" s="7">
        <v>3029</v>
      </c>
      <c r="B3031" s="7" t="s">
        <v>9174</v>
      </c>
      <c r="C3031" s="7" t="s">
        <v>8991</v>
      </c>
      <c r="D3031" s="7" t="s">
        <v>7552</v>
      </c>
      <c r="E3031" s="7" t="s">
        <v>12684</v>
      </c>
      <c r="F3031" s="8" t="s">
        <v>9450</v>
      </c>
      <c r="G3031" s="7">
        <v>45</v>
      </c>
      <c r="H3031" s="7" t="s">
        <v>9750</v>
      </c>
      <c r="I3031" s="7">
        <v>1</v>
      </c>
      <c r="J3031" s="7" t="s">
        <v>7880</v>
      </c>
      <c r="K3031" s="9" t="s">
        <v>8987</v>
      </c>
    </row>
    <row r="3032" spans="1:11">
      <c r="A3032" s="7">
        <v>3030</v>
      </c>
      <c r="B3032" s="7" t="s">
        <v>9174</v>
      </c>
      <c r="C3032" s="7" t="s">
        <v>8991</v>
      </c>
      <c r="D3032" s="7" t="s">
        <v>7552</v>
      </c>
      <c r="E3032" s="7" t="s">
        <v>12685</v>
      </c>
      <c r="F3032" s="8" t="s">
        <v>9450</v>
      </c>
      <c r="G3032" s="7">
        <v>35</v>
      </c>
      <c r="H3032" s="7" t="s">
        <v>9026</v>
      </c>
      <c r="I3032" s="7">
        <v>1</v>
      </c>
      <c r="J3032" s="7" t="s">
        <v>7868</v>
      </c>
      <c r="K3032" s="9" t="s">
        <v>8987</v>
      </c>
    </row>
    <row r="3033" spans="1:11">
      <c r="A3033" s="7">
        <v>3031</v>
      </c>
      <c r="B3033" s="7" t="s">
        <v>9174</v>
      </c>
      <c r="C3033" s="7" t="s">
        <v>8991</v>
      </c>
      <c r="D3033" s="7" t="s">
        <v>7552</v>
      </c>
      <c r="E3033" s="7" t="s">
        <v>12686</v>
      </c>
      <c r="F3033" s="8" t="s">
        <v>9450</v>
      </c>
      <c r="G3033" s="7">
        <v>45</v>
      </c>
      <c r="H3033" s="7" t="s">
        <v>9750</v>
      </c>
      <c r="I3033" s="7">
        <v>1</v>
      </c>
      <c r="J3033" s="7" t="s">
        <v>7880</v>
      </c>
      <c r="K3033" s="9" t="s">
        <v>8987</v>
      </c>
    </row>
    <row r="3034" spans="1:11">
      <c r="A3034" s="7">
        <v>3032</v>
      </c>
      <c r="B3034" s="7" t="s">
        <v>9174</v>
      </c>
      <c r="C3034" s="7" t="s">
        <v>9386</v>
      </c>
      <c r="D3034" s="7" t="s">
        <v>7552</v>
      </c>
      <c r="E3034" s="7" t="s">
        <v>12687</v>
      </c>
      <c r="F3034" s="8" t="s">
        <v>9450</v>
      </c>
      <c r="G3034" s="7">
        <v>23</v>
      </c>
      <c r="H3034" s="7" t="s">
        <v>9120</v>
      </c>
      <c r="I3034" s="7">
        <v>1</v>
      </c>
      <c r="J3034" s="7" t="s">
        <v>7848</v>
      </c>
      <c r="K3034" s="9" t="s">
        <v>8987</v>
      </c>
    </row>
    <row r="3035" spans="1:11">
      <c r="A3035" s="7">
        <v>3033</v>
      </c>
      <c r="B3035" s="7" t="s">
        <v>9088</v>
      </c>
      <c r="C3035" s="7" t="s">
        <v>8991</v>
      </c>
      <c r="D3035" s="7" t="s">
        <v>7552</v>
      </c>
      <c r="E3035" s="7" t="s">
        <v>12688</v>
      </c>
      <c r="F3035" s="8" t="s">
        <v>10150</v>
      </c>
      <c r="G3035" s="7">
        <v>5</v>
      </c>
      <c r="H3035" s="7" t="s">
        <v>9336</v>
      </c>
      <c r="I3035" s="7">
        <v>1</v>
      </c>
      <c r="J3035" s="7" t="s">
        <v>7620</v>
      </c>
      <c r="K3035" s="9" t="s">
        <v>8987</v>
      </c>
    </row>
    <row r="3036" spans="1:11">
      <c r="A3036" s="7">
        <v>3034</v>
      </c>
      <c r="B3036" s="7" t="s">
        <v>9088</v>
      </c>
      <c r="C3036" s="7" t="s">
        <v>8991</v>
      </c>
      <c r="D3036" s="7" t="s">
        <v>7552</v>
      </c>
      <c r="E3036" s="7" t="s">
        <v>12689</v>
      </c>
      <c r="F3036" s="8" t="s">
        <v>10150</v>
      </c>
      <c r="G3036" s="7">
        <v>5</v>
      </c>
      <c r="H3036" s="7" t="s">
        <v>9336</v>
      </c>
      <c r="I3036" s="7">
        <v>1</v>
      </c>
      <c r="J3036" s="7" t="s">
        <v>7620</v>
      </c>
      <c r="K3036" s="9" t="s">
        <v>8987</v>
      </c>
    </row>
    <row r="3037" spans="1:11">
      <c r="A3037" s="7">
        <v>3035</v>
      </c>
      <c r="B3037" s="7" t="s">
        <v>9088</v>
      </c>
      <c r="C3037" s="7" t="s">
        <v>8991</v>
      </c>
      <c r="D3037" s="7" t="s">
        <v>7552</v>
      </c>
      <c r="E3037" s="7" t="s">
        <v>12690</v>
      </c>
      <c r="F3037" s="8" t="s">
        <v>10150</v>
      </c>
      <c r="G3037" s="7">
        <v>14</v>
      </c>
      <c r="H3037" s="7" t="s">
        <v>9397</v>
      </c>
      <c r="I3037" s="7">
        <v>1</v>
      </c>
      <c r="J3037" s="7" t="s">
        <v>7888</v>
      </c>
      <c r="K3037" s="9" t="s">
        <v>8987</v>
      </c>
    </row>
    <row r="3038" spans="1:11">
      <c r="A3038" s="7">
        <v>3036</v>
      </c>
      <c r="B3038" s="7" t="s">
        <v>9088</v>
      </c>
      <c r="C3038" s="7" t="s">
        <v>8991</v>
      </c>
      <c r="D3038" s="7" t="s">
        <v>7552</v>
      </c>
      <c r="E3038" s="7" t="s">
        <v>12691</v>
      </c>
      <c r="F3038" s="8" t="s">
        <v>10150</v>
      </c>
      <c r="G3038" s="7">
        <v>18</v>
      </c>
      <c r="H3038" s="7" t="s">
        <v>9422</v>
      </c>
      <c r="I3038" s="7">
        <v>1</v>
      </c>
      <c r="J3038" s="7" t="s">
        <v>7885</v>
      </c>
      <c r="K3038" s="9" t="s">
        <v>8987</v>
      </c>
    </row>
    <row r="3039" spans="1:11">
      <c r="A3039" s="7">
        <v>3037</v>
      </c>
      <c r="B3039" s="7" t="s">
        <v>9088</v>
      </c>
      <c r="C3039" s="7" t="s">
        <v>8991</v>
      </c>
      <c r="D3039" s="7" t="s">
        <v>7552</v>
      </c>
      <c r="E3039" s="7" t="s">
        <v>12692</v>
      </c>
      <c r="F3039" s="8" t="s">
        <v>10150</v>
      </c>
      <c r="G3039" s="7">
        <v>14</v>
      </c>
      <c r="H3039" s="7" t="s">
        <v>9397</v>
      </c>
      <c r="I3039" s="7">
        <v>1</v>
      </c>
      <c r="J3039" s="7" t="s">
        <v>7888</v>
      </c>
      <c r="K3039" s="9" t="s">
        <v>8987</v>
      </c>
    </row>
    <row r="3040" spans="1:11">
      <c r="A3040" s="7">
        <v>3038</v>
      </c>
      <c r="B3040" s="7" t="s">
        <v>9088</v>
      </c>
      <c r="C3040" s="7" t="s">
        <v>8991</v>
      </c>
      <c r="D3040" s="7" t="s">
        <v>7552</v>
      </c>
      <c r="E3040" s="7" t="s">
        <v>12693</v>
      </c>
      <c r="F3040" s="8" t="s">
        <v>10150</v>
      </c>
      <c r="G3040" s="7">
        <v>18</v>
      </c>
      <c r="H3040" s="7" t="s">
        <v>9422</v>
      </c>
      <c r="I3040" s="7">
        <v>1</v>
      </c>
      <c r="J3040" s="7" t="s">
        <v>7885</v>
      </c>
      <c r="K3040" s="9" t="s">
        <v>8987</v>
      </c>
    </row>
    <row r="3041" spans="1:11">
      <c r="A3041" s="7">
        <v>3039</v>
      </c>
      <c r="B3041" s="7" t="s">
        <v>9088</v>
      </c>
      <c r="C3041" s="7" t="s">
        <v>9386</v>
      </c>
      <c r="D3041" s="7" t="s">
        <v>7552</v>
      </c>
      <c r="E3041" s="7" t="s">
        <v>12694</v>
      </c>
      <c r="F3041" s="8" t="s">
        <v>10150</v>
      </c>
      <c r="G3041" s="7">
        <v>9</v>
      </c>
      <c r="H3041" s="7" t="s">
        <v>9030</v>
      </c>
      <c r="I3041" s="7">
        <v>1</v>
      </c>
      <c r="J3041" s="7" t="s">
        <v>7766</v>
      </c>
      <c r="K3041" s="9" t="s">
        <v>8987</v>
      </c>
    </row>
    <row r="3042" spans="1:11">
      <c r="A3042" s="7">
        <v>3040</v>
      </c>
      <c r="B3042" s="7" t="s">
        <v>9174</v>
      </c>
      <c r="C3042" s="7" t="s">
        <v>8991</v>
      </c>
      <c r="D3042" s="7" t="s">
        <v>7552</v>
      </c>
      <c r="E3042" s="7" t="s">
        <v>12695</v>
      </c>
      <c r="F3042" s="8" t="s">
        <v>9297</v>
      </c>
      <c r="G3042" s="7">
        <v>3</v>
      </c>
      <c r="H3042" s="7" t="s">
        <v>9187</v>
      </c>
      <c r="I3042" s="7">
        <v>1</v>
      </c>
      <c r="J3042" s="7" t="s">
        <v>7872</v>
      </c>
      <c r="K3042" s="9" t="s">
        <v>8987</v>
      </c>
    </row>
    <row r="3043" spans="1:11">
      <c r="A3043" s="7">
        <v>3041</v>
      </c>
      <c r="B3043" s="7" t="s">
        <v>9174</v>
      </c>
      <c r="C3043" s="7" t="s">
        <v>8991</v>
      </c>
      <c r="D3043" s="7" t="s">
        <v>7552</v>
      </c>
      <c r="E3043" s="7" t="s">
        <v>12696</v>
      </c>
      <c r="F3043" s="8" t="s">
        <v>9297</v>
      </c>
      <c r="G3043" s="7">
        <v>6</v>
      </c>
      <c r="H3043" s="7" t="s">
        <v>9218</v>
      </c>
      <c r="I3043" s="7">
        <v>1</v>
      </c>
      <c r="J3043" s="7" t="s">
        <v>7623</v>
      </c>
      <c r="K3043" s="9" t="s">
        <v>8987</v>
      </c>
    </row>
    <row r="3044" spans="1:11">
      <c r="A3044" s="7">
        <v>3042</v>
      </c>
      <c r="B3044" s="7" t="s">
        <v>9174</v>
      </c>
      <c r="C3044" s="7" t="s">
        <v>8991</v>
      </c>
      <c r="D3044" s="7" t="s">
        <v>7552</v>
      </c>
      <c r="E3044" s="7" t="s">
        <v>12697</v>
      </c>
      <c r="F3044" s="8" t="s">
        <v>9297</v>
      </c>
      <c r="G3044" s="7">
        <v>8</v>
      </c>
      <c r="H3044" s="7" t="s">
        <v>8991</v>
      </c>
      <c r="I3044" s="7">
        <v>1</v>
      </c>
      <c r="J3044" s="7" t="s">
        <v>7764</v>
      </c>
      <c r="K3044" s="9" t="s">
        <v>8987</v>
      </c>
    </row>
    <row r="3045" spans="1:11">
      <c r="A3045" s="7">
        <v>3043</v>
      </c>
      <c r="B3045" s="7" t="s">
        <v>9174</v>
      </c>
      <c r="C3045" s="7" t="s">
        <v>8991</v>
      </c>
      <c r="D3045" s="7" t="s">
        <v>7552</v>
      </c>
      <c r="E3045" s="7" t="s">
        <v>12698</v>
      </c>
      <c r="F3045" s="8" t="s">
        <v>9297</v>
      </c>
      <c r="G3045" s="7">
        <v>6</v>
      </c>
      <c r="H3045" s="7" t="s">
        <v>9218</v>
      </c>
      <c r="I3045" s="7">
        <v>1</v>
      </c>
      <c r="J3045" s="7" t="s">
        <v>7623</v>
      </c>
      <c r="K3045" s="9" t="s">
        <v>8987</v>
      </c>
    </row>
    <row r="3046" spans="1:11">
      <c r="A3046" s="7">
        <v>3044</v>
      </c>
      <c r="B3046" s="7" t="s">
        <v>9174</v>
      </c>
      <c r="C3046" s="7" t="s">
        <v>8991</v>
      </c>
      <c r="D3046" s="7" t="s">
        <v>7552</v>
      </c>
      <c r="E3046" s="7" t="s">
        <v>12699</v>
      </c>
      <c r="F3046" s="8" t="s">
        <v>9297</v>
      </c>
      <c r="G3046" s="7">
        <v>8</v>
      </c>
      <c r="H3046" s="7" t="s">
        <v>8991</v>
      </c>
      <c r="I3046" s="7">
        <v>1</v>
      </c>
      <c r="J3046" s="7" t="s">
        <v>7764</v>
      </c>
      <c r="K3046" s="9" t="s">
        <v>8987</v>
      </c>
    </row>
    <row r="3047" spans="1:11">
      <c r="A3047" s="7">
        <v>3045</v>
      </c>
      <c r="B3047" s="7" t="s">
        <v>9174</v>
      </c>
      <c r="C3047" s="7" t="s">
        <v>9386</v>
      </c>
      <c r="D3047" s="7" t="s">
        <v>7552</v>
      </c>
      <c r="E3047" s="7" t="s">
        <v>12700</v>
      </c>
      <c r="F3047" s="8" t="s">
        <v>9297</v>
      </c>
      <c r="G3047" s="7">
        <v>5</v>
      </c>
      <c r="H3047" s="7" t="s">
        <v>9336</v>
      </c>
      <c r="I3047" s="7">
        <v>1</v>
      </c>
      <c r="J3047" s="7" t="s">
        <v>7620</v>
      </c>
      <c r="K3047" s="9" t="s">
        <v>8987</v>
      </c>
    </row>
    <row r="3048" spans="1:11">
      <c r="A3048" s="7">
        <v>3046</v>
      </c>
      <c r="B3048" s="7" t="s">
        <v>9174</v>
      </c>
      <c r="C3048" s="7" t="s">
        <v>8991</v>
      </c>
      <c r="D3048" s="7" t="s">
        <v>7551</v>
      </c>
      <c r="E3048" s="7" t="s">
        <v>12701</v>
      </c>
      <c r="F3048" s="8" t="s">
        <v>10205</v>
      </c>
      <c r="G3048" s="7">
        <v>7</v>
      </c>
      <c r="H3048" s="7" t="s">
        <v>9182</v>
      </c>
      <c r="I3048" s="7">
        <v>1</v>
      </c>
      <c r="J3048" s="7" t="s">
        <v>7866</v>
      </c>
      <c r="K3048" s="9" t="s">
        <v>8987</v>
      </c>
    </row>
    <row r="3049" spans="1:11">
      <c r="A3049" s="7">
        <v>3047</v>
      </c>
      <c r="B3049" s="7" t="s">
        <v>9174</v>
      </c>
      <c r="C3049" s="7" t="s">
        <v>8991</v>
      </c>
      <c r="D3049" s="7" t="s">
        <v>7551</v>
      </c>
      <c r="E3049" s="7" t="s">
        <v>12702</v>
      </c>
      <c r="F3049" s="8" t="s">
        <v>10205</v>
      </c>
      <c r="G3049" s="7">
        <v>7</v>
      </c>
      <c r="H3049" s="7" t="s">
        <v>9182</v>
      </c>
      <c r="I3049" s="7">
        <v>1</v>
      </c>
      <c r="J3049" s="7" t="s">
        <v>7866</v>
      </c>
      <c r="K3049" s="9" t="s">
        <v>8987</v>
      </c>
    </row>
    <row r="3050" spans="1:11">
      <c r="A3050" s="7">
        <v>3048</v>
      </c>
      <c r="B3050" s="7" t="s">
        <v>9174</v>
      </c>
      <c r="C3050" s="7" t="s">
        <v>9386</v>
      </c>
      <c r="D3050" s="7" t="s">
        <v>7551</v>
      </c>
      <c r="E3050" s="7" t="s">
        <v>12703</v>
      </c>
      <c r="F3050" s="8" t="s">
        <v>10205</v>
      </c>
      <c r="G3050" s="7">
        <v>7</v>
      </c>
      <c r="H3050" s="7" t="s">
        <v>9182</v>
      </c>
      <c r="I3050" s="7">
        <v>1</v>
      </c>
      <c r="J3050" s="7" t="s">
        <v>7866</v>
      </c>
      <c r="K3050" s="9" t="s">
        <v>8987</v>
      </c>
    </row>
    <row r="3051" spans="1:11">
      <c r="A3051" s="7">
        <v>3049</v>
      </c>
      <c r="B3051" s="7" t="s">
        <v>9174</v>
      </c>
      <c r="C3051" s="7" t="s">
        <v>8991</v>
      </c>
      <c r="D3051" s="7" t="s">
        <v>7551</v>
      </c>
      <c r="E3051" s="7" t="s">
        <v>12704</v>
      </c>
      <c r="F3051" s="8" t="s">
        <v>10208</v>
      </c>
      <c r="G3051" s="7">
        <v>7</v>
      </c>
      <c r="H3051" s="7" t="s">
        <v>9182</v>
      </c>
      <c r="I3051" s="7">
        <v>1</v>
      </c>
      <c r="J3051" s="7" t="s">
        <v>7866</v>
      </c>
      <c r="K3051" s="9" t="s">
        <v>8987</v>
      </c>
    </row>
    <row r="3052" spans="1:11">
      <c r="A3052" s="7">
        <v>3050</v>
      </c>
      <c r="B3052" s="7" t="s">
        <v>9174</v>
      </c>
      <c r="C3052" s="7" t="s">
        <v>8991</v>
      </c>
      <c r="D3052" s="7" t="s">
        <v>7551</v>
      </c>
      <c r="E3052" s="7" t="s">
        <v>12705</v>
      </c>
      <c r="F3052" s="8" t="s">
        <v>10208</v>
      </c>
      <c r="G3052" s="7">
        <v>7</v>
      </c>
      <c r="H3052" s="7" t="s">
        <v>9182</v>
      </c>
      <c r="I3052" s="7">
        <v>1</v>
      </c>
      <c r="J3052" s="7" t="s">
        <v>7866</v>
      </c>
      <c r="K3052" s="9" t="s">
        <v>8987</v>
      </c>
    </row>
    <row r="3053" spans="1:11">
      <c r="A3053" s="7">
        <v>3051</v>
      </c>
      <c r="B3053" s="7" t="s">
        <v>9174</v>
      </c>
      <c r="C3053" s="7" t="s">
        <v>9386</v>
      </c>
      <c r="D3053" s="7" t="s">
        <v>7551</v>
      </c>
      <c r="E3053" s="7" t="s">
        <v>12706</v>
      </c>
      <c r="F3053" s="8" t="s">
        <v>10208</v>
      </c>
      <c r="G3053" s="7">
        <v>7</v>
      </c>
      <c r="H3053" s="7" t="s">
        <v>9182</v>
      </c>
      <c r="I3053" s="7">
        <v>1</v>
      </c>
      <c r="J3053" s="7" t="s">
        <v>7866</v>
      </c>
      <c r="K3053" s="9" t="s">
        <v>8987</v>
      </c>
    </row>
    <row r="3054" spans="1:11">
      <c r="A3054" s="7">
        <v>3052</v>
      </c>
      <c r="B3054" s="7" t="s">
        <v>9174</v>
      </c>
      <c r="C3054" s="7" t="s">
        <v>8991</v>
      </c>
      <c r="D3054" s="7" t="s">
        <v>7551</v>
      </c>
      <c r="E3054" s="7" t="s">
        <v>12707</v>
      </c>
      <c r="F3054" s="8" t="s">
        <v>10211</v>
      </c>
      <c r="G3054" s="7">
        <v>7</v>
      </c>
      <c r="H3054" s="7" t="s">
        <v>9182</v>
      </c>
      <c r="I3054" s="7">
        <v>1</v>
      </c>
      <c r="J3054" s="7" t="s">
        <v>7866</v>
      </c>
      <c r="K3054" s="9" t="s">
        <v>8987</v>
      </c>
    </row>
    <row r="3055" spans="1:11">
      <c r="A3055" s="7">
        <v>3053</v>
      </c>
      <c r="B3055" s="7" t="s">
        <v>9174</v>
      </c>
      <c r="C3055" s="7" t="s">
        <v>8991</v>
      </c>
      <c r="D3055" s="7" t="s">
        <v>7551</v>
      </c>
      <c r="E3055" s="7" t="s">
        <v>12708</v>
      </c>
      <c r="F3055" s="8" t="s">
        <v>10211</v>
      </c>
      <c r="G3055" s="7">
        <v>7</v>
      </c>
      <c r="H3055" s="7" t="s">
        <v>9182</v>
      </c>
      <c r="I3055" s="7">
        <v>1</v>
      </c>
      <c r="J3055" s="7" t="s">
        <v>7866</v>
      </c>
      <c r="K3055" s="9" t="s">
        <v>8987</v>
      </c>
    </row>
    <row r="3056" spans="1:11">
      <c r="A3056" s="7">
        <v>3054</v>
      </c>
      <c r="B3056" s="7" t="s">
        <v>9174</v>
      </c>
      <c r="C3056" s="7" t="s">
        <v>9386</v>
      </c>
      <c r="D3056" s="7" t="s">
        <v>7551</v>
      </c>
      <c r="E3056" s="7" t="s">
        <v>12709</v>
      </c>
      <c r="F3056" s="8" t="s">
        <v>10211</v>
      </c>
      <c r="G3056" s="7">
        <v>7</v>
      </c>
      <c r="H3056" s="7" t="s">
        <v>9182</v>
      </c>
      <c r="I3056" s="7">
        <v>1</v>
      </c>
      <c r="J3056" s="7" t="s">
        <v>7866</v>
      </c>
      <c r="K3056" s="9" t="s">
        <v>8987</v>
      </c>
    </row>
    <row r="3057" spans="1:11">
      <c r="A3057" s="7">
        <v>3055</v>
      </c>
      <c r="B3057" s="7" t="s">
        <v>9174</v>
      </c>
      <c r="C3057" s="7" t="s">
        <v>8991</v>
      </c>
      <c r="D3057" s="7" t="s">
        <v>7551</v>
      </c>
      <c r="E3057" s="7" t="s">
        <v>12710</v>
      </c>
      <c r="F3057" s="8" t="s">
        <v>10674</v>
      </c>
      <c r="G3057" s="7">
        <v>7</v>
      </c>
      <c r="H3057" s="7" t="s">
        <v>9182</v>
      </c>
      <c r="I3057" s="7">
        <v>1</v>
      </c>
      <c r="J3057" s="7" t="s">
        <v>7866</v>
      </c>
      <c r="K3057" s="9" t="s">
        <v>8987</v>
      </c>
    </row>
    <row r="3058" spans="1:11">
      <c r="A3058" s="7">
        <v>3056</v>
      </c>
      <c r="B3058" s="7" t="s">
        <v>9174</v>
      </c>
      <c r="C3058" s="7" t="s">
        <v>8991</v>
      </c>
      <c r="D3058" s="7" t="s">
        <v>7551</v>
      </c>
      <c r="E3058" s="7" t="s">
        <v>12711</v>
      </c>
      <c r="F3058" s="8" t="s">
        <v>10674</v>
      </c>
      <c r="G3058" s="7">
        <v>7</v>
      </c>
      <c r="H3058" s="7" t="s">
        <v>9182</v>
      </c>
      <c r="I3058" s="7">
        <v>1</v>
      </c>
      <c r="J3058" s="7" t="s">
        <v>7866</v>
      </c>
      <c r="K3058" s="9" t="s">
        <v>8987</v>
      </c>
    </row>
    <row r="3059" spans="1:11">
      <c r="A3059" s="7">
        <v>3057</v>
      </c>
      <c r="B3059" s="7" t="s">
        <v>9174</v>
      </c>
      <c r="C3059" s="7" t="s">
        <v>9386</v>
      </c>
      <c r="D3059" s="7" t="s">
        <v>7551</v>
      </c>
      <c r="E3059" s="7" t="s">
        <v>12712</v>
      </c>
      <c r="F3059" s="8" t="s">
        <v>10674</v>
      </c>
      <c r="G3059" s="7">
        <v>7</v>
      </c>
      <c r="H3059" s="7" t="s">
        <v>9182</v>
      </c>
      <c r="I3059" s="7">
        <v>1</v>
      </c>
      <c r="J3059" s="7" t="s">
        <v>7866</v>
      </c>
      <c r="K3059" s="9" t="s">
        <v>8987</v>
      </c>
    </row>
    <row r="3060" spans="1:11">
      <c r="A3060" s="7">
        <v>3058</v>
      </c>
      <c r="B3060" s="7" t="s">
        <v>9174</v>
      </c>
      <c r="C3060" s="7" t="s">
        <v>8991</v>
      </c>
      <c r="D3060" s="7" t="s">
        <v>7551</v>
      </c>
      <c r="E3060" s="7" t="s">
        <v>12713</v>
      </c>
      <c r="F3060" s="8" t="s">
        <v>10213</v>
      </c>
      <c r="G3060" s="7">
        <v>5</v>
      </c>
      <c r="H3060" s="7" t="s">
        <v>9336</v>
      </c>
      <c r="I3060" s="7">
        <v>1</v>
      </c>
      <c r="J3060" s="7" t="s">
        <v>7620</v>
      </c>
      <c r="K3060" s="9" t="s">
        <v>8987</v>
      </c>
    </row>
    <row r="3061" spans="1:11">
      <c r="A3061" s="7">
        <v>3059</v>
      </c>
      <c r="B3061" s="7" t="s">
        <v>9174</v>
      </c>
      <c r="C3061" s="7" t="s">
        <v>8991</v>
      </c>
      <c r="D3061" s="7" t="s">
        <v>7551</v>
      </c>
      <c r="E3061" s="7" t="s">
        <v>12714</v>
      </c>
      <c r="F3061" s="8" t="s">
        <v>10213</v>
      </c>
      <c r="G3061" s="7">
        <v>5</v>
      </c>
      <c r="H3061" s="7" t="s">
        <v>9336</v>
      </c>
      <c r="I3061" s="7">
        <v>1</v>
      </c>
      <c r="J3061" s="7" t="s">
        <v>7620</v>
      </c>
      <c r="K3061" s="9" t="s">
        <v>8987</v>
      </c>
    </row>
    <row r="3062" spans="1:11">
      <c r="A3062" s="7">
        <v>3060</v>
      </c>
      <c r="B3062" s="7" t="s">
        <v>9174</v>
      </c>
      <c r="C3062" s="7" t="s">
        <v>9386</v>
      </c>
      <c r="D3062" s="7" t="s">
        <v>7551</v>
      </c>
      <c r="E3062" s="7" t="s">
        <v>12715</v>
      </c>
      <c r="F3062" s="8" t="s">
        <v>10213</v>
      </c>
      <c r="G3062" s="7">
        <v>5</v>
      </c>
      <c r="H3062" s="7" t="s">
        <v>9336</v>
      </c>
      <c r="I3062" s="7">
        <v>1</v>
      </c>
      <c r="J3062" s="7" t="s">
        <v>7620</v>
      </c>
      <c r="K3062" s="9" t="s">
        <v>8987</v>
      </c>
    </row>
    <row r="3063" spans="1:11">
      <c r="A3063" s="7">
        <v>3061</v>
      </c>
      <c r="B3063" s="7" t="s">
        <v>9174</v>
      </c>
      <c r="C3063" s="7" t="s">
        <v>8991</v>
      </c>
      <c r="D3063" s="7" t="s">
        <v>7551</v>
      </c>
      <c r="E3063" s="7" t="s">
        <v>12716</v>
      </c>
      <c r="F3063" s="8" t="s">
        <v>9192</v>
      </c>
      <c r="G3063" s="7">
        <v>38</v>
      </c>
      <c r="H3063" s="7" t="s">
        <v>11229</v>
      </c>
      <c r="I3063" s="7">
        <v>1</v>
      </c>
      <c r="J3063" s="7" t="s">
        <v>7847</v>
      </c>
      <c r="K3063" s="9" t="s">
        <v>8987</v>
      </c>
    </row>
    <row r="3064" spans="1:11">
      <c r="A3064" s="7">
        <v>3062</v>
      </c>
      <c r="B3064" s="7" t="s">
        <v>9174</v>
      </c>
      <c r="C3064" s="7" t="s">
        <v>8991</v>
      </c>
      <c r="D3064" s="7" t="s">
        <v>7551</v>
      </c>
      <c r="E3064" s="7" t="s">
        <v>12717</v>
      </c>
      <c r="F3064" s="8" t="s">
        <v>9192</v>
      </c>
      <c r="G3064" s="7">
        <v>75</v>
      </c>
      <c r="H3064" s="7" t="s">
        <v>9265</v>
      </c>
      <c r="I3064" s="7">
        <v>1</v>
      </c>
      <c r="J3064" s="7" t="s">
        <v>7859</v>
      </c>
      <c r="K3064" s="9" t="s">
        <v>8987</v>
      </c>
    </row>
    <row r="3065" spans="1:11">
      <c r="A3065" s="7">
        <v>3063</v>
      </c>
      <c r="B3065" s="7" t="s">
        <v>9174</v>
      </c>
      <c r="C3065" s="7" t="s">
        <v>8991</v>
      </c>
      <c r="D3065" s="7" t="s">
        <v>7551</v>
      </c>
      <c r="E3065" s="7" t="s">
        <v>12718</v>
      </c>
      <c r="F3065" s="8" t="s">
        <v>9192</v>
      </c>
      <c r="G3065" s="7">
        <v>57</v>
      </c>
      <c r="H3065" s="7" t="s">
        <v>11747</v>
      </c>
      <c r="I3065" s="7">
        <v>1</v>
      </c>
      <c r="J3065" s="7" t="s">
        <v>7843</v>
      </c>
      <c r="K3065" s="9" t="s">
        <v>8987</v>
      </c>
    </row>
    <row r="3066" spans="1:11">
      <c r="A3066" s="7">
        <v>3064</v>
      </c>
      <c r="B3066" s="7" t="s">
        <v>9174</v>
      </c>
      <c r="C3066" s="7" t="s">
        <v>8991</v>
      </c>
      <c r="D3066" s="7" t="s">
        <v>7551</v>
      </c>
      <c r="E3066" s="7" t="s">
        <v>12719</v>
      </c>
      <c r="F3066" s="8" t="s">
        <v>9192</v>
      </c>
      <c r="G3066" s="7">
        <v>38</v>
      </c>
      <c r="H3066" s="7" t="s">
        <v>11229</v>
      </c>
      <c r="I3066" s="7">
        <v>1</v>
      </c>
      <c r="J3066" s="7" t="s">
        <v>7847</v>
      </c>
      <c r="K3066" s="9" t="s">
        <v>8987</v>
      </c>
    </row>
    <row r="3067" spans="1:11">
      <c r="A3067" s="7">
        <v>3065</v>
      </c>
      <c r="B3067" s="7" t="s">
        <v>9174</v>
      </c>
      <c r="C3067" s="7" t="s">
        <v>9386</v>
      </c>
      <c r="D3067" s="7" t="s">
        <v>7551</v>
      </c>
      <c r="E3067" s="7" t="s">
        <v>12720</v>
      </c>
      <c r="F3067" s="8" t="s">
        <v>9192</v>
      </c>
      <c r="G3067" s="7">
        <v>38</v>
      </c>
      <c r="H3067" s="7" t="s">
        <v>11229</v>
      </c>
      <c r="I3067" s="7">
        <v>1</v>
      </c>
      <c r="J3067" s="7" t="s">
        <v>7847</v>
      </c>
      <c r="K3067" s="9" t="s">
        <v>8987</v>
      </c>
    </row>
    <row r="3068" spans="1:11">
      <c r="A3068" s="7">
        <v>3066</v>
      </c>
      <c r="B3068" s="7" t="s">
        <v>9174</v>
      </c>
      <c r="C3068" s="7" t="s">
        <v>8991</v>
      </c>
      <c r="D3068" s="7" t="s">
        <v>7549</v>
      </c>
      <c r="E3068" s="7" t="s">
        <v>12721</v>
      </c>
      <c r="F3068" s="8" t="s">
        <v>11617</v>
      </c>
      <c r="G3068" s="7">
        <v>150</v>
      </c>
      <c r="H3068" s="7" t="s">
        <v>9253</v>
      </c>
      <c r="I3068" s="7">
        <v>1</v>
      </c>
      <c r="J3068" s="7" t="s">
        <v>7846</v>
      </c>
      <c r="K3068" s="9" t="s">
        <v>8987</v>
      </c>
    </row>
    <row r="3069" spans="1:11">
      <c r="A3069" s="7">
        <v>3067</v>
      </c>
      <c r="B3069" s="7" t="s">
        <v>9174</v>
      </c>
      <c r="C3069" s="7" t="s">
        <v>8991</v>
      </c>
      <c r="D3069" s="7" t="s">
        <v>7549</v>
      </c>
      <c r="E3069" s="7" t="s">
        <v>12722</v>
      </c>
      <c r="F3069" s="8" t="s">
        <v>9330</v>
      </c>
      <c r="G3069" s="7">
        <v>120</v>
      </c>
      <c r="H3069" s="7" t="s">
        <v>9036</v>
      </c>
      <c r="I3069" s="7">
        <v>1</v>
      </c>
      <c r="J3069" s="7" t="s">
        <v>11076</v>
      </c>
      <c r="K3069" s="9" t="s">
        <v>8987</v>
      </c>
    </row>
    <row r="3070" spans="1:11">
      <c r="A3070" s="7">
        <v>3068</v>
      </c>
      <c r="B3070" s="7" t="s">
        <v>9174</v>
      </c>
      <c r="C3070" s="7" t="s">
        <v>8991</v>
      </c>
      <c r="D3070" s="7" t="s">
        <v>7549</v>
      </c>
      <c r="E3070" s="7" t="s">
        <v>12723</v>
      </c>
      <c r="F3070" s="8" t="s">
        <v>10215</v>
      </c>
      <c r="G3070" s="7">
        <v>120</v>
      </c>
      <c r="H3070" s="7" t="s">
        <v>9036</v>
      </c>
      <c r="I3070" s="7">
        <v>1</v>
      </c>
      <c r="J3070" s="7" t="s">
        <v>11076</v>
      </c>
      <c r="K3070" s="9" t="s">
        <v>8987</v>
      </c>
    </row>
    <row r="3071" spans="1:11">
      <c r="A3071" s="7">
        <v>3069</v>
      </c>
      <c r="B3071" s="7" t="s">
        <v>11164</v>
      </c>
      <c r="C3071" s="7" t="s">
        <v>8991</v>
      </c>
      <c r="D3071" s="7" t="s">
        <v>7577</v>
      </c>
      <c r="E3071" s="7" t="s">
        <v>12724</v>
      </c>
      <c r="F3071" s="8" t="s">
        <v>9545</v>
      </c>
      <c r="G3071" s="7">
        <v>150</v>
      </c>
      <c r="H3071" s="7" t="s">
        <v>9253</v>
      </c>
      <c r="I3071" s="7">
        <v>1</v>
      </c>
      <c r="J3071" s="7" t="s">
        <v>7846</v>
      </c>
      <c r="K3071" s="9" t="s">
        <v>8987</v>
      </c>
    </row>
    <row r="3072" spans="1:11">
      <c r="A3072" s="7">
        <v>3070</v>
      </c>
      <c r="B3072" s="7" t="s">
        <v>9174</v>
      </c>
      <c r="C3072" s="7" t="s">
        <v>8991</v>
      </c>
      <c r="D3072" s="7" t="s">
        <v>7573</v>
      </c>
      <c r="E3072" s="7" t="s">
        <v>12725</v>
      </c>
      <c r="F3072" s="8" t="s">
        <v>9173</v>
      </c>
      <c r="G3072" s="7">
        <v>7</v>
      </c>
      <c r="H3072" s="7" t="s">
        <v>9182</v>
      </c>
      <c r="I3072" s="7">
        <v>1</v>
      </c>
      <c r="J3072" s="7" t="s">
        <v>7866</v>
      </c>
      <c r="K3072" s="9" t="s">
        <v>8987</v>
      </c>
    </row>
    <row r="3073" spans="1:11">
      <c r="A3073" s="7">
        <v>3071</v>
      </c>
      <c r="B3073" s="7" t="s">
        <v>9174</v>
      </c>
      <c r="C3073" s="7" t="s">
        <v>8991</v>
      </c>
      <c r="D3073" s="7" t="s">
        <v>7573</v>
      </c>
      <c r="E3073" s="7" t="s">
        <v>12726</v>
      </c>
      <c r="F3073" s="8" t="s">
        <v>9173</v>
      </c>
      <c r="G3073" s="7">
        <v>11</v>
      </c>
      <c r="H3073" s="7" t="s">
        <v>9386</v>
      </c>
      <c r="I3073" s="7">
        <v>1</v>
      </c>
      <c r="J3073" s="7" t="s">
        <v>7865</v>
      </c>
      <c r="K3073" s="9" t="s">
        <v>8987</v>
      </c>
    </row>
    <row r="3074" spans="1:11">
      <c r="A3074" s="7">
        <v>3072</v>
      </c>
      <c r="B3074" s="7" t="s">
        <v>9174</v>
      </c>
      <c r="C3074" s="7" t="s">
        <v>8991</v>
      </c>
      <c r="D3074" s="7" t="s">
        <v>7573</v>
      </c>
      <c r="E3074" s="7" t="s">
        <v>12727</v>
      </c>
      <c r="F3074" s="8" t="s">
        <v>9173</v>
      </c>
      <c r="G3074" s="7">
        <v>9</v>
      </c>
      <c r="H3074" s="7" t="s">
        <v>9030</v>
      </c>
      <c r="I3074" s="7">
        <v>1</v>
      </c>
      <c r="J3074" s="7" t="s">
        <v>7766</v>
      </c>
      <c r="K3074" s="9" t="s">
        <v>8987</v>
      </c>
    </row>
    <row r="3075" spans="1:11">
      <c r="A3075" s="7">
        <v>3073</v>
      </c>
      <c r="B3075" s="7" t="s">
        <v>9174</v>
      </c>
      <c r="C3075" s="7" t="s">
        <v>8991</v>
      </c>
      <c r="D3075" s="7" t="s">
        <v>7573</v>
      </c>
      <c r="E3075" s="7" t="s">
        <v>6665</v>
      </c>
      <c r="F3075" s="8" t="s">
        <v>9177</v>
      </c>
      <c r="G3075" s="7">
        <v>7</v>
      </c>
      <c r="H3075" s="7" t="s">
        <v>9182</v>
      </c>
      <c r="I3075" s="7">
        <v>1</v>
      </c>
      <c r="J3075" s="7" t="s">
        <v>7866</v>
      </c>
      <c r="K3075" s="9" t="s">
        <v>8987</v>
      </c>
    </row>
    <row r="3076" spans="1:11">
      <c r="A3076" s="7">
        <v>3074</v>
      </c>
      <c r="B3076" s="7" t="s">
        <v>9174</v>
      </c>
      <c r="C3076" s="7" t="s">
        <v>8991</v>
      </c>
      <c r="D3076" s="7" t="s">
        <v>7573</v>
      </c>
      <c r="E3076" s="7" t="s">
        <v>12728</v>
      </c>
      <c r="F3076" s="8" t="s">
        <v>9177</v>
      </c>
      <c r="G3076" s="7">
        <v>11</v>
      </c>
      <c r="H3076" s="7" t="s">
        <v>9386</v>
      </c>
      <c r="I3076" s="7">
        <v>1</v>
      </c>
      <c r="J3076" s="7" t="s">
        <v>7865</v>
      </c>
      <c r="K3076" s="9" t="s">
        <v>8987</v>
      </c>
    </row>
    <row r="3077" spans="1:11">
      <c r="A3077" s="7">
        <v>3075</v>
      </c>
      <c r="B3077" s="7" t="s">
        <v>9174</v>
      </c>
      <c r="C3077" s="7" t="s">
        <v>8991</v>
      </c>
      <c r="D3077" s="7" t="s">
        <v>7573</v>
      </c>
      <c r="E3077" s="7" t="s">
        <v>12729</v>
      </c>
      <c r="F3077" s="8" t="s">
        <v>9177</v>
      </c>
      <c r="G3077" s="7">
        <v>7</v>
      </c>
      <c r="H3077" s="7" t="s">
        <v>9182</v>
      </c>
      <c r="I3077" s="7">
        <v>1</v>
      </c>
      <c r="J3077" s="7" t="s">
        <v>7866</v>
      </c>
      <c r="K3077" s="9" t="s">
        <v>8987</v>
      </c>
    </row>
    <row r="3078" spans="1:11">
      <c r="A3078" s="7">
        <v>3076</v>
      </c>
      <c r="B3078" s="7" t="s">
        <v>9174</v>
      </c>
      <c r="C3078" s="7" t="s">
        <v>8991</v>
      </c>
      <c r="D3078" s="7" t="s">
        <v>7573</v>
      </c>
      <c r="E3078" s="7" t="s">
        <v>12730</v>
      </c>
      <c r="F3078" s="8" t="s">
        <v>9186</v>
      </c>
      <c r="G3078" s="7">
        <v>12</v>
      </c>
      <c r="H3078" s="7" t="s">
        <v>9213</v>
      </c>
      <c r="I3078" s="7">
        <v>1</v>
      </c>
      <c r="J3078" s="7" t="s">
        <v>7864</v>
      </c>
      <c r="K3078" s="9" t="s">
        <v>8987</v>
      </c>
    </row>
    <row r="3079" spans="1:11">
      <c r="A3079" s="7">
        <v>3077</v>
      </c>
      <c r="B3079" s="7" t="s">
        <v>9174</v>
      </c>
      <c r="C3079" s="7" t="s">
        <v>8991</v>
      </c>
      <c r="D3079" s="7" t="s">
        <v>7573</v>
      </c>
      <c r="E3079" s="7" t="s">
        <v>12731</v>
      </c>
      <c r="F3079" s="8" t="s">
        <v>9186</v>
      </c>
      <c r="G3079" s="7">
        <v>12</v>
      </c>
      <c r="H3079" s="7" t="s">
        <v>9213</v>
      </c>
      <c r="I3079" s="7">
        <v>1</v>
      </c>
      <c r="J3079" s="7" t="s">
        <v>7864</v>
      </c>
      <c r="K3079" s="9" t="s">
        <v>8987</v>
      </c>
    </row>
    <row r="3080" spans="1:11">
      <c r="A3080" s="7">
        <v>3078</v>
      </c>
      <c r="B3080" s="7" t="s">
        <v>9174</v>
      </c>
      <c r="C3080" s="7" t="s">
        <v>8991</v>
      </c>
      <c r="D3080" s="7" t="s">
        <v>7573</v>
      </c>
      <c r="E3080" s="7" t="s">
        <v>12732</v>
      </c>
      <c r="F3080" s="8" t="s">
        <v>9186</v>
      </c>
      <c r="G3080" s="7">
        <v>17</v>
      </c>
      <c r="H3080" s="7" t="s">
        <v>9146</v>
      </c>
      <c r="I3080" s="7">
        <v>1</v>
      </c>
      <c r="J3080" s="7" t="s">
        <v>7850</v>
      </c>
      <c r="K3080" s="9" t="s">
        <v>8987</v>
      </c>
    </row>
    <row r="3081" spans="1:11">
      <c r="A3081" s="7">
        <v>3079</v>
      </c>
      <c r="B3081" s="7" t="s">
        <v>9174</v>
      </c>
      <c r="C3081" s="7" t="s">
        <v>8991</v>
      </c>
      <c r="D3081" s="7" t="s">
        <v>7546</v>
      </c>
      <c r="E3081" s="7" t="s">
        <v>12733</v>
      </c>
      <c r="F3081" s="8" t="s">
        <v>9083</v>
      </c>
      <c r="G3081" s="7">
        <v>26</v>
      </c>
      <c r="H3081" s="7" t="s">
        <v>9136</v>
      </c>
      <c r="I3081" s="7">
        <v>1</v>
      </c>
      <c r="J3081" s="7" t="s">
        <v>10966</v>
      </c>
      <c r="K3081" s="9" t="s">
        <v>8987</v>
      </c>
    </row>
    <row r="3082" spans="1:11">
      <c r="A3082" s="7">
        <v>3080</v>
      </c>
      <c r="B3082" s="7" t="s">
        <v>9174</v>
      </c>
      <c r="C3082" s="7" t="s">
        <v>8991</v>
      </c>
      <c r="D3082" s="7" t="s">
        <v>7546</v>
      </c>
      <c r="E3082" s="7" t="s">
        <v>12734</v>
      </c>
      <c r="F3082" s="8" t="s">
        <v>9083</v>
      </c>
      <c r="G3082" s="7">
        <v>120</v>
      </c>
      <c r="H3082" s="7" t="s">
        <v>9036</v>
      </c>
      <c r="I3082" s="7">
        <v>1</v>
      </c>
      <c r="J3082" s="7" t="s">
        <v>11076</v>
      </c>
      <c r="K3082" s="9" t="s">
        <v>8987</v>
      </c>
    </row>
    <row r="3083" spans="1:11">
      <c r="A3083" s="7">
        <v>3081</v>
      </c>
      <c r="B3083" s="7" t="s">
        <v>9174</v>
      </c>
      <c r="C3083" s="7" t="s">
        <v>8991</v>
      </c>
      <c r="D3083" s="7" t="s">
        <v>7546</v>
      </c>
      <c r="E3083" s="7" t="s">
        <v>12735</v>
      </c>
      <c r="F3083" s="8" t="s">
        <v>9096</v>
      </c>
      <c r="G3083" s="7">
        <v>29</v>
      </c>
      <c r="H3083" s="7" t="s">
        <v>11385</v>
      </c>
      <c r="I3083" s="7">
        <v>1</v>
      </c>
      <c r="J3083" s="7" t="s">
        <v>7853</v>
      </c>
      <c r="K3083" s="9" t="s">
        <v>8987</v>
      </c>
    </row>
    <row r="3084" spans="1:11">
      <c r="A3084" s="7">
        <v>3082</v>
      </c>
      <c r="B3084" s="7" t="s">
        <v>9174</v>
      </c>
      <c r="C3084" s="7" t="s">
        <v>8991</v>
      </c>
      <c r="D3084" s="7" t="s">
        <v>7546</v>
      </c>
      <c r="E3084" s="7" t="s">
        <v>12736</v>
      </c>
      <c r="F3084" s="8" t="s">
        <v>9096</v>
      </c>
      <c r="G3084" s="7">
        <v>120</v>
      </c>
      <c r="H3084" s="7" t="s">
        <v>9036</v>
      </c>
      <c r="I3084" s="7">
        <v>1</v>
      </c>
      <c r="J3084" s="7" t="s">
        <v>11076</v>
      </c>
      <c r="K3084" s="9" t="s">
        <v>8987</v>
      </c>
    </row>
    <row r="3085" spans="1:11">
      <c r="A3085" s="7">
        <v>3083</v>
      </c>
      <c r="B3085" s="7" t="s">
        <v>9174</v>
      </c>
      <c r="C3085" s="7" t="s">
        <v>8991</v>
      </c>
      <c r="D3085" s="7" t="s">
        <v>7546</v>
      </c>
      <c r="E3085" s="7" t="s">
        <v>12737</v>
      </c>
      <c r="F3085" s="8" t="s">
        <v>9098</v>
      </c>
      <c r="G3085" s="7">
        <v>29</v>
      </c>
      <c r="H3085" s="7" t="s">
        <v>11385</v>
      </c>
      <c r="I3085" s="7">
        <v>1</v>
      </c>
      <c r="J3085" s="7" t="s">
        <v>7853</v>
      </c>
      <c r="K3085" s="9" t="s">
        <v>8987</v>
      </c>
    </row>
    <row r="3086" spans="1:11">
      <c r="A3086" s="7">
        <v>3084</v>
      </c>
      <c r="B3086" s="7" t="s">
        <v>9174</v>
      </c>
      <c r="C3086" s="7" t="s">
        <v>8991</v>
      </c>
      <c r="D3086" s="7" t="s">
        <v>7546</v>
      </c>
      <c r="E3086" s="7" t="s">
        <v>12738</v>
      </c>
      <c r="F3086" s="8" t="s">
        <v>9098</v>
      </c>
      <c r="G3086" s="7">
        <v>120</v>
      </c>
      <c r="H3086" s="7" t="s">
        <v>9036</v>
      </c>
      <c r="I3086" s="7">
        <v>1</v>
      </c>
      <c r="J3086" s="7" t="s">
        <v>11076</v>
      </c>
      <c r="K3086" s="9" t="s">
        <v>8987</v>
      </c>
    </row>
    <row r="3087" spans="1:11">
      <c r="A3087" s="7">
        <v>3085</v>
      </c>
      <c r="B3087" s="7" t="s">
        <v>9174</v>
      </c>
      <c r="C3087" s="7" t="s">
        <v>8991</v>
      </c>
      <c r="D3087" s="7" t="s">
        <v>7546</v>
      </c>
      <c r="E3087" s="7" t="s">
        <v>12739</v>
      </c>
      <c r="F3087" s="8" t="s">
        <v>7894</v>
      </c>
      <c r="G3087" s="7">
        <v>26</v>
      </c>
      <c r="H3087" s="7" t="s">
        <v>9136</v>
      </c>
      <c r="I3087" s="7">
        <v>1</v>
      </c>
      <c r="J3087" s="7" t="s">
        <v>10966</v>
      </c>
      <c r="K3087" s="9" t="s">
        <v>8987</v>
      </c>
    </row>
    <row r="3088" spans="1:11">
      <c r="A3088" s="7">
        <v>3086</v>
      </c>
      <c r="B3088" s="7" t="s">
        <v>9174</v>
      </c>
      <c r="C3088" s="7" t="s">
        <v>8991</v>
      </c>
      <c r="D3088" s="7" t="s">
        <v>7546</v>
      </c>
      <c r="E3088" s="7" t="s">
        <v>12740</v>
      </c>
      <c r="F3088" s="8" t="s">
        <v>9094</v>
      </c>
      <c r="G3088" s="7">
        <v>27</v>
      </c>
      <c r="H3088" s="7" t="s">
        <v>9130</v>
      </c>
      <c r="I3088" s="7">
        <v>1</v>
      </c>
      <c r="J3088" s="7" t="s">
        <v>7852</v>
      </c>
      <c r="K3088" s="9" t="s">
        <v>8987</v>
      </c>
    </row>
    <row r="3089" spans="1:11">
      <c r="A3089" s="7">
        <v>3087</v>
      </c>
      <c r="B3089" s="7" t="s">
        <v>9174</v>
      </c>
      <c r="C3089" s="7" t="s">
        <v>8991</v>
      </c>
      <c r="D3089" s="7" t="s">
        <v>7546</v>
      </c>
      <c r="E3089" s="7" t="s">
        <v>12741</v>
      </c>
      <c r="F3089" s="8" t="s">
        <v>9094</v>
      </c>
      <c r="G3089" s="7">
        <v>120</v>
      </c>
      <c r="H3089" s="7" t="s">
        <v>9036</v>
      </c>
      <c r="I3089" s="7">
        <v>1</v>
      </c>
      <c r="J3089" s="7" t="s">
        <v>11076</v>
      </c>
      <c r="K3089" s="9" t="s">
        <v>8987</v>
      </c>
    </row>
    <row r="3090" spans="1:11">
      <c r="A3090" s="7">
        <v>3088</v>
      </c>
      <c r="B3090" s="7" t="s">
        <v>9174</v>
      </c>
      <c r="C3090" s="7" t="s">
        <v>8991</v>
      </c>
      <c r="D3090" s="7" t="s">
        <v>7546</v>
      </c>
      <c r="E3090" s="7" t="s">
        <v>12742</v>
      </c>
      <c r="F3090" s="8" t="s">
        <v>9163</v>
      </c>
      <c r="G3090" s="7">
        <v>77</v>
      </c>
      <c r="H3090" s="7" t="s">
        <v>12743</v>
      </c>
      <c r="I3090" s="7">
        <v>1</v>
      </c>
      <c r="J3090" s="7" t="s">
        <v>12744</v>
      </c>
      <c r="K3090" s="9" t="s">
        <v>8987</v>
      </c>
    </row>
    <row r="3091" spans="1:11">
      <c r="A3091" s="7">
        <v>3089</v>
      </c>
      <c r="B3091" s="7" t="s">
        <v>9174</v>
      </c>
      <c r="C3091" s="7" t="s">
        <v>8991</v>
      </c>
      <c r="D3091" s="7" t="s">
        <v>7546</v>
      </c>
      <c r="E3091" s="7" t="s">
        <v>12745</v>
      </c>
      <c r="F3091" s="8" t="s">
        <v>9163</v>
      </c>
      <c r="G3091" s="7">
        <v>120</v>
      </c>
      <c r="H3091" s="7" t="s">
        <v>9036</v>
      </c>
      <c r="I3091" s="7">
        <v>1</v>
      </c>
      <c r="J3091" s="7" t="s">
        <v>11076</v>
      </c>
      <c r="K3091" s="9" t="s">
        <v>8987</v>
      </c>
    </row>
    <row r="3092" spans="1:11">
      <c r="A3092" s="7">
        <v>3090</v>
      </c>
      <c r="B3092" s="7" t="s">
        <v>9174</v>
      </c>
      <c r="C3092" s="7" t="s">
        <v>8991</v>
      </c>
      <c r="D3092" s="7" t="s">
        <v>7546</v>
      </c>
      <c r="E3092" s="7" t="s">
        <v>12746</v>
      </c>
      <c r="F3092" s="8" t="s">
        <v>9165</v>
      </c>
      <c r="G3092" s="7">
        <v>77</v>
      </c>
      <c r="H3092" s="7" t="s">
        <v>12743</v>
      </c>
      <c r="I3092" s="7">
        <v>1</v>
      </c>
      <c r="J3092" s="7" t="s">
        <v>12744</v>
      </c>
      <c r="K3092" s="9" t="s">
        <v>8987</v>
      </c>
    </row>
    <row r="3093" spans="1:11">
      <c r="A3093" s="7">
        <v>3091</v>
      </c>
      <c r="B3093" s="7" t="s">
        <v>9174</v>
      </c>
      <c r="C3093" s="7" t="s">
        <v>8991</v>
      </c>
      <c r="D3093" s="7" t="s">
        <v>7566</v>
      </c>
      <c r="E3093" s="7" t="s">
        <v>12747</v>
      </c>
      <c r="F3093" s="8" t="s">
        <v>9965</v>
      </c>
      <c r="G3093" s="7">
        <v>6</v>
      </c>
      <c r="H3093" s="7" t="s">
        <v>9218</v>
      </c>
      <c r="I3093" s="7">
        <v>1</v>
      </c>
      <c r="J3093" s="7" t="s">
        <v>7623</v>
      </c>
      <c r="K3093" s="9" t="s">
        <v>8987</v>
      </c>
    </row>
    <row r="3094" spans="1:11">
      <c r="A3094" s="7">
        <v>3092</v>
      </c>
      <c r="B3094" s="7" t="s">
        <v>9174</v>
      </c>
      <c r="C3094" s="7" t="s">
        <v>8991</v>
      </c>
      <c r="D3094" s="7" t="s">
        <v>7566</v>
      </c>
      <c r="E3094" s="7" t="s">
        <v>12748</v>
      </c>
      <c r="F3094" s="8" t="s">
        <v>9965</v>
      </c>
      <c r="G3094" s="7">
        <v>12</v>
      </c>
      <c r="H3094" s="7" t="s">
        <v>9213</v>
      </c>
      <c r="I3094" s="7">
        <v>1</v>
      </c>
      <c r="J3094" s="7" t="s">
        <v>7864</v>
      </c>
      <c r="K3094" s="9" t="s">
        <v>8987</v>
      </c>
    </row>
    <row r="3095" spans="1:11">
      <c r="A3095" s="7">
        <v>3093</v>
      </c>
      <c r="B3095" s="7" t="s">
        <v>9174</v>
      </c>
      <c r="C3095" s="7" t="s">
        <v>8991</v>
      </c>
      <c r="D3095" s="7" t="s">
        <v>7566</v>
      </c>
      <c r="E3095" s="7" t="s">
        <v>12749</v>
      </c>
      <c r="F3095" s="8" t="s">
        <v>9965</v>
      </c>
      <c r="G3095" s="7">
        <v>9</v>
      </c>
      <c r="H3095" s="7" t="s">
        <v>9030</v>
      </c>
      <c r="I3095" s="7">
        <v>1</v>
      </c>
      <c r="J3095" s="7" t="s">
        <v>7766</v>
      </c>
      <c r="K3095" s="9" t="s">
        <v>8987</v>
      </c>
    </row>
    <row r="3096" spans="1:11">
      <c r="A3096" s="7">
        <v>3094</v>
      </c>
      <c r="B3096" s="7" t="s">
        <v>9174</v>
      </c>
      <c r="C3096" s="7" t="s">
        <v>8991</v>
      </c>
      <c r="D3096" s="7" t="s">
        <v>7566</v>
      </c>
      <c r="E3096" s="7" t="s">
        <v>12750</v>
      </c>
      <c r="F3096" s="8" t="s">
        <v>9965</v>
      </c>
      <c r="G3096" s="7">
        <v>12</v>
      </c>
      <c r="H3096" s="7" t="s">
        <v>9213</v>
      </c>
      <c r="I3096" s="7">
        <v>1</v>
      </c>
      <c r="J3096" s="7" t="s">
        <v>7864</v>
      </c>
      <c r="K3096" s="9" t="s">
        <v>8987</v>
      </c>
    </row>
    <row r="3097" spans="1:11">
      <c r="A3097" s="7">
        <v>3095</v>
      </c>
      <c r="B3097" s="7" t="s">
        <v>9174</v>
      </c>
      <c r="C3097" s="7" t="s">
        <v>8991</v>
      </c>
      <c r="D3097" s="7" t="s">
        <v>7566</v>
      </c>
      <c r="E3097" s="7" t="s">
        <v>12751</v>
      </c>
      <c r="F3097" s="8" t="s">
        <v>9969</v>
      </c>
      <c r="G3097" s="7">
        <v>6</v>
      </c>
      <c r="H3097" s="7" t="s">
        <v>9218</v>
      </c>
      <c r="I3097" s="7">
        <v>1</v>
      </c>
      <c r="J3097" s="7" t="s">
        <v>7623</v>
      </c>
      <c r="K3097" s="9" t="s">
        <v>8987</v>
      </c>
    </row>
    <row r="3098" spans="1:11">
      <c r="A3098" s="7">
        <v>3096</v>
      </c>
      <c r="B3098" s="7" t="s">
        <v>9174</v>
      </c>
      <c r="C3098" s="7" t="s">
        <v>8991</v>
      </c>
      <c r="D3098" s="7" t="s">
        <v>7566</v>
      </c>
      <c r="E3098" s="7" t="s">
        <v>12752</v>
      </c>
      <c r="F3098" s="8" t="s">
        <v>9969</v>
      </c>
      <c r="G3098" s="7">
        <v>12</v>
      </c>
      <c r="H3098" s="7" t="s">
        <v>9213</v>
      </c>
      <c r="I3098" s="7">
        <v>1</v>
      </c>
      <c r="J3098" s="7" t="s">
        <v>7864</v>
      </c>
      <c r="K3098" s="9" t="s">
        <v>8987</v>
      </c>
    </row>
    <row r="3099" spans="1:11">
      <c r="A3099" s="7">
        <v>3097</v>
      </c>
      <c r="B3099" s="7" t="s">
        <v>9174</v>
      </c>
      <c r="C3099" s="7" t="s">
        <v>8991</v>
      </c>
      <c r="D3099" s="7" t="s">
        <v>7566</v>
      </c>
      <c r="E3099" s="7" t="s">
        <v>12753</v>
      </c>
      <c r="F3099" s="8" t="s">
        <v>9969</v>
      </c>
      <c r="G3099" s="7">
        <v>9</v>
      </c>
      <c r="H3099" s="7" t="s">
        <v>9030</v>
      </c>
      <c r="I3099" s="7">
        <v>1</v>
      </c>
      <c r="J3099" s="7" t="s">
        <v>7766</v>
      </c>
      <c r="K3099" s="9" t="s">
        <v>8987</v>
      </c>
    </row>
    <row r="3100" spans="1:11">
      <c r="A3100" s="7">
        <v>3098</v>
      </c>
      <c r="B3100" s="7" t="s">
        <v>9174</v>
      </c>
      <c r="C3100" s="7" t="s">
        <v>8991</v>
      </c>
      <c r="D3100" s="7" t="s">
        <v>7566</v>
      </c>
      <c r="E3100" s="7" t="s">
        <v>12754</v>
      </c>
      <c r="F3100" s="8" t="s">
        <v>9969</v>
      </c>
      <c r="G3100" s="7">
        <v>12</v>
      </c>
      <c r="H3100" s="7" t="s">
        <v>9213</v>
      </c>
      <c r="I3100" s="7">
        <v>1</v>
      </c>
      <c r="J3100" s="7" t="s">
        <v>7864</v>
      </c>
      <c r="K3100" s="9" t="s">
        <v>8987</v>
      </c>
    </row>
    <row r="3101" spans="1:11">
      <c r="A3101" s="7">
        <v>3099</v>
      </c>
      <c r="B3101" s="7" t="s">
        <v>9174</v>
      </c>
      <c r="C3101" s="7" t="s">
        <v>8991</v>
      </c>
      <c r="D3101" s="7" t="s">
        <v>7566</v>
      </c>
      <c r="E3101" s="7" t="s">
        <v>12755</v>
      </c>
      <c r="F3101" s="8" t="s">
        <v>9971</v>
      </c>
      <c r="G3101" s="7">
        <v>6</v>
      </c>
      <c r="H3101" s="7" t="s">
        <v>9218</v>
      </c>
      <c r="I3101" s="7">
        <v>1</v>
      </c>
      <c r="J3101" s="7" t="s">
        <v>7623</v>
      </c>
      <c r="K3101" s="9" t="s">
        <v>8987</v>
      </c>
    </row>
    <row r="3102" spans="1:11">
      <c r="A3102" s="7">
        <v>3100</v>
      </c>
      <c r="B3102" s="7" t="s">
        <v>9174</v>
      </c>
      <c r="C3102" s="7" t="s">
        <v>8991</v>
      </c>
      <c r="D3102" s="7" t="s">
        <v>7566</v>
      </c>
      <c r="E3102" s="7" t="s">
        <v>7345</v>
      </c>
      <c r="F3102" s="8" t="s">
        <v>9971</v>
      </c>
      <c r="G3102" s="7">
        <v>12</v>
      </c>
      <c r="H3102" s="7" t="s">
        <v>9213</v>
      </c>
      <c r="I3102" s="7">
        <v>1</v>
      </c>
      <c r="J3102" s="7" t="s">
        <v>7864</v>
      </c>
      <c r="K3102" s="9" t="s">
        <v>8987</v>
      </c>
    </row>
    <row r="3103" spans="1:11">
      <c r="A3103" s="7">
        <v>3101</v>
      </c>
      <c r="B3103" s="7" t="s">
        <v>9174</v>
      </c>
      <c r="C3103" s="7" t="s">
        <v>8991</v>
      </c>
      <c r="D3103" s="7" t="s">
        <v>7566</v>
      </c>
      <c r="E3103" s="7" t="s">
        <v>12756</v>
      </c>
      <c r="F3103" s="8" t="s">
        <v>9971</v>
      </c>
      <c r="G3103" s="7">
        <v>9</v>
      </c>
      <c r="H3103" s="7" t="s">
        <v>9030</v>
      </c>
      <c r="I3103" s="7">
        <v>1</v>
      </c>
      <c r="J3103" s="7" t="s">
        <v>7766</v>
      </c>
      <c r="K3103" s="9" t="s">
        <v>8987</v>
      </c>
    </row>
    <row r="3104" spans="1:11">
      <c r="A3104" s="7">
        <v>3102</v>
      </c>
      <c r="B3104" s="7" t="s">
        <v>9174</v>
      </c>
      <c r="C3104" s="7" t="s">
        <v>8991</v>
      </c>
      <c r="D3104" s="7" t="s">
        <v>7566</v>
      </c>
      <c r="E3104" s="7" t="s">
        <v>12757</v>
      </c>
      <c r="F3104" s="8" t="s">
        <v>9971</v>
      </c>
      <c r="G3104" s="7">
        <v>12</v>
      </c>
      <c r="H3104" s="7" t="s">
        <v>9213</v>
      </c>
      <c r="I3104" s="7">
        <v>1</v>
      </c>
      <c r="J3104" s="7" t="s">
        <v>7864</v>
      </c>
      <c r="K3104" s="9" t="s">
        <v>8987</v>
      </c>
    </row>
    <row r="3105" spans="1:11">
      <c r="A3105" s="7">
        <v>3103</v>
      </c>
      <c r="B3105" s="7" t="s">
        <v>9174</v>
      </c>
      <c r="C3105" s="7" t="s">
        <v>8991</v>
      </c>
      <c r="D3105" s="7" t="s">
        <v>7566</v>
      </c>
      <c r="E3105" s="7" t="s">
        <v>12758</v>
      </c>
      <c r="F3105" s="8" t="s">
        <v>11828</v>
      </c>
      <c r="G3105" s="7">
        <v>6</v>
      </c>
      <c r="H3105" s="7" t="s">
        <v>9218</v>
      </c>
      <c r="I3105" s="7">
        <v>1</v>
      </c>
      <c r="J3105" s="7" t="s">
        <v>7623</v>
      </c>
      <c r="K3105" s="9" t="s">
        <v>8987</v>
      </c>
    </row>
    <row r="3106" spans="1:11">
      <c r="A3106" s="7">
        <v>3104</v>
      </c>
      <c r="B3106" s="7" t="s">
        <v>9174</v>
      </c>
      <c r="C3106" s="7" t="s">
        <v>8991</v>
      </c>
      <c r="D3106" s="7" t="s">
        <v>7566</v>
      </c>
      <c r="E3106" s="7" t="s">
        <v>12759</v>
      </c>
      <c r="F3106" s="8" t="s">
        <v>11828</v>
      </c>
      <c r="G3106" s="7">
        <v>12</v>
      </c>
      <c r="H3106" s="7" t="s">
        <v>9213</v>
      </c>
      <c r="I3106" s="7">
        <v>1</v>
      </c>
      <c r="J3106" s="7" t="s">
        <v>7864</v>
      </c>
      <c r="K3106" s="9" t="s">
        <v>8987</v>
      </c>
    </row>
    <row r="3107" spans="1:11">
      <c r="A3107" s="7">
        <v>3105</v>
      </c>
      <c r="B3107" s="7" t="s">
        <v>9174</v>
      </c>
      <c r="C3107" s="7" t="s">
        <v>8991</v>
      </c>
      <c r="D3107" s="7" t="s">
        <v>7566</v>
      </c>
      <c r="E3107" s="7" t="s">
        <v>12760</v>
      </c>
      <c r="F3107" s="8" t="s">
        <v>11828</v>
      </c>
      <c r="G3107" s="7">
        <v>9</v>
      </c>
      <c r="H3107" s="7" t="s">
        <v>9030</v>
      </c>
      <c r="I3107" s="7">
        <v>1</v>
      </c>
      <c r="J3107" s="7" t="s">
        <v>7766</v>
      </c>
      <c r="K3107" s="9" t="s">
        <v>8987</v>
      </c>
    </row>
    <row r="3108" spans="1:11">
      <c r="A3108" s="7">
        <v>3106</v>
      </c>
      <c r="B3108" s="7" t="s">
        <v>9174</v>
      </c>
      <c r="C3108" s="7" t="s">
        <v>8991</v>
      </c>
      <c r="D3108" s="7" t="s">
        <v>7566</v>
      </c>
      <c r="E3108" s="7" t="s">
        <v>5364</v>
      </c>
      <c r="F3108" s="8" t="s">
        <v>11828</v>
      </c>
      <c r="G3108" s="7">
        <v>12</v>
      </c>
      <c r="H3108" s="7" t="s">
        <v>9213</v>
      </c>
      <c r="I3108" s="7">
        <v>1</v>
      </c>
      <c r="J3108" s="7" t="s">
        <v>7864</v>
      </c>
      <c r="K3108" s="9" t="s">
        <v>8987</v>
      </c>
    </row>
    <row r="3109" spans="1:11">
      <c r="A3109" s="7">
        <v>3107</v>
      </c>
      <c r="B3109" s="7" t="s">
        <v>9174</v>
      </c>
      <c r="C3109" s="7" t="s">
        <v>8991</v>
      </c>
      <c r="D3109" s="7" t="s">
        <v>7566</v>
      </c>
      <c r="E3109" s="7" t="s">
        <v>12761</v>
      </c>
      <c r="F3109" s="8" t="s">
        <v>7968</v>
      </c>
      <c r="G3109" s="7">
        <v>15</v>
      </c>
      <c r="H3109" s="7" t="s">
        <v>9053</v>
      </c>
      <c r="I3109" s="7">
        <v>1</v>
      </c>
      <c r="J3109" s="7" t="s">
        <v>7862</v>
      </c>
      <c r="K3109" s="9" t="s">
        <v>8987</v>
      </c>
    </row>
    <row r="3110" spans="1:11">
      <c r="A3110" s="7">
        <v>3108</v>
      </c>
      <c r="B3110" s="7" t="s">
        <v>9174</v>
      </c>
      <c r="C3110" s="7" t="s">
        <v>8991</v>
      </c>
      <c r="D3110" s="7" t="s">
        <v>7566</v>
      </c>
      <c r="E3110" s="7" t="s">
        <v>12762</v>
      </c>
      <c r="F3110" s="8" t="s">
        <v>7968</v>
      </c>
      <c r="G3110" s="7">
        <v>32</v>
      </c>
      <c r="H3110" s="7" t="s">
        <v>10392</v>
      </c>
      <c r="I3110" s="7">
        <v>1</v>
      </c>
      <c r="J3110" s="7" t="s">
        <v>12763</v>
      </c>
      <c r="K3110" s="9" t="s">
        <v>8987</v>
      </c>
    </row>
    <row r="3111" spans="1:11">
      <c r="A3111" s="7">
        <v>3109</v>
      </c>
      <c r="B3111" s="7" t="s">
        <v>9174</v>
      </c>
      <c r="C3111" s="7" t="s">
        <v>8991</v>
      </c>
      <c r="D3111" s="7" t="s">
        <v>7566</v>
      </c>
      <c r="E3111" s="7" t="s">
        <v>12764</v>
      </c>
      <c r="F3111" s="8" t="s">
        <v>7968</v>
      </c>
      <c r="G3111" s="7">
        <v>24</v>
      </c>
      <c r="H3111" s="7" t="s">
        <v>9418</v>
      </c>
      <c r="I3111" s="7">
        <v>1</v>
      </c>
      <c r="J3111" s="7" t="s">
        <v>7871</v>
      </c>
      <c r="K3111" s="9" t="s">
        <v>8987</v>
      </c>
    </row>
    <row r="3112" spans="1:11">
      <c r="A3112" s="7">
        <v>3110</v>
      </c>
      <c r="B3112" s="7" t="s">
        <v>9174</v>
      </c>
      <c r="C3112" s="7" t="s">
        <v>8991</v>
      </c>
      <c r="D3112" s="7" t="s">
        <v>7566</v>
      </c>
      <c r="E3112" s="7" t="s">
        <v>12765</v>
      </c>
      <c r="F3112" s="8" t="s">
        <v>7968</v>
      </c>
      <c r="G3112" s="7">
        <v>15</v>
      </c>
      <c r="H3112" s="7" t="s">
        <v>9053</v>
      </c>
      <c r="I3112" s="7">
        <v>1</v>
      </c>
      <c r="J3112" s="7" t="s">
        <v>7862</v>
      </c>
      <c r="K3112" s="9" t="s">
        <v>8987</v>
      </c>
    </row>
    <row r="3113" spans="1:11">
      <c r="A3113" s="7">
        <v>3111</v>
      </c>
      <c r="B3113" s="7" t="s">
        <v>9174</v>
      </c>
      <c r="C3113" s="7" t="s">
        <v>8991</v>
      </c>
      <c r="D3113" s="7" t="s">
        <v>7566</v>
      </c>
      <c r="E3113" s="7" t="s">
        <v>12766</v>
      </c>
      <c r="F3113" s="8" t="s">
        <v>7969</v>
      </c>
      <c r="G3113" s="7">
        <v>15</v>
      </c>
      <c r="H3113" s="7" t="s">
        <v>9053</v>
      </c>
      <c r="I3113" s="7">
        <v>1</v>
      </c>
      <c r="J3113" s="7" t="s">
        <v>7862</v>
      </c>
      <c r="K3113" s="9" t="s">
        <v>8987</v>
      </c>
    </row>
    <row r="3114" spans="1:11">
      <c r="A3114" s="7">
        <v>3112</v>
      </c>
      <c r="B3114" s="7" t="s">
        <v>9174</v>
      </c>
      <c r="C3114" s="7" t="s">
        <v>8991</v>
      </c>
      <c r="D3114" s="7" t="s">
        <v>7566</v>
      </c>
      <c r="E3114" s="7" t="s">
        <v>12767</v>
      </c>
      <c r="F3114" s="8" t="s">
        <v>7969</v>
      </c>
      <c r="G3114" s="7">
        <v>32</v>
      </c>
      <c r="H3114" s="7" t="s">
        <v>10392</v>
      </c>
      <c r="I3114" s="7">
        <v>1</v>
      </c>
      <c r="J3114" s="7" t="s">
        <v>12763</v>
      </c>
      <c r="K3114" s="9" t="s">
        <v>8987</v>
      </c>
    </row>
    <row r="3115" spans="1:11">
      <c r="A3115" s="7">
        <v>3113</v>
      </c>
      <c r="B3115" s="7" t="s">
        <v>9174</v>
      </c>
      <c r="C3115" s="7" t="s">
        <v>8991</v>
      </c>
      <c r="D3115" s="7" t="s">
        <v>7566</v>
      </c>
      <c r="E3115" s="7" t="s">
        <v>12768</v>
      </c>
      <c r="F3115" s="8" t="s">
        <v>7969</v>
      </c>
      <c r="G3115" s="7">
        <v>24</v>
      </c>
      <c r="H3115" s="7" t="s">
        <v>9418</v>
      </c>
      <c r="I3115" s="7">
        <v>1</v>
      </c>
      <c r="J3115" s="7" t="s">
        <v>7871</v>
      </c>
      <c r="K3115" s="9" t="s">
        <v>8987</v>
      </c>
    </row>
    <row r="3116" spans="1:11">
      <c r="A3116" s="7">
        <v>3114</v>
      </c>
      <c r="B3116" s="7" t="s">
        <v>9174</v>
      </c>
      <c r="C3116" s="7" t="s">
        <v>8991</v>
      </c>
      <c r="D3116" s="7" t="s">
        <v>7566</v>
      </c>
      <c r="E3116" s="7" t="s">
        <v>12769</v>
      </c>
      <c r="F3116" s="8" t="s">
        <v>7969</v>
      </c>
      <c r="G3116" s="7">
        <v>15</v>
      </c>
      <c r="H3116" s="7" t="s">
        <v>9053</v>
      </c>
      <c r="I3116" s="7">
        <v>1</v>
      </c>
      <c r="J3116" s="7" t="s">
        <v>7862</v>
      </c>
      <c r="K3116" s="9" t="s">
        <v>8987</v>
      </c>
    </row>
    <row r="3117" spans="1:11">
      <c r="A3117" s="7">
        <v>3115</v>
      </c>
      <c r="B3117" s="7" t="s">
        <v>9174</v>
      </c>
      <c r="C3117" s="7" t="s">
        <v>8991</v>
      </c>
      <c r="D3117" s="7" t="s">
        <v>7566</v>
      </c>
      <c r="E3117" s="7" t="s">
        <v>12770</v>
      </c>
      <c r="F3117" s="8" t="s">
        <v>7970</v>
      </c>
      <c r="G3117" s="7">
        <v>15</v>
      </c>
      <c r="H3117" s="7" t="s">
        <v>9053</v>
      </c>
      <c r="I3117" s="7">
        <v>1</v>
      </c>
      <c r="J3117" s="7" t="s">
        <v>7862</v>
      </c>
      <c r="K3117" s="9" t="s">
        <v>8987</v>
      </c>
    </row>
    <row r="3118" spans="1:11">
      <c r="A3118" s="7">
        <v>3116</v>
      </c>
      <c r="B3118" s="7" t="s">
        <v>9174</v>
      </c>
      <c r="C3118" s="7" t="s">
        <v>8991</v>
      </c>
      <c r="D3118" s="7" t="s">
        <v>7566</v>
      </c>
      <c r="E3118" s="7" t="s">
        <v>12771</v>
      </c>
      <c r="F3118" s="8" t="s">
        <v>7970</v>
      </c>
      <c r="G3118" s="7">
        <v>32</v>
      </c>
      <c r="H3118" s="7" t="s">
        <v>10392</v>
      </c>
      <c r="I3118" s="7">
        <v>1</v>
      </c>
      <c r="J3118" s="7" t="s">
        <v>12763</v>
      </c>
      <c r="K3118" s="9" t="s">
        <v>8987</v>
      </c>
    </row>
    <row r="3119" spans="1:11">
      <c r="A3119" s="7">
        <v>3117</v>
      </c>
      <c r="B3119" s="7" t="s">
        <v>9174</v>
      </c>
      <c r="C3119" s="7" t="s">
        <v>8991</v>
      </c>
      <c r="D3119" s="7" t="s">
        <v>7566</v>
      </c>
      <c r="E3119" s="7" t="s">
        <v>12772</v>
      </c>
      <c r="F3119" s="8" t="s">
        <v>7970</v>
      </c>
      <c r="G3119" s="7">
        <v>24</v>
      </c>
      <c r="H3119" s="7" t="s">
        <v>9418</v>
      </c>
      <c r="I3119" s="7">
        <v>1</v>
      </c>
      <c r="J3119" s="7" t="s">
        <v>7871</v>
      </c>
      <c r="K3119" s="9" t="s">
        <v>8987</v>
      </c>
    </row>
    <row r="3120" spans="1:11">
      <c r="A3120" s="7">
        <v>3118</v>
      </c>
      <c r="B3120" s="7" t="s">
        <v>9174</v>
      </c>
      <c r="C3120" s="7" t="s">
        <v>8991</v>
      </c>
      <c r="D3120" s="7" t="s">
        <v>7566</v>
      </c>
      <c r="E3120" s="7" t="s">
        <v>12773</v>
      </c>
      <c r="F3120" s="8" t="s">
        <v>7970</v>
      </c>
      <c r="G3120" s="7">
        <v>15</v>
      </c>
      <c r="H3120" s="7" t="s">
        <v>9053</v>
      </c>
      <c r="I3120" s="7">
        <v>1</v>
      </c>
      <c r="J3120" s="7" t="s">
        <v>7862</v>
      </c>
      <c r="K3120" s="9" t="s">
        <v>8987</v>
      </c>
    </row>
    <row r="3121" spans="1:11">
      <c r="A3121" s="7">
        <v>3119</v>
      </c>
      <c r="B3121" s="7" t="s">
        <v>9174</v>
      </c>
      <c r="C3121" s="7" t="s">
        <v>8991</v>
      </c>
      <c r="D3121" s="7" t="s">
        <v>7566</v>
      </c>
      <c r="E3121" s="7" t="s">
        <v>12774</v>
      </c>
      <c r="F3121" s="8" t="s">
        <v>7971</v>
      </c>
      <c r="G3121" s="7">
        <v>15</v>
      </c>
      <c r="H3121" s="7" t="s">
        <v>9053</v>
      </c>
      <c r="I3121" s="7">
        <v>1</v>
      </c>
      <c r="J3121" s="7" t="s">
        <v>7862</v>
      </c>
      <c r="K3121" s="9" t="s">
        <v>8987</v>
      </c>
    </row>
    <row r="3122" spans="1:11">
      <c r="A3122" s="7">
        <v>3120</v>
      </c>
      <c r="B3122" s="7" t="s">
        <v>9174</v>
      </c>
      <c r="C3122" s="7" t="s">
        <v>8991</v>
      </c>
      <c r="D3122" s="7" t="s">
        <v>7566</v>
      </c>
      <c r="E3122" s="7" t="s">
        <v>12775</v>
      </c>
      <c r="F3122" s="8" t="s">
        <v>7971</v>
      </c>
      <c r="G3122" s="7">
        <v>32</v>
      </c>
      <c r="H3122" s="7" t="s">
        <v>10392</v>
      </c>
      <c r="I3122" s="7">
        <v>1</v>
      </c>
      <c r="J3122" s="7" t="s">
        <v>12763</v>
      </c>
      <c r="K3122" s="9" t="s">
        <v>8987</v>
      </c>
    </row>
    <row r="3123" spans="1:11">
      <c r="A3123" s="7">
        <v>3121</v>
      </c>
      <c r="B3123" s="7" t="s">
        <v>9174</v>
      </c>
      <c r="C3123" s="7" t="s">
        <v>8991</v>
      </c>
      <c r="D3123" s="7" t="s">
        <v>7566</v>
      </c>
      <c r="E3123" s="7" t="s">
        <v>12776</v>
      </c>
      <c r="F3123" s="8" t="s">
        <v>7971</v>
      </c>
      <c r="G3123" s="7">
        <v>24</v>
      </c>
      <c r="H3123" s="7" t="s">
        <v>9418</v>
      </c>
      <c r="I3123" s="7">
        <v>1</v>
      </c>
      <c r="J3123" s="7" t="s">
        <v>7871</v>
      </c>
      <c r="K3123" s="9" t="s">
        <v>8987</v>
      </c>
    </row>
    <row r="3124" spans="1:11">
      <c r="A3124" s="7">
        <v>3122</v>
      </c>
      <c r="B3124" s="7" t="s">
        <v>9174</v>
      </c>
      <c r="C3124" s="7" t="s">
        <v>8991</v>
      </c>
      <c r="D3124" s="7" t="s">
        <v>7566</v>
      </c>
      <c r="E3124" s="7" t="s">
        <v>12777</v>
      </c>
      <c r="F3124" s="8" t="s">
        <v>7971</v>
      </c>
      <c r="G3124" s="7">
        <v>15</v>
      </c>
      <c r="H3124" s="7" t="s">
        <v>9053</v>
      </c>
      <c r="I3124" s="7">
        <v>1</v>
      </c>
      <c r="J3124" s="7" t="s">
        <v>7862</v>
      </c>
      <c r="K3124" s="9" t="s">
        <v>8987</v>
      </c>
    </row>
    <row r="3125" spans="1:11">
      <c r="A3125" s="7">
        <v>3123</v>
      </c>
      <c r="B3125" s="7" t="s">
        <v>9174</v>
      </c>
      <c r="C3125" s="7" t="s">
        <v>8991</v>
      </c>
      <c r="D3125" s="7" t="s">
        <v>7566</v>
      </c>
      <c r="E3125" s="7" t="s">
        <v>12778</v>
      </c>
      <c r="F3125" s="8" t="s">
        <v>7972</v>
      </c>
      <c r="G3125" s="7">
        <v>8</v>
      </c>
      <c r="H3125" s="7" t="s">
        <v>8991</v>
      </c>
      <c r="I3125" s="7">
        <v>1</v>
      </c>
      <c r="J3125" s="7" t="s">
        <v>7764</v>
      </c>
      <c r="K3125" s="9" t="s">
        <v>8987</v>
      </c>
    </row>
    <row r="3126" spans="1:11">
      <c r="A3126" s="7">
        <v>3124</v>
      </c>
      <c r="B3126" s="7" t="s">
        <v>9174</v>
      </c>
      <c r="C3126" s="7" t="s">
        <v>8991</v>
      </c>
      <c r="D3126" s="7" t="s">
        <v>7566</v>
      </c>
      <c r="E3126" s="7" t="s">
        <v>12779</v>
      </c>
      <c r="F3126" s="8" t="s">
        <v>7972</v>
      </c>
      <c r="G3126" s="7">
        <v>15</v>
      </c>
      <c r="H3126" s="7" t="s">
        <v>9053</v>
      </c>
      <c r="I3126" s="7">
        <v>1</v>
      </c>
      <c r="J3126" s="7" t="s">
        <v>7862</v>
      </c>
      <c r="K3126" s="9" t="s">
        <v>8987</v>
      </c>
    </row>
    <row r="3127" spans="1:11">
      <c r="A3127" s="7">
        <v>3125</v>
      </c>
      <c r="B3127" s="7" t="s">
        <v>9174</v>
      </c>
      <c r="C3127" s="7" t="s">
        <v>8991</v>
      </c>
      <c r="D3127" s="7" t="s">
        <v>7566</v>
      </c>
      <c r="E3127" s="7" t="s">
        <v>12780</v>
      </c>
      <c r="F3127" s="8" t="s">
        <v>7972</v>
      </c>
      <c r="G3127" s="7">
        <v>11</v>
      </c>
      <c r="H3127" s="7" t="s">
        <v>9386</v>
      </c>
      <c r="I3127" s="7">
        <v>1</v>
      </c>
      <c r="J3127" s="7" t="s">
        <v>7865</v>
      </c>
      <c r="K3127" s="9" t="s">
        <v>8987</v>
      </c>
    </row>
    <row r="3128" spans="1:11">
      <c r="A3128" s="7">
        <v>3126</v>
      </c>
      <c r="B3128" s="7" t="s">
        <v>9174</v>
      </c>
      <c r="C3128" s="7" t="s">
        <v>8991</v>
      </c>
      <c r="D3128" s="7" t="s">
        <v>7566</v>
      </c>
      <c r="E3128" s="7" t="s">
        <v>12781</v>
      </c>
      <c r="F3128" s="8" t="s">
        <v>7972</v>
      </c>
      <c r="G3128" s="7">
        <v>15</v>
      </c>
      <c r="H3128" s="7" t="s">
        <v>9053</v>
      </c>
      <c r="I3128" s="7">
        <v>1</v>
      </c>
      <c r="J3128" s="7" t="s">
        <v>7862</v>
      </c>
      <c r="K3128" s="9" t="s">
        <v>8987</v>
      </c>
    </row>
    <row r="3129" spans="1:11">
      <c r="A3129" s="7">
        <v>3127</v>
      </c>
      <c r="B3129" s="7" t="s">
        <v>9174</v>
      </c>
      <c r="C3129" s="7" t="s">
        <v>8991</v>
      </c>
      <c r="D3129" s="7" t="s">
        <v>7566</v>
      </c>
      <c r="E3129" s="7" t="s">
        <v>12782</v>
      </c>
      <c r="F3129" s="8" t="s">
        <v>7973</v>
      </c>
      <c r="G3129" s="7">
        <v>8</v>
      </c>
      <c r="H3129" s="7" t="s">
        <v>8991</v>
      </c>
      <c r="I3129" s="7">
        <v>1</v>
      </c>
      <c r="J3129" s="7" t="s">
        <v>7764</v>
      </c>
      <c r="K3129" s="9" t="s">
        <v>8987</v>
      </c>
    </row>
    <row r="3130" spans="1:11">
      <c r="A3130" s="7">
        <v>3128</v>
      </c>
      <c r="B3130" s="7" t="s">
        <v>9174</v>
      </c>
      <c r="C3130" s="7" t="s">
        <v>8991</v>
      </c>
      <c r="D3130" s="7" t="s">
        <v>7566</v>
      </c>
      <c r="E3130" s="7" t="s">
        <v>12783</v>
      </c>
      <c r="F3130" s="8" t="s">
        <v>7973</v>
      </c>
      <c r="G3130" s="7">
        <v>15</v>
      </c>
      <c r="H3130" s="7" t="s">
        <v>9053</v>
      </c>
      <c r="I3130" s="7">
        <v>1</v>
      </c>
      <c r="J3130" s="7" t="s">
        <v>7862</v>
      </c>
      <c r="K3130" s="9" t="s">
        <v>8987</v>
      </c>
    </row>
    <row r="3131" spans="1:11">
      <c r="A3131" s="7">
        <v>3129</v>
      </c>
      <c r="B3131" s="7" t="s">
        <v>9174</v>
      </c>
      <c r="C3131" s="7" t="s">
        <v>8991</v>
      </c>
      <c r="D3131" s="7" t="s">
        <v>7566</v>
      </c>
      <c r="E3131" s="7" t="s">
        <v>12784</v>
      </c>
      <c r="F3131" s="8" t="s">
        <v>7973</v>
      </c>
      <c r="G3131" s="7">
        <v>11</v>
      </c>
      <c r="H3131" s="7" t="s">
        <v>9386</v>
      </c>
      <c r="I3131" s="7">
        <v>1</v>
      </c>
      <c r="J3131" s="7" t="s">
        <v>7865</v>
      </c>
      <c r="K3131" s="9" t="s">
        <v>8987</v>
      </c>
    </row>
    <row r="3132" spans="1:11">
      <c r="A3132" s="7">
        <v>3130</v>
      </c>
      <c r="B3132" s="7" t="s">
        <v>9174</v>
      </c>
      <c r="C3132" s="7" t="s">
        <v>8991</v>
      </c>
      <c r="D3132" s="7" t="s">
        <v>7566</v>
      </c>
      <c r="E3132" s="7" t="s">
        <v>12785</v>
      </c>
      <c r="F3132" s="8" t="s">
        <v>7973</v>
      </c>
      <c r="G3132" s="7">
        <v>15</v>
      </c>
      <c r="H3132" s="7" t="s">
        <v>9053</v>
      </c>
      <c r="I3132" s="7">
        <v>1</v>
      </c>
      <c r="J3132" s="7" t="s">
        <v>7862</v>
      </c>
      <c r="K3132" s="9" t="s">
        <v>8987</v>
      </c>
    </row>
    <row r="3133" spans="1:11">
      <c r="A3133" s="7">
        <v>3131</v>
      </c>
      <c r="B3133" s="7" t="s">
        <v>9174</v>
      </c>
      <c r="C3133" s="7" t="s">
        <v>8991</v>
      </c>
      <c r="D3133" s="7" t="s">
        <v>7542</v>
      </c>
      <c r="E3133" s="7" t="s">
        <v>12786</v>
      </c>
      <c r="F3133" s="8" t="s">
        <v>9010</v>
      </c>
      <c r="G3133" s="7">
        <v>63</v>
      </c>
      <c r="H3133" s="7" t="s">
        <v>10960</v>
      </c>
      <c r="I3133" s="7">
        <v>1</v>
      </c>
      <c r="J3133" s="7" t="s">
        <v>10961</v>
      </c>
      <c r="K3133" s="9" t="s">
        <v>8987</v>
      </c>
    </row>
    <row r="3134" spans="1:11">
      <c r="A3134" s="7">
        <v>3132</v>
      </c>
      <c r="B3134" s="7" t="s">
        <v>9174</v>
      </c>
      <c r="C3134" s="7" t="s">
        <v>8991</v>
      </c>
      <c r="D3134" s="7" t="s">
        <v>7542</v>
      </c>
      <c r="E3134" s="7" t="s">
        <v>12787</v>
      </c>
      <c r="F3134" s="8" t="s">
        <v>9010</v>
      </c>
      <c r="G3134" s="7">
        <v>32</v>
      </c>
      <c r="H3134" s="7" t="s">
        <v>10392</v>
      </c>
      <c r="I3134" s="7">
        <v>1</v>
      </c>
      <c r="J3134" s="7" t="s">
        <v>12763</v>
      </c>
      <c r="K3134" s="9" t="s">
        <v>8987</v>
      </c>
    </row>
    <row r="3135" spans="1:11">
      <c r="A3135" s="7">
        <v>3133</v>
      </c>
      <c r="B3135" s="7" t="s">
        <v>9174</v>
      </c>
      <c r="C3135" s="7" t="s">
        <v>9386</v>
      </c>
      <c r="D3135" s="7" t="s">
        <v>7542</v>
      </c>
      <c r="E3135" s="7" t="s">
        <v>12788</v>
      </c>
      <c r="F3135" s="8" t="s">
        <v>9010</v>
      </c>
      <c r="G3135" s="7">
        <v>32</v>
      </c>
      <c r="H3135" s="7" t="s">
        <v>10392</v>
      </c>
      <c r="I3135" s="7">
        <v>1</v>
      </c>
      <c r="J3135" s="7" t="s">
        <v>12763</v>
      </c>
      <c r="K3135" s="9" t="s">
        <v>8987</v>
      </c>
    </row>
    <row r="3136" spans="1:11">
      <c r="A3136" s="7">
        <v>3134</v>
      </c>
      <c r="B3136" s="7" t="s">
        <v>9174</v>
      </c>
      <c r="C3136" s="7" t="s">
        <v>8991</v>
      </c>
      <c r="D3136" s="7" t="s">
        <v>7542</v>
      </c>
      <c r="E3136" s="7" t="s">
        <v>12789</v>
      </c>
      <c r="F3136" s="8" t="s">
        <v>9014</v>
      </c>
      <c r="G3136" s="7">
        <v>63</v>
      </c>
      <c r="H3136" s="7" t="s">
        <v>10960</v>
      </c>
      <c r="I3136" s="7">
        <v>1</v>
      </c>
      <c r="J3136" s="7" t="s">
        <v>10961</v>
      </c>
      <c r="K3136" s="9" t="s">
        <v>8987</v>
      </c>
    </row>
    <row r="3137" spans="1:11">
      <c r="A3137" s="7">
        <v>3135</v>
      </c>
      <c r="B3137" s="7" t="s">
        <v>9174</v>
      </c>
      <c r="C3137" s="7" t="s">
        <v>8991</v>
      </c>
      <c r="D3137" s="7" t="s">
        <v>7542</v>
      </c>
      <c r="E3137" s="7" t="s">
        <v>12790</v>
      </c>
      <c r="F3137" s="8" t="s">
        <v>9014</v>
      </c>
      <c r="G3137" s="7">
        <v>32</v>
      </c>
      <c r="H3137" s="7" t="s">
        <v>10392</v>
      </c>
      <c r="I3137" s="7">
        <v>1</v>
      </c>
      <c r="J3137" s="7" t="s">
        <v>12763</v>
      </c>
      <c r="K3137" s="9" t="s">
        <v>8987</v>
      </c>
    </row>
    <row r="3138" spans="1:11">
      <c r="A3138" s="7">
        <v>3136</v>
      </c>
      <c r="B3138" s="7" t="s">
        <v>9174</v>
      </c>
      <c r="C3138" s="7" t="s">
        <v>9386</v>
      </c>
      <c r="D3138" s="7" t="s">
        <v>7542</v>
      </c>
      <c r="E3138" s="7" t="s">
        <v>12791</v>
      </c>
      <c r="F3138" s="8" t="s">
        <v>9014</v>
      </c>
      <c r="G3138" s="7">
        <v>32</v>
      </c>
      <c r="H3138" s="7" t="s">
        <v>10392</v>
      </c>
      <c r="I3138" s="7">
        <v>1</v>
      </c>
      <c r="J3138" s="7" t="s">
        <v>12763</v>
      </c>
      <c r="K3138" s="9" t="s">
        <v>8987</v>
      </c>
    </row>
    <row r="3139" spans="1:11">
      <c r="A3139" s="7">
        <v>3137</v>
      </c>
      <c r="B3139" s="7" t="s">
        <v>9174</v>
      </c>
      <c r="C3139" s="7" t="s">
        <v>8991</v>
      </c>
      <c r="D3139" s="7" t="s">
        <v>7542</v>
      </c>
      <c r="E3139" s="7" t="s">
        <v>12792</v>
      </c>
      <c r="F3139" s="8" t="s">
        <v>9145</v>
      </c>
      <c r="G3139" s="7">
        <v>57</v>
      </c>
      <c r="H3139" s="7" t="s">
        <v>11747</v>
      </c>
      <c r="I3139" s="7">
        <v>1</v>
      </c>
      <c r="J3139" s="7" t="s">
        <v>7843</v>
      </c>
      <c r="K3139" s="9" t="s">
        <v>8987</v>
      </c>
    </row>
    <row r="3140" spans="1:11">
      <c r="A3140" s="7">
        <v>3138</v>
      </c>
      <c r="B3140" s="7" t="s">
        <v>9174</v>
      </c>
      <c r="C3140" s="7" t="s">
        <v>8991</v>
      </c>
      <c r="D3140" s="7" t="s">
        <v>7542</v>
      </c>
      <c r="E3140" s="7" t="s">
        <v>12793</v>
      </c>
      <c r="F3140" s="8" t="s">
        <v>9145</v>
      </c>
      <c r="G3140" s="7">
        <v>29</v>
      </c>
      <c r="H3140" s="7" t="s">
        <v>11385</v>
      </c>
      <c r="I3140" s="7">
        <v>1</v>
      </c>
      <c r="J3140" s="7" t="s">
        <v>7853</v>
      </c>
      <c r="K3140" s="9" t="s">
        <v>8987</v>
      </c>
    </row>
    <row r="3141" spans="1:11">
      <c r="A3141" s="7">
        <v>3139</v>
      </c>
      <c r="B3141" s="7" t="s">
        <v>9174</v>
      </c>
      <c r="C3141" s="7" t="s">
        <v>9386</v>
      </c>
      <c r="D3141" s="7" t="s">
        <v>7542</v>
      </c>
      <c r="E3141" s="7" t="s">
        <v>12794</v>
      </c>
      <c r="F3141" s="8" t="s">
        <v>9145</v>
      </c>
      <c r="G3141" s="7">
        <v>29</v>
      </c>
      <c r="H3141" s="7" t="s">
        <v>11385</v>
      </c>
      <c r="I3141" s="7">
        <v>1</v>
      </c>
      <c r="J3141" s="7" t="s">
        <v>7853</v>
      </c>
      <c r="K3141" s="9" t="s">
        <v>8987</v>
      </c>
    </row>
    <row r="3142" spans="1:11">
      <c r="A3142" s="7">
        <v>3140</v>
      </c>
      <c r="B3142" s="7" t="s">
        <v>11164</v>
      </c>
      <c r="C3142" s="7" t="s">
        <v>9386</v>
      </c>
      <c r="D3142" s="7" t="s">
        <v>7542</v>
      </c>
      <c r="E3142" s="7" t="s">
        <v>12795</v>
      </c>
      <c r="F3142" s="8" t="s">
        <v>9541</v>
      </c>
      <c r="G3142" s="7">
        <v>26</v>
      </c>
      <c r="H3142" s="7" t="s">
        <v>9136</v>
      </c>
      <c r="I3142" s="7">
        <v>1</v>
      </c>
      <c r="J3142" s="7" t="s">
        <v>10966</v>
      </c>
      <c r="K3142" s="9" t="s">
        <v>8987</v>
      </c>
    </row>
    <row r="3143" spans="1:11">
      <c r="A3143" s="7">
        <v>3141</v>
      </c>
      <c r="B3143" s="7" t="s">
        <v>9174</v>
      </c>
      <c r="C3143" s="7" t="s">
        <v>9386</v>
      </c>
      <c r="D3143" s="7" t="s">
        <v>7542</v>
      </c>
      <c r="E3143" s="7" t="s">
        <v>12796</v>
      </c>
      <c r="F3143" s="8" t="s">
        <v>10416</v>
      </c>
      <c r="G3143" s="7">
        <v>30</v>
      </c>
      <c r="H3143" s="7" t="s">
        <v>9015</v>
      </c>
      <c r="I3143" s="7">
        <v>1</v>
      </c>
      <c r="J3143" s="7" t="s">
        <v>7855</v>
      </c>
      <c r="K3143" s="9" t="s">
        <v>8987</v>
      </c>
    </row>
    <row r="3144" spans="1:11">
      <c r="A3144" s="7">
        <v>3142</v>
      </c>
      <c r="B3144" s="7" t="s">
        <v>9174</v>
      </c>
      <c r="C3144" s="7" t="s">
        <v>8991</v>
      </c>
      <c r="D3144" s="7" t="s">
        <v>7549</v>
      </c>
      <c r="E3144" s="7" t="s">
        <v>12797</v>
      </c>
      <c r="F3144" s="8" t="s">
        <v>9210</v>
      </c>
      <c r="G3144" s="7">
        <v>20</v>
      </c>
      <c r="H3144" s="7" t="s">
        <v>9394</v>
      </c>
      <c r="I3144" s="7">
        <v>1</v>
      </c>
      <c r="J3144" s="7" t="s">
        <v>7851</v>
      </c>
      <c r="K3144" s="9" t="s">
        <v>8987</v>
      </c>
    </row>
    <row r="3145" spans="1:11">
      <c r="A3145" s="7">
        <v>3143</v>
      </c>
      <c r="B3145" s="7" t="s">
        <v>9174</v>
      </c>
      <c r="C3145" s="7" t="s">
        <v>9386</v>
      </c>
      <c r="D3145" s="7" t="s">
        <v>7549</v>
      </c>
      <c r="E3145" s="7" t="s">
        <v>7217</v>
      </c>
      <c r="F3145" s="8" t="s">
        <v>9210</v>
      </c>
      <c r="G3145" s="7">
        <v>30</v>
      </c>
      <c r="H3145" s="7" t="s">
        <v>9015</v>
      </c>
      <c r="I3145" s="7">
        <v>1</v>
      </c>
      <c r="J3145" s="7" t="s">
        <v>7855</v>
      </c>
      <c r="K3145" s="9" t="s">
        <v>8987</v>
      </c>
    </row>
    <row r="3146" spans="1:11">
      <c r="A3146" s="7">
        <v>3144</v>
      </c>
      <c r="B3146" s="7" t="s">
        <v>9174</v>
      </c>
      <c r="C3146" s="7" t="s">
        <v>8991</v>
      </c>
      <c r="D3146" s="7" t="s">
        <v>7550</v>
      </c>
      <c r="E3146" s="7" t="s">
        <v>12798</v>
      </c>
      <c r="F3146" s="8" t="s">
        <v>10308</v>
      </c>
      <c r="G3146" s="7">
        <v>23</v>
      </c>
      <c r="H3146" s="7" t="s">
        <v>9120</v>
      </c>
      <c r="I3146" s="7">
        <v>1</v>
      </c>
      <c r="J3146" s="7" t="s">
        <v>7848</v>
      </c>
      <c r="K3146" s="9" t="s">
        <v>8987</v>
      </c>
    </row>
    <row r="3147" spans="1:11">
      <c r="A3147" s="7">
        <v>3145</v>
      </c>
      <c r="B3147" s="7" t="s">
        <v>9174</v>
      </c>
      <c r="C3147" s="7" t="s">
        <v>9386</v>
      </c>
      <c r="D3147" s="7" t="s">
        <v>7550</v>
      </c>
      <c r="E3147" s="7" t="s">
        <v>12799</v>
      </c>
      <c r="F3147" s="8" t="s">
        <v>10308</v>
      </c>
      <c r="G3147" s="7">
        <v>12</v>
      </c>
      <c r="H3147" s="7" t="s">
        <v>9213</v>
      </c>
      <c r="I3147" s="7">
        <v>1</v>
      </c>
      <c r="J3147" s="7" t="s">
        <v>7864</v>
      </c>
      <c r="K3147" s="9" t="s">
        <v>8987</v>
      </c>
    </row>
    <row r="3148" spans="1:11">
      <c r="A3148" s="7">
        <v>3146</v>
      </c>
      <c r="B3148" s="7" t="s">
        <v>9174</v>
      </c>
      <c r="C3148" s="7" t="s">
        <v>8991</v>
      </c>
      <c r="D3148" s="7" t="s">
        <v>7550</v>
      </c>
      <c r="E3148" s="7" t="s">
        <v>12800</v>
      </c>
      <c r="F3148" s="8" t="s">
        <v>9669</v>
      </c>
      <c r="G3148" s="7">
        <v>23</v>
      </c>
      <c r="H3148" s="7" t="s">
        <v>9120</v>
      </c>
      <c r="I3148" s="7">
        <v>1</v>
      </c>
      <c r="J3148" s="7" t="s">
        <v>7848</v>
      </c>
      <c r="K3148" s="9" t="s">
        <v>8987</v>
      </c>
    </row>
    <row r="3149" spans="1:11">
      <c r="A3149" s="7">
        <v>3147</v>
      </c>
      <c r="B3149" s="7" t="s">
        <v>9174</v>
      </c>
      <c r="C3149" s="7" t="s">
        <v>9386</v>
      </c>
      <c r="D3149" s="7" t="s">
        <v>7550</v>
      </c>
      <c r="E3149" s="7" t="s">
        <v>12801</v>
      </c>
      <c r="F3149" s="8" t="s">
        <v>9669</v>
      </c>
      <c r="G3149" s="7">
        <v>12</v>
      </c>
      <c r="H3149" s="7" t="s">
        <v>9213</v>
      </c>
      <c r="I3149" s="7">
        <v>1</v>
      </c>
      <c r="J3149" s="7" t="s">
        <v>7864</v>
      </c>
      <c r="K3149" s="9" t="s">
        <v>8987</v>
      </c>
    </row>
    <row r="3150" spans="1:11">
      <c r="A3150" s="7">
        <v>3148</v>
      </c>
      <c r="B3150" s="7" t="s">
        <v>9174</v>
      </c>
      <c r="C3150" s="7" t="s">
        <v>8991</v>
      </c>
      <c r="D3150" s="7" t="s">
        <v>7550</v>
      </c>
      <c r="E3150" s="7" t="s">
        <v>12802</v>
      </c>
      <c r="F3150" s="8" t="s">
        <v>9436</v>
      </c>
      <c r="G3150" s="7">
        <v>24</v>
      </c>
      <c r="H3150" s="7" t="s">
        <v>9418</v>
      </c>
      <c r="I3150" s="7">
        <v>1</v>
      </c>
      <c r="J3150" s="7" t="s">
        <v>7871</v>
      </c>
      <c r="K3150" s="9" t="s">
        <v>8987</v>
      </c>
    </row>
    <row r="3151" spans="1:11">
      <c r="A3151" s="7">
        <v>3149</v>
      </c>
      <c r="B3151" s="7" t="s">
        <v>9174</v>
      </c>
      <c r="C3151" s="7" t="s">
        <v>9386</v>
      </c>
      <c r="D3151" s="7" t="s">
        <v>7550</v>
      </c>
      <c r="E3151" s="7" t="s">
        <v>12803</v>
      </c>
      <c r="F3151" s="8" t="s">
        <v>9436</v>
      </c>
      <c r="G3151" s="7">
        <v>12</v>
      </c>
      <c r="H3151" s="7" t="s">
        <v>9213</v>
      </c>
      <c r="I3151" s="7">
        <v>1</v>
      </c>
      <c r="J3151" s="7" t="s">
        <v>7864</v>
      </c>
      <c r="K3151" s="9" t="s">
        <v>8987</v>
      </c>
    </row>
    <row r="3152" spans="1:11">
      <c r="A3152" s="7">
        <v>3150</v>
      </c>
      <c r="B3152" s="7" t="s">
        <v>9174</v>
      </c>
      <c r="C3152" s="7" t="s">
        <v>8991</v>
      </c>
      <c r="D3152" s="7" t="s">
        <v>7556</v>
      </c>
      <c r="E3152" s="7" t="s">
        <v>12804</v>
      </c>
      <c r="F3152" s="8" t="s">
        <v>9067</v>
      </c>
      <c r="G3152" s="7">
        <v>5</v>
      </c>
      <c r="H3152" s="7" t="s">
        <v>9336</v>
      </c>
      <c r="I3152" s="7">
        <v>1</v>
      </c>
      <c r="J3152" s="7" t="s">
        <v>7620</v>
      </c>
      <c r="K3152" s="9" t="s">
        <v>8987</v>
      </c>
    </row>
    <row r="3153" spans="1:11">
      <c r="A3153" s="7">
        <v>3151</v>
      </c>
      <c r="B3153" s="7" t="s">
        <v>9174</v>
      </c>
      <c r="C3153" s="7" t="s">
        <v>8991</v>
      </c>
      <c r="D3153" s="7" t="s">
        <v>7556</v>
      </c>
      <c r="E3153" s="7" t="s">
        <v>12805</v>
      </c>
      <c r="F3153" s="8" t="s">
        <v>9069</v>
      </c>
      <c r="G3153" s="7">
        <v>5</v>
      </c>
      <c r="H3153" s="7" t="s">
        <v>9336</v>
      </c>
      <c r="I3153" s="7">
        <v>1</v>
      </c>
      <c r="J3153" s="7" t="s">
        <v>7620</v>
      </c>
      <c r="K3153" s="9" t="s">
        <v>8987</v>
      </c>
    </row>
    <row r="3154" spans="1:11">
      <c r="A3154" s="7">
        <v>3152</v>
      </c>
      <c r="B3154" s="7" t="s">
        <v>9174</v>
      </c>
      <c r="C3154" s="7" t="s">
        <v>8991</v>
      </c>
      <c r="D3154" s="7" t="s">
        <v>7556</v>
      </c>
      <c r="E3154" s="7" t="s">
        <v>12806</v>
      </c>
      <c r="F3154" s="8" t="s">
        <v>9071</v>
      </c>
      <c r="G3154" s="7">
        <v>5</v>
      </c>
      <c r="H3154" s="7" t="s">
        <v>9336</v>
      </c>
      <c r="I3154" s="7">
        <v>1</v>
      </c>
      <c r="J3154" s="7" t="s">
        <v>7620</v>
      </c>
      <c r="K3154" s="9" t="s">
        <v>8987</v>
      </c>
    </row>
    <row r="3155" spans="1:11">
      <c r="A3155" s="7">
        <v>3153</v>
      </c>
      <c r="B3155" s="7" t="s">
        <v>9174</v>
      </c>
      <c r="C3155" s="7" t="s">
        <v>8991</v>
      </c>
      <c r="D3155" s="7" t="s">
        <v>7556</v>
      </c>
      <c r="E3155" s="7" t="s">
        <v>12807</v>
      </c>
      <c r="F3155" s="8" t="s">
        <v>9563</v>
      </c>
      <c r="G3155" s="7">
        <v>5</v>
      </c>
      <c r="H3155" s="7" t="s">
        <v>9336</v>
      </c>
      <c r="I3155" s="7">
        <v>1</v>
      </c>
      <c r="J3155" s="7" t="s">
        <v>7620</v>
      </c>
      <c r="K3155" s="9" t="s">
        <v>8987</v>
      </c>
    </row>
    <row r="3156" spans="1:11">
      <c r="A3156" s="7">
        <v>3154</v>
      </c>
      <c r="B3156" s="7" t="s">
        <v>9174</v>
      </c>
      <c r="C3156" s="7" t="s">
        <v>8991</v>
      </c>
      <c r="D3156" s="7" t="s">
        <v>7556</v>
      </c>
      <c r="E3156" s="7" t="s">
        <v>12808</v>
      </c>
      <c r="F3156" s="8" t="s">
        <v>9073</v>
      </c>
      <c r="G3156" s="7">
        <v>57</v>
      </c>
      <c r="H3156" s="7" t="s">
        <v>11747</v>
      </c>
      <c r="I3156" s="7">
        <v>1</v>
      </c>
      <c r="J3156" s="7" t="s">
        <v>7843</v>
      </c>
      <c r="K3156" s="9" t="s">
        <v>8987</v>
      </c>
    </row>
    <row r="3157" spans="1:11">
      <c r="A3157" s="7">
        <v>3155</v>
      </c>
      <c r="B3157" s="7" t="s">
        <v>9174</v>
      </c>
      <c r="C3157" s="7" t="s">
        <v>8991</v>
      </c>
      <c r="D3157" s="7" t="s">
        <v>7556</v>
      </c>
      <c r="E3157" s="7" t="s">
        <v>5500</v>
      </c>
      <c r="F3157" s="8" t="s">
        <v>9075</v>
      </c>
      <c r="G3157" s="7">
        <v>57</v>
      </c>
      <c r="H3157" s="7" t="s">
        <v>11747</v>
      </c>
      <c r="I3157" s="7">
        <v>1</v>
      </c>
      <c r="J3157" s="7" t="s">
        <v>7843</v>
      </c>
      <c r="K3157" s="9" t="s">
        <v>8987</v>
      </c>
    </row>
    <row r="3158" spans="1:11">
      <c r="A3158" s="7">
        <v>3156</v>
      </c>
      <c r="B3158" s="7" t="s">
        <v>9174</v>
      </c>
      <c r="C3158" s="7" t="s">
        <v>8991</v>
      </c>
      <c r="D3158" s="7" t="s">
        <v>7556</v>
      </c>
      <c r="E3158" s="7" t="s">
        <v>12809</v>
      </c>
      <c r="F3158" s="8" t="s">
        <v>9304</v>
      </c>
      <c r="G3158" s="7">
        <v>71</v>
      </c>
      <c r="H3158" s="7" t="s">
        <v>12810</v>
      </c>
      <c r="I3158" s="7">
        <v>1</v>
      </c>
      <c r="J3158" s="7" t="s">
        <v>12811</v>
      </c>
      <c r="K3158" s="9" t="s">
        <v>8987</v>
      </c>
    </row>
    <row r="3159" spans="1:11">
      <c r="A3159" s="7">
        <v>3157</v>
      </c>
      <c r="B3159" s="7" t="s">
        <v>9174</v>
      </c>
      <c r="C3159" s="7" t="s">
        <v>8991</v>
      </c>
      <c r="D3159" s="7" t="s">
        <v>7556</v>
      </c>
      <c r="E3159" s="7" t="s">
        <v>12812</v>
      </c>
      <c r="F3159" s="8" t="s">
        <v>9304</v>
      </c>
      <c r="G3159" s="7">
        <v>90</v>
      </c>
      <c r="H3159" s="7" t="s">
        <v>9642</v>
      </c>
      <c r="I3159" s="7">
        <v>1</v>
      </c>
      <c r="J3159" s="7" t="s">
        <v>7869</v>
      </c>
      <c r="K3159" s="9" t="s">
        <v>8987</v>
      </c>
    </row>
    <row r="3160" spans="1:11">
      <c r="A3160" s="7">
        <v>3158</v>
      </c>
      <c r="B3160" s="7" t="s">
        <v>9174</v>
      </c>
      <c r="C3160" s="7" t="s">
        <v>8991</v>
      </c>
      <c r="D3160" s="7" t="s">
        <v>7556</v>
      </c>
      <c r="E3160" s="7" t="s">
        <v>4821</v>
      </c>
      <c r="F3160" s="8" t="s">
        <v>9304</v>
      </c>
      <c r="G3160" s="7">
        <v>90</v>
      </c>
      <c r="H3160" s="7" t="s">
        <v>9642</v>
      </c>
      <c r="I3160" s="7">
        <v>1</v>
      </c>
      <c r="J3160" s="7" t="s">
        <v>7869</v>
      </c>
      <c r="K3160" s="9" t="s">
        <v>8987</v>
      </c>
    </row>
    <row r="3161" spans="1:11">
      <c r="A3161" s="7">
        <v>3159</v>
      </c>
      <c r="B3161" s="7" t="s">
        <v>9174</v>
      </c>
      <c r="C3161" s="7" t="s">
        <v>9386</v>
      </c>
      <c r="D3161" s="7" t="s">
        <v>7556</v>
      </c>
      <c r="E3161" s="7" t="s">
        <v>12813</v>
      </c>
      <c r="F3161" s="8" t="s">
        <v>9304</v>
      </c>
      <c r="G3161" s="7">
        <v>36</v>
      </c>
      <c r="H3161" s="7" t="s">
        <v>10305</v>
      </c>
      <c r="I3161" s="7">
        <v>1</v>
      </c>
      <c r="J3161" s="7" t="s">
        <v>11492</v>
      </c>
      <c r="K3161" s="9" t="s">
        <v>8987</v>
      </c>
    </row>
    <row r="3162" spans="1:11">
      <c r="A3162" s="7">
        <v>3160</v>
      </c>
      <c r="B3162" s="7" t="s">
        <v>9174</v>
      </c>
      <c r="C3162" s="7" t="s">
        <v>8991</v>
      </c>
      <c r="D3162" s="7" t="s">
        <v>7556</v>
      </c>
      <c r="E3162" s="7" t="s">
        <v>12814</v>
      </c>
      <c r="F3162" s="8" t="s">
        <v>9306</v>
      </c>
      <c r="G3162" s="7">
        <v>71</v>
      </c>
      <c r="H3162" s="7" t="s">
        <v>12810</v>
      </c>
      <c r="I3162" s="7">
        <v>1</v>
      </c>
      <c r="J3162" s="7" t="s">
        <v>12811</v>
      </c>
      <c r="K3162" s="9" t="s">
        <v>8987</v>
      </c>
    </row>
    <row r="3163" spans="1:11">
      <c r="A3163" s="7">
        <v>3161</v>
      </c>
      <c r="B3163" s="7" t="s">
        <v>9174</v>
      </c>
      <c r="C3163" s="7" t="s">
        <v>8991</v>
      </c>
      <c r="D3163" s="7" t="s">
        <v>7556</v>
      </c>
      <c r="E3163" s="7" t="s">
        <v>12815</v>
      </c>
      <c r="F3163" s="8" t="s">
        <v>9306</v>
      </c>
      <c r="G3163" s="7">
        <v>90</v>
      </c>
      <c r="H3163" s="7" t="s">
        <v>9642</v>
      </c>
      <c r="I3163" s="7">
        <v>1</v>
      </c>
      <c r="J3163" s="7" t="s">
        <v>7869</v>
      </c>
      <c r="K3163" s="9" t="s">
        <v>8987</v>
      </c>
    </row>
    <row r="3164" spans="1:11">
      <c r="A3164" s="7">
        <v>3162</v>
      </c>
      <c r="B3164" s="7" t="s">
        <v>9174</v>
      </c>
      <c r="C3164" s="7" t="s">
        <v>8991</v>
      </c>
      <c r="D3164" s="7" t="s">
        <v>7556</v>
      </c>
      <c r="E3164" s="7" t="s">
        <v>12816</v>
      </c>
      <c r="F3164" s="8" t="s">
        <v>9306</v>
      </c>
      <c r="G3164" s="7">
        <v>90</v>
      </c>
      <c r="H3164" s="7" t="s">
        <v>9642</v>
      </c>
      <c r="I3164" s="7">
        <v>1</v>
      </c>
      <c r="J3164" s="7" t="s">
        <v>7869</v>
      </c>
      <c r="K3164" s="9" t="s">
        <v>8987</v>
      </c>
    </row>
    <row r="3165" spans="1:11">
      <c r="A3165" s="7">
        <v>3163</v>
      </c>
      <c r="B3165" s="7" t="s">
        <v>9174</v>
      </c>
      <c r="C3165" s="7" t="s">
        <v>9386</v>
      </c>
      <c r="D3165" s="7" t="s">
        <v>7556</v>
      </c>
      <c r="E3165" s="7" t="s">
        <v>12817</v>
      </c>
      <c r="F3165" s="8" t="s">
        <v>9306</v>
      </c>
      <c r="G3165" s="7">
        <v>36</v>
      </c>
      <c r="H3165" s="7" t="s">
        <v>10305</v>
      </c>
      <c r="I3165" s="7">
        <v>1</v>
      </c>
      <c r="J3165" s="7" t="s">
        <v>11492</v>
      </c>
      <c r="K3165" s="9" t="s">
        <v>8987</v>
      </c>
    </row>
    <row r="3166" spans="1:11">
      <c r="A3166" s="7">
        <v>3164</v>
      </c>
      <c r="B3166" s="7" t="s">
        <v>9174</v>
      </c>
      <c r="C3166" s="7" t="s">
        <v>8991</v>
      </c>
      <c r="D3166" s="7" t="s">
        <v>7556</v>
      </c>
      <c r="E3166" s="7" t="s">
        <v>12818</v>
      </c>
      <c r="F3166" s="8" t="s">
        <v>9308</v>
      </c>
      <c r="G3166" s="7">
        <v>71</v>
      </c>
      <c r="H3166" s="7" t="s">
        <v>12810</v>
      </c>
      <c r="I3166" s="7">
        <v>1</v>
      </c>
      <c r="J3166" s="7" t="s">
        <v>12811</v>
      </c>
      <c r="K3166" s="9" t="s">
        <v>8987</v>
      </c>
    </row>
    <row r="3167" spans="1:11">
      <c r="A3167" s="7">
        <v>3165</v>
      </c>
      <c r="B3167" s="7" t="s">
        <v>9174</v>
      </c>
      <c r="C3167" s="7" t="s">
        <v>8991</v>
      </c>
      <c r="D3167" s="7" t="s">
        <v>7556</v>
      </c>
      <c r="E3167" s="7" t="s">
        <v>12819</v>
      </c>
      <c r="F3167" s="8" t="s">
        <v>9308</v>
      </c>
      <c r="G3167" s="7">
        <v>90</v>
      </c>
      <c r="H3167" s="7" t="s">
        <v>9642</v>
      </c>
      <c r="I3167" s="7">
        <v>1</v>
      </c>
      <c r="J3167" s="7" t="s">
        <v>7869</v>
      </c>
      <c r="K3167" s="9" t="s">
        <v>8987</v>
      </c>
    </row>
    <row r="3168" spans="1:11">
      <c r="A3168" s="7">
        <v>3166</v>
      </c>
      <c r="B3168" s="7" t="s">
        <v>9174</v>
      </c>
      <c r="C3168" s="7" t="s">
        <v>8991</v>
      </c>
      <c r="D3168" s="7" t="s">
        <v>7556</v>
      </c>
      <c r="E3168" s="7" t="s">
        <v>12820</v>
      </c>
      <c r="F3168" s="8" t="s">
        <v>9308</v>
      </c>
      <c r="G3168" s="7">
        <v>90</v>
      </c>
      <c r="H3168" s="7" t="s">
        <v>9642</v>
      </c>
      <c r="I3168" s="7">
        <v>1</v>
      </c>
      <c r="J3168" s="7" t="s">
        <v>7869</v>
      </c>
      <c r="K3168" s="9" t="s">
        <v>8987</v>
      </c>
    </row>
    <row r="3169" spans="1:11">
      <c r="A3169" s="7">
        <v>3167</v>
      </c>
      <c r="B3169" s="7" t="s">
        <v>9174</v>
      </c>
      <c r="C3169" s="7" t="s">
        <v>9386</v>
      </c>
      <c r="D3169" s="7" t="s">
        <v>7556</v>
      </c>
      <c r="E3169" s="7" t="s">
        <v>12821</v>
      </c>
      <c r="F3169" s="8" t="s">
        <v>9308</v>
      </c>
      <c r="G3169" s="7">
        <v>36</v>
      </c>
      <c r="H3169" s="7" t="s">
        <v>10305</v>
      </c>
      <c r="I3169" s="7">
        <v>1</v>
      </c>
      <c r="J3169" s="7" t="s">
        <v>11492</v>
      </c>
      <c r="K3169" s="9" t="s">
        <v>8987</v>
      </c>
    </row>
    <row r="3170" spans="1:11">
      <c r="A3170" s="7">
        <v>3168</v>
      </c>
      <c r="B3170" s="7" t="s">
        <v>9174</v>
      </c>
      <c r="C3170" s="7" t="s">
        <v>8991</v>
      </c>
      <c r="D3170" s="7" t="s">
        <v>7556</v>
      </c>
      <c r="E3170" s="7" t="s">
        <v>12822</v>
      </c>
      <c r="F3170" s="8" t="s">
        <v>10161</v>
      </c>
      <c r="G3170" s="7">
        <v>71</v>
      </c>
      <c r="H3170" s="7" t="s">
        <v>12810</v>
      </c>
      <c r="I3170" s="7">
        <v>1</v>
      </c>
      <c r="J3170" s="7" t="s">
        <v>12811</v>
      </c>
      <c r="K3170" s="9" t="s">
        <v>8987</v>
      </c>
    </row>
    <row r="3171" spans="1:11">
      <c r="A3171" s="7">
        <v>3169</v>
      </c>
      <c r="B3171" s="7" t="s">
        <v>9174</v>
      </c>
      <c r="C3171" s="7" t="s">
        <v>8991</v>
      </c>
      <c r="D3171" s="7" t="s">
        <v>7556</v>
      </c>
      <c r="E3171" s="7" t="s">
        <v>12823</v>
      </c>
      <c r="F3171" s="8" t="s">
        <v>10161</v>
      </c>
      <c r="G3171" s="7">
        <v>90</v>
      </c>
      <c r="H3171" s="7" t="s">
        <v>9642</v>
      </c>
      <c r="I3171" s="7">
        <v>1</v>
      </c>
      <c r="J3171" s="7" t="s">
        <v>7869</v>
      </c>
      <c r="K3171" s="9" t="s">
        <v>8987</v>
      </c>
    </row>
    <row r="3172" spans="1:11">
      <c r="A3172" s="7">
        <v>3170</v>
      </c>
      <c r="B3172" s="7" t="s">
        <v>9174</v>
      </c>
      <c r="C3172" s="7" t="s">
        <v>8991</v>
      </c>
      <c r="D3172" s="7" t="s">
        <v>7556</v>
      </c>
      <c r="E3172" s="7" t="s">
        <v>12824</v>
      </c>
      <c r="F3172" s="8" t="s">
        <v>10161</v>
      </c>
      <c r="G3172" s="7">
        <v>90</v>
      </c>
      <c r="H3172" s="7" t="s">
        <v>9642</v>
      </c>
      <c r="I3172" s="7">
        <v>1</v>
      </c>
      <c r="J3172" s="7" t="s">
        <v>7869</v>
      </c>
      <c r="K3172" s="9" t="s">
        <v>8987</v>
      </c>
    </row>
    <row r="3173" spans="1:11">
      <c r="A3173" s="7">
        <v>3171</v>
      </c>
      <c r="B3173" s="7" t="s">
        <v>9174</v>
      </c>
      <c r="C3173" s="7" t="s">
        <v>9386</v>
      </c>
      <c r="D3173" s="7" t="s">
        <v>7556</v>
      </c>
      <c r="E3173" s="7" t="s">
        <v>12825</v>
      </c>
      <c r="F3173" s="8" t="s">
        <v>10161</v>
      </c>
      <c r="G3173" s="7">
        <v>36</v>
      </c>
      <c r="H3173" s="7" t="s">
        <v>10305</v>
      </c>
      <c r="I3173" s="7">
        <v>1</v>
      </c>
      <c r="J3173" s="7" t="s">
        <v>11492</v>
      </c>
      <c r="K3173" s="9" t="s">
        <v>8987</v>
      </c>
    </row>
    <row r="3174" spans="1:11">
      <c r="A3174" s="7">
        <v>3172</v>
      </c>
      <c r="B3174" s="7" t="s">
        <v>9174</v>
      </c>
      <c r="C3174" s="7" t="s">
        <v>8991</v>
      </c>
      <c r="D3174" s="7" t="s">
        <v>7556</v>
      </c>
      <c r="E3174" s="7" t="s">
        <v>12826</v>
      </c>
      <c r="F3174" s="8" t="s">
        <v>12071</v>
      </c>
      <c r="G3174" s="7">
        <v>75</v>
      </c>
      <c r="H3174" s="7" t="s">
        <v>9265</v>
      </c>
      <c r="I3174" s="7">
        <v>1</v>
      </c>
      <c r="J3174" s="7" t="s">
        <v>7859</v>
      </c>
      <c r="K3174" s="9" t="s">
        <v>8987</v>
      </c>
    </row>
    <row r="3175" spans="1:11">
      <c r="A3175" s="7">
        <v>3173</v>
      </c>
      <c r="B3175" s="7" t="s">
        <v>9174</v>
      </c>
      <c r="C3175" s="7" t="s">
        <v>8991</v>
      </c>
      <c r="D3175" s="7" t="s">
        <v>7556</v>
      </c>
      <c r="E3175" s="7" t="s">
        <v>12827</v>
      </c>
      <c r="F3175" s="8" t="s">
        <v>12071</v>
      </c>
      <c r="G3175" s="7">
        <v>38</v>
      </c>
      <c r="H3175" s="7" t="s">
        <v>11229</v>
      </c>
      <c r="I3175" s="7">
        <v>1</v>
      </c>
      <c r="J3175" s="7" t="s">
        <v>7847</v>
      </c>
      <c r="K3175" s="9" t="s">
        <v>8987</v>
      </c>
    </row>
    <row r="3176" spans="1:11">
      <c r="A3176" s="7">
        <v>3174</v>
      </c>
      <c r="B3176" s="7" t="s">
        <v>9174</v>
      </c>
      <c r="C3176" s="7" t="s">
        <v>8991</v>
      </c>
      <c r="D3176" s="7" t="s">
        <v>7556</v>
      </c>
      <c r="E3176" s="7" t="s">
        <v>12828</v>
      </c>
      <c r="F3176" s="8" t="s">
        <v>12071</v>
      </c>
      <c r="G3176" s="7">
        <v>75</v>
      </c>
      <c r="H3176" s="7" t="s">
        <v>9265</v>
      </c>
      <c r="I3176" s="7">
        <v>1</v>
      </c>
      <c r="J3176" s="7" t="s">
        <v>7859</v>
      </c>
      <c r="K3176" s="9" t="s">
        <v>8987</v>
      </c>
    </row>
    <row r="3177" spans="1:11">
      <c r="A3177" s="7">
        <v>3175</v>
      </c>
      <c r="B3177" s="7" t="s">
        <v>9174</v>
      </c>
      <c r="C3177" s="7" t="s">
        <v>9386</v>
      </c>
      <c r="D3177" s="7" t="s">
        <v>7556</v>
      </c>
      <c r="E3177" s="7" t="s">
        <v>12829</v>
      </c>
      <c r="F3177" s="8" t="s">
        <v>12071</v>
      </c>
      <c r="G3177" s="7">
        <v>38</v>
      </c>
      <c r="H3177" s="7" t="s">
        <v>11229</v>
      </c>
      <c r="I3177" s="7">
        <v>1</v>
      </c>
      <c r="J3177" s="7" t="s">
        <v>7847</v>
      </c>
      <c r="K3177" s="9" t="s">
        <v>8987</v>
      </c>
    </row>
    <row r="3178" spans="1:11">
      <c r="A3178" s="7">
        <v>3176</v>
      </c>
      <c r="B3178" s="7" t="s">
        <v>9174</v>
      </c>
      <c r="C3178" s="7" t="s">
        <v>8991</v>
      </c>
      <c r="D3178" s="7" t="s">
        <v>7548</v>
      </c>
      <c r="E3178" s="7" t="s">
        <v>12830</v>
      </c>
      <c r="F3178" s="8" t="s">
        <v>10242</v>
      </c>
      <c r="G3178" s="7">
        <v>7</v>
      </c>
      <c r="H3178" s="7" t="s">
        <v>9182</v>
      </c>
      <c r="I3178" s="7">
        <v>1</v>
      </c>
      <c r="J3178" s="7" t="s">
        <v>7866</v>
      </c>
      <c r="K3178" s="9" t="s">
        <v>8987</v>
      </c>
    </row>
    <row r="3179" spans="1:11">
      <c r="A3179" s="7">
        <v>3177</v>
      </c>
      <c r="B3179" s="7" t="s">
        <v>9174</v>
      </c>
      <c r="C3179" s="7" t="s">
        <v>8991</v>
      </c>
      <c r="D3179" s="7" t="s">
        <v>7548</v>
      </c>
      <c r="E3179" s="7" t="s">
        <v>12831</v>
      </c>
      <c r="F3179" s="8" t="s">
        <v>10242</v>
      </c>
      <c r="G3179" s="7">
        <v>7</v>
      </c>
      <c r="H3179" s="7" t="s">
        <v>9182</v>
      </c>
      <c r="I3179" s="7">
        <v>1</v>
      </c>
      <c r="J3179" s="7" t="s">
        <v>7866</v>
      </c>
      <c r="K3179" s="9" t="s">
        <v>8987</v>
      </c>
    </row>
    <row r="3180" spans="1:11">
      <c r="A3180" s="7">
        <v>3178</v>
      </c>
      <c r="B3180" s="7" t="s">
        <v>9174</v>
      </c>
      <c r="C3180" s="7" t="s">
        <v>8991</v>
      </c>
      <c r="D3180" s="7" t="s">
        <v>7548</v>
      </c>
      <c r="E3180" s="7" t="s">
        <v>12832</v>
      </c>
      <c r="F3180" s="8" t="s">
        <v>10242</v>
      </c>
      <c r="G3180" s="7">
        <v>7</v>
      </c>
      <c r="H3180" s="7" t="s">
        <v>9182</v>
      </c>
      <c r="I3180" s="7">
        <v>1</v>
      </c>
      <c r="J3180" s="7" t="s">
        <v>7866</v>
      </c>
      <c r="K3180" s="9" t="s">
        <v>8987</v>
      </c>
    </row>
    <row r="3181" spans="1:11">
      <c r="A3181" s="7">
        <v>3179</v>
      </c>
      <c r="B3181" s="7" t="s">
        <v>9174</v>
      </c>
      <c r="C3181" s="7" t="s">
        <v>8991</v>
      </c>
      <c r="D3181" s="7" t="s">
        <v>7548</v>
      </c>
      <c r="E3181" s="7" t="s">
        <v>12833</v>
      </c>
      <c r="F3181" s="8" t="s">
        <v>10242</v>
      </c>
      <c r="G3181" s="7">
        <v>7</v>
      </c>
      <c r="H3181" s="7" t="s">
        <v>9182</v>
      </c>
      <c r="I3181" s="7">
        <v>1</v>
      </c>
      <c r="J3181" s="7" t="s">
        <v>7866</v>
      </c>
      <c r="K3181" s="9" t="s">
        <v>8987</v>
      </c>
    </row>
    <row r="3182" spans="1:11">
      <c r="A3182" s="7">
        <v>3180</v>
      </c>
      <c r="B3182" s="7" t="s">
        <v>9174</v>
      </c>
      <c r="C3182" s="7" t="s">
        <v>9386</v>
      </c>
      <c r="D3182" s="7" t="s">
        <v>7548</v>
      </c>
      <c r="E3182" s="7" t="s">
        <v>12834</v>
      </c>
      <c r="F3182" s="8" t="s">
        <v>10242</v>
      </c>
      <c r="G3182" s="7">
        <v>7</v>
      </c>
      <c r="H3182" s="7" t="s">
        <v>9182</v>
      </c>
      <c r="I3182" s="7">
        <v>1</v>
      </c>
      <c r="J3182" s="7" t="s">
        <v>7866</v>
      </c>
      <c r="K3182" s="9" t="s">
        <v>8987</v>
      </c>
    </row>
    <row r="3183" spans="1:11">
      <c r="A3183" s="7">
        <v>3181</v>
      </c>
      <c r="B3183" s="7" t="s">
        <v>9174</v>
      </c>
      <c r="C3183" s="7" t="s">
        <v>8991</v>
      </c>
      <c r="D3183" s="7" t="s">
        <v>7548</v>
      </c>
      <c r="E3183" s="7" t="s">
        <v>12835</v>
      </c>
      <c r="F3183" s="8" t="s">
        <v>10789</v>
      </c>
      <c r="G3183" s="7">
        <v>11</v>
      </c>
      <c r="H3183" s="7" t="s">
        <v>9386</v>
      </c>
      <c r="I3183" s="7">
        <v>1</v>
      </c>
      <c r="J3183" s="7" t="s">
        <v>7865</v>
      </c>
      <c r="K3183" s="9" t="s">
        <v>8987</v>
      </c>
    </row>
    <row r="3184" spans="1:11">
      <c r="A3184" s="7">
        <v>3182</v>
      </c>
      <c r="B3184" s="7" t="s">
        <v>9174</v>
      </c>
      <c r="C3184" s="7" t="s">
        <v>8991</v>
      </c>
      <c r="D3184" s="7" t="s">
        <v>7548</v>
      </c>
      <c r="E3184" s="7" t="s">
        <v>12836</v>
      </c>
      <c r="F3184" s="8" t="s">
        <v>10789</v>
      </c>
      <c r="G3184" s="7">
        <v>21</v>
      </c>
      <c r="H3184" s="7" t="s">
        <v>9116</v>
      </c>
      <c r="I3184" s="7">
        <v>1</v>
      </c>
      <c r="J3184" s="7" t="s">
        <v>7842</v>
      </c>
      <c r="K3184" s="9" t="s">
        <v>8987</v>
      </c>
    </row>
    <row r="3185" spans="1:11">
      <c r="A3185" s="7">
        <v>3183</v>
      </c>
      <c r="B3185" s="7" t="s">
        <v>9174</v>
      </c>
      <c r="C3185" s="7" t="s">
        <v>9386</v>
      </c>
      <c r="D3185" s="7" t="s">
        <v>7548</v>
      </c>
      <c r="E3185" s="7" t="s">
        <v>12837</v>
      </c>
      <c r="F3185" s="8" t="s">
        <v>10789</v>
      </c>
      <c r="G3185" s="7">
        <v>11</v>
      </c>
      <c r="H3185" s="7" t="s">
        <v>9386</v>
      </c>
      <c r="I3185" s="7">
        <v>1</v>
      </c>
      <c r="J3185" s="7" t="s">
        <v>7865</v>
      </c>
      <c r="K3185" s="9" t="s">
        <v>8987</v>
      </c>
    </row>
    <row r="3186" spans="1:11">
      <c r="A3186" s="7">
        <v>3184</v>
      </c>
      <c r="B3186" s="7" t="s">
        <v>9174</v>
      </c>
      <c r="C3186" s="7" t="s">
        <v>8991</v>
      </c>
      <c r="D3186" s="7" t="s">
        <v>7548</v>
      </c>
      <c r="E3186" s="7" t="s">
        <v>12838</v>
      </c>
      <c r="F3186" s="8" t="s">
        <v>10267</v>
      </c>
      <c r="G3186" s="7">
        <v>12</v>
      </c>
      <c r="H3186" s="7" t="s">
        <v>9213</v>
      </c>
      <c r="I3186" s="7">
        <v>1</v>
      </c>
      <c r="J3186" s="7" t="s">
        <v>7864</v>
      </c>
      <c r="K3186" s="9" t="s">
        <v>8987</v>
      </c>
    </row>
    <row r="3187" spans="1:11">
      <c r="A3187" s="7">
        <v>3185</v>
      </c>
      <c r="B3187" s="7" t="s">
        <v>9174</v>
      </c>
      <c r="C3187" s="7" t="s">
        <v>8991</v>
      </c>
      <c r="D3187" s="7" t="s">
        <v>7548</v>
      </c>
      <c r="E3187" s="7" t="s">
        <v>12839</v>
      </c>
      <c r="F3187" s="8" t="s">
        <v>10267</v>
      </c>
      <c r="G3187" s="7">
        <v>23</v>
      </c>
      <c r="H3187" s="7" t="s">
        <v>9120</v>
      </c>
      <c r="I3187" s="7">
        <v>1</v>
      </c>
      <c r="J3187" s="7" t="s">
        <v>7848</v>
      </c>
      <c r="K3187" s="9" t="s">
        <v>8987</v>
      </c>
    </row>
    <row r="3188" spans="1:11">
      <c r="A3188" s="7">
        <v>3186</v>
      </c>
      <c r="B3188" s="7" t="s">
        <v>9174</v>
      </c>
      <c r="C3188" s="7" t="s">
        <v>9386</v>
      </c>
      <c r="D3188" s="7" t="s">
        <v>7548</v>
      </c>
      <c r="E3188" s="7" t="s">
        <v>12840</v>
      </c>
      <c r="F3188" s="8" t="s">
        <v>10267</v>
      </c>
      <c r="G3188" s="7">
        <v>12</v>
      </c>
      <c r="H3188" s="7" t="s">
        <v>9213</v>
      </c>
      <c r="I3188" s="7">
        <v>1</v>
      </c>
      <c r="J3188" s="7" t="s">
        <v>7864</v>
      </c>
      <c r="K3188" s="9" t="s">
        <v>8987</v>
      </c>
    </row>
    <row r="3189" spans="1:11">
      <c r="A3189" s="7">
        <v>3187</v>
      </c>
      <c r="B3189" s="7" t="s">
        <v>9174</v>
      </c>
      <c r="C3189" s="7" t="s">
        <v>8991</v>
      </c>
      <c r="D3189" s="7" t="s">
        <v>7548</v>
      </c>
      <c r="E3189" s="7" t="s">
        <v>12841</v>
      </c>
      <c r="F3189" s="8" t="s">
        <v>12144</v>
      </c>
      <c r="G3189" s="7">
        <v>12</v>
      </c>
      <c r="H3189" s="7" t="s">
        <v>9213</v>
      </c>
      <c r="I3189" s="7">
        <v>1</v>
      </c>
      <c r="J3189" s="7" t="s">
        <v>7864</v>
      </c>
      <c r="K3189" s="9" t="s">
        <v>8987</v>
      </c>
    </row>
    <row r="3190" spans="1:11">
      <c r="A3190" s="7">
        <v>3188</v>
      </c>
      <c r="B3190" s="7" t="s">
        <v>9174</v>
      </c>
      <c r="C3190" s="7" t="s">
        <v>8991</v>
      </c>
      <c r="D3190" s="7" t="s">
        <v>7548</v>
      </c>
      <c r="E3190" s="7" t="s">
        <v>12842</v>
      </c>
      <c r="F3190" s="8" t="s">
        <v>12144</v>
      </c>
      <c r="G3190" s="7">
        <v>23</v>
      </c>
      <c r="H3190" s="7" t="s">
        <v>9120</v>
      </c>
      <c r="I3190" s="7">
        <v>1</v>
      </c>
      <c r="J3190" s="7" t="s">
        <v>7848</v>
      </c>
      <c r="K3190" s="9" t="s">
        <v>8987</v>
      </c>
    </row>
    <row r="3191" spans="1:11">
      <c r="A3191" s="7">
        <v>3189</v>
      </c>
      <c r="B3191" s="7" t="s">
        <v>9174</v>
      </c>
      <c r="C3191" s="7" t="s">
        <v>9386</v>
      </c>
      <c r="D3191" s="7" t="s">
        <v>7548</v>
      </c>
      <c r="E3191" s="7" t="s">
        <v>12843</v>
      </c>
      <c r="F3191" s="8" t="s">
        <v>12144</v>
      </c>
      <c r="G3191" s="7">
        <v>12</v>
      </c>
      <c r="H3191" s="7" t="s">
        <v>9213</v>
      </c>
      <c r="I3191" s="7">
        <v>1</v>
      </c>
      <c r="J3191" s="7" t="s">
        <v>7864</v>
      </c>
      <c r="K3191" s="9" t="s">
        <v>8987</v>
      </c>
    </row>
    <row r="3192" spans="1:11">
      <c r="A3192" s="7">
        <v>3190</v>
      </c>
      <c r="B3192" s="7" t="s">
        <v>9174</v>
      </c>
      <c r="C3192" s="7" t="s">
        <v>8991</v>
      </c>
      <c r="D3192" s="7" t="s">
        <v>7548</v>
      </c>
      <c r="E3192" s="7" t="s">
        <v>12844</v>
      </c>
      <c r="F3192" s="8" t="s">
        <v>7548</v>
      </c>
      <c r="G3192" s="7">
        <v>3</v>
      </c>
      <c r="H3192" s="7" t="s">
        <v>9187</v>
      </c>
      <c r="I3192" s="7">
        <v>1</v>
      </c>
      <c r="J3192" s="7" t="s">
        <v>7872</v>
      </c>
      <c r="K3192" s="9" t="s">
        <v>8987</v>
      </c>
    </row>
    <row r="3193" spans="1:11">
      <c r="A3193" s="7">
        <v>3191</v>
      </c>
      <c r="B3193" s="7" t="s">
        <v>9174</v>
      </c>
      <c r="C3193" s="7" t="s">
        <v>8991</v>
      </c>
      <c r="D3193" s="7" t="s">
        <v>7548</v>
      </c>
      <c r="E3193" s="7" t="s">
        <v>12845</v>
      </c>
      <c r="F3193" s="8" t="s">
        <v>7548</v>
      </c>
      <c r="G3193" s="7">
        <v>3</v>
      </c>
      <c r="H3193" s="7" t="s">
        <v>9187</v>
      </c>
      <c r="I3193" s="7">
        <v>1</v>
      </c>
      <c r="J3193" s="7" t="s">
        <v>7872</v>
      </c>
      <c r="K3193" s="9" t="s">
        <v>8987</v>
      </c>
    </row>
    <row r="3194" spans="1:11">
      <c r="A3194" s="7">
        <v>3192</v>
      </c>
      <c r="B3194" s="7" t="s">
        <v>9174</v>
      </c>
      <c r="C3194" s="7" t="s">
        <v>8991</v>
      </c>
      <c r="D3194" s="7" t="s">
        <v>7548</v>
      </c>
      <c r="E3194" s="7" t="s">
        <v>12846</v>
      </c>
      <c r="F3194" s="8" t="s">
        <v>7548</v>
      </c>
      <c r="G3194" s="7">
        <v>6</v>
      </c>
      <c r="H3194" s="7" t="s">
        <v>9218</v>
      </c>
      <c r="I3194" s="7">
        <v>1</v>
      </c>
      <c r="J3194" s="7" t="s">
        <v>7623</v>
      </c>
      <c r="K3194" s="9" t="s">
        <v>8987</v>
      </c>
    </row>
    <row r="3195" spans="1:11">
      <c r="A3195" s="7">
        <v>3193</v>
      </c>
      <c r="B3195" s="7" t="s">
        <v>9174</v>
      </c>
      <c r="C3195" s="7" t="s">
        <v>8991</v>
      </c>
      <c r="D3195" s="7" t="s">
        <v>7548</v>
      </c>
      <c r="E3195" s="7" t="s">
        <v>12847</v>
      </c>
      <c r="F3195" s="8" t="s">
        <v>7548</v>
      </c>
      <c r="G3195" s="7">
        <v>5</v>
      </c>
      <c r="H3195" s="7" t="s">
        <v>9336</v>
      </c>
      <c r="I3195" s="7">
        <v>1</v>
      </c>
      <c r="J3195" s="7" t="s">
        <v>7620</v>
      </c>
      <c r="K3195" s="9" t="s">
        <v>8987</v>
      </c>
    </row>
    <row r="3196" spans="1:11">
      <c r="A3196" s="7">
        <v>3194</v>
      </c>
      <c r="B3196" s="7" t="s">
        <v>9174</v>
      </c>
      <c r="C3196" s="7" t="s">
        <v>8991</v>
      </c>
      <c r="D3196" s="7" t="s">
        <v>7548</v>
      </c>
      <c r="E3196" s="7" t="s">
        <v>12848</v>
      </c>
      <c r="F3196" s="8" t="s">
        <v>7548</v>
      </c>
      <c r="G3196" s="7">
        <v>4</v>
      </c>
      <c r="H3196" s="7" t="s">
        <v>9579</v>
      </c>
      <c r="I3196" s="7">
        <v>1</v>
      </c>
      <c r="J3196" s="7" t="s">
        <v>7617</v>
      </c>
      <c r="K3196" s="9" t="s">
        <v>8987</v>
      </c>
    </row>
    <row r="3197" spans="1:11">
      <c r="A3197" s="7">
        <v>3195</v>
      </c>
      <c r="B3197" s="7" t="s">
        <v>9174</v>
      </c>
      <c r="C3197" s="7" t="s">
        <v>8991</v>
      </c>
      <c r="D3197" s="7" t="s">
        <v>7548</v>
      </c>
      <c r="E3197" s="7" t="s">
        <v>12849</v>
      </c>
      <c r="F3197" s="8" t="s">
        <v>7548</v>
      </c>
      <c r="G3197" s="7">
        <v>5</v>
      </c>
      <c r="H3197" s="7" t="s">
        <v>9336</v>
      </c>
      <c r="I3197" s="7">
        <v>1</v>
      </c>
      <c r="J3197" s="7" t="s">
        <v>7620</v>
      </c>
      <c r="K3197" s="9" t="s">
        <v>8987</v>
      </c>
    </row>
    <row r="3198" spans="1:11">
      <c r="A3198" s="7">
        <v>3196</v>
      </c>
      <c r="B3198" s="7" t="s">
        <v>9174</v>
      </c>
      <c r="C3198" s="7" t="s">
        <v>9386</v>
      </c>
      <c r="D3198" s="7" t="s">
        <v>7548</v>
      </c>
      <c r="E3198" s="7" t="s">
        <v>12850</v>
      </c>
      <c r="F3198" s="8" t="s">
        <v>7548</v>
      </c>
      <c r="G3198" s="7">
        <v>5</v>
      </c>
      <c r="H3198" s="7" t="s">
        <v>9336</v>
      </c>
      <c r="I3198" s="7">
        <v>1</v>
      </c>
      <c r="J3198" s="7" t="s">
        <v>7620</v>
      </c>
      <c r="K3198" s="9" t="s">
        <v>8987</v>
      </c>
    </row>
    <row r="3199" spans="1:11">
      <c r="A3199" s="7">
        <v>3197</v>
      </c>
      <c r="B3199" s="7" t="s">
        <v>9174</v>
      </c>
      <c r="C3199" s="7" t="s">
        <v>8991</v>
      </c>
      <c r="D3199" s="7" t="s">
        <v>7548</v>
      </c>
      <c r="E3199" s="7" t="s">
        <v>12851</v>
      </c>
      <c r="F3199" s="8" t="s">
        <v>10222</v>
      </c>
      <c r="G3199" s="7">
        <v>7</v>
      </c>
      <c r="H3199" s="7" t="s">
        <v>9182</v>
      </c>
      <c r="I3199" s="7">
        <v>1</v>
      </c>
      <c r="J3199" s="7" t="s">
        <v>7866</v>
      </c>
      <c r="K3199" s="9" t="s">
        <v>8987</v>
      </c>
    </row>
    <row r="3200" spans="1:11">
      <c r="A3200" s="7">
        <v>3198</v>
      </c>
      <c r="B3200" s="7" t="s">
        <v>9174</v>
      </c>
      <c r="C3200" s="7" t="s">
        <v>8991</v>
      </c>
      <c r="D3200" s="7" t="s">
        <v>7548</v>
      </c>
      <c r="E3200" s="7" t="s">
        <v>12852</v>
      </c>
      <c r="F3200" s="8" t="s">
        <v>10222</v>
      </c>
      <c r="G3200" s="7">
        <v>7</v>
      </c>
      <c r="H3200" s="7" t="s">
        <v>9182</v>
      </c>
      <c r="I3200" s="7">
        <v>1</v>
      </c>
      <c r="J3200" s="7" t="s">
        <v>7866</v>
      </c>
      <c r="K3200" s="9" t="s">
        <v>8987</v>
      </c>
    </row>
    <row r="3201" spans="1:11">
      <c r="A3201" s="7">
        <v>3199</v>
      </c>
      <c r="B3201" s="7" t="s">
        <v>9174</v>
      </c>
      <c r="C3201" s="7" t="s">
        <v>8991</v>
      </c>
      <c r="D3201" s="7" t="s">
        <v>7548</v>
      </c>
      <c r="E3201" s="7" t="s">
        <v>12853</v>
      </c>
      <c r="F3201" s="8" t="s">
        <v>10222</v>
      </c>
      <c r="G3201" s="7">
        <v>7</v>
      </c>
      <c r="H3201" s="7" t="s">
        <v>9182</v>
      </c>
      <c r="I3201" s="7">
        <v>1</v>
      </c>
      <c r="J3201" s="7" t="s">
        <v>7866</v>
      </c>
      <c r="K3201" s="9" t="s">
        <v>8987</v>
      </c>
    </row>
    <row r="3202" spans="1:11">
      <c r="A3202" s="7">
        <v>3200</v>
      </c>
      <c r="B3202" s="7" t="s">
        <v>9174</v>
      </c>
      <c r="C3202" s="7" t="s">
        <v>8991</v>
      </c>
      <c r="D3202" s="7" t="s">
        <v>7548</v>
      </c>
      <c r="E3202" s="7" t="s">
        <v>4162</v>
      </c>
      <c r="F3202" s="8" t="s">
        <v>10222</v>
      </c>
      <c r="G3202" s="7">
        <v>7</v>
      </c>
      <c r="H3202" s="7" t="s">
        <v>9182</v>
      </c>
      <c r="I3202" s="7">
        <v>1</v>
      </c>
      <c r="J3202" s="7" t="s">
        <v>7866</v>
      </c>
      <c r="K3202" s="9" t="s">
        <v>8987</v>
      </c>
    </row>
    <row r="3203" spans="1:11">
      <c r="A3203" s="7">
        <v>3201</v>
      </c>
      <c r="B3203" s="7" t="s">
        <v>9174</v>
      </c>
      <c r="C3203" s="7" t="s">
        <v>8991</v>
      </c>
      <c r="D3203" s="7" t="s">
        <v>7548</v>
      </c>
      <c r="E3203" s="7" t="s">
        <v>12854</v>
      </c>
      <c r="F3203" s="8" t="s">
        <v>10222</v>
      </c>
      <c r="G3203" s="7">
        <v>7</v>
      </c>
      <c r="H3203" s="7" t="s">
        <v>9182</v>
      </c>
      <c r="I3203" s="7">
        <v>1</v>
      </c>
      <c r="J3203" s="7" t="s">
        <v>7866</v>
      </c>
      <c r="K3203" s="9" t="s">
        <v>8987</v>
      </c>
    </row>
    <row r="3204" spans="1:11">
      <c r="A3204" s="7">
        <v>3202</v>
      </c>
      <c r="B3204" s="7" t="s">
        <v>9174</v>
      </c>
      <c r="C3204" s="7" t="s">
        <v>8991</v>
      </c>
      <c r="D3204" s="7" t="s">
        <v>7548</v>
      </c>
      <c r="E3204" s="7" t="s">
        <v>12855</v>
      </c>
      <c r="F3204" s="8" t="s">
        <v>10222</v>
      </c>
      <c r="G3204" s="7">
        <v>7</v>
      </c>
      <c r="H3204" s="7" t="s">
        <v>9182</v>
      </c>
      <c r="I3204" s="7">
        <v>1</v>
      </c>
      <c r="J3204" s="7" t="s">
        <v>7866</v>
      </c>
      <c r="K3204" s="9" t="s">
        <v>8987</v>
      </c>
    </row>
    <row r="3205" spans="1:11">
      <c r="A3205" s="7">
        <v>3203</v>
      </c>
      <c r="B3205" s="7" t="s">
        <v>9174</v>
      </c>
      <c r="C3205" s="7" t="s">
        <v>9386</v>
      </c>
      <c r="D3205" s="7" t="s">
        <v>7548</v>
      </c>
      <c r="E3205" s="7" t="s">
        <v>12856</v>
      </c>
      <c r="F3205" s="8" t="s">
        <v>10222</v>
      </c>
      <c r="G3205" s="7">
        <v>7</v>
      </c>
      <c r="H3205" s="7" t="s">
        <v>9182</v>
      </c>
      <c r="I3205" s="7">
        <v>1</v>
      </c>
      <c r="J3205" s="7" t="s">
        <v>7866</v>
      </c>
      <c r="K3205" s="9" t="s">
        <v>8987</v>
      </c>
    </row>
    <row r="3206" spans="1:11">
      <c r="A3206" s="7">
        <v>3204</v>
      </c>
      <c r="B3206" s="7" t="s">
        <v>9174</v>
      </c>
      <c r="C3206" s="7" t="s">
        <v>8991</v>
      </c>
      <c r="D3206" s="7" t="s">
        <v>7548</v>
      </c>
      <c r="E3206" s="7" t="s">
        <v>5159</v>
      </c>
      <c r="F3206" s="8" t="s">
        <v>10244</v>
      </c>
      <c r="G3206" s="7">
        <v>11</v>
      </c>
      <c r="H3206" s="7" t="s">
        <v>9386</v>
      </c>
      <c r="I3206" s="7">
        <v>1</v>
      </c>
      <c r="J3206" s="7" t="s">
        <v>7865</v>
      </c>
      <c r="K3206" s="9" t="s">
        <v>8987</v>
      </c>
    </row>
    <row r="3207" spans="1:11">
      <c r="A3207" s="7">
        <v>3205</v>
      </c>
      <c r="B3207" s="7" t="s">
        <v>9174</v>
      </c>
      <c r="C3207" s="7" t="s">
        <v>8991</v>
      </c>
      <c r="D3207" s="7" t="s">
        <v>7548</v>
      </c>
      <c r="E3207" s="7" t="s">
        <v>12857</v>
      </c>
      <c r="F3207" s="8" t="s">
        <v>10244</v>
      </c>
      <c r="G3207" s="7">
        <v>11</v>
      </c>
      <c r="H3207" s="7" t="s">
        <v>9386</v>
      </c>
      <c r="I3207" s="7">
        <v>1</v>
      </c>
      <c r="J3207" s="7" t="s">
        <v>7865</v>
      </c>
      <c r="K3207" s="9" t="s">
        <v>8987</v>
      </c>
    </row>
    <row r="3208" spans="1:11">
      <c r="A3208" s="7">
        <v>3206</v>
      </c>
      <c r="B3208" s="7" t="s">
        <v>9174</v>
      </c>
      <c r="C3208" s="7" t="s">
        <v>8991</v>
      </c>
      <c r="D3208" s="7" t="s">
        <v>7548</v>
      </c>
      <c r="E3208" s="7" t="s">
        <v>12858</v>
      </c>
      <c r="F3208" s="8" t="s">
        <v>10244</v>
      </c>
      <c r="G3208" s="7">
        <v>21</v>
      </c>
      <c r="H3208" s="7" t="s">
        <v>9116</v>
      </c>
      <c r="I3208" s="7">
        <v>1</v>
      </c>
      <c r="J3208" s="7" t="s">
        <v>7842</v>
      </c>
      <c r="K3208" s="9" t="s">
        <v>8987</v>
      </c>
    </row>
    <row r="3209" spans="1:11">
      <c r="A3209" s="7">
        <v>3207</v>
      </c>
      <c r="B3209" s="7" t="s">
        <v>9174</v>
      </c>
      <c r="C3209" s="7" t="s">
        <v>8991</v>
      </c>
      <c r="D3209" s="7" t="s">
        <v>7548</v>
      </c>
      <c r="E3209" s="7" t="s">
        <v>12859</v>
      </c>
      <c r="F3209" s="8" t="s">
        <v>10244</v>
      </c>
      <c r="G3209" s="7">
        <v>15</v>
      </c>
      <c r="H3209" s="7" t="s">
        <v>9053</v>
      </c>
      <c r="I3209" s="7">
        <v>1</v>
      </c>
      <c r="J3209" s="7" t="s">
        <v>7862</v>
      </c>
      <c r="K3209" s="9" t="s">
        <v>8987</v>
      </c>
    </row>
    <row r="3210" spans="1:11">
      <c r="A3210" s="7">
        <v>3208</v>
      </c>
      <c r="B3210" s="7" t="s">
        <v>9174</v>
      </c>
      <c r="C3210" s="7" t="s">
        <v>8991</v>
      </c>
      <c r="D3210" s="7" t="s">
        <v>7548</v>
      </c>
      <c r="E3210" s="7" t="s">
        <v>12860</v>
      </c>
      <c r="F3210" s="8" t="s">
        <v>10244</v>
      </c>
      <c r="G3210" s="7">
        <v>15</v>
      </c>
      <c r="H3210" s="7" t="s">
        <v>9053</v>
      </c>
      <c r="I3210" s="7">
        <v>1</v>
      </c>
      <c r="J3210" s="7" t="s">
        <v>7862</v>
      </c>
      <c r="K3210" s="9" t="s">
        <v>8987</v>
      </c>
    </row>
    <row r="3211" spans="1:11">
      <c r="A3211" s="7">
        <v>3209</v>
      </c>
      <c r="B3211" s="7" t="s">
        <v>9174</v>
      </c>
      <c r="C3211" s="7" t="s">
        <v>8991</v>
      </c>
      <c r="D3211" s="7" t="s">
        <v>7548</v>
      </c>
      <c r="E3211" s="7" t="s">
        <v>12861</v>
      </c>
      <c r="F3211" s="8" t="s">
        <v>10244</v>
      </c>
      <c r="G3211" s="7">
        <v>21</v>
      </c>
      <c r="H3211" s="7" t="s">
        <v>9116</v>
      </c>
      <c r="I3211" s="7">
        <v>1</v>
      </c>
      <c r="J3211" s="7" t="s">
        <v>7842</v>
      </c>
      <c r="K3211" s="9" t="s">
        <v>8987</v>
      </c>
    </row>
    <row r="3212" spans="1:11">
      <c r="A3212" s="7">
        <v>3210</v>
      </c>
      <c r="B3212" s="7" t="s">
        <v>9174</v>
      </c>
      <c r="C3212" s="7" t="s">
        <v>9386</v>
      </c>
      <c r="D3212" s="7" t="s">
        <v>7548</v>
      </c>
      <c r="E3212" s="7" t="s">
        <v>12862</v>
      </c>
      <c r="F3212" s="8" t="s">
        <v>10244</v>
      </c>
      <c r="G3212" s="7">
        <v>11</v>
      </c>
      <c r="H3212" s="7" t="s">
        <v>9386</v>
      </c>
      <c r="I3212" s="7">
        <v>1</v>
      </c>
      <c r="J3212" s="7" t="s">
        <v>7865</v>
      </c>
      <c r="K3212" s="9" t="s">
        <v>8987</v>
      </c>
    </row>
    <row r="3213" spans="1:11">
      <c r="A3213" s="7">
        <v>3211</v>
      </c>
      <c r="B3213" s="7" t="s">
        <v>9174</v>
      </c>
      <c r="C3213" s="7" t="s">
        <v>8991</v>
      </c>
      <c r="D3213" s="7" t="s">
        <v>7553</v>
      </c>
      <c r="E3213" s="7" t="s">
        <v>12863</v>
      </c>
      <c r="F3213" s="12" t="s">
        <v>9999</v>
      </c>
      <c r="G3213" s="7">
        <v>0</v>
      </c>
      <c r="H3213" s="7" t="s">
        <v>8984</v>
      </c>
      <c r="I3213" s="7">
        <v>1</v>
      </c>
      <c r="J3213" s="7" t="s">
        <v>7838</v>
      </c>
      <c r="K3213" s="9" t="s">
        <v>8987</v>
      </c>
    </row>
    <row r="3214" spans="1:11">
      <c r="A3214" s="7">
        <v>3212</v>
      </c>
      <c r="B3214" s="7" t="s">
        <v>9174</v>
      </c>
      <c r="C3214" s="7" t="s">
        <v>9418</v>
      </c>
      <c r="D3214" s="7" t="s">
        <v>7553</v>
      </c>
      <c r="E3214" s="7" t="s">
        <v>12864</v>
      </c>
      <c r="F3214" s="8" t="s">
        <v>9360</v>
      </c>
      <c r="G3214" s="7">
        <v>112</v>
      </c>
      <c r="H3214" s="7" t="s">
        <v>12865</v>
      </c>
      <c r="I3214" s="7">
        <v>12</v>
      </c>
      <c r="J3214" s="7" t="s">
        <v>7604</v>
      </c>
      <c r="K3214" s="9" t="s">
        <v>8987</v>
      </c>
    </row>
    <row r="3215" spans="1:11">
      <c r="A3215" s="7">
        <v>3213</v>
      </c>
      <c r="B3215" s="7" t="s">
        <v>9174</v>
      </c>
      <c r="C3215" s="7" t="s">
        <v>9418</v>
      </c>
      <c r="D3215" s="7" t="s">
        <v>7553</v>
      </c>
      <c r="E3215" s="7" t="s">
        <v>12866</v>
      </c>
      <c r="F3215" s="8" t="s">
        <v>9360</v>
      </c>
      <c r="G3215" s="7">
        <v>123</v>
      </c>
      <c r="H3215" s="7" t="s">
        <v>12867</v>
      </c>
      <c r="I3215" s="7">
        <v>12</v>
      </c>
      <c r="J3215" s="7" t="s">
        <v>7671</v>
      </c>
      <c r="K3215" s="9" t="s">
        <v>8987</v>
      </c>
    </row>
    <row r="3216" spans="1:11">
      <c r="A3216" s="7">
        <v>3214</v>
      </c>
      <c r="B3216" s="7" t="s">
        <v>9174</v>
      </c>
      <c r="C3216" s="7" t="s">
        <v>9418</v>
      </c>
      <c r="D3216" s="7" t="s">
        <v>7553</v>
      </c>
      <c r="E3216" s="7" t="s">
        <v>12868</v>
      </c>
      <c r="F3216" s="8" t="s">
        <v>9360</v>
      </c>
      <c r="G3216" s="7">
        <v>134</v>
      </c>
      <c r="H3216" s="7" t="s">
        <v>12869</v>
      </c>
      <c r="I3216" s="7">
        <v>12</v>
      </c>
      <c r="J3216" s="7" t="s">
        <v>7611</v>
      </c>
      <c r="K3216" s="9" t="s">
        <v>8987</v>
      </c>
    </row>
    <row r="3217" spans="1:11">
      <c r="A3217" s="7">
        <v>3215</v>
      </c>
      <c r="B3217" s="7" t="s">
        <v>9174</v>
      </c>
      <c r="C3217" s="7" t="s">
        <v>9418</v>
      </c>
      <c r="D3217" s="7" t="s">
        <v>7553</v>
      </c>
      <c r="E3217" s="7" t="s">
        <v>12870</v>
      </c>
      <c r="F3217" s="8" t="s">
        <v>10617</v>
      </c>
      <c r="G3217" s="7">
        <v>115</v>
      </c>
      <c r="H3217" s="7" t="s">
        <v>9917</v>
      </c>
      <c r="I3217" s="7">
        <v>11</v>
      </c>
      <c r="J3217" s="7" t="s">
        <v>7787</v>
      </c>
      <c r="K3217" s="9" t="s">
        <v>8987</v>
      </c>
    </row>
    <row r="3218" spans="1:11">
      <c r="A3218" s="7">
        <v>3216</v>
      </c>
      <c r="B3218" s="7" t="s">
        <v>9174</v>
      </c>
      <c r="C3218" s="7" t="s">
        <v>9418</v>
      </c>
      <c r="D3218" s="7" t="s">
        <v>7553</v>
      </c>
      <c r="E3218" s="7" t="s">
        <v>12871</v>
      </c>
      <c r="F3218" s="8" t="s">
        <v>10617</v>
      </c>
      <c r="G3218" s="7">
        <v>125</v>
      </c>
      <c r="H3218" s="7" t="s">
        <v>12872</v>
      </c>
      <c r="I3218" s="7">
        <v>11</v>
      </c>
      <c r="J3218" s="7" t="s">
        <v>7788</v>
      </c>
      <c r="K3218" s="9" t="s">
        <v>8987</v>
      </c>
    </row>
    <row r="3219" spans="1:11">
      <c r="A3219" s="7">
        <v>3217</v>
      </c>
      <c r="B3219" s="7" t="s">
        <v>9174</v>
      </c>
      <c r="C3219" s="7" t="s">
        <v>9418</v>
      </c>
      <c r="D3219" s="7" t="s">
        <v>7553</v>
      </c>
      <c r="E3219" s="7" t="s">
        <v>12873</v>
      </c>
      <c r="F3219" s="8" t="s">
        <v>10617</v>
      </c>
      <c r="G3219" s="7">
        <v>135</v>
      </c>
      <c r="H3219" s="7" t="s">
        <v>12874</v>
      </c>
      <c r="I3219" s="7">
        <v>11</v>
      </c>
      <c r="J3219" s="7" t="s">
        <v>7789</v>
      </c>
      <c r="K3219" s="9" t="s">
        <v>8987</v>
      </c>
    </row>
    <row r="3220" spans="1:11">
      <c r="A3220" s="7">
        <v>3218</v>
      </c>
      <c r="B3220" s="7" t="s">
        <v>9174</v>
      </c>
      <c r="C3220" s="7" t="s">
        <v>8991</v>
      </c>
      <c r="D3220" s="7" t="s">
        <v>7553</v>
      </c>
      <c r="E3220" s="7" t="s">
        <v>12875</v>
      </c>
      <c r="F3220" s="8" t="s">
        <v>10860</v>
      </c>
      <c r="G3220" s="7">
        <v>10</v>
      </c>
      <c r="H3220" s="7" t="s">
        <v>9292</v>
      </c>
      <c r="I3220" s="7">
        <v>1</v>
      </c>
      <c r="J3220" s="7" t="s">
        <v>7768</v>
      </c>
      <c r="K3220" s="9" t="s">
        <v>8987</v>
      </c>
    </row>
    <row r="3221" spans="1:11">
      <c r="A3221" s="7">
        <v>3219</v>
      </c>
      <c r="B3221" s="7" t="s">
        <v>9174</v>
      </c>
      <c r="C3221" s="7" t="s">
        <v>8991</v>
      </c>
      <c r="D3221" s="7" t="s">
        <v>7553</v>
      </c>
      <c r="E3221" s="7" t="s">
        <v>12876</v>
      </c>
      <c r="F3221" s="8" t="s">
        <v>10860</v>
      </c>
      <c r="G3221" s="7">
        <v>10</v>
      </c>
      <c r="H3221" s="7" t="s">
        <v>9292</v>
      </c>
      <c r="I3221" s="7">
        <v>1</v>
      </c>
      <c r="J3221" s="7" t="s">
        <v>7768</v>
      </c>
      <c r="K3221" s="9" t="s">
        <v>8987</v>
      </c>
    </row>
    <row r="3222" spans="1:11">
      <c r="A3222" s="7">
        <v>3220</v>
      </c>
      <c r="B3222" s="7" t="s">
        <v>9174</v>
      </c>
      <c r="C3222" s="7" t="s">
        <v>8991</v>
      </c>
      <c r="D3222" s="7" t="s">
        <v>7553</v>
      </c>
      <c r="E3222" s="7" t="s">
        <v>12877</v>
      </c>
      <c r="F3222" s="8" t="s">
        <v>10860</v>
      </c>
      <c r="G3222" s="7">
        <v>10</v>
      </c>
      <c r="H3222" s="7" t="s">
        <v>9292</v>
      </c>
      <c r="I3222" s="7">
        <v>1</v>
      </c>
      <c r="J3222" s="7" t="s">
        <v>7768</v>
      </c>
      <c r="K3222" s="9" t="s">
        <v>8987</v>
      </c>
    </row>
    <row r="3223" spans="1:11">
      <c r="A3223" s="7">
        <v>3221</v>
      </c>
      <c r="B3223" s="7" t="s">
        <v>9174</v>
      </c>
      <c r="C3223" s="7" t="s">
        <v>8991</v>
      </c>
      <c r="D3223" s="7" t="s">
        <v>7553</v>
      </c>
      <c r="E3223" s="7" t="s">
        <v>12878</v>
      </c>
      <c r="F3223" s="8" t="s">
        <v>10860</v>
      </c>
      <c r="G3223" s="7">
        <v>10</v>
      </c>
      <c r="H3223" s="7" t="s">
        <v>9292</v>
      </c>
      <c r="I3223" s="7">
        <v>1</v>
      </c>
      <c r="J3223" s="7" t="s">
        <v>7768</v>
      </c>
      <c r="K3223" s="9" t="s">
        <v>8987</v>
      </c>
    </row>
    <row r="3224" spans="1:11">
      <c r="A3224" s="7">
        <v>3222</v>
      </c>
      <c r="B3224" s="7" t="s">
        <v>9174</v>
      </c>
      <c r="C3224" s="7" t="s">
        <v>9418</v>
      </c>
      <c r="D3224" s="7" t="s">
        <v>7547</v>
      </c>
      <c r="E3224" s="7" t="s">
        <v>12879</v>
      </c>
      <c r="F3224" s="8" t="s">
        <v>10384</v>
      </c>
      <c r="G3224" s="7">
        <v>240</v>
      </c>
      <c r="H3224" s="7" t="s">
        <v>12880</v>
      </c>
      <c r="I3224" s="7">
        <v>21</v>
      </c>
      <c r="J3224" s="7" t="s">
        <v>7701</v>
      </c>
      <c r="K3224" s="9" t="s">
        <v>8987</v>
      </c>
    </row>
    <row r="3225" spans="1:11">
      <c r="A3225" s="7">
        <v>3223</v>
      </c>
      <c r="B3225" s="7" t="s">
        <v>9174</v>
      </c>
      <c r="C3225" s="10" t="s">
        <v>9418</v>
      </c>
      <c r="D3225" s="7" t="s">
        <v>7547</v>
      </c>
      <c r="E3225" s="7" t="s">
        <v>12881</v>
      </c>
      <c r="F3225" s="8" t="s">
        <v>10384</v>
      </c>
      <c r="G3225" s="7">
        <v>270</v>
      </c>
      <c r="H3225" s="7" t="s">
        <v>10133</v>
      </c>
      <c r="I3225" s="7">
        <v>21</v>
      </c>
      <c r="J3225" s="7" t="s">
        <v>7702</v>
      </c>
      <c r="K3225" s="9" t="s">
        <v>8987</v>
      </c>
    </row>
    <row r="3226" spans="1:11">
      <c r="A3226" s="7">
        <v>3224</v>
      </c>
      <c r="B3226" s="7" t="s">
        <v>9174</v>
      </c>
      <c r="C3226" s="7" t="s">
        <v>9418</v>
      </c>
      <c r="D3226" s="7" t="s">
        <v>7547</v>
      </c>
      <c r="E3226" s="7" t="s">
        <v>12882</v>
      </c>
      <c r="F3226" s="8" t="s">
        <v>10384</v>
      </c>
      <c r="G3226" s="7">
        <v>300</v>
      </c>
      <c r="H3226" s="7" t="s">
        <v>9585</v>
      </c>
      <c r="I3226" s="7">
        <v>21</v>
      </c>
      <c r="J3226" s="7" t="s">
        <v>7703</v>
      </c>
      <c r="K3226" s="9" t="s">
        <v>8987</v>
      </c>
    </row>
    <row r="3227" spans="1:11">
      <c r="A3227" s="7">
        <v>3225</v>
      </c>
      <c r="B3227" s="7" t="s">
        <v>9174</v>
      </c>
      <c r="C3227" s="7" t="s">
        <v>9418</v>
      </c>
      <c r="D3227" s="7" t="s">
        <v>7547</v>
      </c>
      <c r="E3227" s="7" t="s">
        <v>12883</v>
      </c>
      <c r="F3227" s="8" t="s">
        <v>9275</v>
      </c>
      <c r="G3227" s="7">
        <v>162</v>
      </c>
      <c r="H3227" s="7" t="s">
        <v>12884</v>
      </c>
      <c r="I3227" s="7">
        <v>9</v>
      </c>
      <c r="J3227" s="7" t="s">
        <v>7704</v>
      </c>
      <c r="K3227" s="9" t="s">
        <v>8987</v>
      </c>
    </row>
    <row r="3228" spans="1:11">
      <c r="A3228" s="7">
        <v>3226</v>
      </c>
      <c r="B3228" s="7" t="s">
        <v>9174</v>
      </c>
      <c r="C3228" s="7" t="s">
        <v>9418</v>
      </c>
      <c r="D3228" s="7" t="s">
        <v>7547</v>
      </c>
      <c r="E3228" s="7" t="s">
        <v>12885</v>
      </c>
      <c r="F3228" s="8" t="s">
        <v>9275</v>
      </c>
      <c r="G3228" s="7">
        <v>172</v>
      </c>
      <c r="H3228" s="7" t="s">
        <v>12886</v>
      </c>
      <c r="I3228" s="7">
        <v>11</v>
      </c>
      <c r="J3228" s="7" t="s">
        <v>7705</v>
      </c>
      <c r="K3228" s="9" t="s">
        <v>8987</v>
      </c>
    </row>
    <row r="3229" spans="1:11">
      <c r="A3229" s="7">
        <v>3227</v>
      </c>
      <c r="B3229" s="7" t="s">
        <v>9174</v>
      </c>
      <c r="C3229" s="7" t="s">
        <v>9418</v>
      </c>
      <c r="D3229" s="7" t="s">
        <v>7547</v>
      </c>
      <c r="E3229" s="7" t="s">
        <v>12887</v>
      </c>
      <c r="F3229" s="8" t="s">
        <v>9275</v>
      </c>
      <c r="G3229" s="7">
        <v>180</v>
      </c>
      <c r="H3229" s="7" t="s">
        <v>9056</v>
      </c>
      <c r="I3229" s="7">
        <v>9</v>
      </c>
      <c r="J3229" s="7" t="s">
        <v>7706</v>
      </c>
      <c r="K3229" s="9" t="s">
        <v>8987</v>
      </c>
    </row>
    <row r="3230" spans="1:11">
      <c r="A3230" s="7">
        <v>3228</v>
      </c>
      <c r="B3230" s="7" t="s">
        <v>9174</v>
      </c>
      <c r="C3230" s="7" t="s">
        <v>9418</v>
      </c>
      <c r="D3230" s="7" t="s">
        <v>7547</v>
      </c>
      <c r="E3230" s="7" t="s">
        <v>12888</v>
      </c>
      <c r="F3230" s="8" t="s">
        <v>11022</v>
      </c>
      <c r="G3230" s="7">
        <v>162</v>
      </c>
      <c r="H3230" s="7" t="s">
        <v>12884</v>
      </c>
      <c r="I3230" s="7">
        <v>9</v>
      </c>
      <c r="J3230" s="7" t="s">
        <v>7704</v>
      </c>
      <c r="K3230" s="9" t="s">
        <v>8987</v>
      </c>
    </row>
    <row r="3231" spans="1:11">
      <c r="A3231" s="7">
        <v>3229</v>
      </c>
      <c r="B3231" s="7" t="s">
        <v>9174</v>
      </c>
      <c r="C3231" s="7" t="s">
        <v>9418</v>
      </c>
      <c r="D3231" s="7" t="s">
        <v>7547</v>
      </c>
      <c r="E3231" s="7" t="s">
        <v>12889</v>
      </c>
      <c r="F3231" s="8" t="s">
        <v>11022</v>
      </c>
      <c r="G3231" s="7">
        <v>172</v>
      </c>
      <c r="H3231" s="7" t="s">
        <v>12886</v>
      </c>
      <c r="I3231" s="7">
        <v>11</v>
      </c>
      <c r="J3231" s="7" t="s">
        <v>7705</v>
      </c>
      <c r="K3231" s="9" t="s">
        <v>8987</v>
      </c>
    </row>
    <row r="3232" spans="1:11">
      <c r="A3232" s="7">
        <v>3230</v>
      </c>
      <c r="B3232" s="7" t="s">
        <v>9174</v>
      </c>
      <c r="C3232" s="7" t="s">
        <v>9418</v>
      </c>
      <c r="D3232" s="7" t="s">
        <v>7547</v>
      </c>
      <c r="E3232" s="7" t="s">
        <v>12890</v>
      </c>
      <c r="F3232" s="8" t="s">
        <v>11022</v>
      </c>
      <c r="G3232" s="7">
        <v>180</v>
      </c>
      <c r="H3232" s="7" t="s">
        <v>9056</v>
      </c>
      <c r="I3232" s="7">
        <v>9</v>
      </c>
      <c r="J3232" s="7" t="s">
        <v>7706</v>
      </c>
      <c r="K3232" s="9" t="s">
        <v>8987</v>
      </c>
    </row>
    <row r="3233" spans="1:11">
      <c r="A3233" s="7">
        <v>3231</v>
      </c>
      <c r="B3233" s="7" t="s">
        <v>9174</v>
      </c>
      <c r="C3233" s="7" t="s">
        <v>9130</v>
      </c>
      <c r="D3233" s="7" t="s">
        <v>7547</v>
      </c>
      <c r="E3233" s="7" t="s">
        <v>12891</v>
      </c>
      <c r="F3233" s="8" t="s">
        <v>9279</v>
      </c>
      <c r="G3233" s="7">
        <v>40</v>
      </c>
      <c r="H3233" s="7" t="s">
        <v>9003</v>
      </c>
      <c r="I3233" s="7">
        <v>6</v>
      </c>
      <c r="J3233" s="7" t="s">
        <v>7707</v>
      </c>
      <c r="K3233" s="9" t="s">
        <v>8987</v>
      </c>
    </row>
    <row r="3234" spans="1:11">
      <c r="A3234" s="7">
        <v>3232</v>
      </c>
      <c r="B3234" s="7" t="s">
        <v>9174</v>
      </c>
      <c r="C3234" s="7" t="s">
        <v>9130</v>
      </c>
      <c r="D3234" s="7" t="s">
        <v>7547</v>
      </c>
      <c r="E3234" s="7" t="s">
        <v>12892</v>
      </c>
      <c r="F3234" s="8" t="s">
        <v>9279</v>
      </c>
      <c r="G3234" s="7">
        <v>45</v>
      </c>
      <c r="H3234" s="7" t="s">
        <v>9750</v>
      </c>
      <c r="I3234" s="7">
        <v>6</v>
      </c>
      <c r="J3234" s="7" t="s">
        <v>7708</v>
      </c>
      <c r="K3234" s="9" t="s">
        <v>8987</v>
      </c>
    </row>
    <row r="3235" spans="1:11">
      <c r="A3235" s="7">
        <v>3233</v>
      </c>
      <c r="B3235" s="7" t="s">
        <v>9174</v>
      </c>
      <c r="C3235" s="7" t="s">
        <v>9130</v>
      </c>
      <c r="D3235" s="7" t="s">
        <v>7547</v>
      </c>
      <c r="E3235" s="7" t="s">
        <v>12893</v>
      </c>
      <c r="F3235" s="8" t="s">
        <v>9279</v>
      </c>
      <c r="G3235" s="7">
        <v>50</v>
      </c>
      <c r="H3235" s="7" t="s">
        <v>9021</v>
      </c>
      <c r="I3235" s="7">
        <v>6</v>
      </c>
      <c r="J3235" s="7" t="s">
        <v>7709</v>
      </c>
      <c r="K3235" s="9" t="s">
        <v>8987</v>
      </c>
    </row>
    <row r="3236" spans="1:11">
      <c r="A3236" s="7">
        <v>3234</v>
      </c>
      <c r="B3236" s="7" t="s">
        <v>9174</v>
      </c>
      <c r="C3236" s="7" t="s">
        <v>9418</v>
      </c>
      <c r="D3236" s="7" t="s">
        <v>7581</v>
      </c>
      <c r="E3236" s="7" t="s">
        <v>12894</v>
      </c>
      <c r="F3236" s="8" t="s">
        <v>9453</v>
      </c>
      <c r="G3236" s="7">
        <v>111</v>
      </c>
      <c r="H3236" s="7" t="s">
        <v>12895</v>
      </c>
      <c r="I3236" s="7">
        <v>11</v>
      </c>
      <c r="J3236" s="7" t="s">
        <v>7799</v>
      </c>
      <c r="K3236" s="9" t="s">
        <v>8987</v>
      </c>
    </row>
    <row r="3237" spans="1:11">
      <c r="A3237" s="7">
        <v>3235</v>
      </c>
      <c r="B3237" s="7" t="s">
        <v>9174</v>
      </c>
      <c r="C3237" s="7" t="s">
        <v>9418</v>
      </c>
      <c r="D3237" s="7" t="s">
        <v>7581</v>
      </c>
      <c r="E3237" s="7" t="s">
        <v>12896</v>
      </c>
      <c r="F3237" s="8" t="s">
        <v>9453</v>
      </c>
      <c r="G3237" s="7">
        <v>124</v>
      </c>
      <c r="H3237" s="7" t="s">
        <v>12897</v>
      </c>
      <c r="I3237" s="7">
        <v>11</v>
      </c>
      <c r="J3237" s="7" t="s">
        <v>7800</v>
      </c>
      <c r="K3237" s="9" t="s">
        <v>8987</v>
      </c>
    </row>
    <row r="3238" spans="1:11">
      <c r="A3238" s="7">
        <v>3236</v>
      </c>
      <c r="B3238" s="7" t="s">
        <v>9174</v>
      </c>
      <c r="C3238" s="7" t="s">
        <v>9418</v>
      </c>
      <c r="D3238" s="7" t="s">
        <v>7581</v>
      </c>
      <c r="E3238" s="7" t="s">
        <v>12898</v>
      </c>
      <c r="F3238" s="8" t="s">
        <v>9453</v>
      </c>
      <c r="G3238" s="7">
        <v>135</v>
      </c>
      <c r="H3238" s="7" t="s">
        <v>12874</v>
      </c>
      <c r="I3238" s="7">
        <v>11</v>
      </c>
      <c r="J3238" s="7" t="s">
        <v>7789</v>
      </c>
      <c r="K3238" s="9" t="s">
        <v>8987</v>
      </c>
    </row>
    <row r="3239" spans="1:11">
      <c r="A3239" s="7">
        <v>3237</v>
      </c>
      <c r="B3239" s="7" t="s">
        <v>9174</v>
      </c>
      <c r="C3239" s="7" t="s">
        <v>9418</v>
      </c>
      <c r="D3239" s="7" t="s">
        <v>7581</v>
      </c>
      <c r="E3239" s="7" t="s">
        <v>12899</v>
      </c>
      <c r="F3239" s="8" t="s">
        <v>9657</v>
      </c>
      <c r="G3239" s="7">
        <v>142</v>
      </c>
      <c r="H3239" s="7" t="s">
        <v>12900</v>
      </c>
      <c r="I3239" s="7">
        <v>12</v>
      </c>
      <c r="J3239" s="7" t="s">
        <v>7801</v>
      </c>
      <c r="K3239" s="9" t="s">
        <v>8987</v>
      </c>
    </row>
    <row r="3240" spans="1:11">
      <c r="A3240" s="7">
        <v>3238</v>
      </c>
      <c r="B3240" s="7" t="s">
        <v>9174</v>
      </c>
      <c r="C3240" s="7" t="s">
        <v>9418</v>
      </c>
      <c r="D3240" s="7" t="s">
        <v>7581</v>
      </c>
      <c r="E3240" s="7" t="s">
        <v>12901</v>
      </c>
      <c r="F3240" s="8" t="s">
        <v>9657</v>
      </c>
      <c r="G3240" s="7">
        <v>153</v>
      </c>
      <c r="H3240" s="7" t="s">
        <v>12902</v>
      </c>
      <c r="I3240" s="7">
        <v>12</v>
      </c>
      <c r="J3240" s="7" t="s">
        <v>7802</v>
      </c>
      <c r="K3240" s="9" t="s">
        <v>8987</v>
      </c>
    </row>
    <row r="3241" spans="1:11">
      <c r="A3241" s="7">
        <v>3239</v>
      </c>
      <c r="B3241" s="7" t="s">
        <v>9174</v>
      </c>
      <c r="C3241" s="7" t="s">
        <v>9418</v>
      </c>
      <c r="D3241" s="7" t="s">
        <v>7581</v>
      </c>
      <c r="E3241" s="7" t="s">
        <v>12903</v>
      </c>
      <c r="F3241" s="8" t="s">
        <v>9657</v>
      </c>
      <c r="G3241" s="7">
        <v>165</v>
      </c>
      <c r="H3241" s="7" t="s">
        <v>9893</v>
      </c>
      <c r="I3241" s="7">
        <v>13</v>
      </c>
      <c r="J3241" s="7" t="s">
        <v>7803</v>
      </c>
      <c r="K3241" s="9" t="s">
        <v>8987</v>
      </c>
    </row>
    <row r="3242" spans="1:11">
      <c r="A3242" s="7">
        <v>3240</v>
      </c>
      <c r="B3242" s="7" t="s">
        <v>9174</v>
      </c>
      <c r="C3242" s="7" t="s">
        <v>9130</v>
      </c>
      <c r="D3242" s="7" t="s">
        <v>7550</v>
      </c>
      <c r="E3242" s="7" t="s">
        <v>12904</v>
      </c>
      <c r="F3242" s="8" t="s">
        <v>9669</v>
      </c>
      <c r="G3242" s="7">
        <v>59</v>
      </c>
      <c r="H3242" s="7" t="s">
        <v>12905</v>
      </c>
      <c r="I3242" s="7">
        <v>10</v>
      </c>
      <c r="J3242" s="7" t="s">
        <v>7737</v>
      </c>
      <c r="K3242" s="9" t="s">
        <v>8987</v>
      </c>
    </row>
    <row r="3243" spans="1:11">
      <c r="A3243" s="7">
        <v>3241</v>
      </c>
      <c r="B3243" s="7" t="s">
        <v>9174</v>
      </c>
      <c r="C3243" s="7" t="s">
        <v>9130</v>
      </c>
      <c r="D3243" s="7" t="s">
        <v>7550</v>
      </c>
      <c r="E3243" s="7" t="s">
        <v>12906</v>
      </c>
      <c r="F3243" s="8" t="s">
        <v>9669</v>
      </c>
      <c r="G3243" s="7">
        <v>68</v>
      </c>
      <c r="H3243" s="7" t="s">
        <v>9088</v>
      </c>
      <c r="I3243" s="7">
        <v>10</v>
      </c>
      <c r="J3243" s="7" t="s">
        <v>7738</v>
      </c>
      <c r="K3243" s="9" t="s">
        <v>8987</v>
      </c>
    </row>
    <row r="3244" spans="1:11">
      <c r="A3244" s="7">
        <v>3242</v>
      </c>
      <c r="B3244" s="7" t="s">
        <v>9174</v>
      </c>
      <c r="C3244" s="7" t="s">
        <v>9130</v>
      </c>
      <c r="D3244" s="7" t="s">
        <v>7550</v>
      </c>
      <c r="E3244" s="7" t="s">
        <v>12907</v>
      </c>
      <c r="F3244" s="8" t="s">
        <v>9669</v>
      </c>
      <c r="G3244" s="7">
        <v>75</v>
      </c>
      <c r="H3244" s="7" t="s">
        <v>9265</v>
      </c>
      <c r="I3244" s="7">
        <v>10</v>
      </c>
      <c r="J3244" s="7" t="s">
        <v>7739</v>
      </c>
      <c r="K3244" s="9" t="s">
        <v>8987</v>
      </c>
    </row>
    <row r="3245" spans="1:11">
      <c r="A3245" s="7">
        <v>3243</v>
      </c>
      <c r="B3245" s="7" t="s">
        <v>9174</v>
      </c>
      <c r="C3245" s="7" t="s">
        <v>9130</v>
      </c>
      <c r="D3245" s="7" t="s">
        <v>7550</v>
      </c>
      <c r="E3245" s="7" t="s">
        <v>12908</v>
      </c>
      <c r="F3245" s="8" t="s">
        <v>12013</v>
      </c>
      <c r="G3245" s="7">
        <v>47</v>
      </c>
      <c r="H3245" s="7" t="s">
        <v>11393</v>
      </c>
      <c r="I3245" s="7">
        <v>8</v>
      </c>
      <c r="J3245" s="7" t="s">
        <v>7740</v>
      </c>
      <c r="K3245" s="9" t="s">
        <v>8987</v>
      </c>
    </row>
    <row r="3246" spans="1:11">
      <c r="A3246" s="7">
        <v>3244</v>
      </c>
      <c r="B3246" s="7" t="s">
        <v>9174</v>
      </c>
      <c r="C3246" s="7" t="s">
        <v>9130</v>
      </c>
      <c r="D3246" s="7" t="s">
        <v>7550</v>
      </c>
      <c r="E3246" s="7" t="s">
        <v>12909</v>
      </c>
      <c r="F3246" s="8" t="s">
        <v>12013</v>
      </c>
      <c r="G3246" s="7">
        <v>54</v>
      </c>
      <c r="H3246" s="7" t="s">
        <v>11713</v>
      </c>
      <c r="I3246" s="7">
        <v>8</v>
      </c>
      <c r="J3246" s="7" t="s">
        <v>7741</v>
      </c>
      <c r="K3246" s="9" t="s">
        <v>8987</v>
      </c>
    </row>
    <row r="3247" spans="1:11">
      <c r="A3247" s="7">
        <v>3245</v>
      </c>
      <c r="B3247" s="7" t="s">
        <v>9174</v>
      </c>
      <c r="C3247" s="7" t="s">
        <v>9130</v>
      </c>
      <c r="D3247" s="7" t="s">
        <v>7550</v>
      </c>
      <c r="E3247" s="7" t="s">
        <v>12910</v>
      </c>
      <c r="F3247" s="8" t="s">
        <v>12013</v>
      </c>
      <c r="G3247" s="7">
        <v>60</v>
      </c>
      <c r="H3247" s="7" t="s">
        <v>9289</v>
      </c>
      <c r="I3247" s="7">
        <v>8</v>
      </c>
      <c r="J3247" s="7" t="s">
        <v>7742</v>
      </c>
      <c r="K3247" s="9" t="s">
        <v>8987</v>
      </c>
    </row>
    <row r="3248" spans="1:11">
      <c r="A3248" s="7">
        <v>3246</v>
      </c>
      <c r="B3248" s="7" t="s">
        <v>9174</v>
      </c>
      <c r="C3248" s="7" t="s">
        <v>9130</v>
      </c>
      <c r="D3248" s="7" t="s">
        <v>7550</v>
      </c>
      <c r="E3248" s="7" t="s">
        <v>12911</v>
      </c>
      <c r="F3248" s="8" t="s">
        <v>9436</v>
      </c>
      <c r="G3248" s="7">
        <v>87</v>
      </c>
      <c r="H3248" s="7" t="s">
        <v>12912</v>
      </c>
      <c r="I3248" s="7">
        <v>10</v>
      </c>
      <c r="J3248" s="7" t="s">
        <v>7743</v>
      </c>
      <c r="K3248" s="9" t="s">
        <v>8987</v>
      </c>
    </row>
    <row r="3249" spans="1:11">
      <c r="A3249" s="7">
        <v>3247</v>
      </c>
      <c r="B3249" s="7" t="s">
        <v>9174</v>
      </c>
      <c r="C3249" s="7" t="s">
        <v>9130</v>
      </c>
      <c r="D3249" s="7" t="s">
        <v>7550</v>
      </c>
      <c r="E3249" s="7" t="s">
        <v>12913</v>
      </c>
      <c r="F3249" s="8" t="s">
        <v>9436</v>
      </c>
      <c r="G3249" s="7">
        <v>96</v>
      </c>
      <c r="H3249" s="7" t="s">
        <v>12914</v>
      </c>
      <c r="I3249" s="7">
        <v>10</v>
      </c>
      <c r="J3249" s="7" t="s">
        <v>7744</v>
      </c>
      <c r="K3249" s="9" t="s">
        <v>8987</v>
      </c>
    </row>
    <row r="3250" spans="1:11">
      <c r="A3250" s="7">
        <v>3248</v>
      </c>
      <c r="B3250" s="7" t="s">
        <v>9174</v>
      </c>
      <c r="C3250" s="7" t="s">
        <v>9130</v>
      </c>
      <c r="D3250" s="7" t="s">
        <v>7550</v>
      </c>
      <c r="E3250" s="7" t="s">
        <v>12915</v>
      </c>
      <c r="F3250" s="8" t="s">
        <v>9436</v>
      </c>
      <c r="G3250" s="7">
        <v>104</v>
      </c>
      <c r="H3250" s="7" t="s">
        <v>12916</v>
      </c>
      <c r="I3250" s="7">
        <v>10</v>
      </c>
      <c r="J3250" s="7" t="s">
        <v>7745</v>
      </c>
      <c r="K3250" s="9" t="s">
        <v>8987</v>
      </c>
    </row>
    <row r="3251" spans="1:11">
      <c r="A3251" s="7">
        <v>3249</v>
      </c>
      <c r="B3251" s="7" t="s">
        <v>9174</v>
      </c>
      <c r="C3251" s="7" t="s">
        <v>9130</v>
      </c>
      <c r="D3251" s="7" t="s">
        <v>7550</v>
      </c>
      <c r="E3251" s="7" t="s">
        <v>12917</v>
      </c>
      <c r="F3251" s="8" t="s">
        <v>10308</v>
      </c>
      <c r="G3251" s="7">
        <v>86</v>
      </c>
      <c r="H3251" s="7" t="s">
        <v>12918</v>
      </c>
      <c r="I3251" s="7">
        <v>9</v>
      </c>
      <c r="J3251" s="7" t="s">
        <v>7746</v>
      </c>
      <c r="K3251" s="9" t="s">
        <v>8987</v>
      </c>
    </row>
    <row r="3252" spans="1:11">
      <c r="A3252" s="7">
        <v>3250</v>
      </c>
      <c r="B3252" s="7" t="s">
        <v>9174</v>
      </c>
      <c r="C3252" s="7" t="s">
        <v>9130</v>
      </c>
      <c r="D3252" s="7" t="s">
        <v>7550</v>
      </c>
      <c r="E3252" s="7" t="s">
        <v>12919</v>
      </c>
      <c r="F3252" s="8" t="s">
        <v>10308</v>
      </c>
      <c r="G3252" s="7">
        <v>95</v>
      </c>
      <c r="H3252" s="7" t="s">
        <v>12920</v>
      </c>
      <c r="I3252" s="7">
        <v>9</v>
      </c>
      <c r="J3252" s="7" t="s">
        <v>7747</v>
      </c>
      <c r="K3252" s="9" t="s">
        <v>8987</v>
      </c>
    </row>
    <row r="3253" spans="1:11">
      <c r="A3253" s="7">
        <v>3251</v>
      </c>
      <c r="B3253" s="7" t="s">
        <v>9174</v>
      </c>
      <c r="C3253" s="7" t="s">
        <v>9130</v>
      </c>
      <c r="D3253" s="7" t="s">
        <v>7550</v>
      </c>
      <c r="E3253" s="7" t="s">
        <v>12921</v>
      </c>
      <c r="F3253" s="8" t="s">
        <v>10308</v>
      </c>
      <c r="G3253" s="7">
        <v>103</v>
      </c>
      <c r="H3253" s="7" t="s">
        <v>12922</v>
      </c>
      <c r="I3253" s="7">
        <v>9</v>
      </c>
      <c r="J3253" s="7" t="s">
        <v>7748</v>
      </c>
      <c r="K3253" s="9" t="s">
        <v>8987</v>
      </c>
    </row>
    <row r="3254" spans="1:11">
      <c r="A3254" s="7">
        <v>3252</v>
      </c>
      <c r="B3254" s="7" t="s">
        <v>9174</v>
      </c>
      <c r="C3254" s="7" t="s">
        <v>9418</v>
      </c>
      <c r="D3254" s="7" t="s">
        <v>7550</v>
      </c>
      <c r="E3254" s="7" t="s">
        <v>12923</v>
      </c>
      <c r="F3254" s="8" t="s">
        <v>9770</v>
      </c>
      <c r="G3254" s="7">
        <v>113</v>
      </c>
      <c r="H3254" s="7" t="s">
        <v>11888</v>
      </c>
      <c r="I3254" s="7">
        <v>10</v>
      </c>
      <c r="J3254" s="7" t="s">
        <v>7749</v>
      </c>
      <c r="K3254" s="9" t="s">
        <v>8987</v>
      </c>
    </row>
    <row r="3255" spans="1:11">
      <c r="A3255" s="7">
        <v>3253</v>
      </c>
      <c r="B3255" s="7" t="s">
        <v>9174</v>
      </c>
      <c r="C3255" s="7" t="s">
        <v>9418</v>
      </c>
      <c r="D3255" s="7" t="s">
        <v>7550</v>
      </c>
      <c r="E3255" s="7" t="s">
        <v>12924</v>
      </c>
      <c r="F3255" s="8" t="s">
        <v>9770</v>
      </c>
      <c r="G3255" s="7">
        <v>122</v>
      </c>
      <c r="H3255" s="7" t="s">
        <v>12925</v>
      </c>
      <c r="I3255" s="7">
        <v>10</v>
      </c>
      <c r="J3255" s="7" t="s">
        <v>7750</v>
      </c>
      <c r="K3255" s="9" t="s">
        <v>8987</v>
      </c>
    </row>
    <row r="3256" spans="1:11">
      <c r="A3256" s="7">
        <v>3254</v>
      </c>
      <c r="B3256" s="7" t="s">
        <v>9174</v>
      </c>
      <c r="C3256" s="7" t="s">
        <v>9418</v>
      </c>
      <c r="D3256" s="7" t="s">
        <v>7550</v>
      </c>
      <c r="E3256" s="7" t="s">
        <v>12926</v>
      </c>
      <c r="F3256" s="8" t="s">
        <v>9770</v>
      </c>
      <c r="G3256" s="7">
        <v>131</v>
      </c>
      <c r="H3256" s="7" t="s">
        <v>12927</v>
      </c>
      <c r="I3256" s="7">
        <v>10</v>
      </c>
      <c r="J3256" s="7" t="s">
        <v>7751</v>
      </c>
      <c r="K3256" s="9" t="s">
        <v>8987</v>
      </c>
    </row>
    <row r="3257" spans="1:11">
      <c r="A3257" s="7">
        <v>3255</v>
      </c>
      <c r="B3257" s="7" t="s">
        <v>9174</v>
      </c>
      <c r="C3257" s="7" t="s">
        <v>9418</v>
      </c>
      <c r="D3257" s="7" t="s">
        <v>7550</v>
      </c>
      <c r="E3257" s="7" t="s">
        <v>12928</v>
      </c>
      <c r="F3257" s="8" t="s">
        <v>9770</v>
      </c>
      <c r="G3257" s="7">
        <v>113</v>
      </c>
      <c r="H3257" s="7" t="s">
        <v>11888</v>
      </c>
      <c r="I3257" s="7">
        <v>10</v>
      </c>
      <c r="J3257" s="7" t="s">
        <v>7749</v>
      </c>
      <c r="K3257" s="9" t="s">
        <v>8987</v>
      </c>
    </row>
    <row r="3258" spans="1:11">
      <c r="A3258" s="7">
        <v>3256</v>
      </c>
      <c r="B3258" s="7" t="s">
        <v>9174</v>
      </c>
      <c r="C3258" s="7" t="s">
        <v>9418</v>
      </c>
      <c r="D3258" s="7" t="s">
        <v>7550</v>
      </c>
      <c r="E3258" s="7" t="s">
        <v>12929</v>
      </c>
      <c r="F3258" s="8" t="s">
        <v>9770</v>
      </c>
      <c r="G3258" s="7">
        <v>122</v>
      </c>
      <c r="H3258" s="7" t="s">
        <v>12925</v>
      </c>
      <c r="I3258" s="7">
        <v>10</v>
      </c>
      <c r="J3258" s="7" t="s">
        <v>7750</v>
      </c>
      <c r="K3258" s="9" t="s">
        <v>8987</v>
      </c>
    </row>
    <row r="3259" spans="1:11">
      <c r="A3259" s="7">
        <v>3257</v>
      </c>
      <c r="B3259" s="7" t="s">
        <v>9174</v>
      </c>
      <c r="C3259" s="7" t="s">
        <v>9418</v>
      </c>
      <c r="D3259" s="7" t="s">
        <v>7550</v>
      </c>
      <c r="E3259" s="7" t="s">
        <v>12930</v>
      </c>
      <c r="F3259" s="8" t="s">
        <v>9770</v>
      </c>
      <c r="G3259" s="7">
        <v>131</v>
      </c>
      <c r="H3259" s="7" t="s">
        <v>12927</v>
      </c>
      <c r="I3259" s="7">
        <v>10</v>
      </c>
      <c r="J3259" s="7" t="s">
        <v>7751</v>
      </c>
      <c r="K3259" s="9" t="s">
        <v>8987</v>
      </c>
    </row>
    <row r="3260" spans="1:11">
      <c r="A3260" s="7">
        <v>3258</v>
      </c>
      <c r="B3260" s="7" t="s">
        <v>9174</v>
      </c>
      <c r="C3260" s="7" t="s">
        <v>9418</v>
      </c>
      <c r="D3260" s="7" t="s">
        <v>7550</v>
      </c>
      <c r="E3260" s="7" t="s">
        <v>12931</v>
      </c>
      <c r="F3260" s="8" t="s">
        <v>9770</v>
      </c>
      <c r="G3260" s="7">
        <v>113</v>
      </c>
      <c r="H3260" s="7" t="s">
        <v>11888</v>
      </c>
      <c r="I3260" s="7">
        <v>10</v>
      </c>
      <c r="J3260" s="7" t="s">
        <v>7749</v>
      </c>
      <c r="K3260" s="9" t="s">
        <v>8987</v>
      </c>
    </row>
    <row r="3261" spans="1:11">
      <c r="A3261" s="7">
        <v>3259</v>
      </c>
      <c r="B3261" s="7" t="s">
        <v>9174</v>
      </c>
      <c r="C3261" s="7" t="s">
        <v>9418</v>
      </c>
      <c r="D3261" s="7" t="s">
        <v>7550</v>
      </c>
      <c r="E3261" s="7" t="s">
        <v>12932</v>
      </c>
      <c r="F3261" s="8" t="s">
        <v>9770</v>
      </c>
      <c r="G3261" s="7">
        <v>122</v>
      </c>
      <c r="H3261" s="7" t="s">
        <v>12925</v>
      </c>
      <c r="I3261" s="7">
        <v>10</v>
      </c>
      <c r="J3261" s="7" t="s">
        <v>7750</v>
      </c>
      <c r="K3261" s="9" t="s">
        <v>8987</v>
      </c>
    </row>
    <row r="3262" spans="1:11">
      <c r="A3262" s="7">
        <v>3260</v>
      </c>
      <c r="B3262" s="7" t="s">
        <v>9174</v>
      </c>
      <c r="C3262" s="7" t="s">
        <v>9418</v>
      </c>
      <c r="D3262" s="7" t="s">
        <v>7550</v>
      </c>
      <c r="E3262" s="7" t="s">
        <v>12933</v>
      </c>
      <c r="F3262" s="8" t="s">
        <v>9770</v>
      </c>
      <c r="G3262" s="7">
        <v>131</v>
      </c>
      <c r="H3262" s="7" t="s">
        <v>12927</v>
      </c>
      <c r="I3262" s="7">
        <v>10</v>
      </c>
      <c r="J3262" s="7" t="s">
        <v>7751</v>
      </c>
      <c r="K3262" s="9" t="s">
        <v>8987</v>
      </c>
    </row>
    <row r="3263" spans="1:11">
      <c r="A3263" s="7">
        <v>3261</v>
      </c>
      <c r="B3263" s="7" t="s">
        <v>9174</v>
      </c>
      <c r="C3263" s="7" t="s">
        <v>9418</v>
      </c>
      <c r="D3263" s="7" t="s">
        <v>7550</v>
      </c>
      <c r="E3263" s="7" t="s">
        <v>12934</v>
      </c>
      <c r="F3263" s="8" t="s">
        <v>9770</v>
      </c>
      <c r="G3263" s="7">
        <v>113</v>
      </c>
      <c r="H3263" s="7" t="s">
        <v>11888</v>
      </c>
      <c r="I3263" s="7">
        <v>10</v>
      </c>
      <c r="J3263" s="7" t="s">
        <v>7749</v>
      </c>
      <c r="K3263" s="9" t="s">
        <v>8987</v>
      </c>
    </row>
    <row r="3264" spans="1:11">
      <c r="A3264" s="7">
        <v>3262</v>
      </c>
      <c r="B3264" s="7" t="s">
        <v>9174</v>
      </c>
      <c r="C3264" s="7" t="s">
        <v>9418</v>
      </c>
      <c r="D3264" s="7" t="s">
        <v>7550</v>
      </c>
      <c r="E3264" s="7" t="s">
        <v>12935</v>
      </c>
      <c r="F3264" s="8" t="s">
        <v>9770</v>
      </c>
      <c r="G3264" s="7">
        <v>122</v>
      </c>
      <c r="H3264" s="7" t="s">
        <v>12925</v>
      </c>
      <c r="I3264" s="7">
        <v>10</v>
      </c>
      <c r="J3264" s="7" t="s">
        <v>7750</v>
      </c>
      <c r="K3264" s="9" t="s">
        <v>8987</v>
      </c>
    </row>
    <row r="3265" spans="1:11">
      <c r="A3265" s="7">
        <v>3263</v>
      </c>
      <c r="B3265" s="7" t="s">
        <v>9174</v>
      </c>
      <c r="C3265" s="7" t="s">
        <v>9418</v>
      </c>
      <c r="D3265" s="7" t="s">
        <v>7550</v>
      </c>
      <c r="E3265" s="7" t="s">
        <v>12936</v>
      </c>
      <c r="F3265" s="8" t="s">
        <v>9770</v>
      </c>
      <c r="G3265" s="7">
        <v>131</v>
      </c>
      <c r="H3265" s="7" t="s">
        <v>12927</v>
      </c>
      <c r="I3265" s="7">
        <v>10</v>
      </c>
      <c r="J3265" s="7" t="s">
        <v>7751</v>
      </c>
      <c r="K3265" s="9" t="s">
        <v>8987</v>
      </c>
    </row>
    <row r="3266" spans="1:11">
      <c r="A3266" s="7">
        <v>3264</v>
      </c>
      <c r="B3266" s="7" t="s">
        <v>9174</v>
      </c>
      <c r="C3266" s="7" t="s">
        <v>9130</v>
      </c>
      <c r="D3266" s="7" t="s">
        <v>7550</v>
      </c>
      <c r="E3266" s="7" t="s">
        <v>12937</v>
      </c>
      <c r="F3266" s="8" t="s">
        <v>10992</v>
      </c>
      <c r="G3266" s="7">
        <v>56</v>
      </c>
      <c r="H3266" s="7" t="s">
        <v>12938</v>
      </c>
      <c r="I3266" s="7">
        <v>9</v>
      </c>
      <c r="J3266" s="7" t="s">
        <v>7752</v>
      </c>
      <c r="K3266" s="9" t="s">
        <v>8987</v>
      </c>
    </row>
    <row r="3267" spans="1:11">
      <c r="A3267" s="7">
        <v>3265</v>
      </c>
      <c r="B3267" s="7" t="s">
        <v>9174</v>
      </c>
      <c r="C3267" s="7" t="s">
        <v>9130</v>
      </c>
      <c r="D3267" s="7" t="s">
        <v>7550</v>
      </c>
      <c r="E3267" s="7" t="s">
        <v>12939</v>
      </c>
      <c r="F3267" s="8" t="s">
        <v>10992</v>
      </c>
      <c r="G3267" s="7">
        <v>64</v>
      </c>
      <c r="H3267" s="7" t="s">
        <v>9174</v>
      </c>
      <c r="I3267" s="7">
        <v>9</v>
      </c>
      <c r="J3267" s="7" t="s">
        <v>7753</v>
      </c>
      <c r="K3267" s="9" t="s">
        <v>8987</v>
      </c>
    </row>
    <row r="3268" spans="1:11">
      <c r="A3268" s="7">
        <v>3266</v>
      </c>
      <c r="B3268" s="7" t="s">
        <v>9174</v>
      </c>
      <c r="C3268" s="7" t="s">
        <v>9130</v>
      </c>
      <c r="D3268" s="7" t="s">
        <v>7550</v>
      </c>
      <c r="E3268" s="7" t="s">
        <v>12940</v>
      </c>
      <c r="F3268" s="8" t="s">
        <v>10992</v>
      </c>
      <c r="G3268" s="7">
        <v>72</v>
      </c>
      <c r="H3268" s="7" t="s">
        <v>11164</v>
      </c>
      <c r="I3268" s="7">
        <v>9</v>
      </c>
      <c r="J3268" s="7" t="s">
        <v>7754</v>
      </c>
      <c r="K3268" s="9" t="s">
        <v>8987</v>
      </c>
    </row>
    <row r="3269" spans="1:11">
      <c r="A3269" s="7">
        <v>3267</v>
      </c>
      <c r="B3269" s="7" t="s">
        <v>9174</v>
      </c>
      <c r="C3269" s="7" t="s">
        <v>9418</v>
      </c>
      <c r="D3269" s="7" t="s">
        <v>7550</v>
      </c>
      <c r="E3269" s="7" t="s">
        <v>12941</v>
      </c>
      <c r="F3269" s="8" t="s">
        <v>9826</v>
      </c>
      <c r="G3269" s="7">
        <v>169</v>
      </c>
      <c r="H3269" s="7" t="s">
        <v>12942</v>
      </c>
      <c r="I3269" s="7">
        <v>21</v>
      </c>
      <c r="J3269" s="7" t="s">
        <v>7755</v>
      </c>
      <c r="K3269" s="9" t="s">
        <v>8987</v>
      </c>
    </row>
    <row r="3270" spans="1:11">
      <c r="A3270" s="7">
        <v>3268</v>
      </c>
      <c r="B3270" s="7" t="s">
        <v>9174</v>
      </c>
      <c r="C3270" s="7" t="s">
        <v>9418</v>
      </c>
      <c r="D3270" s="7" t="s">
        <v>7550</v>
      </c>
      <c r="E3270" s="7" t="s">
        <v>12943</v>
      </c>
      <c r="F3270" s="8" t="s">
        <v>9826</v>
      </c>
      <c r="G3270" s="7">
        <v>194</v>
      </c>
      <c r="H3270" s="7" t="s">
        <v>12944</v>
      </c>
      <c r="I3270" s="7">
        <v>21</v>
      </c>
      <c r="J3270" s="7" t="s">
        <v>7756</v>
      </c>
      <c r="K3270" s="9" t="s">
        <v>8987</v>
      </c>
    </row>
    <row r="3271" spans="1:11">
      <c r="A3271" s="7">
        <v>3269</v>
      </c>
      <c r="B3271" s="7" t="s">
        <v>9174</v>
      </c>
      <c r="C3271" s="7" t="s">
        <v>9418</v>
      </c>
      <c r="D3271" s="7" t="s">
        <v>7550</v>
      </c>
      <c r="E3271" s="7" t="s">
        <v>12945</v>
      </c>
      <c r="F3271" s="8" t="s">
        <v>9826</v>
      </c>
      <c r="G3271" s="7">
        <v>219</v>
      </c>
      <c r="H3271" s="7" t="s">
        <v>12946</v>
      </c>
      <c r="I3271" s="7">
        <v>21</v>
      </c>
      <c r="J3271" s="7" t="s">
        <v>7757</v>
      </c>
      <c r="K3271" s="9" t="s">
        <v>8987</v>
      </c>
    </row>
    <row r="3272" spans="1:11">
      <c r="A3272" s="7">
        <v>3270</v>
      </c>
      <c r="B3272" s="7" t="s">
        <v>9174</v>
      </c>
      <c r="C3272" s="7" t="s">
        <v>9418</v>
      </c>
      <c r="D3272" s="7" t="s">
        <v>7550</v>
      </c>
      <c r="E3272" s="7" t="s">
        <v>12947</v>
      </c>
      <c r="F3272" s="8" t="s">
        <v>9830</v>
      </c>
      <c r="G3272" s="7">
        <v>169</v>
      </c>
      <c r="H3272" s="7" t="s">
        <v>12942</v>
      </c>
      <c r="I3272" s="7">
        <v>21</v>
      </c>
      <c r="J3272" s="7" t="s">
        <v>7755</v>
      </c>
      <c r="K3272" s="9" t="s">
        <v>8987</v>
      </c>
    </row>
    <row r="3273" spans="1:11">
      <c r="A3273" s="7">
        <v>3271</v>
      </c>
      <c r="B3273" s="7" t="s">
        <v>9174</v>
      </c>
      <c r="C3273" s="7" t="s">
        <v>9418</v>
      </c>
      <c r="D3273" s="7" t="s">
        <v>7550</v>
      </c>
      <c r="E3273" s="7" t="s">
        <v>12948</v>
      </c>
      <c r="F3273" s="8" t="s">
        <v>9830</v>
      </c>
      <c r="G3273" s="7">
        <v>194</v>
      </c>
      <c r="H3273" s="7" t="s">
        <v>12944</v>
      </c>
      <c r="I3273" s="7">
        <v>21</v>
      </c>
      <c r="J3273" s="7" t="s">
        <v>7756</v>
      </c>
      <c r="K3273" s="9" t="s">
        <v>8987</v>
      </c>
    </row>
    <row r="3274" spans="1:11">
      <c r="A3274" s="7">
        <v>3272</v>
      </c>
      <c r="B3274" s="7" t="s">
        <v>9174</v>
      </c>
      <c r="C3274" s="7" t="s">
        <v>9418</v>
      </c>
      <c r="D3274" s="7" t="s">
        <v>7550</v>
      </c>
      <c r="E3274" s="7" t="s">
        <v>12949</v>
      </c>
      <c r="F3274" s="8" t="s">
        <v>9830</v>
      </c>
      <c r="G3274" s="7">
        <v>219</v>
      </c>
      <c r="H3274" s="7" t="s">
        <v>12946</v>
      </c>
      <c r="I3274" s="7">
        <v>21</v>
      </c>
      <c r="J3274" s="7" t="s">
        <v>7757</v>
      </c>
      <c r="K3274" s="9" t="s">
        <v>8987</v>
      </c>
    </row>
    <row r="3275" spans="1:11">
      <c r="A3275" s="7">
        <v>3273</v>
      </c>
      <c r="B3275" s="7" t="s">
        <v>9174</v>
      </c>
      <c r="C3275" s="7" t="s">
        <v>9418</v>
      </c>
      <c r="D3275" s="7" t="s">
        <v>7550</v>
      </c>
      <c r="E3275" s="7" t="s">
        <v>12950</v>
      </c>
      <c r="F3275" s="8" t="s">
        <v>9832</v>
      </c>
      <c r="G3275" s="7">
        <v>169</v>
      </c>
      <c r="H3275" s="7" t="s">
        <v>12942</v>
      </c>
      <c r="I3275" s="7">
        <v>21</v>
      </c>
      <c r="J3275" s="7" t="s">
        <v>7755</v>
      </c>
      <c r="K3275" s="9" t="s">
        <v>8987</v>
      </c>
    </row>
    <row r="3276" spans="1:11">
      <c r="A3276" s="7">
        <v>3274</v>
      </c>
      <c r="B3276" s="7" t="s">
        <v>9174</v>
      </c>
      <c r="C3276" s="7" t="s">
        <v>9418</v>
      </c>
      <c r="D3276" s="7" t="s">
        <v>7550</v>
      </c>
      <c r="E3276" s="7" t="s">
        <v>12951</v>
      </c>
      <c r="F3276" s="8" t="s">
        <v>9832</v>
      </c>
      <c r="G3276" s="7">
        <v>194</v>
      </c>
      <c r="H3276" s="7" t="s">
        <v>12944</v>
      </c>
      <c r="I3276" s="7">
        <v>21</v>
      </c>
      <c r="J3276" s="7" t="s">
        <v>7756</v>
      </c>
      <c r="K3276" s="9" t="s">
        <v>8987</v>
      </c>
    </row>
    <row r="3277" spans="1:11">
      <c r="A3277" s="7">
        <v>3275</v>
      </c>
      <c r="B3277" s="7" t="s">
        <v>9174</v>
      </c>
      <c r="C3277" s="7" t="s">
        <v>9418</v>
      </c>
      <c r="D3277" s="7" t="s">
        <v>7550</v>
      </c>
      <c r="E3277" s="7" t="s">
        <v>12952</v>
      </c>
      <c r="F3277" s="8" t="s">
        <v>9832</v>
      </c>
      <c r="G3277" s="7">
        <v>219</v>
      </c>
      <c r="H3277" s="7" t="s">
        <v>12946</v>
      </c>
      <c r="I3277" s="7">
        <v>21</v>
      </c>
      <c r="J3277" s="7" t="s">
        <v>7757</v>
      </c>
      <c r="K3277" s="9" t="s">
        <v>8987</v>
      </c>
    </row>
    <row r="3278" spans="1:11">
      <c r="A3278" s="7">
        <v>3276</v>
      </c>
      <c r="B3278" s="7" t="s">
        <v>9174</v>
      </c>
      <c r="C3278" s="7" t="s">
        <v>9418</v>
      </c>
      <c r="D3278" s="7" t="s">
        <v>7556</v>
      </c>
      <c r="E3278" s="7" t="s">
        <v>12953</v>
      </c>
      <c r="F3278" s="8" t="s">
        <v>9732</v>
      </c>
      <c r="G3278" s="7">
        <v>115</v>
      </c>
      <c r="H3278" s="7" t="s">
        <v>9917</v>
      </c>
      <c r="I3278" s="7">
        <v>16</v>
      </c>
      <c r="J3278" s="7" t="s">
        <v>7804</v>
      </c>
      <c r="K3278" s="9" t="s">
        <v>8987</v>
      </c>
    </row>
    <row r="3279" spans="1:11">
      <c r="A3279" s="7">
        <v>3277</v>
      </c>
      <c r="B3279" s="7" t="s">
        <v>9174</v>
      </c>
      <c r="C3279" s="7" t="s">
        <v>9418</v>
      </c>
      <c r="D3279" s="7" t="s">
        <v>7556</v>
      </c>
      <c r="E3279" s="7" t="s">
        <v>12954</v>
      </c>
      <c r="F3279" s="8" t="s">
        <v>9732</v>
      </c>
      <c r="G3279" s="7">
        <v>130</v>
      </c>
      <c r="H3279" s="7" t="s">
        <v>9062</v>
      </c>
      <c r="I3279" s="7">
        <v>16</v>
      </c>
      <c r="J3279" s="7" t="s">
        <v>7805</v>
      </c>
      <c r="K3279" s="9" t="s">
        <v>8987</v>
      </c>
    </row>
    <row r="3280" spans="1:11">
      <c r="A3280" s="7">
        <v>3278</v>
      </c>
      <c r="B3280" s="7" t="s">
        <v>9174</v>
      </c>
      <c r="C3280" s="7" t="s">
        <v>9418</v>
      </c>
      <c r="D3280" s="7" t="s">
        <v>7556</v>
      </c>
      <c r="E3280" s="7" t="s">
        <v>12955</v>
      </c>
      <c r="F3280" s="8" t="s">
        <v>9732</v>
      </c>
      <c r="G3280" s="7">
        <v>145</v>
      </c>
      <c r="H3280" s="7" t="s">
        <v>9269</v>
      </c>
      <c r="I3280" s="7">
        <v>16</v>
      </c>
      <c r="J3280" s="7" t="s">
        <v>7806</v>
      </c>
      <c r="K3280" s="9" t="s">
        <v>8987</v>
      </c>
    </row>
    <row r="3281" spans="1:11">
      <c r="A3281" s="7">
        <v>3279</v>
      </c>
      <c r="B3281" s="7" t="s">
        <v>9174</v>
      </c>
      <c r="C3281" s="7" t="s">
        <v>9130</v>
      </c>
      <c r="D3281" s="7" t="s">
        <v>7542</v>
      </c>
      <c r="E3281" s="7" t="s">
        <v>12956</v>
      </c>
      <c r="F3281" s="8" t="s">
        <v>10626</v>
      </c>
      <c r="G3281" s="7">
        <v>70</v>
      </c>
      <c r="H3281" s="7" t="s">
        <v>9194</v>
      </c>
      <c r="I3281" s="7">
        <v>11</v>
      </c>
      <c r="J3281" s="7" t="s">
        <v>7666</v>
      </c>
      <c r="K3281" s="9" t="s">
        <v>8987</v>
      </c>
    </row>
    <row r="3282" spans="1:11">
      <c r="A3282" s="7">
        <v>3280</v>
      </c>
      <c r="B3282" s="7" t="s">
        <v>9174</v>
      </c>
      <c r="C3282" s="7" t="s">
        <v>9130</v>
      </c>
      <c r="D3282" s="7" t="s">
        <v>7542</v>
      </c>
      <c r="E3282" s="7" t="s">
        <v>12957</v>
      </c>
      <c r="F3282" s="8" t="s">
        <v>10626</v>
      </c>
      <c r="G3282" s="7">
        <v>80</v>
      </c>
      <c r="H3282" s="7" t="s">
        <v>9153</v>
      </c>
      <c r="I3282" s="7">
        <v>11</v>
      </c>
      <c r="J3282" s="7" t="s">
        <v>7668</v>
      </c>
      <c r="K3282" s="9" t="s">
        <v>8987</v>
      </c>
    </row>
    <row r="3283" spans="1:11">
      <c r="A3283" s="7">
        <v>3281</v>
      </c>
      <c r="B3283" s="7" t="s">
        <v>9174</v>
      </c>
      <c r="C3283" s="7" t="s">
        <v>9130</v>
      </c>
      <c r="D3283" s="7" t="s">
        <v>7542</v>
      </c>
      <c r="E3283" s="7" t="s">
        <v>12958</v>
      </c>
      <c r="F3283" s="8" t="s">
        <v>10626</v>
      </c>
      <c r="G3283" s="7">
        <v>90</v>
      </c>
      <c r="H3283" s="7" t="s">
        <v>9642</v>
      </c>
      <c r="I3283" s="7">
        <v>11</v>
      </c>
      <c r="J3283" s="7" t="s">
        <v>7669</v>
      </c>
      <c r="K3283" s="9" t="s">
        <v>8987</v>
      </c>
    </row>
    <row r="3284" spans="1:11">
      <c r="A3284" s="7">
        <v>3282</v>
      </c>
      <c r="B3284" s="7" t="s">
        <v>9174</v>
      </c>
      <c r="C3284" s="7" t="s">
        <v>9130</v>
      </c>
      <c r="D3284" s="7" t="s">
        <v>7542</v>
      </c>
      <c r="E3284" s="7" t="s">
        <v>12959</v>
      </c>
      <c r="F3284" s="8" t="s">
        <v>10801</v>
      </c>
      <c r="G3284" s="13">
        <v>103</v>
      </c>
      <c r="H3284" s="13" t="s">
        <v>12922</v>
      </c>
      <c r="I3284" s="13">
        <v>12</v>
      </c>
      <c r="J3284" s="13" t="s">
        <v>7661</v>
      </c>
      <c r="K3284" s="9" t="s">
        <v>8987</v>
      </c>
    </row>
    <row r="3285" spans="1:11">
      <c r="A3285" s="7">
        <v>3283</v>
      </c>
      <c r="B3285" s="7" t="s">
        <v>9174</v>
      </c>
      <c r="C3285" s="7" t="s">
        <v>9130</v>
      </c>
      <c r="D3285" s="7" t="s">
        <v>7542</v>
      </c>
      <c r="E3285" s="7" t="s">
        <v>12960</v>
      </c>
      <c r="F3285" s="8" t="s">
        <v>10801</v>
      </c>
      <c r="G3285" s="13">
        <v>113</v>
      </c>
      <c r="H3285" s="13" t="s">
        <v>11888</v>
      </c>
      <c r="I3285" s="13">
        <v>12</v>
      </c>
      <c r="J3285" s="13" t="s">
        <v>7608</v>
      </c>
      <c r="K3285" s="9" t="s">
        <v>8987</v>
      </c>
    </row>
    <row r="3286" spans="1:11">
      <c r="A3286" s="7">
        <v>3284</v>
      </c>
      <c r="B3286" s="7" t="s">
        <v>9174</v>
      </c>
      <c r="C3286" s="7" t="s">
        <v>9130</v>
      </c>
      <c r="D3286" s="7" t="s">
        <v>7542</v>
      </c>
      <c r="E3286" s="7" t="s">
        <v>12961</v>
      </c>
      <c r="F3286" s="8" t="s">
        <v>10801</v>
      </c>
      <c r="G3286" s="13">
        <v>124</v>
      </c>
      <c r="H3286" s="13" t="s">
        <v>12897</v>
      </c>
      <c r="I3286" s="13">
        <v>12</v>
      </c>
      <c r="J3286" s="13" t="s">
        <v>7610</v>
      </c>
      <c r="K3286" s="9" t="s">
        <v>8987</v>
      </c>
    </row>
    <row r="3287" spans="1:11">
      <c r="A3287" s="7">
        <v>3285</v>
      </c>
      <c r="B3287" s="7" t="s">
        <v>9174</v>
      </c>
      <c r="C3287" s="7" t="s">
        <v>9418</v>
      </c>
      <c r="D3287" s="7" t="s">
        <v>7555</v>
      </c>
      <c r="E3287" s="7" t="s">
        <v>12962</v>
      </c>
      <c r="F3287" s="8" t="s">
        <v>9244</v>
      </c>
      <c r="G3287" s="7">
        <v>140</v>
      </c>
      <c r="H3287" s="7" t="s">
        <v>10761</v>
      </c>
      <c r="I3287" s="7">
        <v>21</v>
      </c>
      <c r="J3287" s="7" t="s">
        <v>7790</v>
      </c>
      <c r="K3287" s="9" t="s">
        <v>8987</v>
      </c>
    </row>
    <row r="3288" spans="1:11">
      <c r="A3288" s="7">
        <v>3286</v>
      </c>
      <c r="B3288" s="7" t="s">
        <v>9174</v>
      </c>
      <c r="C3288" s="7" t="s">
        <v>9418</v>
      </c>
      <c r="D3288" s="7" t="s">
        <v>7555</v>
      </c>
      <c r="E3288" s="7" t="s">
        <v>12963</v>
      </c>
      <c r="F3288" s="8" t="s">
        <v>9244</v>
      </c>
      <c r="G3288" s="7">
        <v>160</v>
      </c>
      <c r="H3288" s="7" t="s">
        <v>12964</v>
      </c>
      <c r="I3288" s="7">
        <v>21</v>
      </c>
      <c r="J3288" s="7" t="s">
        <v>7791</v>
      </c>
      <c r="K3288" s="9" t="s">
        <v>8987</v>
      </c>
    </row>
    <row r="3289" spans="1:11">
      <c r="A3289" s="7">
        <v>3287</v>
      </c>
      <c r="B3289" s="7" t="s">
        <v>9174</v>
      </c>
      <c r="C3289" s="7" t="s">
        <v>9418</v>
      </c>
      <c r="D3289" s="7" t="s">
        <v>7555</v>
      </c>
      <c r="E3289" s="7" t="s">
        <v>12965</v>
      </c>
      <c r="F3289" s="8" t="s">
        <v>9244</v>
      </c>
      <c r="G3289" s="7">
        <v>180</v>
      </c>
      <c r="H3289" s="7" t="s">
        <v>9056</v>
      </c>
      <c r="I3289" s="7">
        <v>21</v>
      </c>
      <c r="J3289" s="7" t="s">
        <v>7792</v>
      </c>
      <c r="K3289" s="9" t="s">
        <v>8987</v>
      </c>
    </row>
    <row r="3290" spans="1:11">
      <c r="A3290" s="7">
        <v>3288</v>
      </c>
      <c r="B3290" s="7" t="s">
        <v>9174</v>
      </c>
      <c r="C3290" s="7" t="s">
        <v>9418</v>
      </c>
      <c r="D3290" s="7" t="s">
        <v>7555</v>
      </c>
      <c r="E3290" s="7" t="s">
        <v>12966</v>
      </c>
      <c r="F3290" s="8" t="s">
        <v>9246</v>
      </c>
      <c r="G3290" s="7">
        <v>140</v>
      </c>
      <c r="H3290" s="7" t="s">
        <v>10761</v>
      </c>
      <c r="I3290" s="7">
        <v>21</v>
      </c>
      <c r="J3290" s="7" t="s">
        <v>7790</v>
      </c>
      <c r="K3290" s="9" t="s">
        <v>8987</v>
      </c>
    </row>
    <row r="3291" spans="1:11">
      <c r="A3291" s="7">
        <v>3289</v>
      </c>
      <c r="B3291" s="7" t="s">
        <v>9174</v>
      </c>
      <c r="C3291" s="7" t="s">
        <v>9418</v>
      </c>
      <c r="D3291" s="7" t="s">
        <v>7555</v>
      </c>
      <c r="E3291" s="7" t="s">
        <v>12967</v>
      </c>
      <c r="F3291" s="8" t="s">
        <v>9246</v>
      </c>
      <c r="G3291" s="7">
        <v>160</v>
      </c>
      <c r="H3291" s="7" t="s">
        <v>12964</v>
      </c>
      <c r="I3291" s="7">
        <v>21</v>
      </c>
      <c r="J3291" s="7" t="s">
        <v>7791</v>
      </c>
      <c r="K3291" s="9" t="s">
        <v>8987</v>
      </c>
    </row>
    <row r="3292" spans="1:11">
      <c r="A3292" s="7">
        <v>3290</v>
      </c>
      <c r="B3292" s="7" t="s">
        <v>9174</v>
      </c>
      <c r="C3292" s="7" t="s">
        <v>9418</v>
      </c>
      <c r="D3292" s="7" t="s">
        <v>7555</v>
      </c>
      <c r="E3292" s="7" t="s">
        <v>12968</v>
      </c>
      <c r="F3292" s="8" t="s">
        <v>9246</v>
      </c>
      <c r="G3292" s="7">
        <v>180</v>
      </c>
      <c r="H3292" s="7" t="s">
        <v>9056</v>
      </c>
      <c r="I3292" s="7">
        <v>21</v>
      </c>
      <c r="J3292" s="7" t="s">
        <v>7792</v>
      </c>
      <c r="K3292" s="9" t="s">
        <v>8987</v>
      </c>
    </row>
    <row r="3293" spans="1:11">
      <c r="A3293" s="7">
        <v>3291</v>
      </c>
      <c r="B3293" s="7" t="s">
        <v>9174</v>
      </c>
      <c r="C3293" s="7" t="s">
        <v>9418</v>
      </c>
      <c r="D3293" s="7" t="s">
        <v>7555</v>
      </c>
      <c r="E3293" s="7" t="s">
        <v>12969</v>
      </c>
      <c r="F3293" s="8" t="s">
        <v>9249</v>
      </c>
      <c r="G3293" s="7">
        <v>140</v>
      </c>
      <c r="H3293" s="7" t="s">
        <v>10761</v>
      </c>
      <c r="I3293" s="7">
        <v>21</v>
      </c>
      <c r="J3293" s="7" t="s">
        <v>7790</v>
      </c>
      <c r="K3293" s="9" t="s">
        <v>8987</v>
      </c>
    </row>
    <row r="3294" spans="1:11">
      <c r="A3294" s="7">
        <v>3292</v>
      </c>
      <c r="B3294" s="7" t="s">
        <v>9174</v>
      </c>
      <c r="C3294" s="7" t="s">
        <v>9418</v>
      </c>
      <c r="D3294" s="7" t="s">
        <v>7555</v>
      </c>
      <c r="E3294" s="7" t="s">
        <v>12970</v>
      </c>
      <c r="F3294" s="8" t="s">
        <v>9249</v>
      </c>
      <c r="G3294" s="7">
        <v>160</v>
      </c>
      <c r="H3294" s="7" t="s">
        <v>12964</v>
      </c>
      <c r="I3294" s="7">
        <v>21</v>
      </c>
      <c r="J3294" s="7" t="s">
        <v>7791</v>
      </c>
      <c r="K3294" s="9" t="s">
        <v>8987</v>
      </c>
    </row>
    <row r="3295" spans="1:11">
      <c r="A3295" s="7">
        <v>3293</v>
      </c>
      <c r="B3295" s="7" t="s">
        <v>9174</v>
      </c>
      <c r="C3295" s="7" t="s">
        <v>9418</v>
      </c>
      <c r="D3295" s="7" t="s">
        <v>7555</v>
      </c>
      <c r="E3295" s="7" t="s">
        <v>12971</v>
      </c>
      <c r="F3295" s="8" t="s">
        <v>9249</v>
      </c>
      <c r="G3295" s="7">
        <v>180</v>
      </c>
      <c r="H3295" s="7" t="s">
        <v>9056</v>
      </c>
      <c r="I3295" s="7">
        <v>21</v>
      </c>
      <c r="J3295" s="7" t="s">
        <v>7792</v>
      </c>
      <c r="K3295" s="9" t="s">
        <v>8987</v>
      </c>
    </row>
    <row r="3296" spans="1:11">
      <c r="A3296" s="7">
        <v>3294</v>
      </c>
      <c r="B3296" s="7" t="s">
        <v>9174</v>
      </c>
      <c r="C3296" s="7" t="s">
        <v>9418</v>
      </c>
      <c r="D3296" s="7" t="s">
        <v>7555</v>
      </c>
      <c r="E3296" s="7" t="s">
        <v>12972</v>
      </c>
      <c r="F3296" s="8" t="s">
        <v>9251</v>
      </c>
      <c r="G3296" s="7">
        <v>113</v>
      </c>
      <c r="H3296" s="7" t="s">
        <v>11888</v>
      </c>
      <c r="I3296" s="7">
        <v>14</v>
      </c>
      <c r="J3296" s="7" t="s">
        <v>7793</v>
      </c>
      <c r="K3296" s="9" t="s">
        <v>8987</v>
      </c>
    </row>
    <row r="3297" spans="1:11">
      <c r="A3297" s="7">
        <v>3295</v>
      </c>
      <c r="B3297" s="7" t="s">
        <v>9174</v>
      </c>
      <c r="C3297" s="7" t="s">
        <v>9418</v>
      </c>
      <c r="D3297" s="7" t="s">
        <v>7555</v>
      </c>
      <c r="E3297" s="7" t="s">
        <v>6280</v>
      </c>
      <c r="F3297" s="8" t="s">
        <v>9251</v>
      </c>
      <c r="G3297" s="7">
        <v>126</v>
      </c>
      <c r="H3297" s="7" t="s">
        <v>12973</v>
      </c>
      <c r="I3297" s="7">
        <v>14</v>
      </c>
      <c r="J3297" s="7" t="s">
        <v>7794</v>
      </c>
      <c r="K3297" s="9" t="s">
        <v>8987</v>
      </c>
    </row>
    <row r="3298" spans="1:11">
      <c r="A3298" s="7">
        <v>3296</v>
      </c>
      <c r="B3298" s="7" t="s">
        <v>9174</v>
      </c>
      <c r="C3298" s="7" t="s">
        <v>9418</v>
      </c>
      <c r="D3298" s="7" t="s">
        <v>7555</v>
      </c>
      <c r="E3298" s="7" t="s">
        <v>12974</v>
      </c>
      <c r="F3298" s="8" t="s">
        <v>9251</v>
      </c>
      <c r="G3298" s="7">
        <v>140</v>
      </c>
      <c r="H3298" s="7" t="s">
        <v>10761</v>
      </c>
      <c r="I3298" s="7">
        <v>14</v>
      </c>
      <c r="J3298" s="7" t="s">
        <v>7795</v>
      </c>
      <c r="K3298" s="9" t="s">
        <v>8987</v>
      </c>
    </row>
    <row r="3299" spans="1:11">
      <c r="A3299" s="7">
        <v>3297</v>
      </c>
      <c r="B3299" s="7" t="s">
        <v>9174</v>
      </c>
      <c r="C3299" s="7" t="s">
        <v>8991</v>
      </c>
      <c r="D3299" s="7" t="s">
        <v>7555</v>
      </c>
      <c r="E3299" s="7" t="s">
        <v>12975</v>
      </c>
      <c r="F3299" s="8" t="s">
        <v>11447</v>
      </c>
      <c r="G3299" s="7">
        <v>8</v>
      </c>
      <c r="H3299" s="7" t="s">
        <v>8991</v>
      </c>
      <c r="I3299" s="7">
        <v>1</v>
      </c>
      <c r="J3299" s="7" t="s">
        <v>7764</v>
      </c>
      <c r="K3299" s="9" t="s">
        <v>8987</v>
      </c>
    </row>
    <row r="3300" spans="1:11">
      <c r="A3300" s="7">
        <v>3298</v>
      </c>
      <c r="B3300" s="7" t="s">
        <v>9174</v>
      </c>
      <c r="C3300" s="7" t="s">
        <v>8991</v>
      </c>
      <c r="D3300" s="7" t="s">
        <v>7555</v>
      </c>
      <c r="E3300" s="7" t="s">
        <v>12976</v>
      </c>
      <c r="F3300" s="8" t="s">
        <v>11450</v>
      </c>
      <c r="G3300" s="7">
        <v>8</v>
      </c>
      <c r="H3300" s="7" t="s">
        <v>8991</v>
      </c>
      <c r="I3300" s="7">
        <v>1</v>
      </c>
      <c r="J3300" s="7" t="s">
        <v>7764</v>
      </c>
      <c r="K3300" s="9" t="s">
        <v>8987</v>
      </c>
    </row>
    <row r="3301" spans="1:11">
      <c r="A3301" s="7">
        <v>3299</v>
      </c>
      <c r="B3301" s="7" t="s">
        <v>9174</v>
      </c>
      <c r="C3301" s="7" t="s">
        <v>8991</v>
      </c>
      <c r="D3301" s="7" t="s">
        <v>7555</v>
      </c>
      <c r="E3301" s="7" t="s">
        <v>12977</v>
      </c>
      <c r="F3301" s="8" t="s">
        <v>11453</v>
      </c>
      <c r="G3301" s="7">
        <v>8</v>
      </c>
      <c r="H3301" s="7" t="s">
        <v>8991</v>
      </c>
      <c r="I3301" s="7">
        <v>1</v>
      </c>
      <c r="J3301" s="7" t="s">
        <v>7764</v>
      </c>
      <c r="K3301" s="9" t="s">
        <v>8987</v>
      </c>
    </row>
    <row r="3302" spans="1:11">
      <c r="A3302" s="7">
        <v>3300</v>
      </c>
      <c r="B3302" s="7" t="s">
        <v>9174</v>
      </c>
      <c r="C3302" s="7" t="s">
        <v>8991</v>
      </c>
      <c r="D3302" s="7" t="s">
        <v>7555</v>
      </c>
      <c r="E3302" s="7" t="s">
        <v>12978</v>
      </c>
      <c r="F3302" s="12" t="s">
        <v>9325</v>
      </c>
      <c r="G3302" s="7">
        <v>175</v>
      </c>
      <c r="H3302" s="7" t="s">
        <v>12979</v>
      </c>
      <c r="I3302" s="7">
        <v>7</v>
      </c>
      <c r="J3302" s="7" t="s">
        <v>7798</v>
      </c>
      <c r="K3302" s="9" t="s">
        <v>8987</v>
      </c>
    </row>
    <row r="3303" spans="1:11">
      <c r="A3303" s="7">
        <v>3301</v>
      </c>
      <c r="B3303" s="7" t="s">
        <v>9088</v>
      </c>
      <c r="C3303" s="7" t="s">
        <v>9418</v>
      </c>
      <c r="D3303" s="7" t="s">
        <v>7552</v>
      </c>
      <c r="E3303" s="7" t="s">
        <v>12980</v>
      </c>
      <c r="F3303" s="8" t="s">
        <v>11467</v>
      </c>
      <c r="G3303" s="7">
        <v>82</v>
      </c>
      <c r="H3303" s="7" t="s">
        <v>9206</v>
      </c>
      <c r="I3303" s="7">
        <v>8</v>
      </c>
      <c r="J3303" s="7" t="s">
        <v>7775</v>
      </c>
      <c r="K3303" s="9" t="s">
        <v>8987</v>
      </c>
    </row>
    <row r="3304" spans="1:11">
      <c r="A3304" s="7">
        <v>3302</v>
      </c>
      <c r="B3304" s="7" t="s">
        <v>9088</v>
      </c>
      <c r="C3304" s="7" t="s">
        <v>9418</v>
      </c>
      <c r="D3304" s="7" t="s">
        <v>7552</v>
      </c>
      <c r="E3304" s="7" t="s">
        <v>4043</v>
      </c>
      <c r="F3304" s="8" t="s">
        <v>11467</v>
      </c>
      <c r="G3304" s="7">
        <v>89</v>
      </c>
      <c r="H3304" s="7" t="s">
        <v>9570</v>
      </c>
      <c r="I3304" s="7">
        <v>8</v>
      </c>
      <c r="J3304" s="7" t="s">
        <v>7776</v>
      </c>
      <c r="K3304" s="9" t="s">
        <v>8987</v>
      </c>
    </row>
    <row r="3305" spans="1:11">
      <c r="A3305" s="7">
        <v>3303</v>
      </c>
      <c r="B3305" s="7" t="s">
        <v>9088</v>
      </c>
      <c r="C3305" s="7" t="s">
        <v>9418</v>
      </c>
      <c r="D3305" s="7" t="s">
        <v>7552</v>
      </c>
      <c r="E3305" s="7" t="s">
        <v>12981</v>
      </c>
      <c r="F3305" s="8" t="s">
        <v>11467</v>
      </c>
      <c r="G3305" s="7">
        <v>95</v>
      </c>
      <c r="H3305" s="7" t="s">
        <v>12920</v>
      </c>
      <c r="I3305" s="7">
        <v>8</v>
      </c>
      <c r="J3305" s="7" t="s">
        <v>7777</v>
      </c>
      <c r="K3305" s="9" t="s">
        <v>8987</v>
      </c>
    </row>
    <row r="3306" spans="1:11">
      <c r="A3306" s="7">
        <v>3304</v>
      </c>
      <c r="B3306" s="7" t="s">
        <v>9174</v>
      </c>
      <c r="C3306" s="7" t="s">
        <v>9418</v>
      </c>
      <c r="D3306" s="7" t="s">
        <v>7552</v>
      </c>
      <c r="E3306" s="7" t="s">
        <v>12982</v>
      </c>
      <c r="F3306" s="8" t="s">
        <v>9450</v>
      </c>
      <c r="G3306" s="7">
        <v>85</v>
      </c>
      <c r="H3306" s="7" t="s">
        <v>12983</v>
      </c>
      <c r="I3306" s="7">
        <v>12</v>
      </c>
      <c r="J3306" s="7" t="s">
        <v>7778</v>
      </c>
      <c r="K3306" s="9" t="s">
        <v>8987</v>
      </c>
    </row>
    <row r="3307" spans="1:11">
      <c r="A3307" s="7">
        <v>3305</v>
      </c>
      <c r="B3307" s="7" t="s">
        <v>9174</v>
      </c>
      <c r="C3307" s="7" t="s">
        <v>9418</v>
      </c>
      <c r="D3307" s="7" t="s">
        <v>7552</v>
      </c>
      <c r="E3307" s="7" t="s">
        <v>12984</v>
      </c>
      <c r="F3307" s="8" t="s">
        <v>9450</v>
      </c>
      <c r="G3307" s="7">
        <v>96</v>
      </c>
      <c r="H3307" s="7" t="s">
        <v>12914</v>
      </c>
      <c r="I3307" s="7">
        <v>12</v>
      </c>
      <c r="J3307" s="7" t="s">
        <v>7779</v>
      </c>
      <c r="K3307" s="9" t="s">
        <v>8987</v>
      </c>
    </row>
    <row r="3308" spans="1:11">
      <c r="A3308" s="7">
        <v>3306</v>
      </c>
      <c r="B3308" s="7" t="s">
        <v>9174</v>
      </c>
      <c r="C3308" s="7" t="s">
        <v>9418</v>
      </c>
      <c r="D3308" s="7" t="s">
        <v>7552</v>
      </c>
      <c r="E3308" s="7" t="s">
        <v>12985</v>
      </c>
      <c r="F3308" s="8" t="s">
        <v>9450</v>
      </c>
      <c r="G3308" s="7">
        <v>108</v>
      </c>
      <c r="H3308" s="7" t="s">
        <v>12986</v>
      </c>
      <c r="I3308" s="7">
        <v>12</v>
      </c>
      <c r="J3308" s="7" t="s">
        <v>7780</v>
      </c>
      <c r="K3308" s="9" t="s">
        <v>8987</v>
      </c>
    </row>
    <row r="3309" spans="1:11">
      <c r="A3309" s="7">
        <v>3307</v>
      </c>
      <c r="B3309" s="7" t="s">
        <v>9174</v>
      </c>
      <c r="C3309" s="7" t="s">
        <v>9418</v>
      </c>
      <c r="D3309" s="7" t="s">
        <v>7552</v>
      </c>
      <c r="E3309" s="7" t="s">
        <v>12987</v>
      </c>
      <c r="F3309" s="8" t="s">
        <v>11460</v>
      </c>
      <c r="G3309" s="7">
        <v>132</v>
      </c>
      <c r="H3309" s="7" t="s">
        <v>12988</v>
      </c>
      <c r="I3309" s="7">
        <v>9</v>
      </c>
      <c r="J3309" s="7" t="s">
        <v>7781</v>
      </c>
      <c r="K3309" s="9" t="s">
        <v>8987</v>
      </c>
    </row>
    <row r="3310" spans="1:11">
      <c r="A3310" s="7">
        <v>3308</v>
      </c>
      <c r="B3310" s="7" t="s">
        <v>9174</v>
      </c>
      <c r="C3310" s="7" t="s">
        <v>9418</v>
      </c>
      <c r="D3310" s="7" t="s">
        <v>7552</v>
      </c>
      <c r="E3310" s="7" t="s">
        <v>12989</v>
      </c>
      <c r="F3310" s="8" t="s">
        <v>11460</v>
      </c>
      <c r="G3310" s="7">
        <v>140</v>
      </c>
      <c r="H3310" s="7" t="s">
        <v>10761</v>
      </c>
      <c r="I3310" s="7">
        <v>9</v>
      </c>
      <c r="J3310" s="7" t="s">
        <v>7782</v>
      </c>
      <c r="K3310" s="9" t="s">
        <v>8987</v>
      </c>
    </row>
    <row r="3311" spans="1:11">
      <c r="A3311" s="7">
        <v>3309</v>
      </c>
      <c r="B3311" s="7" t="s">
        <v>9174</v>
      </c>
      <c r="C3311" s="7" t="s">
        <v>9418</v>
      </c>
      <c r="D3311" s="7" t="s">
        <v>7552</v>
      </c>
      <c r="E3311" s="7" t="s">
        <v>12990</v>
      </c>
      <c r="F3311" s="8" t="s">
        <v>11460</v>
      </c>
      <c r="G3311" s="7">
        <v>148</v>
      </c>
      <c r="H3311" s="7" t="s">
        <v>12991</v>
      </c>
      <c r="I3311" s="7">
        <v>9</v>
      </c>
      <c r="J3311" s="7" t="s">
        <v>7783</v>
      </c>
      <c r="K3311" s="9" t="s">
        <v>8987</v>
      </c>
    </row>
    <row r="3312" spans="1:11">
      <c r="A3312" s="7">
        <v>3310</v>
      </c>
      <c r="B3312" s="7" t="s">
        <v>9174</v>
      </c>
      <c r="C3312" s="7" t="s">
        <v>9418</v>
      </c>
      <c r="D3312" s="7" t="s">
        <v>7552</v>
      </c>
      <c r="E3312" s="7" t="s">
        <v>12992</v>
      </c>
      <c r="F3312" s="8" t="s">
        <v>10102</v>
      </c>
      <c r="G3312" s="7">
        <v>146</v>
      </c>
      <c r="H3312" s="7" t="s">
        <v>12993</v>
      </c>
      <c r="I3312" s="7">
        <v>21</v>
      </c>
      <c r="J3312" s="7" t="s">
        <v>7784</v>
      </c>
      <c r="K3312" s="9" t="s">
        <v>8987</v>
      </c>
    </row>
    <row r="3313" spans="1:11">
      <c r="A3313" s="7">
        <v>3311</v>
      </c>
      <c r="B3313" s="7" t="s">
        <v>9174</v>
      </c>
      <c r="C3313" s="7" t="s">
        <v>9418</v>
      </c>
      <c r="D3313" s="7" t="s">
        <v>7552</v>
      </c>
      <c r="E3313" s="7" t="s">
        <v>12994</v>
      </c>
      <c r="F3313" s="8" t="s">
        <v>10102</v>
      </c>
      <c r="G3313" s="7">
        <v>168</v>
      </c>
      <c r="H3313" s="7" t="s">
        <v>12995</v>
      </c>
      <c r="I3313" s="7">
        <v>21</v>
      </c>
      <c r="J3313" s="7" t="s">
        <v>7785</v>
      </c>
      <c r="K3313" s="9" t="s">
        <v>8987</v>
      </c>
    </row>
    <row r="3314" spans="1:11">
      <c r="A3314" s="7">
        <v>3312</v>
      </c>
      <c r="B3314" s="7" t="s">
        <v>9174</v>
      </c>
      <c r="C3314" s="7" t="s">
        <v>9418</v>
      </c>
      <c r="D3314" s="7" t="s">
        <v>7552</v>
      </c>
      <c r="E3314" s="7" t="s">
        <v>12996</v>
      </c>
      <c r="F3314" s="8" t="s">
        <v>10102</v>
      </c>
      <c r="G3314" s="7">
        <v>190</v>
      </c>
      <c r="H3314" s="7" t="s">
        <v>9786</v>
      </c>
      <c r="I3314" s="7">
        <v>21</v>
      </c>
      <c r="J3314" s="7" t="s">
        <v>7786</v>
      </c>
      <c r="K3314" s="9" t="s">
        <v>8987</v>
      </c>
    </row>
    <row r="3315" spans="1:11">
      <c r="A3315" s="7">
        <v>3313</v>
      </c>
      <c r="B3315" s="7" t="s">
        <v>9174</v>
      </c>
      <c r="C3315" s="7" t="s">
        <v>9418</v>
      </c>
      <c r="D3315" s="7" t="s">
        <v>7551</v>
      </c>
      <c r="E3315" s="7" t="s">
        <v>12997</v>
      </c>
      <c r="F3315" s="8" t="s">
        <v>9192</v>
      </c>
      <c r="G3315" s="7">
        <v>230</v>
      </c>
      <c r="H3315" s="7" t="s">
        <v>11572</v>
      </c>
      <c r="I3315" s="7">
        <v>21</v>
      </c>
      <c r="J3315" s="7" t="s">
        <v>7758</v>
      </c>
      <c r="K3315" s="9" t="s">
        <v>8987</v>
      </c>
    </row>
    <row r="3316" spans="1:11">
      <c r="A3316" s="7">
        <v>3314</v>
      </c>
      <c r="B3316" s="7" t="s">
        <v>9174</v>
      </c>
      <c r="C3316" s="7" t="s">
        <v>9418</v>
      </c>
      <c r="D3316" s="7" t="s">
        <v>7551</v>
      </c>
      <c r="E3316" s="7" t="s">
        <v>12998</v>
      </c>
      <c r="F3316" s="8" t="s">
        <v>9192</v>
      </c>
      <c r="G3316" s="7">
        <v>260</v>
      </c>
      <c r="H3316" s="7" t="s">
        <v>10353</v>
      </c>
      <c r="I3316" s="7">
        <v>21</v>
      </c>
      <c r="J3316" s="7" t="s">
        <v>7759</v>
      </c>
      <c r="K3316" s="9" t="s">
        <v>8987</v>
      </c>
    </row>
    <row r="3317" spans="1:11">
      <c r="A3317" s="7">
        <v>3315</v>
      </c>
      <c r="B3317" s="7" t="s">
        <v>9174</v>
      </c>
      <c r="C3317" s="7" t="s">
        <v>9418</v>
      </c>
      <c r="D3317" s="7" t="s">
        <v>7551</v>
      </c>
      <c r="E3317" s="7" t="s">
        <v>12999</v>
      </c>
      <c r="F3317" s="8" t="s">
        <v>9192</v>
      </c>
      <c r="G3317" s="7">
        <v>290</v>
      </c>
      <c r="H3317" s="7" t="s">
        <v>13000</v>
      </c>
      <c r="I3317" s="7">
        <v>21</v>
      </c>
      <c r="J3317" s="7" t="s">
        <v>7760</v>
      </c>
      <c r="K3317" s="9" t="s">
        <v>8987</v>
      </c>
    </row>
    <row r="3318" spans="1:11">
      <c r="A3318" s="7">
        <v>3316</v>
      </c>
      <c r="B3318" s="7" t="s">
        <v>9174</v>
      </c>
      <c r="C3318" s="7" t="s">
        <v>9418</v>
      </c>
      <c r="D3318" s="7" t="s">
        <v>7551</v>
      </c>
      <c r="E3318" s="7" t="s">
        <v>13001</v>
      </c>
      <c r="F3318" s="8" t="s">
        <v>11043</v>
      </c>
      <c r="G3318" s="7">
        <v>45</v>
      </c>
      <c r="H3318" s="7" t="s">
        <v>9750</v>
      </c>
      <c r="I3318" s="7">
        <v>6</v>
      </c>
      <c r="J3318" s="7" t="s">
        <v>7708</v>
      </c>
      <c r="K3318" s="9" t="s">
        <v>8987</v>
      </c>
    </row>
    <row r="3319" spans="1:11">
      <c r="A3319" s="7">
        <v>3317</v>
      </c>
      <c r="B3319" s="7" t="s">
        <v>9174</v>
      </c>
      <c r="C3319" s="7" t="s">
        <v>9418</v>
      </c>
      <c r="D3319" s="7" t="s">
        <v>7551</v>
      </c>
      <c r="E3319" s="7" t="s">
        <v>13002</v>
      </c>
      <c r="F3319" s="8" t="s">
        <v>11043</v>
      </c>
      <c r="G3319" s="7">
        <v>50</v>
      </c>
      <c r="H3319" s="7" t="s">
        <v>9021</v>
      </c>
      <c r="I3319" s="7">
        <v>6</v>
      </c>
      <c r="J3319" s="7" t="s">
        <v>7709</v>
      </c>
      <c r="K3319" s="9" t="s">
        <v>8987</v>
      </c>
    </row>
    <row r="3320" spans="1:11">
      <c r="A3320" s="7">
        <v>3318</v>
      </c>
      <c r="B3320" s="7" t="s">
        <v>9174</v>
      </c>
      <c r="C3320" s="7" t="s">
        <v>9418</v>
      </c>
      <c r="D3320" s="7" t="s">
        <v>7551</v>
      </c>
      <c r="E3320" s="7" t="s">
        <v>13003</v>
      </c>
      <c r="F3320" s="8" t="s">
        <v>11043</v>
      </c>
      <c r="G3320" s="7">
        <v>55</v>
      </c>
      <c r="H3320" s="7" t="s">
        <v>9548</v>
      </c>
      <c r="I3320" s="7">
        <v>6</v>
      </c>
      <c r="J3320" s="7" t="s">
        <v>7761</v>
      </c>
      <c r="K3320" s="9" t="s">
        <v>8987</v>
      </c>
    </row>
    <row r="3321" spans="1:11">
      <c r="A3321" s="7">
        <v>3319</v>
      </c>
      <c r="B3321" s="7" t="s">
        <v>9174</v>
      </c>
      <c r="C3321" s="7" t="s">
        <v>9130</v>
      </c>
      <c r="D3321" s="7" t="s">
        <v>7551</v>
      </c>
      <c r="E3321" s="7" t="s">
        <v>13004</v>
      </c>
      <c r="F3321" s="8" t="s">
        <v>10213</v>
      </c>
      <c r="G3321" s="7">
        <v>8</v>
      </c>
      <c r="H3321" s="7" t="s">
        <v>8991</v>
      </c>
      <c r="I3321" s="7">
        <v>1</v>
      </c>
      <c r="J3321" s="7" t="s">
        <v>7764</v>
      </c>
      <c r="K3321" s="9" t="s">
        <v>8987</v>
      </c>
    </row>
    <row r="3322" spans="1:11">
      <c r="A3322" s="7">
        <v>3320</v>
      </c>
      <c r="B3322" s="7" t="s">
        <v>9174</v>
      </c>
      <c r="C3322" s="7" t="s">
        <v>9130</v>
      </c>
      <c r="D3322" s="7" t="s">
        <v>7551</v>
      </c>
      <c r="E3322" s="7" t="s">
        <v>13005</v>
      </c>
      <c r="F3322" s="8" t="s">
        <v>10213</v>
      </c>
      <c r="G3322" s="7">
        <v>9</v>
      </c>
      <c r="H3322" s="7" t="s">
        <v>9030</v>
      </c>
      <c r="I3322" s="7">
        <v>1</v>
      </c>
      <c r="J3322" s="7" t="s">
        <v>7766</v>
      </c>
      <c r="K3322" s="9" t="s">
        <v>8987</v>
      </c>
    </row>
    <row r="3323" spans="1:11">
      <c r="A3323" s="7">
        <v>3321</v>
      </c>
      <c r="B3323" s="7" t="s">
        <v>9174</v>
      </c>
      <c r="C3323" s="7" t="s">
        <v>9130</v>
      </c>
      <c r="D3323" s="7" t="s">
        <v>7551</v>
      </c>
      <c r="E3323" s="7" t="s">
        <v>13006</v>
      </c>
      <c r="F3323" s="8" t="s">
        <v>10213</v>
      </c>
      <c r="G3323" s="7">
        <v>10</v>
      </c>
      <c r="H3323" s="7" t="s">
        <v>9292</v>
      </c>
      <c r="I3323" s="7">
        <v>1</v>
      </c>
      <c r="J3323" s="7" t="s">
        <v>7768</v>
      </c>
      <c r="K3323" s="9" t="s">
        <v>8987</v>
      </c>
    </row>
    <row r="3324" spans="1:11">
      <c r="A3324" s="7">
        <v>3322</v>
      </c>
      <c r="B3324" s="7" t="s">
        <v>9174</v>
      </c>
      <c r="C3324" s="7" t="s">
        <v>9418</v>
      </c>
      <c r="D3324" s="7" t="s">
        <v>7551</v>
      </c>
      <c r="E3324" s="7" t="s">
        <v>13007</v>
      </c>
      <c r="F3324" s="8" t="s">
        <v>9129</v>
      </c>
      <c r="G3324" s="7">
        <v>16</v>
      </c>
      <c r="H3324" s="7" t="s">
        <v>9215</v>
      </c>
      <c r="I3324" s="7">
        <v>3</v>
      </c>
      <c r="J3324" s="7" t="s">
        <v>7769</v>
      </c>
      <c r="K3324" s="9" t="s">
        <v>8987</v>
      </c>
    </row>
    <row r="3325" spans="1:11">
      <c r="A3325" s="7">
        <v>3323</v>
      </c>
      <c r="B3325" s="7" t="s">
        <v>9174</v>
      </c>
      <c r="C3325" s="7" t="s">
        <v>9418</v>
      </c>
      <c r="D3325" s="7" t="s">
        <v>7551</v>
      </c>
      <c r="E3325" s="7" t="s">
        <v>13008</v>
      </c>
      <c r="F3325" s="8" t="s">
        <v>9129</v>
      </c>
      <c r="G3325" s="7">
        <v>18</v>
      </c>
      <c r="H3325" s="7" t="s">
        <v>9422</v>
      </c>
      <c r="I3325" s="7">
        <v>3</v>
      </c>
      <c r="J3325" s="7" t="s">
        <v>7770</v>
      </c>
      <c r="K3325" s="9" t="s">
        <v>8987</v>
      </c>
    </row>
    <row r="3326" spans="1:11">
      <c r="A3326" s="7">
        <v>3324</v>
      </c>
      <c r="B3326" s="7" t="s">
        <v>9174</v>
      </c>
      <c r="C3326" s="7" t="s">
        <v>9418</v>
      </c>
      <c r="D3326" s="7" t="s">
        <v>7551</v>
      </c>
      <c r="E3326" s="7" t="s">
        <v>13009</v>
      </c>
      <c r="F3326" s="8" t="s">
        <v>9129</v>
      </c>
      <c r="G3326" s="7">
        <v>20</v>
      </c>
      <c r="H3326" s="7" t="s">
        <v>9394</v>
      </c>
      <c r="I3326" s="7">
        <v>3</v>
      </c>
      <c r="J3326" s="7" t="s">
        <v>7771</v>
      </c>
      <c r="K3326" s="9" t="s">
        <v>8987</v>
      </c>
    </row>
    <row r="3327" spans="1:11">
      <c r="A3327" s="7">
        <v>3325</v>
      </c>
      <c r="B3327" s="7" t="s">
        <v>9174</v>
      </c>
      <c r="C3327" s="7" t="s">
        <v>9418</v>
      </c>
      <c r="D3327" s="7" t="s">
        <v>7551</v>
      </c>
      <c r="E3327" s="7" t="s">
        <v>13010</v>
      </c>
      <c r="F3327" s="8" t="s">
        <v>9731</v>
      </c>
      <c r="G3327" s="7">
        <v>11</v>
      </c>
      <c r="H3327" s="7" t="s">
        <v>9386</v>
      </c>
      <c r="I3327" s="7">
        <v>3</v>
      </c>
      <c r="J3327" s="7" t="s">
        <v>7772</v>
      </c>
      <c r="K3327" s="9" t="s">
        <v>8987</v>
      </c>
    </row>
    <row r="3328" spans="1:11">
      <c r="A3328" s="7">
        <v>3326</v>
      </c>
      <c r="B3328" s="7" t="s">
        <v>9174</v>
      </c>
      <c r="C3328" s="7" t="s">
        <v>9418</v>
      </c>
      <c r="D3328" s="7" t="s">
        <v>7551</v>
      </c>
      <c r="E3328" s="7" t="s">
        <v>13011</v>
      </c>
      <c r="F3328" s="8" t="s">
        <v>9731</v>
      </c>
      <c r="G3328" s="7">
        <v>13</v>
      </c>
      <c r="H3328" s="7" t="s">
        <v>9077</v>
      </c>
      <c r="I3328" s="7">
        <v>3</v>
      </c>
      <c r="J3328" s="7" t="s">
        <v>7773</v>
      </c>
      <c r="K3328" s="9" t="s">
        <v>8987</v>
      </c>
    </row>
    <row r="3329" spans="1:11">
      <c r="A3329" s="7">
        <v>3327</v>
      </c>
      <c r="B3329" s="7" t="s">
        <v>9174</v>
      </c>
      <c r="C3329" s="7" t="s">
        <v>9418</v>
      </c>
      <c r="D3329" s="7" t="s">
        <v>7551</v>
      </c>
      <c r="E3329" s="7" t="s">
        <v>13012</v>
      </c>
      <c r="F3329" s="8" t="s">
        <v>9731</v>
      </c>
      <c r="G3329" s="7">
        <v>14</v>
      </c>
      <c r="H3329" s="7" t="s">
        <v>9397</v>
      </c>
      <c r="I3329" s="7">
        <v>3</v>
      </c>
      <c r="J3329" s="7" t="s">
        <v>7774</v>
      </c>
      <c r="K3329" s="9" t="s">
        <v>8987</v>
      </c>
    </row>
    <row r="3330" spans="1:11">
      <c r="A3330" s="7">
        <v>3328</v>
      </c>
      <c r="B3330" s="7" t="s">
        <v>9174</v>
      </c>
      <c r="C3330" s="7" t="s">
        <v>9418</v>
      </c>
      <c r="D3330" s="7" t="s">
        <v>7573</v>
      </c>
      <c r="E3330" s="7" t="s">
        <v>13013</v>
      </c>
      <c r="F3330" s="8" t="s">
        <v>9177</v>
      </c>
      <c r="G3330" s="7">
        <v>24</v>
      </c>
      <c r="H3330" s="7" t="s">
        <v>9418</v>
      </c>
      <c r="I3330" s="7">
        <v>5</v>
      </c>
      <c r="J3330" s="7" t="s">
        <v>7730</v>
      </c>
      <c r="K3330" s="9" t="s">
        <v>8987</v>
      </c>
    </row>
    <row r="3331" spans="1:11">
      <c r="A3331" s="7">
        <v>3329</v>
      </c>
      <c r="B3331" s="7" t="s">
        <v>9174</v>
      </c>
      <c r="C3331" s="7" t="s">
        <v>9418</v>
      </c>
      <c r="D3331" s="7" t="s">
        <v>7573</v>
      </c>
      <c r="E3331" s="7" t="s">
        <v>13014</v>
      </c>
      <c r="F3331" s="8" t="s">
        <v>9177</v>
      </c>
      <c r="G3331" s="7">
        <v>29</v>
      </c>
      <c r="H3331" s="7" t="s">
        <v>11385</v>
      </c>
      <c r="I3331" s="7">
        <v>5</v>
      </c>
      <c r="J3331" s="7" t="s">
        <v>7731</v>
      </c>
      <c r="K3331" s="9" t="s">
        <v>8987</v>
      </c>
    </row>
    <row r="3332" spans="1:11">
      <c r="A3332" s="7">
        <v>3330</v>
      </c>
      <c r="B3332" s="7" t="s">
        <v>9174</v>
      </c>
      <c r="C3332" s="7" t="s">
        <v>9418</v>
      </c>
      <c r="D3332" s="7" t="s">
        <v>7573</v>
      </c>
      <c r="E3332" s="7" t="s">
        <v>13015</v>
      </c>
      <c r="F3332" s="8" t="s">
        <v>9177</v>
      </c>
      <c r="G3332" s="7">
        <v>30</v>
      </c>
      <c r="H3332" s="7" t="s">
        <v>9015</v>
      </c>
      <c r="I3332" s="7">
        <v>5</v>
      </c>
      <c r="J3332" s="7" t="s">
        <v>7732</v>
      </c>
      <c r="K3332" s="9" t="s">
        <v>8987</v>
      </c>
    </row>
    <row r="3333" spans="1:11">
      <c r="A3333" s="7">
        <v>3331</v>
      </c>
      <c r="B3333" s="7" t="s">
        <v>9174</v>
      </c>
      <c r="C3333" s="7" t="s">
        <v>9418</v>
      </c>
      <c r="D3333" s="7" t="s">
        <v>7573</v>
      </c>
      <c r="E3333" s="7" t="s">
        <v>3942</v>
      </c>
      <c r="F3333" s="8" t="s">
        <v>13016</v>
      </c>
      <c r="G3333" s="7">
        <v>97</v>
      </c>
      <c r="H3333" s="7" t="s">
        <v>13017</v>
      </c>
      <c r="I3333" s="7">
        <v>18</v>
      </c>
      <c r="J3333" s="7" t="s">
        <v>7733</v>
      </c>
      <c r="K3333" s="9" t="s">
        <v>8987</v>
      </c>
    </row>
    <row r="3334" spans="1:11">
      <c r="A3334" s="7">
        <v>3332</v>
      </c>
      <c r="B3334" s="7" t="s">
        <v>9174</v>
      </c>
      <c r="C3334" s="7" t="s">
        <v>9418</v>
      </c>
      <c r="D3334" s="7" t="s">
        <v>7573</v>
      </c>
      <c r="E3334" s="7" t="s">
        <v>13018</v>
      </c>
      <c r="F3334" s="8" t="s">
        <v>13016</v>
      </c>
      <c r="G3334" s="7">
        <v>114</v>
      </c>
      <c r="H3334" s="7" t="s">
        <v>13019</v>
      </c>
      <c r="I3334" s="7">
        <v>18</v>
      </c>
      <c r="J3334" s="7" t="s">
        <v>7734</v>
      </c>
      <c r="K3334" s="9" t="s">
        <v>8987</v>
      </c>
    </row>
    <row r="3335" spans="1:11">
      <c r="A3335" s="7">
        <v>3333</v>
      </c>
      <c r="B3335" s="7" t="s">
        <v>9174</v>
      </c>
      <c r="C3335" s="7" t="s">
        <v>9418</v>
      </c>
      <c r="D3335" s="7" t="s">
        <v>7573</v>
      </c>
      <c r="E3335" s="7" t="s">
        <v>13020</v>
      </c>
      <c r="F3335" s="8" t="s">
        <v>13016</v>
      </c>
      <c r="G3335" s="7">
        <v>130</v>
      </c>
      <c r="H3335" s="7" t="s">
        <v>9062</v>
      </c>
      <c r="I3335" s="7">
        <v>18</v>
      </c>
      <c r="J3335" s="7" t="s">
        <v>7735</v>
      </c>
      <c r="K3335" s="9" t="s">
        <v>8987</v>
      </c>
    </row>
    <row r="3336" spans="1:11">
      <c r="A3336" s="7">
        <v>3334</v>
      </c>
      <c r="B3336" s="7" t="s">
        <v>9174</v>
      </c>
      <c r="C3336" s="7" t="s">
        <v>9418</v>
      </c>
      <c r="D3336" s="7" t="s">
        <v>7546</v>
      </c>
      <c r="E3336" s="7" t="s">
        <v>13021</v>
      </c>
      <c r="F3336" s="8" t="s">
        <v>9083</v>
      </c>
      <c r="G3336" s="7">
        <v>138</v>
      </c>
      <c r="H3336" s="7" t="s">
        <v>13022</v>
      </c>
      <c r="I3336" s="7">
        <v>9</v>
      </c>
      <c r="J3336" s="7" t="s">
        <v>7676</v>
      </c>
      <c r="K3336" s="9" t="s">
        <v>8987</v>
      </c>
    </row>
    <row r="3337" spans="1:11">
      <c r="A3337" s="7">
        <v>3335</v>
      </c>
      <c r="B3337" s="7" t="s">
        <v>9174</v>
      </c>
      <c r="C3337" s="7" t="s">
        <v>9418</v>
      </c>
      <c r="D3337" s="7" t="s">
        <v>7546</v>
      </c>
      <c r="E3337" s="7" t="s">
        <v>13023</v>
      </c>
      <c r="F3337" s="8" t="s">
        <v>9083</v>
      </c>
      <c r="G3337" s="7">
        <v>146</v>
      </c>
      <c r="H3337" s="7" t="s">
        <v>12993</v>
      </c>
      <c r="I3337" s="7">
        <v>9</v>
      </c>
      <c r="J3337" s="7" t="s">
        <v>7677</v>
      </c>
      <c r="K3337" s="9" t="s">
        <v>8987</v>
      </c>
    </row>
    <row r="3338" spans="1:11">
      <c r="A3338" s="7">
        <v>3336</v>
      </c>
      <c r="B3338" s="7" t="s">
        <v>9174</v>
      </c>
      <c r="C3338" s="7" t="s">
        <v>9418</v>
      </c>
      <c r="D3338" s="7" t="s">
        <v>7546</v>
      </c>
      <c r="E3338" s="7" t="s">
        <v>13024</v>
      </c>
      <c r="F3338" s="8" t="s">
        <v>9083</v>
      </c>
      <c r="G3338" s="7">
        <v>154</v>
      </c>
      <c r="H3338" s="7" t="s">
        <v>13025</v>
      </c>
      <c r="I3338" s="7">
        <v>9</v>
      </c>
      <c r="J3338" s="7" t="s">
        <v>7678</v>
      </c>
      <c r="K3338" s="9" t="s">
        <v>8987</v>
      </c>
    </row>
    <row r="3339" spans="1:11">
      <c r="A3339" s="7">
        <v>3337</v>
      </c>
      <c r="B3339" s="7" t="s">
        <v>9174</v>
      </c>
      <c r="C3339" s="7" t="s">
        <v>9418</v>
      </c>
      <c r="D3339" s="7" t="s">
        <v>7546</v>
      </c>
      <c r="E3339" s="7" t="s">
        <v>13026</v>
      </c>
      <c r="F3339" s="8" t="s">
        <v>9096</v>
      </c>
      <c r="G3339" s="7">
        <v>154</v>
      </c>
      <c r="H3339" s="7" t="s">
        <v>13025</v>
      </c>
      <c r="I3339" s="7">
        <v>21</v>
      </c>
      <c r="J3339" s="7" t="s">
        <v>7679</v>
      </c>
      <c r="K3339" s="9" t="s">
        <v>8987</v>
      </c>
    </row>
    <row r="3340" spans="1:11">
      <c r="A3340" s="7">
        <v>3338</v>
      </c>
      <c r="B3340" s="7" t="s">
        <v>9174</v>
      </c>
      <c r="C3340" s="7" t="s">
        <v>9418</v>
      </c>
      <c r="D3340" s="7" t="s">
        <v>7546</v>
      </c>
      <c r="E3340" s="7" t="s">
        <v>13027</v>
      </c>
      <c r="F3340" s="8" t="s">
        <v>9096</v>
      </c>
      <c r="G3340" s="7">
        <v>176</v>
      </c>
      <c r="H3340" s="7" t="s">
        <v>13028</v>
      </c>
      <c r="I3340" s="7">
        <v>21</v>
      </c>
      <c r="J3340" s="7" t="s">
        <v>7680</v>
      </c>
      <c r="K3340" s="9" t="s">
        <v>8987</v>
      </c>
    </row>
    <row r="3341" spans="1:11">
      <c r="A3341" s="7">
        <v>3339</v>
      </c>
      <c r="B3341" s="7" t="s">
        <v>9174</v>
      </c>
      <c r="C3341" s="7" t="s">
        <v>9418</v>
      </c>
      <c r="D3341" s="7" t="s">
        <v>7546</v>
      </c>
      <c r="E3341" s="7" t="s">
        <v>13029</v>
      </c>
      <c r="F3341" s="8" t="s">
        <v>9096</v>
      </c>
      <c r="G3341" s="7">
        <v>198</v>
      </c>
      <c r="H3341" s="7" t="s">
        <v>13030</v>
      </c>
      <c r="I3341" s="7">
        <v>21</v>
      </c>
      <c r="J3341" s="7" t="s">
        <v>7681</v>
      </c>
      <c r="K3341" s="9" t="s">
        <v>8987</v>
      </c>
    </row>
    <row r="3342" spans="1:11">
      <c r="A3342" s="7">
        <v>3340</v>
      </c>
      <c r="B3342" s="7" t="s">
        <v>9174</v>
      </c>
      <c r="C3342" s="7" t="s">
        <v>9418</v>
      </c>
      <c r="D3342" s="7" t="s">
        <v>7546</v>
      </c>
      <c r="E3342" s="7" t="s">
        <v>13031</v>
      </c>
      <c r="F3342" s="8" t="s">
        <v>9098</v>
      </c>
      <c r="G3342" s="7">
        <v>154</v>
      </c>
      <c r="H3342" s="7" t="s">
        <v>13025</v>
      </c>
      <c r="I3342" s="7">
        <v>21</v>
      </c>
      <c r="J3342" s="7" t="s">
        <v>7679</v>
      </c>
      <c r="K3342" s="9" t="s">
        <v>8987</v>
      </c>
    </row>
    <row r="3343" spans="1:11">
      <c r="A3343" s="7">
        <v>3341</v>
      </c>
      <c r="B3343" s="7" t="s">
        <v>9174</v>
      </c>
      <c r="C3343" s="7" t="s">
        <v>9418</v>
      </c>
      <c r="D3343" s="7" t="s">
        <v>7546</v>
      </c>
      <c r="E3343" s="7" t="s">
        <v>13032</v>
      </c>
      <c r="F3343" s="8" t="s">
        <v>9098</v>
      </c>
      <c r="G3343" s="7">
        <v>176</v>
      </c>
      <c r="H3343" s="7" t="s">
        <v>13028</v>
      </c>
      <c r="I3343" s="7">
        <v>21</v>
      </c>
      <c r="J3343" s="7" t="s">
        <v>7680</v>
      </c>
      <c r="K3343" s="9" t="s">
        <v>8987</v>
      </c>
    </row>
    <row r="3344" spans="1:11">
      <c r="A3344" s="7">
        <v>3342</v>
      </c>
      <c r="B3344" s="7" t="s">
        <v>9174</v>
      </c>
      <c r="C3344" s="7" t="s">
        <v>9418</v>
      </c>
      <c r="D3344" s="7" t="s">
        <v>7546</v>
      </c>
      <c r="E3344" s="7" t="s">
        <v>13033</v>
      </c>
      <c r="F3344" s="8" t="s">
        <v>9098</v>
      </c>
      <c r="G3344" s="7">
        <v>198</v>
      </c>
      <c r="H3344" s="7" t="s">
        <v>13030</v>
      </c>
      <c r="I3344" s="7">
        <v>21</v>
      </c>
      <c r="J3344" s="7" t="s">
        <v>7681</v>
      </c>
      <c r="K3344" s="9" t="s">
        <v>8987</v>
      </c>
    </row>
    <row r="3345" spans="1:11">
      <c r="A3345" s="7">
        <v>3343</v>
      </c>
      <c r="B3345" s="7" t="s">
        <v>9174</v>
      </c>
      <c r="C3345" s="7" t="s">
        <v>9418</v>
      </c>
      <c r="D3345" s="7" t="s">
        <v>7546</v>
      </c>
      <c r="E3345" s="7" t="s">
        <v>13034</v>
      </c>
      <c r="F3345" s="8" t="s">
        <v>9094</v>
      </c>
      <c r="G3345" s="7">
        <v>143</v>
      </c>
      <c r="H3345" s="7" t="s">
        <v>13035</v>
      </c>
      <c r="I3345" s="7">
        <v>12</v>
      </c>
      <c r="J3345" s="7" t="s">
        <v>7682</v>
      </c>
      <c r="K3345" s="9" t="s">
        <v>8987</v>
      </c>
    </row>
    <row r="3346" spans="1:11">
      <c r="A3346" s="7">
        <v>3344</v>
      </c>
      <c r="B3346" s="7" t="s">
        <v>9174</v>
      </c>
      <c r="C3346" s="7" t="s">
        <v>9418</v>
      </c>
      <c r="D3346" s="7" t="s">
        <v>7546</v>
      </c>
      <c r="E3346" s="7" t="s">
        <v>13036</v>
      </c>
      <c r="F3346" s="8" t="s">
        <v>9094</v>
      </c>
      <c r="G3346" s="7">
        <v>154</v>
      </c>
      <c r="H3346" s="7" t="s">
        <v>13025</v>
      </c>
      <c r="I3346" s="7">
        <v>12</v>
      </c>
      <c r="J3346" s="7" t="s">
        <v>7683</v>
      </c>
      <c r="K3346" s="9" t="s">
        <v>8987</v>
      </c>
    </row>
    <row r="3347" spans="1:11">
      <c r="A3347" s="7">
        <v>3345</v>
      </c>
      <c r="B3347" s="7" t="s">
        <v>9174</v>
      </c>
      <c r="C3347" s="7" t="s">
        <v>9418</v>
      </c>
      <c r="D3347" s="7" t="s">
        <v>7546</v>
      </c>
      <c r="E3347" s="7" t="s">
        <v>13037</v>
      </c>
      <c r="F3347" s="8" t="s">
        <v>9094</v>
      </c>
      <c r="G3347" s="7">
        <v>164</v>
      </c>
      <c r="H3347" s="7" t="s">
        <v>13038</v>
      </c>
      <c r="I3347" s="7">
        <v>12</v>
      </c>
      <c r="J3347" s="7" t="s">
        <v>7684</v>
      </c>
      <c r="K3347" s="9" t="s">
        <v>8987</v>
      </c>
    </row>
    <row r="3348" spans="1:11">
      <c r="A3348" s="7">
        <v>3346</v>
      </c>
      <c r="B3348" s="7" t="s">
        <v>9174</v>
      </c>
      <c r="C3348" s="7" t="s">
        <v>9418</v>
      </c>
      <c r="D3348" s="7" t="s">
        <v>7546</v>
      </c>
      <c r="E3348" s="7" t="s">
        <v>7067</v>
      </c>
      <c r="F3348" s="8" t="s">
        <v>9457</v>
      </c>
      <c r="G3348" s="7">
        <v>80</v>
      </c>
      <c r="H3348" s="7" t="s">
        <v>9153</v>
      </c>
      <c r="I3348" s="7">
        <v>9</v>
      </c>
      <c r="J3348" s="7" t="s">
        <v>7686</v>
      </c>
      <c r="K3348" s="9" t="s">
        <v>8987</v>
      </c>
    </row>
    <row r="3349" spans="1:11">
      <c r="A3349" s="7">
        <v>3347</v>
      </c>
      <c r="B3349" s="7" t="s">
        <v>9174</v>
      </c>
      <c r="C3349" s="7" t="s">
        <v>9418</v>
      </c>
      <c r="D3349" s="7" t="s">
        <v>7546</v>
      </c>
      <c r="E3349" s="7" t="s">
        <v>13039</v>
      </c>
      <c r="F3349" s="8" t="s">
        <v>9457</v>
      </c>
      <c r="G3349" s="7">
        <v>88</v>
      </c>
      <c r="H3349" s="7" t="s">
        <v>9239</v>
      </c>
      <c r="I3349" s="7">
        <v>9</v>
      </c>
      <c r="J3349" s="7" t="s">
        <v>7687</v>
      </c>
      <c r="K3349" s="9" t="s">
        <v>8987</v>
      </c>
    </row>
    <row r="3350" spans="1:11">
      <c r="A3350" s="7">
        <v>3348</v>
      </c>
      <c r="B3350" s="7" t="s">
        <v>9174</v>
      </c>
      <c r="C3350" s="7" t="s">
        <v>9418</v>
      </c>
      <c r="D3350" s="7" t="s">
        <v>7546</v>
      </c>
      <c r="E3350" s="7" t="s">
        <v>13040</v>
      </c>
      <c r="F3350" s="8" t="s">
        <v>9457</v>
      </c>
      <c r="G3350" s="7">
        <v>96</v>
      </c>
      <c r="H3350" s="7" t="s">
        <v>12914</v>
      </c>
      <c r="I3350" s="7">
        <v>9</v>
      </c>
      <c r="J3350" s="7" t="s">
        <v>7688</v>
      </c>
      <c r="K3350" s="9" t="s">
        <v>8987</v>
      </c>
    </row>
    <row r="3351" spans="1:11">
      <c r="A3351" s="7">
        <v>3349</v>
      </c>
      <c r="B3351" s="7" t="s">
        <v>9088</v>
      </c>
      <c r="C3351" s="7" t="s">
        <v>9418</v>
      </c>
      <c r="D3351" s="7" t="s">
        <v>7548</v>
      </c>
      <c r="E3351" s="7" t="s">
        <v>6918</v>
      </c>
      <c r="F3351" s="8" t="s">
        <v>11034</v>
      </c>
      <c r="G3351" s="7">
        <v>19</v>
      </c>
      <c r="H3351" s="7" t="s">
        <v>10462</v>
      </c>
      <c r="I3351" s="7">
        <v>1</v>
      </c>
      <c r="J3351" s="7" t="s">
        <v>7841</v>
      </c>
      <c r="K3351" s="9" t="s">
        <v>8987</v>
      </c>
    </row>
    <row r="3352" spans="1:11">
      <c r="A3352" s="7">
        <v>3350</v>
      </c>
      <c r="B3352" s="7" t="s">
        <v>11164</v>
      </c>
      <c r="C3352" s="7" t="s">
        <v>9418</v>
      </c>
      <c r="D3352" s="7" t="s">
        <v>7548</v>
      </c>
      <c r="E3352" s="7" t="s">
        <v>13041</v>
      </c>
      <c r="F3352" s="8" t="s">
        <v>11036</v>
      </c>
      <c r="G3352" s="7">
        <v>19</v>
      </c>
      <c r="H3352" s="7" t="s">
        <v>10462</v>
      </c>
      <c r="I3352" s="7">
        <v>1</v>
      </c>
      <c r="J3352" s="7" t="s">
        <v>7841</v>
      </c>
      <c r="K3352" s="9" t="s">
        <v>8987</v>
      </c>
    </row>
    <row r="3353" spans="1:11">
      <c r="A3353" s="7">
        <v>3351</v>
      </c>
      <c r="B3353" s="7" t="s">
        <v>9174</v>
      </c>
      <c r="C3353" s="7" t="s">
        <v>9130</v>
      </c>
      <c r="D3353" s="7" t="s">
        <v>7566</v>
      </c>
      <c r="E3353" s="7" t="s">
        <v>13042</v>
      </c>
      <c r="F3353" s="8" t="s">
        <v>9312</v>
      </c>
      <c r="G3353" s="7">
        <v>21</v>
      </c>
      <c r="H3353" s="7" t="s">
        <v>9116</v>
      </c>
      <c r="I3353" s="7">
        <v>4</v>
      </c>
      <c r="J3353" s="7" t="s">
        <v>7695</v>
      </c>
      <c r="K3353" s="9" t="s">
        <v>8987</v>
      </c>
    </row>
    <row r="3354" spans="1:11">
      <c r="A3354" s="7">
        <v>3352</v>
      </c>
      <c r="B3354" s="7" t="s">
        <v>9174</v>
      </c>
      <c r="C3354" s="7" t="s">
        <v>9130</v>
      </c>
      <c r="D3354" s="7" t="s">
        <v>7566</v>
      </c>
      <c r="E3354" s="7" t="s">
        <v>13043</v>
      </c>
      <c r="F3354" s="8" t="s">
        <v>9312</v>
      </c>
      <c r="G3354" s="7">
        <v>24</v>
      </c>
      <c r="H3354" s="7" t="s">
        <v>9418</v>
      </c>
      <c r="I3354" s="7">
        <v>4</v>
      </c>
      <c r="J3354" s="7" t="s">
        <v>7696</v>
      </c>
      <c r="K3354" s="9" t="s">
        <v>8987</v>
      </c>
    </row>
    <row r="3355" spans="1:11">
      <c r="A3355" s="7">
        <v>3353</v>
      </c>
      <c r="B3355" s="7" t="s">
        <v>9174</v>
      </c>
      <c r="C3355" s="7" t="s">
        <v>9130</v>
      </c>
      <c r="D3355" s="7" t="s">
        <v>7566</v>
      </c>
      <c r="E3355" s="7" t="s">
        <v>13044</v>
      </c>
      <c r="F3355" s="8" t="s">
        <v>9312</v>
      </c>
      <c r="G3355" s="7">
        <v>27</v>
      </c>
      <c r="H3355" s="7" t="s">
        <v>9130</v>
      </c>
      <c r="I3355" s="7">
        <v>4</v>
      </c>
      <c r="J3355" s="7" t="s">
        <v>7697</v>
      </c>
      <c r="K3355" s="9" t="s">
        <v>8987</v>
      </c>
    </row>
    <row r="3356" spans="1:11">
      <c r="A3356" s="7">
        <v>3354</v>
      </c>
      <c r="B3356" s="7" t="s">
        <v>9174</v>
      </c>
      <c r="C3356" s="7" t="s">
        <v>9418</v>
      </c>
      <c r="D3356" s="7" t="s">
        <v>7566</v>
      </c>
      <c r="E3356" s="7" t="s">
        <v>13045</v>
      </c>
      <c r="F3356" s="8" t="s">
        <v>9628</v>
      </c>
      <c r="G3356" s="7">
        <v>66</v>
      </c>
      <c r="H3356" s="7" t="s">
        <v>11370</v>
      </c>
      <c r="I3356" s="7">
        <v>7</v>
      </c>
      <c r="J3356" s="7" t="s">
        <v>7698</v>
      </c>
      <c r="K3356" s="9" t="s">
        <v>8987</v>
      </c>
    </row>
    <row r="3357" spans="1:11">
      <c r="A3357" s="7">
        <v>3355</v>
      </c>
      <c r="B3357" s="7" t="s">
        <v>9174</v>
      </c>
      <c r="C3357" s="7" t="s">
        <v>9418</v>
      </c>
      <c r="D3357" s="7" t="s">
        <v>7566</v>
      </c>
      <c r="E3357" s="7" t="s">
        <v>13046</v>
      </c>
      <c r="F3357" s="8" t="s">
        <v>9628</v>
      </c>
      <c r="G3357" s="7">
        <v>73</v>
      </c>
      <c r="H3357" s="7" t="s">
        <v>9103</v>
      </c>
      <c r="I3357" s="7">
        <v>7</v>
      </c>
      <c r="J3357" s="7" t="s">
        <v>7699</v>
      </c>
      <c r="K3357" s="9" t="s">
        <v>8987</v>
      </c>
    </row>
    <row r="3358" spans="1:11">
      <c r="A3358" s="7">
        <v>3356</v>
      </c>
      <c r="B3358" s="7" t="s">
        <v>9174</v>
      </c>
      <c r="C3358" s="7" t="s">
        <v>9418</v>
      </c>
      <c r="D3358" s="7" t="s">
        <v>7566</v>
      </c>
      <c r="E3358" s="7" t="s">
        <v>13047</v>
      </c>
      <c r="F3358" s="8" t="s">
        <v>9628</v>
      </c>
      <c r="G3358" s="7">
        <v>80</v>
      </c>
      <c r="H3358" s="7" t="s">
        <v>9153</v>
      </c>
      <c r="I3358" s="7">
        <v>7</v>
      </c>
      <c r="J3358" s="7" t="s">
        <v>7700</v>
      </c>
      <c r="K3358" s="9" t="s">
        <v>8987</v>
      </c>
    </row>
    <row r="3359" spans="1:11">
      <c r="A3359" s="7">
        <v>3357</v>
      </c>
      <c r="B3359" s="7" t="s">
        <v>9174</v>
      </c>
      <c r="C3359" s="7" t="s">
        <v>9418</v>
      </c>
      <c r="D3359" s="7" t="s">
        <v>7546</v>
      </c>
      <c r="E3359" s="7" t="s">
        <v>13048</v>
      </c>
      <c r="F3359" s="8" t="s">
        <v>9163</v>
      </c>
      <c r="G3359" s="7">
        <v>188</v>
      </c>
      <c r="H3359" s="7" t="s">
        <v>13049</v>
      </c>
      <c r="I3359" s="7">
        <v>21</v>
      </c>
      <c r="J3359" s="7" t="s">
        <v>7689</v>
      </c>
      <c r="K3359" s="9" t="s">
        <v>8987</v>
      </c>
    </row>
    <row r="3360" spans="1:11">
      <c r="A3360" s="7">
        <v>3358</v>
      </c>
      <c r="B3360" s="7" t="s">
        <v>9174</v>
      </c>
      <c r="C3360" s="7" t="s">
        <v>9418</v>
      </c>
      <c r="D3360" s="7" t="s">
        <v>7546</v>
      </c>
      <c r="E3360" s="7" t="s">
        <v>6864</v>
      </c>
      <c r="F3360" s="8" t="s">
        <v>9163</v>
      </c>
      <c r="G3360" s="7">
        <v>212</v>
      </c>
      <c r="H3360" s="7" t="s">
        <v>9142</v>
      </c>
      <c r="I3360" s="7">
        <v>21</v>
      </c>
      <c r="J3360" s="7" t="s">
        <v>7690</v>
      </c>
      <c r="K3360" s="9" t="s">
        <v>8987</v>
      </c>
    </row>
    <row r="3361" spans="1:11">
      <c r="A3361" s="7">
        <v>3359</v>
      </c>
      <c r="B3361" s="7" t="s">
        <v>9174</v>
      </c>
      <c r="C3361" s="7" t="s">
        <v>9418</v>
      </c>
      <c r="D3361" s="7" t="s">
        <v>7546</v>
      </c>
      <c r="E3361" s="7" t="s">
        <v>13050</v>
      </c>
      <c r="F3361" s="8" t="s">
        <v>9163</v>
      </c>
      <c r="G3361" s="7">
        <v>236</v>
      </c>
      <c r="H3361" s="7" t="s">
        <v>13051</v>
      </c>
      <c r="I3361" s="7">
        <v>21</v>
      </c>
      <c r="J3361" s="7" t="s">
        <v>7691</v>
      </c>
      <c r="K3361" s="9" t="s">
        <v>8987</v>
      </c>
    </row>
    <row r="3362" spans="1:11">
      <c r="A3362" s="7">
        <v>3360</v>
      </c>
      <c r="B3362" s="7" t="s">
        <v>9174</v>
      </c>
      <c r="C3362" s="7" t="s">
        <v>9418</v>
      </c>
      <c r="D3362" s="7" t="s">
        <v>7546</v>
      </c>
      <c r="E3362" s="7" t="s">
        <v>13052</v>
      </c>
      <c r="F3362" s="8" t="s">
        <v>9226</v>
      </c>
      <c r="G3362" s="7">
        <v>137</v>
      </c>
      <c r="H3362" s="7" t="s">
        <v>13053</v>
      </c>
      <c r="I3362" s="7">
        <v>16</v>
      </c>
      <c r="J3362" s="7" t="s">
        <v>7692</v>
      </c>
      <c r="K3362" s="9" t="s">
        <v>8987</v>
      </c>
    </row>
    <row r="3363" spans="1:11">
      <c r="A3363" s="7">
        <v>3361</v>
      </c>
      <c r="B3363" s="7" t="s">
        <v>9174</v>
      </c>
      <c r="C3363" s="7" t="s">
        <v>9418</v>
      </c>
      <c r="D3363" s="7" t="s">
        <v>7546</v>
      </c>
      <c r="E3363" s="7" t="s">
        <v>13054</v>
      </c>
      <c r="F3363" s="8" t="s">
        <v>9226</v>
      </c>
      <c r="G3363" s="7">
        <v>152</v>
      </c>
      <c r="H3363" s="7" t="s">
        <v>13055</v>
      </c>
      <c r="I3363" s="7">
        <v>16</v>
      </c>
      <c r="J3363" s="7" t="s">
        <v>7693</v>
      </c>
      <c r="K3363" s="9" t="s">
        <v>8987</v>
      </c>
    </row>
    <row r="3364" spans="1:11">
      <c r="A3364" s="7">
        <v>3362</v>
      </c>
      <c r="B3364" s="7" t="s">
        <v>9174</v>
      </c>
      <c r="C3364" s="7" t="s">
        <v>9418</v>
      </c>
      <c r="D3364" s="7" t="s">
        <v>7546</v>
      </c>
      <c r="E3364" s="7" t="s">
        <v>5726</v>
      </c>
      <c r="F3364" s="8" t="s">
        <v>9226</v>
      </c>
      <c r="G3364" s="7">
        <v>156</v>
      </c>
      <c r="H3364" s="7" t="s">
        <v>13056</v>
      </c>
      <c r="I3364" s="7">
        <v>16</v>
      </c>
      <c r="J3364" s="7" t="s">
        <v>7694</v>
      </c>
      <c r="K3364" s="9" t="s">
        <v>8987</v>
      </c>
    </row>
    <row r="3365" spans="1:11">
      <c r="A3365" s="7">
        <v>3363</v>
      </c>
      <c r="B3365" s="7" t="s">
        <v>9174</v>
      </c>
      <c r="C3365" s="7" t="s">
        <v>9418</v>
      </c>
      <c r="D3365" s="7" t="s">
        <v>7542</v>
      </c>
      <c r="E3365" s="7" t="s">
        <v>13057</v>
      </c>
      <c r="F3365" s="8" t="s">
        <v>9145</v>
      </c>
      <c r="G3365" s="7">
        <v>91</v>
      </c>
      <c r="H3365" s="7" t="s">
        <v>13058</v>
      </c>
      <c r="I3365" s="7">
        <v>12</v>
      </c>
      <c r="J3365" s="7" t="s">
        <v>7602</v>
      </c>
      <c r="K3365" s="9" t="s">
        <v>8987</v>
      </c>
    </row>
    <row r="3366" spans="1:11">
      <c r="A3366" s="7">
        <v>3364</v>
      </c>
      <c r="B3366" s="7" t="s">
        <v>9174</v>
      </c>
      <c r="C3366" s="7" t="s">
        <v>9418</v>
      </c>
      <c r="D3366" s="7" t="s">
        <v>7542</v>
      </c>
      <c r="E3366" s="7" t="s">
        <v>13059</v>
      </c>
      <c r="F3366" s="8" t="s">
        <v>9145</v>
      </c>
      <c r="G3366" s="7">
        <v>102</v>
      </c>
      <c r="H3366" s="7" t="s">
        <v>13060</v>
      </c>
      <c r="I3366" s="7">
        <v>12</v>
      </c>
      <c r="J3366" s="7" t="s">
        <v>7603</v>
      </c>
      <c r="K3366" s="9" t="s">
        <v>8987</v>
      </c>
    </row>
    <row r="3367" spans="1:11">
      <c r="A3367" s="7">
        <v>3365</v>
      </c>
      <c r="B3367" s="7" t="s">
        <v>9174</v>
      </c>
      <c r="C3367" s="7" t="s">
        <v>9418</v>
      </c>
      <c r="D3367" s="7" t="s">
        <v>7542</v>
      </c>
      <c r="E3367" s="7" t="s">
        <v>13061</v>
      </c>
      <c r="F3367" s="8" t="s">
        <v>9145</v>
      </c>
      <c r="G3367" s="7">
        <v>112</v>
      </c>
      <c r="H3367" s="7" t="s">
        <v>12865</v>
      </c>
      <c r="I3367" s="7">
        <v>12</v>
      </c>
      <c r="J3367" s="7" t="s">
        <v>7604</v>
      </c>
      <c r="K3367" s="9" t="s">
        <v>8987</v>
      </c>
    </row>
    <row r="3368" spans="1:11">
      <c r="A3368" s="7">
        <v>3366</v>
      </c>
      <c r="B3368" s="7" t="s">
        <v>9174</v>
      </c>
      <c r="C3368" s="7" t="s">
        <v>9418</v>
      </c>
      <c r="D3368" s="7" t="s">
        <v>7542</v>
      </c>
      <c r="E3368" s="7" t="s">
        <v>13062</v>
      </c>
      <c r="F3368" s="8" t="s">
        <v>10416</v>
      </c>
      <c r="G3368" s="7">
        <v>103</v>
      </c>
      <c r="H3368" s="7" t="s">
        <v>12922</v>
      </c>
      <c r="I3368" s="7">
        <v>12</v>
      </c>
      <c r="J3368" s="7" t="s">
        <v>7661</v>
      </c>
      <c r="K3368" s="9" t="s">
        <v>8987</v>
      </c>
    </row>
    <row r="3369" spans="1:11">
      <c r="A3369" s="7">
        <v>3367</v>
      </c>
      <c r="B3369" s="7" t="s">
        <v>9174</v>
      </c>
      <c r="C3369" s="7" t="s">
        <v>9418</v>
      </c>
      <c r="D3369" s="7" t="s">
        <v>7542</v>
      </c>
      <c r="E3369" s="7" t="s">
        <v>13063</v>
      </c>
      <c r="F3369" s="8" t="s">
        <v>10416</v>
      </c>
      <c r="G3369" s="7">
        <v>114</v>
      </c>
      <c r="H3369" s="7" t="s">
        <v>13019</v>
      </c>
      <c r="I3369" s="7">
        <v>12</v>
      </c>
      <c r="J3369" s="7" t="s">
        <v>7670</v>
      </c>
      <c r="K3369" s="9" t="s">
        <v>8987</v>
      </c>
    </row>
    <row r="3370" spans="1:11">
      <c r="A3370" s="7">
        <v>3368</v>
      </c>
      <c r="B3370" s="7" t="s">
        <v>9174</v>
      </c>
      <c r="C3370" s="7" t="s">
        <v>9418</v>
      </c>
      <c r="D3370" s="7" t="s">
        <v>7542</v>
      </c>
      <c r="E3370" s="7" t="s">
        <v>13064</v>
      </c>
      <c r="F3370" s="8" t="s">
        <v>10416</v>
      </c>
      <c r="G3370" s="7">
        <v>124</v>
      </c>
      <c r="H3370" s="7" t="s">
        <v>12897</v>
      </c>
      <c r="I3370" s="7">
        <v>12</v>
      </c>
      <c r="J3370" s="7" t="s">
        <v>7610</v>
      </c>
      <c r="K3370" s="9" t="s">
        <v>8987</v>
      </c>
    </row>
    <row r="3371" spans="1:11">
      <c r="A3371" s="7">
        <v>3369</v>
      </c>
      <c r="B3371" s="7" t="s">
        <v>9174</v>
      </c>
      <c r="C3371" s="7" t="s">
        <v>9418</v>
      </c>
      <c r="D3371" s="7" t="s">
        <v>7542</v>
      </c>
      <c r="E3371" s="7" t="s">
        <v>13065</v>
      </c>
      <c r="F3371" s="8" t="s">
        <v>9152</v>
      </c>
      <c r="G3371" s="7">
        <v>157</v>
      </c>
      <c r="H3371" s="7" t="s">
        <v>13066</v>
      </c>
      <c r="I3371" s="7">
        <v>13</v>
      </c>
      <c r="J3371" s="7" t="s">
        <v>7605</v>
      </c>
      <c r="K3371" s="9" t="s">
        <v>8987</v>
      </c>
    </row>
    <row r="3372" spans="1:11">
      <c r="A3372" s="7">
        <v>3370</v>
      </c>
      <c r="B3372" s="7" t="s">
        <v>9174</v>
      </c>
      <c r="C3372" s="7" t="s">
        <v>9418</v>
      </c>
      <c r="D3372" s="7" t="s">
        <v>7542</v>
      </c>
      <c r="E3372" s="7" t="s">
        <v>13067</v>
      </c>
      <c r="F3372" s="8" t="s">
        <v>9152</v>
      </c>
      <c r="G3372" s="7">
        <v>169</v>
      </c>
      <c r="H3372" s="7" t="s">
        <v>12942</v>
      </c>
      <c r="I3372" s="7">
        <v>13</v>
      </c>
      <c r="J3372" s="7" t="s">
        <v>7606</v>
      </c>
      <c r="K3372" s="9" t="s">
        <v>8987</v>
      </c>
    </row>
    <row r="3373" spans="1:11">
      <c r="A3373" s="7">
        <v>3371</v>
      </c>
      <c r="B3373" s="7" t="s">
        <v>9174</v>
      </c>
      <c r="C3373" s="7" t="s">
        <v>9418</v>
      </c>
      <c r="D3373" s="7" t="s">
        <v>7542</v>
      </c>
      <c r="E3373" s="7" t="s">
        <v>13068</v>
      </c>
      <c r="F3373" s="8" t="s">
        <v>9152</v>
      </c>
      <c r="G3373" s="7">
        <v>180</v>
      </c>
      <c r="H3373" s="7" t="s">
        <v>9056</v>
      </c>
      <c r="I3373" s="7">
        <v>13</v>
      </c>
      <c r="J3373" s="7" t="s">
        <v>7607</v>
      </c>
      <c r="K3373" s="9" t="s">
        <v>8987</v>
      </c>
    </row>
    <row r="3374" spans="1:11">
      <c r="A3374" s="7">
        <v>3372</v>
      </c>
      <c r="B3374" s="7" t="s">
        <v>9174</v>
      </c>
      <c r="C3374" s="7" t="s">
        <v>9418</v>
      </c>
      <c r="D3374" s="7" t="s">
        <v>7542</v>
      </c>
      <c r="E3374" s="7" t="s">
        <v>13069</v>
      </c>
      <c r="F3374" s="8" t="s">
        <v>9159</v>
      </c>
      <c r="G3374" s="7">
        <v>113</v>
      </c>
      <c r="H3374" s="7" t="s">
        <v>11888</v>
      </c>
      <c r="I3374" s="7">
        <v>12</v>
      </c>
      <c r="J3374" s="7" t="s">
        <v>7608</v>
      </c>
      <c r="K3374" s="9" t="s">
        <v>8987</v>
      </c>
    </row>
    <row r="3375" spans="1:11">
      <c r="A3375" s="7">
        <v>3373</v>
      </c>
      <c r="B3375" s="7" t="s">
        <v>9174</v>
      </c>
      <c r="C3375" s="7" t="s">
        <v>9418</v>
      </c>
      <c r="D3375" s="7" t="s">
        <v>7542</v>
      </c>
      <c r="E3375" s="7" t="s">
        <v>13070</v>
      </c>
      <c r="F3375" s="8" t="s">
        <v>9159</v>
      </c>
      <c r="G3375" s="7">
        <v>124</v>
      </c>
      <c r="H3375" s="7" t="s">
        <v>12897</v>
      </c>
      <c r="I3375" s="7">
        <v>12</v>
      </c>
      <c r="J3375" s="7" t="s">
        <v>7610</v>
      </c>
      <c r="K3375" s="9" t="s">
        <v>8987</v>
      </c>
    </row>
    <row r="3376" spans="1:11">
      <c r="A3376" s="7">
        <v>3374</v>
      </c>
      <c r="B3376" s="7" t="s">
        <v>9174</v>
      </c>
      <c r="C3376" s="7" t="s">
        <v>9418</v>
      </c>
      <c r="D3376" s="7" t="s">
        <v>7542</v>
      </c>
      <c r="E3376" s="7" t="s">
        <v>13071</v>
      </c>
      <c r="F3376" s="8" t="s">
        <v>9159</v>
      </c>
      <c r="G3376" s="7">
        <v>134</v>
      </c>
      <c r="H3376" s="7" t="s">
        <v>12869</v>
      </c>
      <c r="I3376" s="7">
        <v>12</v>
      </c>
      <c r="J3376" s="7" t="s">
        <v>7611</v>
      </c>
      <c r="K3376" s="9" t="s">
        <v>8987</v>
      </c>
    </row>
    <row r="3377" spans="1:11">
      <c r="A3377" s="7">
        <v>3375</v>
      </c>
      <c r="B3377" s="7" t="s">
        <v>9174</v>
      </c>
      <c r="C3377" s="7" t="s">
        <v>9130</v>
      </c>
      <c r="D3377" s="7" t="s">
        <v>7542</v>
      </c>
      <c r="E3377" s="7" t="s">
        <v>13072</v>
      </c>
      <c r="F3377" s="8" t="s">
        <v>11073</v>
      </c>
      <c r="G3377" s="7">
        <v>148</v>
      </c>
      <c r="H3377" s="7" t="s">
        <v>12991</v>
      </c>
      <c r="I3377" s="7">
        <v>14</v>
      </c>
      <c r="J3377" s="7" t="s">
        <v>7599</v>
      </c>
      <c r="K3377" s="9" t="s">
        <v>8987</v>
      </c>
    </row>
    <row r="3378" spans="1:11">
      <c r="A3378" s="7">
        <v>3376</v>
      </c>
      <c r="B3378" s="7" t="s">
        <v>9174</v>
      </c>
      <c r="C3378" s="7" t="s">
        <v>9130</v>
      </c>
      <c r="D3378" s="7" t="s">
        <v>7542</v>
      </c>
      <c r="E3378" s="7" t="s">
        <v>13073</v>
      </c>
      <c r="F3378" s="8" t="s">
        <v>11073</v>
      </c>
      <c r="G3378" s="7">
        <v>162</v>
      </c>
      <c r="H3378" s="7" t="s">
        <v>12884</v>
      </c>
      <c r="I3378" s="7">
        <v>14</v>
      </c>
      <c r="J3378" s="7" t="s">
        <v>7600</v>
      </c>
      <c r="K3378" s="9" t="s">
        <v>8987</v>
      </c>
    </row>
    <row r="3379" spans="1:11">
      <c r="A3379" s="7">
        <v>3377</v>
      </c>
      <c r="B3379" s="7" t="s">
        <v>9174</v>
      </c>
      <c r="C3379" s="7" t="s">
        <v>9130</v>
      </c>
      <c r="D3379" s="7" t="s">
        <v>7542</v>
      </c>
      <c r="E3379" s="7" t="s">
        <v>13074</v>
      </c>
      <c r="F3379" s="8" t="s">
        <v>11073</v>
      </c>
      <c r="G3379" s="7">
        <v>175</v>
      </c>
      <c r="H3379" s="7" t="s">
        <v>12979</v>
      </c>
      <c r="I3379" s="7">
        <v>14</v>
      </c>
      <c r="J3379" s="7" t="s">
        <v>7601</v>
      </c>
      <c r="K3379" s="9" t="s">
        <v>8987</v>
      </c>
    </row>
    <row r="3380" spans="1:11">
      <c r="A3380" s="7">
        <v>3378</v>
      </c>
      <c r="B3380" s="7" t="s">
        <v>9174</v>
      </c>
      <c r="C3380" s="7" t="s">
        <v>9418</v>
      </c>
      <c r="D3380" s="7" t="s">
        <v>7542</v>
      </c>
      <c r="E3380" s="7" t="s">
        <v>13075</v>
      </c>
      <c r="F3380" s="8" t="s">
        <v>9703</v>
      </c>
      <c r="G3380" s="7">
        <v>192</v>
      </c>
      <c r="H3380" s="7" t="s">
        <v>13076</v>
      </c>
      <c r="I3380" s="7">
        <v>18</v>
      </c>
      <c r="J3380" s="7" t="s">
        <v>7612</v>
      </c>
      <c r="K3380" s="9" t="s">
        <v>8987</v>
      </c>
    </row>
    <row r="3381" spans="1:11">
      <c r="A3381" s="7">
        <v>3379</v>
      </c>
      <c r="B3381" s="7" t="s">
        <v>9174</v>
      </c>
      <c r="C3381" s="7" t="s">
        <v>9418</v>
      </c>
      <c r="D3381" s="7" t="s">
        <v>7542</v>
      </c>
      <c r="E3381" s="7" t="s">
        <v>13077</v>
      </c>
      <c r="F3381" s="8" t="s">
        <v>9703</v>
      </c>
      <c r="G3381" s="7">
        <v>208</v>
      </c>
      <c r="H3381" s="7" t="s">
        <v>13078</v>
      </c>
      <c r="I3381" s="7">
        <v>18</v>
      </c>
      <c r="J3381" s="7" t="s">
        <v>7613</v>
      </c>
      <c r="K3381" s="9" t="s">
        <v>8987</v>
      </c>
    </row>
    <row r="3382" spans="1:11">
      <c r="A3382" s="7">
        <v>3380</v>
      </c>
      <c r="B3382" s="7" t="s">
        <v>9174</v>
      </c>
      <c r="C3382" s="7" t="s">
        <v>9418</v>
      </c>
      <c r="D3382" s="7" t="s">
        <v>7542</v>
      </c>
      <c r="E3382" s="7" t="s">
        <v>13079</v>
      </c>
      <c r="F3382" s="8" t="s">
        <v>9703</v>
      </c>
      <c r="G3382" s="7">
        <v>225</v>
      </c>
      <c r="H3382" s="7" t="s">
        <v>13080</v>
      </c>
      <c r="I3382" s="7">
        <v>18</v>
      </c>
      <c r="J3382" s="7" t="s">
        <v>7614</v>
      </c>
      <c r="K3382" s="9" t="s">
        <v>8987</v>
      </c>
    </row>
    <row r="3383" spans="1:11">
      <c r="A3383" s="7">
        <v>3381</v>
      </c>
      <c r="B3383" s="7" t="s">
        <v>9174</v>
      </c>
      <c r="C3383" s="7" t="s">
        <v>9418</v>
      </c>
      <c r="D3383" s="7" t="s">
        <v>7542</v>
      </c>
      <c r="E3383" s="7" t="s">
        <v>13081</v>
      </c>
      <c r="F3383" s="8" t="s">
        <v>10933</v>
      </c>
      <c r="G3383" s="7">
        <v>185</v>
      </c>
      <c r="H3383" s="7" t="s">
        <v>13082</v>
      </c>
      <c r="I3383" s="7">
        <v>21</v>
      </c>
      <c r="J3383" s="7" t="s">
        <v>7673</v>
      </c>
      <c r="K3383" s="9" t="s">
        <v>8987</v>
      </c>
    </row>
    <row r="3384" spans="1:11">
      <c r="A3384" s="7">
        <v>3382</v>
      </c>
      <c r="B3384" s="7" t="s">
        <v>9174</v>
      </c>
      <c r="C3384" s="7" t="s">
        <v>9418</v>
      </c>
      <c r="D3384" s="7" t="s">
        <v>7542</v>
      </c>
      <c r="E3384" s="7" t="s">
        <v>13083</v>
      </c>
      <c r="F3384" s="8" t="s">
        <v>10933</v>
      </c>
      <c r="G3384" s="7">
        <v>211</v>
      </c>
      <c r="H3384" s="7" t="s">
        <v>13084</v>
      </c>
      <c r="I3384" s="7">
        <v>21</v>
      </c>
      <c r="J3384" s="7" t="s">
        <v>7674</v>
      </c>
      <c r="K3384" s="9" t="s">
        <v>8987</v>
      </c>
    </row>
    <row r="3385" spans="1:11">
      <c r="A3385" s="7">
        <v>3383</v>
      </c>
      <c r="B3385" s="7" t="s">
        <v>9174</v>
      </c>
      <c r="C3385" s="7" t="s">
        <v>9418</v>
      </c>
      <c r="D3385" s="7" t="s">
        <v>7542</v>
      </c>
      <c r="E3385" s="7" t="s">
        <v>13085</v>
      </c>
      <c r="F3385" s="8" t="s">
        <v>10933</v>
      </c>
      <c r="G3385" s="7">
        <v>238</v>
      </c>
      <c r="H3385" s="7" t="s">
        <v>13086</v>
      </c>
      <c r="I3385" s="7">
        <v>21</v>
      </c>
      <c r="J3385" s="7" t="s">
        <v>7675</v>
      </c>
      <c r="K3385" s="9" t="s">
        <v>8987</v>
      </c>
    </row>
    <row r="3386" spans="1:11">
      <c r="A3386" s="7">
        <v>3384</v>
      </c>
      <c r="B3386" s="7" t="s">
        <v>9174</v>
      </c>
      <c r="C3386" s="7" t="s">
        <v>9418</v>
      </c>
      <c r="D3386" s="7" t="s">
        <v>7542</v>
      </c>
      <c r="E3386" s="7" t="s">
        <v>13087</v>
      </c>
      <c r="F3386" s="8" t="s">
        <v>9314</v>
      </c>
      <c r="G3386" s="7">
        <v>123</v>
      </c>
      <c r="H3386" s="7" t="s">
        <v>12867</v>
      </c>
      <c r="I3386" s="7">
        <v>12</v>
      </c>
      <c r="J3386" s="7" t="s">
        <v>7671</v>
      </c>
      <c r="K3386" s="9" t="s">
        <v>8987</v>
      </c>
    </row>
    <row r="3387" spans="1:11">
      <c r="A3387" s="7">
        <v>3385</v>
      </c>
      <c r="B3387" s="7" t="s">
        <v>9174</v>
      </c>
      <c r="C3387" s="7" t="s">
        <v>9418</v>
      </c>
      <c r="D3387" s="7" t="s">
        <v>7542</v>
      </c>
      <c r="E3387" s="7" t="s">
        <v>13088</v>
      </c>
      <c r="F3387" s="8" t="s">
        <v>9314</v>
      </c>
      <c r="G3387" s="7">
        <v>134</v>
      </c>
      <c r="H3387" s="7" t="s">
        <v>12869</v>
      </c>
      <c r="I3387" s="7">
        <v>12</v>
      </c>
      <c r="J3387" s="7" t="s">
        <v>7611</v>
      </c>
      <c r="K3387" s="9" t="s">
        <v>8987</v>
      </c>
    </row>
    <row r="3388" spans="1:11">
      <c r="A3388" s="7">
        <v>3386</v>
      </c>
      <c r="B3388" s="7" t="s">
        <v>9174</v>
      </c>
      <c r="C3388" s="7" t="s">
        <v>9418</v>
      </c>
      <c r="D3388" s="7" t="s">
        <v>7542</v>
      </c>
      <c r="E3388" s="7" t="s">
        <v>13089</v>
      </c>
      <c r="F3388" s="8" t="s">
        <v>9314</v>
      </c>
      <c r="G3388" s="7">
        <v>144</v>
      </c>
      <c r="H3388" s="7" t="s">
        <v>13090</v>
      </c>
      <c r="I3388" s="7">
        <v>12</v>
      </c>
      <c r="J3388" s="7" t="s">
        <v>7672</v>
      </c>
      <c r="K3388" s="9" t="s">
        <v>8987</v>
      </c>
    </row>
    <row r="3389" spans="1:11">
      <c r="A3389" s="7">
        <v>3387</v>
      </c>
      <c r="B3389" s="7" t="s">
        <v>9174</v>
      </c>
      <c r="C3389" s="7" t="s">
        <v>9418</v>
      </c>
      <c r="D3389" s="7" t="s">
        <v>7542</v>
      </c>
      <c r="E3389" s="7" t="s">
        <v>13091</v>
      </c>
      <c r="F3389" s="8" t="s">
        <v>10202</v>
      </c>
      <c r="G3389" s="7">
        <v>99</v>
      </c>
      <c r="H3389" s="7" t="s">
        <v>9374</v>
      </c>
      <c r="I3389" s="7">
        <v>12</v>
      </c>
      <c r="J3389" s="7" t="s">
        <v>7663</v>
      </c>
      <c r="K3389" s="9" t="s">
        <v>8987</v>
      </c>
    </row>
    <row r="3390" spans="1:11">
      <c r="A3390" s="7">
        <v>3388</v>
      </c>
      <c r="B3390" s="7" t="s">
        <v>9174</v>
      </c>
      <c r="C3390" s="7" t="s">
        <v>9418</v>
      </c>
      <c r="D3390" s="7" t="s">
        <v>7542</v>
      </c>
      <c r="E3390" s="7" t="s">
        <v>13092</v>
      </c>
      <c r="F3390" s="8" t="s">
        <v>10202</v>
      </c>
      <c r="G3390" s="7">
        <v>110</v>
      </c>
      <c r="H3390" s="7" t="s">
        <v>9321</v>
      </c>
      <c r="I3390" s="7">
        <v>12</v>
      </c>
      <c r="J3390" s="7" t="s">
        <v>7664</v>
      </c>
      <c r="K3390" s="9" t="s">
        <v>8987</v>
      </c>
    </row>
    <row r="3391" spans="1:11">
      <c r="A3391" s="7">
        <v>3389</v>
      </c>
      <c r="B3391" s="7" t="s">
        <v>9174</v>
      </c>
      <c r="C3391" s="7" t="s">
        <v>9418</v>
      </c>
      <c r="D3391" s="7" t="s">
        <v>7542</v>
      </c>
      <c r="E3391" s="7" t="s">
        <v>13093</v>
      </c>
      <c r="F3391" s="8" t="s">
        <v>10202</v>
      </c>
      <c r="G3391" s="7">
        <v>120</v>
      </c>
      <c r="H3391" s="7" t="s">
        <v>9036</v>
      </c>
      <c r="I3391" s="7">
        <v>12</v>
      </c>
      <c r="J3391" s="7" t="s">
        <v>7665</v>
      </c>
      <c r="K3391" s="9" t="s">
        <v>8987</v>
      </c>
    </row>
    <row r="3392" spans="1:11">
      <c r="A3392" s="7">
        <v>3390</v>
      </c>
      <c r="B3392" s="7" t="s">
        <v>9174</v>
      </c>
      <c r="C3392" s="7" t="s">
        <v>9418</v>
      </c>
      <c r="D3392" s="7" t="s">
        <v>7542</v>
      </c>
      <c r="E3392" s="7" t="s">
        <v>13094</v>
      </c>
      <c r="F3392" s="8" t="s">
        <v>11973</v>
      </c>
      <c r="G3392" s="7">
        <v>123</v>
      </c>
      <c r="H3392" s="7" t="s">
        <v>12867</v>
      </c>
      <c r="I3392" s="7">
        <v>12</v>
      </c>
      <c r="J3392" s="7" t="s">
        <v>7671</v>
      </c>
      <c r="K3392" s="9" t="s">
        <v>8987</v>
      </c>
    </row>
    <row r="3393" spans="1:11">
      <c r="A3393" s="7">
        <v>3391</v>
      </c>
      <c r="B3393" s="7" t="s">
        <v>9174</v>
      </c>
      <c r="C3393" s="7" t="s">
        <v>9418</v>
      </c>
      <c r="D3393" s="7" t="s">
        <v>7542</v>
      </c>
      <c r="E3393" s="7" t="s">
        <v>13095</v>
      </c>
      <c r="F3393" s="8" t="s">
        <v>11973</v>
      </c>
      <c r="G3393" s="7">
        <v>134</v>
      </c>
      <c r="H3393" s="7" t="s">
        <v>12869</v>
      </c>
      <c r="I3393" s="7">
        <v>12</v>
      </c>
      <c r="J3393" s="7" t="s">
        <v>7611</v>
      </c>
      <c r="K3393" s="9" t="s">
        <v>8987</v>
      </c>
    </row>
    <row r="3394" spans="1:11">
      <c r="A3394" s="7">
        <v>3392</v>
      </c>
      <c r="B3394" s="7" t="s">
        <v>9174</v>
      </c>
      <c r="C3394" s="7" t="s">
        <v>9418</v>
      </c>
      <c r="D3394" s="7" t="s">
        <v>7542</v>
      </c>
      <c r="E3394" s="7" t="s">
        <v>13096</v>
      </c>
      <c r="F3394" s="8" t="s">
        <v>11973</v>
      </c>
      <c r="G3394" s="7">
        <v>144</v>
      </c>
      <c r="H3394" s="7" t="s">
        <v>13090</v>
      </c>
      <c r="I3394" s="7">
        <v>12</v>
      </c>
      <c r="J3394" s="7" t="s">
        <v>7672</v>
      </c>
      <c r="K3394" s="9" t="s">
        <v>8987</v>
      </c>
    </row>
    <row r="3395" spans="1:11">
      <c r="A3395" s="7">
        <v>3393</v>
      </c>
      <c r="B3395" s="7" t="s">
        <v>9174</v>
      </c>
      <c r="C3395" s="7" t="s">
        <v>9130</v>
      </c>
      <c r="D3395" s="7" t="s">
        <v>7542</v>
      </c>
      <c r="E3395" s="7" t="s">
        <v>13097</v>
      </c>
      <c r="F3395" s="8" t="s">
        <v>9611</v>
      </c>
      <c r="G3395" s="13">
        <v>4</v>
      </c>
      <c r="H3395" s="13" t="s">
        <v>9579</v>
      </c>
      <c r="I3395" s="13">
        <v>1</v>
      </c>
      <c r="J3395" s="13" t="s">
        <v>7617</v>
      </c>
      <c r="K3395" s="9" t="s">
        <v>8987</v>
      </c>
    </row>
    <row r="3396" spans="1:11">
      <c r="A3396" s="7">
        <v>3394</v>
      </c>
      <c r="B3396" s="7" t="s">
        <v>9174</v>
      </c>
      <c r="C3396" s="7" t="s">
        <v>9130</v>
      </c>
      <c r="D3396" s="7" t="s">
        <v>7542</v>
      </c>
      <c r="E3396" s="7" t="s">
        <v>13098</v>
      </c>
      <c r="F3396" s="8" t="s">
        <v>9611</v>
      </c>
      <c r="G3396" s="7">
        <v>5</v>
      </c>
      <c r="H3396" s="7" t="s">
        <v>9336</v>
      </c>
      <c r="I3396" s="7">
        <v>1</v>
      </c>
      <c r="J3396" s="7" t="s">
        <v>7620</v>
      </c>
      <c r="K3396" s="9" t="s">
        <v>8987</v>
      </c>
    </row>
    <row r="3397" spans="1:11">
      <c r="A3397" s="7">
        <v>3395</v>
      </c>
      <c r="B3397" s="7" t="s">
        <v>9174</v>
      </c>
      <c r="C3397" s="7" t="s">
        <v>9130</v>
      </c>
      <c r="D3397" s="7" t="s">
        <v>7542</v>
      </c>
      <c r="E3397" s="7" t="s">
        <v>13099</v>
      </c>
      <c r="F3397" s="8" t="s">
        <v>9611</v>
      </c>
      <c r="G3397" s="7">
        <v>6</v>
      </c>
      <c r="H3397" s="7" t="s">
        <v>9218</v>
      </c>
      <c r="I3397" s="7">
        <v>1</v>
      </c>
      <c r="J3397" s="7" t="s">
        <v>7623</v>
      </c>
      <c r="K3397" s="9" t="s">
        <v>8987</v>
      </c>
    </row>
    <row r="3398" spans="1:11">
      <c r="A3398" s="7">
        <v>3396</v>
      </c>
      <c r="B3398" s="7" t="s">
        <v>9174</v>
      </c>
      <c r="C3398" s="7" t="s">
        <v>9130</v>
      </c>
      <c r="D3398" s="7" t="s">
        <v>7542</v>
      </c>
      <c r="E3398" s="7" t="s">
        <v>13100</v>
      </c>
      <c r="F3398" s="8" t="s">
        <v>9613</v>
      </c>
      <c r="G3398" s="7">
        <v>4</v>
      </c>
      <c r="H3398" s="7" t="s">
        <v>9579</v>
      </c>
      <c r="I3398" s="7">
        <v>1</v>
      </c>
      <c r="J3398" s="7" t="s">
        <v>7617</v>
      </c>
      <c r="K3398" s="9" t="s">
        <v>8987</v>
      </c>
    </row>
    <row r="3399" spans="1:11">
      <c r="A3399" s="7">
        <v>3397</v>
      </c>
      <c r="B3399" s="7" t="s">
        <v>9174</v>
      </c>
      <c r="C3399" s="7" t="s">
        <v>9130</v>
      </c>
      <c r="D3399" s="7" t="s">
        <v>7542</v>
      </c>
      <c r="E3399" s="7" t="s">
        <v>13101</v>
      </c>
      <c r="F3399" s="8" t="s">
        <v>9613</v>
      </c>
      <c r="G3399" s="7">
        <v>5</v>
      </c>
      <c r="H3399" s="7" t="s">
        <v>9336</v>
      </c>
      <c r="I3399" s="7">
        <v>1</v>
      </c>
      <c r="J3399" s="7" t="s">
        <v>7620</v>
      </c>
      <c r="K3399" s="9" t="s">
        <v>8987</v>
      </c>
    </row>
    <row r="3400" spans="1:11">
      <c r="A3400" s="7">
        <v>3398</v>
      </c>
      <c r="B3400" s="7" t="s">
        <v>9174</v>
      </c>
      <c r="C3400" s="7" t="s">
        <v>9130</v>
      </c>
      <c r="D3400" s="7" t="s">
        <v>7542</v>
      </c>
      <c r="E3400" s="7" t="s">
        <v>13102</v>
      </c>
      <c r="F3400" s="8" t="s">
        <v>9613</v>
      </c>
      <c r="G3400" s="7">
        <v>6</v>
      </c>
      <c r="H3400" s="7" t="s">
        <v>9218</v>
      </c>
      <c r="I3400" s="7">
        <v>1</v>
      </c>
      <c r="J3400" s="7" t="s">
        <v>7623</v>
      </c>
      <c r="K3400" s="9" t="s">
        <v>8987</v>
      </c>
    </row>
    <row r="3401" spans="1:11">
      <c r="A3401" s="7">
        <v>3399</v>
      </c>
      <c r="B3401" s="7" t="s">
        <v>9174</v>
      </c>
      <c r="C3401" s="7" t="s">
        <v>9130</v>
      </c>
      <c r="D3401" s="7" t="s">
        <v>7542</v>
      </c>
      <c r="E3401" s="7" t="s">
        <v>13103</v>
      </c>
      <c r="F3401" s="8" t="s">
        <v>9615</v>
      </c>
      <c r="G3401" s="7">
        <v>4</v>
      </c>
      <c r="H3401" s="7" t="s">
        <v>9579</v>
      </c>
      <c r="I3401" s="7">
        <v>1</v>
      </c>
      <c r="J3401" s="7" t="s">
        <v>7617</v>
      </c>
      <c r="K3401" s="9" t="s">
        <v>8987</v>
      </c>
    </row>
    <row r="3402" spans="1:11">
      <c r="A3402" s="7">
        <v>3400</v>
      </c>
      <c r="B3402" s="7" t="s">
        <v>9174</v>
      </c>
      <c r="C3402" s="7" t="s">
        <v>9130</v>
      </c>
      <c r="D3402" s="7" t="s">
        <v>7542</v>
      </c>
      <c r="E3402" s="7" t="s">
        <v>13104</v>
      </c>
      <c r="F3402" s="8" t="s">
        <v>9615</v>
      </c>
      <c r="G3402" s="7">
        <v>5</v>
      </c>
      <c r="H3402" s="7" t="s">
        <v>9336</v>
      </c>
      <c r="I3402" s="7">
        <v>1</v>
      </c>
      <c r="J3402" s="7" t="s">
        <v>7620</v>
      </c>
      <c r="K3402" s="9" t="s">
        <v>8987</v>
      </c>
    </row>
    <row r="3403" spans="1:11">
      <c r="A3403" s="7">
        <v>3401</v>
      </c>
      <c r="B3403" s="7" t="s">
        <v>9174</v>
      </c>
      <c r="C3403" s="7" t="s">
        <v>9130</v>
      </c>
      <c r="D3403" s="7" t="s">
        <v>7542</v>
      </c>
      <c r="E3403" s="7" t="s">
        <v>13105</v>
      </c>
      <c r="F3403" s="8" t="s">
        <v>9615</v>
      </c>
      <c r="G3403" s="7">
        <v>6</v>
      </c>
      <c r="H3403" s="7" t="s">
        <v>9218</v>
      </c>
      <c r="I3403" s="7">
        <v>1</v>
      </c>
      <c r="J3403" s="7" t="s">
        <v>7623</v>
      </c>
      <c r="K3403" s="9" t="s">
        <v>8987</v>
      </c>
    </row>
    <row r="3404" spans="1:11">
      <c r="A3404" s="7">
        <v>3402</v>
      </c>
      <c r="B3404" s="7" t="s">
        <v>9174</v>
      </c>
      <c r="C3404" s="7" t="s">
        <v>9130</v>
      </c>
      <c r="D3404" s="7" t="s">
        <v>7542</v>
      </c>
      <c r="E3404" s="7" t="s">
        <v>13106</v>
      </c>
      <c r="F3404" s="8" t="s">
        <v>9576</v>
      </c>
      <c r="G3404" s="7">
        <v>4</v>
      </c>
      <c r="H3404" s="7" t="s">
        <v>9579</v>
      </c>
      <c r="I3404" s="7">
        <v>1</v>
      </c>
      <c r="J3404" s="7" t="s">
        <v>7617</v>
      </c>
      <c r="K3404" s="9" t="s">
        <v>8987</v>
      </c>
    </row>
    <row r="3405" spans="1:11">
      <c r="A3405" s="7">
        <v>3403</v>
      </c>
      <c r="B3405" s="7" t="s">
        <v>9174</v>
      </c>
      <c r="C3405" s="7" t="s">
        <v>9130</v>
      </c>
      <c r="D3405" s="7" t="s">
        <v>7542</v>
      </c>
      <c r="E3405" s="7" t="s">
        <v>13107</v>
      </c>
      <c r="F3405" s="8" t="s">
        <v>9576</v>
      </c>
      <c r="G3405" s="7">
        <v>5</v>
      </c>
      <c r="H3405" s="7" t="s">
        <v>9336</v>
      </c>
      <c r="I3405" s="7">
        <v>1</v>
      </c>
      <c r="J3405" s="7" t="s">
        <v>7620</v>
      </c>
      <c r="K3405" s="9" t="s">
        <v>8987</v>
      </c>
    </row>
    <row r="3406" spans="1:11">
      <c r="A3406" s="7">
        <v>3404</v>
      </c>
      <c r="B3406" s="7" t="s">
        <v>9174</v>
      </c>
      <c r="C3406" s="7" t="s">
        <v>9130</v>
      </c>
      <c r="D3406" s="7" t="s">
        <v>7542</v>
      </c>
      <c r="E3406" s="7" t="s">
        <v>13108</v>
      </c>
      <c r="F3406" s="8" t="s">
        <v>9576</v>
      </c>
      <c r="G3406" s="7">
        <v>6</v>
      </c>
      <c r="H3406" s="7" t="s">
        <v>9218</v>
      </c>
      <c r="I3406" s="7">
        <v>1</v>
      </c>
      <c r="J3406" s="7" t="s">
        <v>7623</v>
      </c>
      <c r="K3406" s="9" t="s">
        <v>8987</v>
      </c>
    </row>
    <row r="3407" spans="1:11">
      <c r="A3407" s="7">
        <v>3405</v>
      </c>
      <c r="B3407" s="7" t="s">
        <v>9174</v>
      </c>
      <c r="C3407" s="7" t="s">
        <v>9130</v>
      </c>
      <c r="D3407" s="7" t="s">
        <v>7542</v>
      </c>
      <c r="E3407" s="7" t="s">
        <v>13109</v>
      </c>
      <c r="F3407" s="8" t="s">
        <v>9609</v>
      </c>
      <c r="G3407" s="7">
        <v>4</v>
      </c>
      <c r="H3407" s="7" t="s">
        <v>9579</v>
      </c>
      <c r="I3407" s="7">
        <v>1</v>
      </c>
      <c r="J3407" s="7" t="s">
        <v>7617</v>
      </c>
      <c r="K3407" s="9" t="s">
        <v>8987</v>
      </c>
    </row>
    <row r="3408" spans="1:11">
      <c r="A3408" s="7">
        <v>3406</v>
      </c>
      <c r="B3408" s="7" t="s">
        <v>9174</v>
      </c>
      <c r="C3408" s="7" t="s">
        <v>9130</v>
      </c>
      <c r="D3408" s="7" t="s">
        <v>7542</v>
      </c>
      <c r="E3408" s="7" t="s">
        <v>13110</v>
      </c>
      <c r="F3408" s="8" t="s">
        <v>9609</v>
      </c>
      <c r="G3408" s="7">
        <v>5</v>
      </c>
      <c r="H3408" s="7" t="s">
        <v>9336</v>
      </c>
      <c r="I3408" s="7">
        <v>1</v>
      </c>
      <c r="J3408" s="7" t="s">
        <v>7620</v>
      </c>
      <c r="K3408" s="9" t="s">
        <v>8987</v>
      </c>
    </row>
    <row r="3409" spans="1:11">
      <c r="A3409" s="7">
        <v>3407</v>
      </c>
      <c r="B3409" s="7" t="s">
        <v>9174</v>
      </c>
      <c r="C3409" s="7" t="s">
        <v>9130</v>
      </c>
      <c r="D3409" s="7" t="s">
        <v>7542</v>
      </c>
      <c r="E3409" s="7" t="s">
        <v>13111</v>
      </c>
      <c r="F3409" s="8" t="s">
        <v>9609</v>
      </c>
      <c r="G3409" s="7">
        <v>6</v>
      </c>
      <c r="H3409" s="7" t="s">
        <v>9218</v>
      </c>
      <c r="I3409" s="7">
        <v>1</v>
      </c>
      <c r="J3409" s="7" t="s">
        <v>7623</v>
      </c>
      <c r="K3409" s="9" t="s">
        <v>8987</v>
      </c>
    </row>
    <row r="3410" spans="1:11">
      <c r="A3410" s="7">
        <v>3408</v>
      </c>
      <c r="B3410" s="7" t="s">
        <v>9174</v>
      </c>
      <c r="C3410" s="7" t="s">
        <v>9130</v>
      </c>
      <c r="D3410" s="7" t="s">
        <v>7542</v>
      </c>
      <c r="E3410" s="7" t="s">
        <v>13112</v>
      </c>
      <c r="F3410" s="8" t="s">
        <v>9617</v>
      </c>
      <c r="G3410" s="7">
        <v>4</v>
      </c>
      <c r="H3410" s="7" t="s">
        <v>9579</v>
      </c>
      <c r="I3410" s="7">
        <v>1</v>
      </c>
      <c r="J3410" s="7" t="s">
        <v>7617</v>
      </c>
      <c r="K3410" s="9" t="s">
        <v>8987</v>
      </c>
    </row>
    <row r="3411" spans="1:11">
      <c r="A3411" s="7">
        <v>3409</v>
      </c>
      <c r="B3411" s="7" t="s">
        <v>9174</v>
      </c>
      <c r="C3411" s="7" t="s">
        <v>9130</v>
      </c>
      <c r="D3411" s="7" t="s">
        <v>7542</v>
      </c>
      <c r="E3411" s="7" t="s">
        <v>13113</v>
      </c>
      <c r="F3411" s="8" t="s">
        <v>9617</v>
      </c>
      <c r="G3411" s="7">
        <v>5</v>
      </c>
      <c r="H3411" s="7" t="s">
        <v>9336</v>
      </c>
      <c r="I3411" s="7">
        <v>1</v>
      </c>
      <c r="J3411" s="7" t="s">
        <v>7620</v>
      </c>
      <c r="K3411" s="9" t="s">
        <v>8987</v>
      </c>
    </row>
    <row r="3412" spans="1:11">
      <c r="A3412" s="7">
        <v>3410</v>
      </c>
      <c r="B3412" s="7" t="s">
        <v>9174</v>
      </c>
      <c r="C3412" s="7" t="s">
        <v>9130</v>
      </c>
      <c r="D3412" s="7" t="s">
        <v>7542</v>
      </c>
      <c r="E3412" s="7" t="s">
        <v>13114</v>
      </c>
      <c r="F3412" s="8" t="s">
        <v>9617</v>
      </c>
      <c r="G3412" s="7">
        <v>6</v>
      </c>
      <c r="H3412" s="7" t="s">
        <v>9218</v>
      </c>
      <c r="I3412" s="7">
        <v>1</v>
      </c>
      <c r="J3412" s="7" t="s">
        <v>7623</v>
      </c>
      <c r="K3412" s="9" t="s">
        <v>8987</v>
      </c>
    </row>
    <row r="3413" spans="1:11">
      <c r="A3413" s="7">
        <v>3411</v>
      </c>
      <c r="B3413" s="7" t="s">
        <v>9174</v>
      </c>
      <c r="C3413" s="7" t="s">
        <v>9130</v>
      </c>
      <c r="D3413" s="7" t="s">
        <v>7542</v>
      </c>
      <c r="E3413" s="7" t="s">
        <v>13115</v>
      </c>
      <c r="F3413" s="12" t="s">
        <v>9291</v>
      </c>
      <c r="G3413" s="7">
        <v>4</v>
      </c>
      <c r="H3413" s="7" t="s">
        <v>9579</v>
      </c>
      <c r="I3413" s="7">
        <v>1</v>
      </c>
      <c r="J3413" s="7" t="s">
        <v>7617</v>
      </c>
      <c r="K3413" s="9" t="s">
        <v>8987</v>
      </c>
    </row>
    <row r="3414" spans="1:11">
      <c r="A3414" s="7">
        <v>3412</v>
      </c>
      <c r="B3414" s="7" t="s">
        <v>9174</v>
      </c>
      <c r="C3414" s="7" t="s">
        <v>9130</v>
      </c>
      <c r="D3414" s="7" t="s">
        <v>7542</v>
      </c>
      <c r="E3414" s="7" t="s">
        <v>13116</v>
      </c>
      <c r="F3414" s="8" t="s">
        <v>9291</v>
      </c>
      <c r="G3414" s="13">
        <v>5</v>
      </c>
      <c r="H3414" s="13" t="s">
        <v>9336</v>
      </c>
      <c r="I3414" s="13">
        <v>1</v>
      </c>
      <c r="J3414" s="13" t="s">
        <v>7620</v>
      </c>
      <c r="K3414" s="9" t="s">
        <v>8987</v>
      </c>
    </row>
    <row r="3415" spans="1:11">
      <c r="A3415" s="7">
        <v>3413</v>
      </c>
      <c r="B3415" s="7" t="s">
        <v>9174</v>
      </c>
      <c r="C3415" s="7" t="s">
        <v>9130</v>
      </c>
      <c r="D3415" s="7" t="s">
        <v>7542</v>
      </c>
      <c r="E3415" s="7" t="s">
        <v>13117</v>
      </c>
      <c r="F3415" s="8" t="s">
        <v>9291</v>
      </c>
      <c r="G3415" s="13">
        <v>6</v>
      </c>
      <c r="H3415" s="13" t="s">
        <v>9218</v>
      </c>
      <c r="I3415" s="13">
        <v>1</v>
      </c>
      <c r="J3415" s="13" t="s">
        <v>7623</v>
      </c>
      <c r="K3415" s="9" t="s">
        <v>8987</v>
      </c>
    </row>
    <row r="3416" spans="1:11">
      <c r="A3416" s="7">
        <v>3414</v>
      </c>
      <c r="B3416" s="7" t="s">
        <v>9174</v>
      </c>
      <c r="C3416" s="7" t="s">
        <v>9130</v>
      </c>
      <c r="D3416" s="7" t="s">
        <v>7549</v>
      </c>
      <c r="E3416" s="7" t="s">
        <v>13118</v>
      </c>
      <c r="F3416" s="8" t="s">
        <v>9210</v>
      </c>
      <c r="G3416" s="7">
        <v>100</v>
      </c>
      <c r="H3416" s="7" t="s">
        <v>9046</v>
      </c>
      <c r="I3416" s="7">
        <v>21</v>
      </c>
      <c r="J3416" s="7" t="s">
        <v>7721</v>
      </c>
      <c r="K3416" s="9" t="s">
        <v>8987</v>
      </c>
    </row>
    <row r="3417" spans="1:11">
      <c r="A3417" s="7">
        <v>3415</v>
      </c>
      <c r="B3417" s="7" t="s">
        <v>9174</v>
      </c>
      <c r="C3417" s="7" t="s">
        <v>9130</v>
      </c>
      <c r="D3417" s="7" t="s">
        <v>7549</v>
      </c>
      <c r="E3417" s="7" t="s">
        <v>13119</v>
      </c>
      <c r="F3417" s="8" t="s">
        <v>9210</v>
      </c>
      <c r="G3417" s="7">
        <v>110</v>
      </c>
      <c r="H3417" s="7" t="s">
        <v>9321</v>
      </c>
      <c r="I3417" s="7">
        <v>11</v>
      </c>
      <c r="J3417" s="7" t="s">
        <v>7722</v>
      </c>
      <c r="K3417" s="9" t="s">
        <v>8987</v>
      </c>
    </row>
    <row r="3418" spans="1:11">
      <c r="A3418" s="7">
        <v>3416</v>
      </c>
      <c r="B3418" s="7" t="s">
        <v>9174</v>
      </c>
      <c r="C3418" s="7" t="s">
        <v>9130</v>
      </c>
      <c r="D3418" s="7" t="s">
        <v>7549</v>
      </c>
      <c r="E3418" s="7" t="s">
        <v>13120</v>
      </c>
      <c r="F3418" s="8" t="s">
        <v>9210</v>
      </c>
      <c r="G3418" s="7">
        <v>120</v>
      </c>
      <c r="H3418" s="7" t="s">
        <v>9036</v>
      </c>
      <c r="I3418" s="7">
        <v>11</v>
      </c>
      <c r="J3418" s="7" t="s">
        <v>7723</v>
      </c>
      <c r="K3418" s="9" t="s">
        <v>8987</v>
      </c>
    </row>
    <row r="3419" spans="1:11">
      <c r="A3419" s="7">
        <v>3417</v>
      </c>
      <c r="B3419" s="7" t="s">
        <v>9174</v>
      </c>
      <c r="C3419" s="7" t="s">
        <v>9418</v>
      </c>
      <c r="D3419" s="7" t="s">
        <v>7549</v>
      </c>
      <c r="E3419" s="7" t="s">
        <v>13121</v>
      </c>
      <c r="F3419" s="8" t="s">
        <v>9328</v>
      </c>
      <c r="G3419" s="7">
        <v>52</v>
      </c>
      <c r="H3419" s="7" t="s">
        <v>9197</v>
      </c>
      <c r="I3419" s="7">
        <v>8</v>
      </c>
      <c r="J3419" s="7" t="s">
        <v>7724</v>
      </c>
      <c r="K3419" s="9" t="s">
        <v>8987</v>
      </c>
    </row>
    <row r="3420" spans="1:11">
      <c r="A3420" s="7">
        <v>3418</v>
      </c>
      <c r="B3420" s="7" t="s">
        <v>9174</v>
      </c>
      <c r="C3420" s="7" t="s">
        <v>9418</v>
      </c>
      <c r="D3420" s="7" t="s">
        <v>7549</v>
      </c>
      <c r="E3420" s="7" t="s">
        <v>13122</v>
      </c>
      <c r="F3420" s="8" t="s">
        <v>9328</v>
      </c>
      <c r="G3420" s="7">
        <v>59</v>
      </c>
      <c r="H3420" s="7" t="s">
        <v>12905</v>
      </c>
      <c r="I3420" s="7">
        <v>8</v>
      </c>
      <c r="J3420" s="7" t="s">
        <v>7725</v>
      </c>
      <c r="K3420" s="9" t="s">
        <v>8987</v>
      </c>
    </row>
    <row r="3421" spans="1:11">
      <c r="A3421" s="7">
        <v>3419</v>
      </c>
      <c r="B3421" s="7" t="s">
        <v>9174</v>
      </c>
      <c r="C3421" s="7" t="s">
        <v>9418</v>
      </c>
      <c r="D3421" s="7" t="s">
        <v>7549</v>
      </c>
      <c r="E3421" s="7" t="s">
        <v>13123</v>
      </c>
      <c r="F3421" s="8" t="s">
        <v>9328</v>
      </c>
      <c r="G3421" s="7">
        <v>66</v>
      </c>
      <c r="H3421" s="7" t="s">
        <v>11370</v>
      </c>
      <c r="I3421" s="7">
        <v>8</v>
      </c>
      <c r="J3421" s="7" t="s">
        <v>7726</v>
      </c>
      <c r="K3421" s="9" t="s">
        <v>8987</v>
      </c>
    </row>
    <row r="3422" spans="1:11">
      <c r="A3422" s="7">
        <v>3420</v>
      </c>
      <c r="B3422" s="7" t="s">
        <v>9174</v>
      </c>
      <c r="C3422" s="7" t="s">
        <v>9130</v>
      </c>
      <c r="D3422" s="7" t="s">
        <v>7556</v>
      </c>
      <c r="E3422" s="7" t="s">
        <v>13124</v>
      </c>
      <c r="F3422" s="8" t="s">
        <v>12583</v>
      </c>
      <c r="G3422" s="7">
        <v>140</v>
      </c>
      <c r="H3422" s="7" t="s">
        <v>10761</v>
      </c>
      <c r="I3422" s="7">
        <v>21</v>
      </c>
      <c r="J3422" s="7" t="s">
        <v>7790</v>
      </c>
      <c r="K3422" s="9" t="s">
        <v>8987</v>
      </c>
    </row>
    <row r="3423" spans="1:11">
      <c r="A3423" s="7">
        <v>3421</v>
      </c>
      <c r="B3423" s="7" t="s">
        <v>9174</v>
      </c>
      <c r="C3423" s="7" t="s">
        <v>9130</v>
      </c>
      <c r="D3423" s="7" t="s">
        <v>7556</v>
      </c>
      <c r="E3423" s="7" t="s">
        <v>13125</v>
      </c>
      <c r="F3423" s="8" t="s">
        <v>12583</v>
      </c>
      <c r="G3423" s="7">
        <v>160</v>
      </c>
      <c r="H3423" s="7" t="s">
        <v>12964</v>
      </c>
      <c r="I3423" s="7">
        <v>21</v>
      </c>
      <c r="J3423" s="7" t="s">
        <v>7791</v>
      </c>
      <c r="K3423" s="9" t="s">
        <v>8987</v>
      </c>
    </row>
    <row r="3424" spans="1:11">
      <c r="A3424" s="7">
        <v>3422</v>
      </c>
      <c r="B3424" s="7" t="s">
        <v>9174</v>
      </c>
      <c r="C3424" s="7" t="s">
        <v>9130</v>
      </c>
      <c r="D3424" s="7" t="s">
        <v>7556</v>
      </c>
      <c r="E3424" s="7" t="s">
        <v>13126</v>
      </c>
      <c r="F3424" s="8" t="s">
        <v>12583</v>
      </c>
      <c r="G3424" s="7">
        <v>180</v>
      </c>
      <c r="H3424" s="7" t="s">
        <v>9056</v>
      </c>
      <c r="I3424" s="7">
        <v>21</v>
      </c>
      <c r="J3424" s="7" t="s">
        <v>7792</v>
      </c>
      <c r="K3424" s="9" t="s">
        <v>8987</v>
      </c>
    </row>
    <row r="3425" spans="1:11">
      <c r="A3425" s="7">
        <v>3423</v>
      </c>
      <c r="B3425" s="7" t="s">
        <v>9174</v>
      </c>
      <c r="C3425" s="7" t="s">
        <v>9418</v>
      </c>
      <c r="D3425" s="7" t="s">
        <v>7549</v>
      </c>
      <c r="E3425" s="7" t="s">
        <v>13127</v>
      </c>
      <c r="F3425" s="8" t="s">
        <v>10760</v>
      </c>
      <c r="G3425" s="7">
        <v>167</v>
      </c>
      <c r="H3425" s="7" t="s">
        <v>13128</v>
      </c>
      <c r="I3425" s="7">
        <v>18</v>
      </c>
      <c r="J3425" s="7" t="s">
        <v>7727</v>
      </c>
      <c r="K3425" s="9" t="s">
        <v>8987</v>
      </c>
    </row>
    <row r="3426" spans="1:11">
      <c r="A3426" s="7">
        <v>3424</v>
      </c>
      <c r="B3426" s="7" t="s">
        <v>9174</v>
      </c>
      <c r="C3426" s="7" t="s">
        <v>9418</v>
      </c>
      <c r="D3426" s="7" t="s">
        <v>7549</v>
      </c>
      <c r="E3426" s="7" t="s">
        <v>13129</v>
      </c>
      <c r="F3426" s="8" t="s">
        <v>10760</v>
      </c>
      <c r="G3426" s="7">
        <v>184</v>
      </c>
      <c r="H3426" s="7" t="s">
        <v>13130</v>
      </c>
      <c r="I3426" s="7">
        <v>18</v>
      </c>
      <c r="J3426" s="7" t="s">
        <v>7728</v>
      </c>
      <c r="K3426" s="9" t="s">
        <v>8987</v>
      </c>
    </row>
    <row r="3427" spans="1:11">
      <c r="A3427" s="7">
        <v>3425</v>
      </c>
      <c r="B3427" s="7" t="s">
        <v>9174</v>
      </c>
      <c r="C3427" s="7" t="s">
        <v>9418</v>
      </c>
      <c r="D3427" s="7" t="s">
        <v>7549</v>
      </c>
      <c r="E3427" s="7" t="s">
        <v>13131</v>
      </c>
      <c r="F3427" s="8" t="s">
        <v>10760</v>
      </c>
      <c r="G3427" s="7">
        <v>200</v>
      </c>
      <c r="H3427" s="7" t="s">
        <v>9447</v>
      </c>
      <c r="I3427" s="7">
        <v>18</v>
      </c>
      <c r="J3427" s="7" t="s">
        <v>7729</v>
      </c>
      <c r="K3427" s="9" t="s">
        <v>8987</v>
      </c>
    </row>
    <row r="3428" spans="1:11">
      <c r="A3428" s="7">
        <v>3426</v>
      </c>
      <c r="B3428" s="7" t="s">
        <v>9174</v>
      </c>
      <c r="C3428" s="7" t="s">
        <v>9418</v>
      </c>
      <c r="D3428" s="7" t="s">
        <v>7556</v>
      </c>
      <c r="E3428" s="7" t="s">
        <v>13132</v>
      </c>
      <c r="F3428" s="8" t="s">
        <v>9676</v>
      </c>
      <c r="G3428" s="7">
        <v>430</v>
      </c>
      <c r="H3428" s="7" t="s">
        <v>13133</v>
      </c>
      <c r="I3428" s="7">
        <v>21</v>
      </c>
      <c r="J3428" s="7" t="s">
        <v>7807</v>
      </c>
      <c r="K3428" s="9" t="s">
        <v>8987</v>
      </c>
    </row>
    <row r="3429" spans="1:11">
      <c r="A3429" s="7">
        <v>3427</v>
      </c>
      <c r="B3429" s="7" t="s">
        <v>9174</v>
      </c>
      <c r="C3429" s="7" t="s">
        <v>9418</v>
      </c>
      <c r="D3429" s="7" t="s">
        <v>7556</v>
      </c>
      <c r="E3429" s="7" t="s">
        <v>13134</v>
      </c>
      <c r="F3429" s="8" t="s">
        <v>9676</v>
      </c>
      <c r="G3429" s="7">
        <v>470</v>
      </c>
      <c r="H3429" s="7" t="s">
        <v>13135</v>
      </c>
      <c r="I3429" s="7">
        <v>21</v>
      </c>
      <c r="J3429" s="7" t="s">
        <v>7808</v>
      </c>
      <c r="K3429" s="9" t="s">
        <v>8987</v>
      </c>
    </row>
    <row r="3430" spans="1:11">
      <c r="A3430" s="7">
        <v>3428</v>
      </c>
      <c r="B3430" s="7" t="s">
        <v>9174</v>
      </c>
      <c r="C3430" s="7" t="s">
        <v>9418</v>
      </c>
      <c r="D3430" s="7" t="s">
        <v>7556</v>
      </c>
      <c r="E3430" s="7" t="s">
        <v>13136</v>
      </c>
      <c r="F3430" s="8" t="s">
        <v>9676</v>
      </c>
      <c r="G3430" s="7">
        <v>520</v>
      </c>
      <c r="H3430" s="7" t="s">
        <v>13137</v>
      </c>
      <c r="I3430" s="7">
        <v>21</v>
      </c>
      <c r="J3430" s="7" t="s">
        <v>7809</v>
      </c>
      <c r="K3430" s="9" t="s">
        <v>8987</v>
      </c>
    </row>
    <row r="3431" spans="1:11">
      <c r="A3431" s="7">
        <v>3429</v>
      </c>
      <c r="B3431" s="7" t="s">
        <v>9174</v>
      </c>
      <c r="C3431" s="7" t="s">
        <v>9418</v>
      </c>
      <c r="D3431" s="7" t="s">
        <v>7556</v>
      </c>
      <c r="E3431" s="7" t="s">
        <v>13138</v>
      </c>
      <c r="F3431" s="8" t="s">
        <v>9304</v>
      </c>
      <c r="G3431" s="7">
        <v>140</v>
      </c>
      <c r="H3431" s="7" t="s">
        <v>10761</v>
      </c>
      <c r="I3431" s="7">
        <v>21</v>
      </c>
      <c r="J3431" s="7" t="s">
        <v>7790</v>
      </c>
      <c r="K3431" s="9" t="s">
        <v>8987</v>
      </c>
    </row>
    <row r="3432" spans="1:11">
      <c r="A3432" s="7">
        <v>3430</v>
      </c>
      <c r="B3432" s="7" t="s">
        <v>9174</v>
      </c>
      <c r="C3432" s="7" t="s">
        <v>9418</v>
      </c>
      <c r="D3432" s="7" t="s">
        <v>7556</v>
      </c>
      <c r="E3432" s="7" t="s">
        <v>13139</v>
      </c>
      <c r="F3432" s="8" t="s">
        <v>9304</v>
      </c>
      <c r="G3432" s="7">
        <v>160</v>
      </c>
      <c r="H3432" s="7" t="s">
        <v>12964</v>
      </c>
      <c r="I3432" s="7">
        <v>21</v>
      </c>
      <c r="J3432" s="7" t="s">
        <v>7791</v>
      </c>
      <c r="K3432" s="9" t="s">
        <v>8987</v>
      </c>
    </row>
    <row r="3433" spans="1:11">
      <c r="A3433" s="7">
        <v>3431</v>
      </c>
      <c r="B3433" s="7" t="s">
        <v>9174</v>
      </c>
      <c r="C3433" s="7" t="s">
        <v>9418</v>
      </c>
      <c r="D3433" s="7" t="s">
        <v>7556</v>
      </c>
      <c r="E3433" s="7" t="s">
        <v>13140</v>
      </c>
      <c r="F3433" s="8" t="s">
        <v>9304</v>
      </c>
      <c r="G3433" s="7">
        <v>180</v>
      </c>
      <c r="H3433" s="7" t="s">
        <v>9056</v>
      </c>
      <c r="I3433" s="7">
        <v>21</v>
      </c>
      <c r="J3433" s="7" t="s">
        <v>7792</v>
      </c>
      <c r="K3433" s="9" t="s">
        <v>8987</v>
      </c>
    </row>
    <row r="3434" spans="1:11">
      <c r="A3434" s="7">
        <v>3432</v>
      </c>
      <c r="B3434" s="7" t="s">
        <v>9174</v>
      </c>
      <c r="C3434" s="7" t="s">
        <v>9418</v>
      </c>
      <c r="D3434" s="7" t="s">
        <v>7556</v>
      </c>
      <c r="E3434" s="7" t="s">
        <v>3421</v>
      </c>
      <c r="F3434" s="8" t="s">
        <v>9306</v>
      </c>
      <c r="G3434" s="7">
        <v>140</v>
      </c>
      <c r="H3434" s="7" t="s">
        <v>10761</v>
      </c>
      <c r="I3434" s="7">
        <v>21</v>
      </c>
      <c r="J3434" s="7" t="s">
        <v>7790</v>
      </c>
      <c r="K3434" s="9" t="s">
        <v>8987</v>
      </c>
    </row>
    <row r="3435" spans="1:11">
      <c r="A3435" s="7">
        <v>3433</v>
      </c>
      <c r="B3435" s="7" t="s">
        <v>9174</v>
      </c>
      <c r="C3435" s="7" t="s">
        <v>9418</v>
      </c>
      <c r="D3435" s="7" t="s">
        <v>7556</v>
      </c>
      <c r="E3435" s="7" t="s">
        <v>13141</v>
      </c>
      <c r="F3435" s="8" t="s">
        <v>9306</v>
      </c>
      <c r="G3435" s="7">
        <v>160</v>
      </c>
      <c r="H3435" s="7" t="s">
        <v>12964</v>
      </c>
      <c r="I3435" s="7">
        <v>21</v>
      </c>
      <c r="J3435" s="7" t="s">
        <v>7791</v>
      </c>
      <c r="K3435" s="9" t="s">
        <v>8987</v>
      </c>
    </row>
    <row r="3436" spans="1:11">
      <c r="A3436" s="7">
        <v>3434</v>
      </c>
      <c r="B3436" s="7" t="s">
        <v>9174</v>
      </c>
      <c r="C3436" s="7" t="s">
        <v>9418</v>
      </c>
      <c r="D3436" s="7" t="s">
        <v>7556</v>
      </c>
      <c r="E3436" s="7" t="s">
        <v>13142</v>
      </c>
      <c r="F3436" s="8" t="s">
        <v>9306</v>
      </c>
      <c r="G3436" s="7">
        <v>180</v>
      </c>
      <c r="H3436" s="7" t="s">
        <v>9056</v>
      </c>
      <c r="I3436" s="7">
        <v>21</v>
      </c>
      <c r="J3436" s="7" t="s">
        <v>7792</v>
      </c>
      <c r="K3436" s="9" t="s">
        <v>8987</v>
      </c>
    </row>
    <row r="3437" spans="1:11">
      <c r="A3437" s="7">
        <v>3435</v>
      </c>
      <c r="B3437" s="7" t="s">
        <v>9174</v>
      </c>
      <c r="C3437" s="7" t="s">
        <v>9418</v>
      </c>
      <c r="D3437" s="7" t="s">
        <v>7556</v>
      </c>
      <c r="E3437" s="7" t="s">
        <v>13143</v>
      </c>
      <c r="F3437" s="8" t="s">
        <v>9308</v>
      </c>
      <c r="G3437" s="7">
        <v>140</v>
      </c>
      <c r="H3437" s="7" t="s">
        <v>10761</v>
      </c>
      <c r="I3437" s="7">
        <v>21</v>
      </c>
      <c r="J3437" s="7" t="s">
        <v>7790</v>
      </c>
      <c r="K3437" s="9" t="s">
        <v>8987</v>
      </c>
    </row>
    <row r="3438" spans="1:11">
      <c r="A3438" s="7">
        <v>3436</v>
      </c>
      <c r="B3438" s="7" t="s">
        <v>9174</v>
      </c>
      <c r="C3438" s="7" t="s">
        <v>9418</v>
      </c>
      <c r="D3438" s="7" t="s">
        <v>7556</v>
      </c>
      <c r="E3438" s="7" t="s">
        <v>13144</v>
      </c>
      <c r="F3438" s="8" t="s">
        <v>9308</v>
      </c>
      <c r="G3438" s="7">
        <v>160</v>
      </c>
      <c r="H3438" s="7" t="s">
        <v>12964</v>
      </c>
      <c r="I3438" s="7">
        <v>21</v>
      </c>
      <c r="J3438" s="7" t="s">
        <v>7791</v>
      </c>
      <c r="K3438" s="9" t="s">
        <v>8987</v>
      </c>
    </row>
    <row r="3439" spans="1:11">
      <c r="A3439" s="7">
        <v>3437</v>
      </c>
      <c r="B3439" s="7" t="s">
        <v>9174</v>
      </c>
      <c r="C3439" s="7" t="s">
        <v>9418</v>
      </c>
      <c r="D3439" s="7" t="s">
        <v>7556</v>
      </c>
      <c r="E3439" s="7" t="s">
        <v>13145</v>
      </c>
      <c r="F3439" s="8" t="s">
        <v>9308</v>
      </c>
      <c r="G3439" s="7">
        <v>180</v>
      </c>
      <c r="H3439" s="7" t="s">
        <v>9056</v>
      </c>
      <c r="I3439" s="7">
        <v>21</v>
      </c>
      <c r="J3439" s="7" t="s">
        <v>7792</v>
      </c>
      <c r="K3439" s="9" t="s">
        <v>8987</v>
      </c>
    </row>
    <row r="3440" spans="1:11">
      <c r="A3440" s="7">
        <v>3438</v>
      </c>
      <c r="B3440" s="7" t="s">
        <v>9174</v>
      </c>
      <c r="C3440" s="7" t="s">
        <v>9418</v>
      </c>
      <c r="D3440" s="7" t="s">
        <v>7556</v>
      </c>
      <c r="E3440" s="7" t="s">
        <v>13146</v>
      </c>
      <c r="F3440" s="8" t="s">
        <v>10161</v>
      </c>
      <c r="G3440" s="7">
        <v>140</v>
      </c>
      <c r="H3440" s="7" t="s">
        <v>10761</v>
      </c>
      <c r="I3440" s="7">
        <v>21</v>
      </c>
      <c r="J3440" s="7" t="s">
        <v>7790</v>
      </c>
      <c r="K3440" s="9" t="s">
        <v>8987</v>
      </c>
    </row>
    <row r="3441" spans="1:11">
      <c r="A3441" s="7">
        <v>3439</v>
      </c>
      <c r="B3441" s="7" t="s">
        <v>9174</v>
      </c>
      <c r="C3441" s="7" t="s">
        <v>9418</v>
      </c>
      <c r="D3441" s="7" t="s">
        <v>7556</v>
      </c>
      <c r="E3441" s="7" t="s">
        <v>13147</v>
      </c>
      <c r="F3441" s="8" t="s">
        <v>10161</v>
      </c>
      <c r="G3441" s="7">
        <v>160</v>
      </c>
      <c r="H3441" s="7" t="s">
        <v>12964</v>
      </c>
      <c r="I3441" s="7">
        <v>21</v>
      </c>
      <c r="J3441" s="7" t="s">
        <v>7791</v>
      </c>
      <c r="K3441" s="9" t="s">
        <v>8987</v>
      </c>
    </row>
    <row r="3442" spans="1:11">
      <c r="A3442" s="7">
        <v>3440</v>
      </c>
      <c r="B3442" s="7" t="s">
        <v>9174</v>
      </c>
      <c r="C3442" s="7" t="s">
        <v>9418</v>
      </c>
      <c r="D3442" s="7" t="s">
        <v>7556</v>
      </c>
      <c r="E3442" s="7" t="s">
        <v>13148</v>
      </c>
      <c r="F3442" s="8" t="s">
        <v>10161</v>
      </c>
      <c r="G3442" s="7">
        <v>180</v>
      </c>
      <c r="H3442" s="7" t="s">
        <v>9056</v>
      </c>
      <c r="I3442" s="7">
        <v>21</v>
      </c>
      <c r="J3442" s="7" t="s">
        <v>7792</v>
      </c>
      <c r="K3442" s="9" t="s">
        <v>8987</v>
      </c>
    </row>
    <row r="3443" spans="1:11">
      <c r="A3443" s="7">
        <v>3441</v>
      </c>
      <c r="B3443" s="7" t="s">
        <v>9174</v>
      </c>
      <c r="C3443" s="7" t="s">
        <v>9418</v>
      </c>
      <c r="D3443" s="7" t="s">
        <v>7556</v>
      </c>
      <c r="E3443" s="7" t="s">
        <v>13149</v>
      </c>
      <c r="F3443" s="8" t="s">
        <v>12071</v>
      </c>
      <c r="G3443" s="7">
        <v>117</v>
      </c>
      <c r="H3443" s="7" t="s">
        <v>13150</v>
      </c>
      <c r="I3443" s="7">
        <v>18</v>
      </c>
      <c r="J3443" s="7" t="s">
        <v>7810</v>
      </c>
      <c r="K3443" s="9" t="s">
        <v>8987</v>
      </c>
    </row>
    <row r="3444" spans="1:11">
      <c r="A3444" s="7">
        <v>3442</v>
      </c>
      <c r="B3444" s="7" t="s">
        <v>9174</v>
      </c>
      <c r="C3444" s="7" t="s">
        <v>9418</v>
      </c>
      <c r="D3444" s="7" t="s">
        <v>7556</v>
      </c>
      <c r="E3444" s="7" t="s">
        <v>13151</v>
      </c>
      <c r="F3444" s="8" t="s">
        <v>12071</v>
      </c>
      <c r="G3444" s="7">
        <v>134</v>
      </c>
      <c r="H3444" s="7" t="s">
        <v>12869</v>
      </c>
      <c r="I3444" s="7">
        <v>18</v>
      </c>
      <c r="J3444" s="7" t="s">
        <v>7811</v>
      </c>
      <c r="K3444" s="9" t="s">
        <v>8987</v>
      </c>
    </row>
    <row r="3445" spans="1:11">
      <c r="A3445" s="7">
        <v>3443</v>
      </c>
      <c r="B3445" s="7" t="s">
        <v>9174</v>
      </c>
      <c r="C3445" s="7" t="s">
        <v>9418</v>
      </c>
      <c r="D3445" s="7" t="s">
        <v>7556</v>
      </c>
      <c r="E3445" s="7" t="s">
        <v>13152</v>
      </c>
      <c r="F3445" s="8" t="s">
        <v>12071</v>
      </c>
      <c r="G3445" s="7">
        <v>150</v>
      </c>
      <c r="H3445" s="7" t="s">
        <v>9253</v>
      </c>
      <c r="I3445" s="7">
        <v>18</v>
      </c>
      <c r="J3445" s="7" t="s">
        <v>7812</v>
      </c>
      <c r="K3445" s="9" t="s">
        <v>8987</v>
      </c>
    </row>
    <row r="3446" spans="1:11">
      <c r="A3446" s="7">
        <v>3444</v>
      </c>
      <c r="B3446" s="7" t="s">
        <v>9174</v>
      </c>
      <c r="C3446" s="7" t="s">
        <v>9418</v>
      </c>
      <c r="D3446" s="7" t="s">
        <v>7556</v>
      </c>
      <c r="E3446" s="7" t="s">
        <v>13153</v>
      </c>
      <c r="F3446" s="8" t="s">
        <v>9735</v>
      </c>
      <c r="G3446" s="7">
        <v>147</v>
      </c>
      <c r="H3446" s="7" t="s">
        <v>13154</v>
      </c>
      <c r="I3446" s="7">
        <v>8</v>
      </c>
      <c r="J3446" s="7" t="s">
        <v>7813</v>
      </c>
      <c r="K3446" s="9" t="s">
        <v>8987</v>
      </c>
    </row>
    <row r="3447" spans="1:11">
      <c r="A3447" s="7">
        <v>3445</v>
      </c>
      <c r="B3447" s="7" t="s">
        <v>9174</v>
      </c>
      <c r="C3447" s="7" t="s">
        <v>9418</v>
      </c>
      <c r="D3447" s="7" t="s">
        <v>7556</v>
      </c>
      <c r="E3447" s="7" t="s">
        <v>13155</v>
      </c>
      <c r="F3447" s="8" t="s">
        <v>9735</v>
      </c>
      <c r="G3447" s="7">
        <v>154</v>
      </c>
      <c r="H3447" s="7" t="s">
        <v>13025</v>
      </c>
      <c r="I3447" s="7">
        <v>8</v>
      </c>
      <c r="J3447" s="7" t="s">
        <v>7814</v>
      </c>
      <c r="K3447" s="9" t="s">
        <v>8987</v>
      </c>
    </row>
    <row r="3448" spans="1:11">
      <c r="A3448" s="7">
        <v>3446</v>
      </c>
      <c r="B3448" s="7" t="s">
        <v>9174</v>
      </c>
      <c r="C3448" s="7" t="s">
        <v>9418</v>
      </c>
      <c r="D3448" s="7" t="s">
        <v>7556</v>
      </c>
      <c r="E3448" s="7" t="s">
        <v>13156</v>
      </c>
      <c r="F3448" s="8" t="s">
        <v>9735</v>
      </c>
      <c r="G3448" s="7">
        <v>160</v>
      </c>
      <c r="H3448" s="7" t="s">
        <v>12964</v>
      </c>
      <c r="I3448" s="7">
        <v>8</v>
      </c>
      <c r="J3448" s="7" t="s">
        <v>7815</v>
      </c>
      <c r="K3448" s="9" t="s">
        <v>8987</v>
      </c>
    </row>
    <row r="3449" spans="1:11">
      <c r="A3449" s="7">
        <v>3447</v>
      </c>
      <c r="B3449" s="7" t="s">
        <v>9174</v>
      </c>
      <c r="C3449" s="7" t="s">
        <v>9418</v>
      </c>
      <c r="D3449" s="7" t="s">
        <v>7556</v>
      </c>
      <c r="E3449" s="7" t="s">
        <v>13157</v>
      </c>
      <c r="F3449" s="8" t="s">
        <v>9735</v>
      </c>
      <c r="G3449" s="7">
        <v>147</v>
      </c>
      <c r="H3449" s="7" t="s">
        <v>13154</v>
      </c>
      <c r="I3449" s="7">
        <v>8</v>
      </c>
      <c r="J3449" s="7" t="s">
        <v>7813</v>
      </c>
      <c r="K3449" s="9" t="s">
        <v>8987</v>
      </c>
    </row>
    <row r="3450" spans="1:11">
      <c r="A3450" s="7">
        <v>3448</v>
      </c>
      <c r="B3450" s="7" t="s">
        <v>9174</v>
      </c>
      <c r="C3450" s="7" t="s">
        <v>9418</v>
      </c>
      <c r="D3450" s="7" t="s">
        <v>7556</v>
      </c>
      <c r="E3450" s="7" t="s">
        <v>13158</v>
      </c>
      <c r="F3450" s="8" t="s">
        <v>9735</v>
      </c>
      <c r="G3450" s="7">
        <v>154</v>
      </c>
      <c r="H3450" s="7" t="s">
        <v>13025</v>
      </c>
      <c r="I3450" s="7">
        <v>8</v>
      </c>
      <c r="J3450" s="7" t="s">
        <v>7814</v>
      </c>
      <c r="K3450" s="9" t="s">
        <v>8987</v>
      </c>
    </row>
    <row r="3451" spans="1:11">
      <c r="A3451" s="7">
        <v>3449</v>
      </c>
      <c r="B3451" s="7" t="s">
        <v>9174</v>
      </c>
      <c r="C3451" s="7" t="s">
        <v>9418</v>
      </c>
      <c r="D3451" s="7" t="s">
        <v>7556</v>
      </c>
      <c r="E3451" s="7" t="s">
        <v>13159</v>
      </c>
      <c r="F3451" s="8" t="s">
        <v>9735</v>
      </c>
      <c r="G3451" s="7">
        <v>160</v>
      </c>
      <c r="H3451" s="7" t="s">
        <v>12964</v>
      </c>
      <c r="I3451" s="7">
        <v>8</v>
      </c>
      <c r="J3451" s="7" t="s">
        <v>7815</v>
      </c>
      <c r="K3451" s="9" t="s">
        <v>8987</v>
      </c>
    </row>
    <row r="3452" spans="1:11">
      <c r="A3452" s="7">
        <v>3450</v>
      </c>
      <c r="B3452" s="7" t="s">
        <v>9174</v>
      </c>
      <c r="C3452" s="7" t="s">
        <v>9418</v>
      </c>
      <c r="D3452" s="7" t="s">
        <v>7556</v>
      </c>
      <c r="E3452" s="7" t="s">
        <v>13160</v>
      </c>
      <c r="F3452" s="8" t="s">
        <v>9067</v>
      </c>
      <c r="G3452" s="7">
        <v>35</v>
      </c>
      <c r="H3452" s="7" t="s">
        <v>9026</v>
      </c>
      <c r="I3452" s="7">
        <v>6</v>
      </c>
      <c r="J3452" s="7" t="s">
        <v>7816</v>
      </c>
      <c r="K3452" s="9" t="s">
        <v>8987</v>
      </c>
    </row>
    <row r="3453" spans="1:11">
      <c r="A3453" s="7">
        <v>3451</v>
      </c>
      <c r="B3453" s="7" t="s">
        <v>9174</v>
      </c>
      <c r="C3453" s="7" t="s">
        <v>9418</v>
      </c>
      <c r="D3453" s="7" t="s">
        <v>7556</v>
      </c>
      <c r="E3453" s="7" t="s">
        <v>13161</v>
      </c>
      <c r="F3453" s="8" t="s">
        <v>9067</v>
      </c>
      <c r="G3453" s="7">
        <v>38</v>
      </c>
      <c r="H3453" s="7" t="s">
        <v>11229</v>
      </c>
      <c r="I3453" s="7">
        <v>6</v>
      </c>
      <c r="J3453" s="7" t="s">
        <v>7817</v>
      </c>
      <c r="K3453" s="9" t="s">
        <v>8987</v>
      </c>
    </row>
    <row r="3454" spans="1:11">
      <c r="A3454" s="7">
        <v>3452</v>
      </c>
      <c r="B3454" s="7" t="s">
        <v>9174</v>
      </c>
      <c r="C3454" s="7" t="s">
        <v>9418</v>
      </c>
      <c r="D3454" s="7" t="s">
        <v>7556</v>
      </c>
      <c r="E3454" s="7" t="s">
        <v>13162</v>
      </c>
      <c r="F3454" s="8" t="s">
        <v>9067</v>
      </c>
      <c r="G3454" s="7">
        <v>45</v>
      </c>
      <c r="H3454" s="7" t="s">
        <v>9750</v>
      </c>
      <c r="I3454" s="7">
        <v>8</v>
      </c>
      <c r="J3454" s="7" t="s">
        <v>7818</v>
      </c>
      <c r="K3454" s="9" t="s">
        <v>8987</v>
      </c>
    </row>
    <row r="3455" spans="1:11">
      <c r="A3455" s="7">
        <v>3453</v>
      </c>
      <c r="B3455" s="7" t="s">
        <v>9174</v>
      </c>
      <c r="C3455" s="7" t="s">
        <v>9418</v>
      </c>
      <c r="D3455" s="7" t="s">
        <v>7556</v>
      </c>
      <c r="E3455" s="7" t="s">
        <v>13163</v>
      </c>
      <c r="F3455" s="8" t="s">
        <v>9069</v>
      </c>
      <c r="G3455" s="7">
        <v>35</v>
      </c>
      <c r="H3455" s="7" t="s">
        <v>9026</v>
      </c>
      <c r="I3455" s="7">
        <v>6</v>
      </c>
      <c r="J3455" s="7" t="s">
        <v>7816</v>
      </c>
      <c r="K3455" s="9" t="s">
        <v>8987</v>
      </c>
    </row>
    <row r="3456" spans="1:11">
      <c r="A3456" s="7">
        <v>3454</v>
      </c>
      <c r="B3456" s="7" t="s">
        <v>9174</v>
      </c>
      <c r="C3456" s="7" t="s">
        <v>9418</v>
      </c>
      <c r="D3456" s="7" t="s">
        <v>7556</v>
      </c>
      <c r="E3456" s="7" t="s">
        <v>13164</v>
      </c>
      <c r="F3456" s="8" t="s">
        <v>9069</v>
      </c>
      <c r="G3456" s="7">
        <v>38</v>
      </c>
      <c r="H3456" s="7" t="s">
        <v>11229</v>
      </c>
      <c r="I3456" s="7">
        <v>6</v>
      </c>
      <c r="J3456" s="7" t="s">
        <v>7817</v>
      </c>
      <c r="K3456" s="9" t="s">
        <v>8987</v>
      </c>
    </row>
    <row r="3457" spans="1:11">
      <c r="A3457" s="7">
        <v>3455</v>
      </c>
      <c r="B3457" s="7" t="s">
        <v>9174</v>
      </c>
      <c r="C3457" s="7" t="s">
        <v>9418</v>
      </c>
      <c r="D3457" s="7" t="s">
        <v>7556</v>
      </c>
      <c r="E3457" s="7" t="s">
        <v>13165</v>
      </c>
      <c r="F3457" s="8" t="s">
        <v>9069</v>
      </c>
      <c r="G3457" s="7">
        <v>45</v>
      </c>
      <c r="H3457" s="7" t="s">
        <v>9750</v>
      </c>
      <c r="I3457" s="7">
        <v>8</v>
      </c>
      <c r="J3457" s="7" t="s">
        <v>7818</v>
      </c>
      <c r="K3457" s="9" t="s">
        <v>8987</v>
      </c>
    </row>
    <row r="3458" spans="1:11">
      <c r="A3458" s="7">
        <v>3456</v>
      </c>
      <c r="B3458" s="7" t="s">
        <v>9174</v>
      </c>
      <c r="C3458" s="7" t="s">
        <v>9418</v>
      </c>
      <c r="D3458" s="7" t="s">
        <v>7556</v>
      </c>
      <c r="E3458" s="7" t="s">
        <v>13166</v>
      </c>
      <c r="F3458" s="8" t="s">
        <v>9071</v>
      </c>
      <c r="G3458" s="7">
        <v>35</v>
      </c>
      <c r="H3458" s="7" t="s">
        <v>9026</v>
      </c>
      <c r="I3458" s="7">
        <v>6</v>
      </c>
      <c r="J3458" s="7" t="s">
        <v>7816</v>
      </c>
      <c r="K3458" s="9" t="s">
        <v>8987</v>
      </c>
    </row>
    <row r="3459" spans="1:11">
      <c r="A3459" s="7">
        <v>3457</v>
      </c>
      <c r="B3459" s="7" t="s">
        <v>9174</v>
      </c>
      <c r="C3459" s="7" t="s">
        <v>9418</v>
      </c>
      <c r="D3459" s="7" t="s">
        <v>7556</v>
      </c>
      <c r="E3459" s="7" t="s">
        <v>13167</v>
      </c>
      <c r="F3459" s="8" t="s">
        <v>9071</v>
      </c>
      <c r="G3459" s="7">
        <v>38</v>
      </c>
      <c r="H3459" s="7" t="s">
        <v>11229</v>
      </c>
      <c r="I3459" s="7">
        <v>6</v>
      </c>
      <c r="J3459" s="7" t="s">
        <v>7817</v>
      </c>
      <c r="K3459" s="9" t="s">
        <v>8987</v>
      </c>
    </row>
    <row r="3460" spans="1:11">
      <c r="A3460" s="7">
        <v>3458</v>
      </c>
      <c r="B3460" s="7" t="s">
        <v>9174</v>
      </c>
      <c r="C3460" s="7" t="s">
        <v>9418</v>
      </c>
      <c r="D3460" s="7" t="s">
        <v>7556</v>
      </c>
      <c r="E3460" s="7" t="s">
        <v>13168</v>
      </c>
      <c r="F3460" s="8" t="s">
        <v>9071</v>
      </c>
      <c r="G3460" s="7">
        <v>45</v>
      </c>
      <c r="H3460" s="7" t="s">
        <v>9750</v>
      </c>
      <c r="I3460" s="7">
        <v>8</v>
      </c>
      <c r="J3460" s="7" t="s">
        <v>7818</v>
      </c>
      <c r="K3460" s="9" t="s">
        <v>8987</v>
      </c>
    </row>
    <row r="3461" spans="1:11">
      <c r="A3461" s="7">
        <v>3459</v>
      </c>
      <c r="B3461" s="7" t="s">
        <v>9174</v>
      </c>
      <c r="C3461" s="7" t="s">
        <v>9418</v>
      </c>
      <c r="D3461" s="7" t="s">
        <v>7556</v>
      </c>
      <c r="E3461" s="7" t="s">
        <v>13169</v>
      </c>
      <c r="F3461" s="8" t="s">
        <v>9563</v>
      </c>
      <c r="G3461" s="7">
        <v>35</v>
      </c>
      <c r="H3461" s="7" t="s">
        <v>9026</v>
      </c>
      <c r="I3461" s="7">
        <v>6</v>
      </c>
      <c r="J3461" s="7" t="s">
        <v>7816</v>
      </c>
      <c r="K3461" s="9" t="s">
        <v>8987</v>
      </c>
    </row>
    <row r="3462" spans="1:11">
      <c r="A3462" s="7">
        <v>3460</v>
      </c>
      <c r="B3462" s="7" t="s">
        <v>9174</v>
      </c>
      <c r="C3462" s="7" t="s">
        <v>9418</v>
      </c>
      <c r="D3462" s="7" t="s">
        <v>7556</v>
      </c>
      <c r="E3462" s="7" t="s">
        <v>13170</v>
      </c>
      <c r="F3462" s="8" t="s">
        <v>9563</v>
      </c>
      <c r="G3462" s="7">
        <v>38</v>
      </c>
      <c r="H3462" s="7" t="s">
        <v>11229</v>
      </c>
      <c r="I3462" s="7">
        <v>6</v>
      </c>
      <c r="J3462" s="7" t="s">
        <v>7817</v>
      </c>
      <c r="K3462" s="9" t="s">
        <v>8987</v>
      </c>
    </row>
    <row r="3463" spans="1:11">
      <c r="A3463" s="7">
        <v>3461</v>
      </c>
      <c r="B3463" s="7" t="s">
        <v>9174</v>
      </c>
      <c r="C3463" s="7" t="s">
        <v>9418</v>
      </c>
      <c r="D3463" s="7" t="s">
        <v>7556</v>
      </c>
      <c r="E3463" s="7" t="s">
        <v>13171</v>
      </c>
      <c r="F3463" s="8" t="s">
        <v>9563</v>
      </c>
      <c r="G3463" s="7">
        <v>45</v>
      </c>
      <c r="H3463" s="7" t="s">
        <v>9750</v>
      </c>
      <c r="I3463" s="7">
        <v>8</v>
      </c>
      <c r="J3463" s="7" t="s">
        <v>7818</v>
      </c>
      <c r="K3463" s="9" t="s">
        <v>8987</v>
      </c>
    </row>
    <row r="3464" spans="1:11">
      <c r="A3464" s="7">
        <v>3462</v>
      </c>
      <c r="B3464" s="7" t="s">
        <v>9174</v>
      </c>
      <c r="C3464" s="7" t="s">
        <v>9418</v>
      </c>
      <c r="D3464" s="7" t="s">
        <v>7548</v>
      </c>
      <c r="E3464" s="7" t="s">
        <v>13172</v>
      </c>
      <c r="F3464" s="8" t="s">
        <v>10244</v>
      </c>
      <c r="G3464" s="7">
        <v>85</v>
      </c>
      <c r="H3464" s="7" t="s">
        <v>12983</v>
      </c>
      <c r="I3464" s="7">
        <v>9</v>
      </c>
      <c r="J3464" s="7" t="s">
        <v>7710</v>
      </c>
      <c r="K3464" s="9" t="s">
        <v>8987</v>
      </c>
    </row>
    <row r="3465" spans="1:11">
      <c r="A3465" s="7">
        <v>3463</v>
      </c>
      <c r="B3465" s="7" t="s">
        <v>9174</v>
      </c>
      <c r="C3465" s="7" t="s">
        <v>9418</v>
      </c>
      <c r="D3465" s="7" t="s">
        <v>7548</v>
      </c>
      <c r="E3465" s="7" t="s">
        <v>13173</v>
      </c>
      <c r="F3465" s="8" t="s">
        <v>10244</v>
      </c>
      <c r="G3465" s="7">
        <v>93</v>
      </c>
      <c r="H3465" s="7" t="s">
        <v>13174</v>
      </c>
      <c r="I3465" s="7">
        <v>9</v>
      </c>
      <c r="J3465" s="7" t="s">
        <v>7711</v>
      </c>
      <c r="K3465" s="9" t="s">
        <v>8987</v>
      </c>
    </row>
    <row r="3466" spans="1:11">
      <c r="A3466" s="7">
        <v>3464</v>
      </c>
      <c r="B3466" s="7" t="s">
        <v>9174</v>
      </c>
      <c r="C3466" s="7" t="s">
        <v>9418</v>
      </c>
      <c r="D3466" s="7" t="s">
        <v>7548</v>
      </c>
      <c r="E3466" s="7" t="s">
        <v>13175</v>
      </c>
      <c r="F3466" s="8" t="s">
        <v>10244</v>
      </c>
      <c r="G3466" s="7">
        <v>99</v>
      </c>
      <c r="H3466" s="7" t="s">
        <v>9374</v>
      </c>
      <c r="I3466" s="7">
        <v>9</v>
      </c>
      <c r="J3466" s="7" t="s">
        <v>9377</v>
      </c>
      <c r="K3466" s="9" t="s">
        <v>8987</v>
      </c>
    </row>
    <row r="3467" spans="1:11">
      <c r="A3467" s="7">
        <v>3465</v>
      </c>
      <c r="B3467" s="7" t="s">
        <v>9174</v>
      </c>
      <c r="C3467" s="7" t="s">
        <v>9418</v>
      </c>
      <c r="D3467" s="7" t="s">
        <v>7548</v>
      </c>
      <c r="E3467" s="7" t="s">
        <v>13176</v>
      </c>
      <c r="F3467" s="8" t="s">
        <v>10252</v>
      </c>
      <c r="G3467" s="7">
        <v>114</v>
      </c>
      <c r="H3467" s="7" t="s">
        <v>13019</v>
      </c>
      <c r="I3467" s="7">
        <v>13</v>
      </c>
      <c r="J3467" s="7" t="s">
        <v>7712</v>
      </c>
      <c r="K3467" s="9" t="s">
        <v>8987</v>
      </c>
    </row>
    <row r="3468" spans="1:11">
      <c r="A3468" s="7">
        <v>3466</v>
      </c>
      <c r="B3468" s="7" t="s">
        <v>9174</v>
      </c>
      <c r="C3468" s="7" t="s">
        <v>9418</v>
      </c>
      <c r="D3468" s="7" t="s">
        <v>7548</v>
      </c>
      <c r="E3468" s="7" t="s">
        <v>13177</v>
      </c>
      <c r="F3468" s="8" t="s">
        <v>10252</v>
      </c>
      <c r="G3468" s="7">
        <v>126</v>
      </c>
      <c r="H3468" s="7" t="s">
        <v>12973</v>
      </c>
      <c r="I3468" s="7">
        <v>13</v>
      </c>
      <c r="J3468" s="7" t="s">
        <v>7713</v>
      </c>
      <c r="K3468" s="9" t="s">
        <v>8987</v>
      </c>
    </row>
    <row r="3469" spans="1:11">
      <c r="A3469" s="7">
        <v>3467</v>
      </c>
      <c r="B3469" s="7" t="s">
        <v>9174</v>
      </c>
      <c r="C3469" s="7" t="s">
        <v>9418</v>
      </c>
      <c r="D3469" s="7" t="s">
        <v>7548</v>
      </c>
      <c r="E3469" s="7" t="s">
        <v>13178</v>
      </c>
      <c r="F3469" s="8" t="s">
        <v>10252</v>
      </c>
      <c r="G3469" s="7">
        <v>138</v>
      </c>
      <c r="H3469" s="7" t="s">
        <v>13022</v>
      </c>
      <c r="I3469" s="7">
        <v>13</v>
      </c>
      <c r="J3469" s="7" t="s">
        <v>7714</v>
      </c>
      <c r="K3469" s="9" t="s">
        <v>8987</v>
      </c>
    </row>
    <row r="3470" spans="1:11">
      <c r="A3470" s="7">
        <v>3468</v>
      </c>
      <c r="B3470" s="7" t="s">
        <v>11164</v>
      </c>
      <c r="C3470" s="7" t="s">
        <v>9418</v>
      </c>
      <c r="D3470" s="7" t="s">
        <v>7548</v>
      </c>
      <c r="E3470" s="7" t="s">
        <v>13179</v>
      </c>
      <c r="F3470" s="8" t="s">
        <v>11036</v>
      </c>
      <c r="G3470" s="7">
        <v>16</v>
      </c>
      <c r="H3470" s="7" t="s">
        <v>9215</v>
      </c>
      <c r="I3470" s="7">
        <v>2</v>
      </c>
      <c r="J3470" s="7" t="s">
        <v>7715</v>
      </c>
      <c r="K3470" s="9" t="s">
        <v>8987</v>
      </c>
    </row>
    <row r="3471" spans="1:11">
      <c r="A3471" s="7">
        <v>3469</v>
      </c>
      <c r="B3471" s="7" t="s">
        <v>11164</v>
      </c>
      <c r="C3471" s="7" t="s">
        <v>9418</v>
      </c>
      <c r="D3471" s="7" t="s">
        <v>7548</v>
      </c>
      <c r="E3471" s="7" t="s">
        <v>13180</v>
      </c>
      <c r="F3471" s="8" t="s">
        <v>11036</v>
      </c>
      <c r="G3471" s="7">
        <v>18</v>
      </c>
      <c r="H3471" s="7" t="s">
        <v>9422</v>
      </c>
      <c r="I3471" s="7">
        <v>2</v>
      </c>
      <c r="J3471" s="7" t="s">
        <v>7716</v>
      </c>
      <c r="K3471" s="9" t="s">
        <v>8987</v>
      </c>
    </row>
    <row r="3472" spans="1:11">
      <c r="A3472" s="7">
        <v>3470</v>
      </c>
      <c r="B3472" s="7" t="s">
        <v>11164</v>
      </c>
      <c r="C3472" s="7" t="s">
        <v>9418</v>
      </c>
      <c r="D3472" s="7" t="s">
        <v>7548</v>
      </c>
      <c r="E3472" s="7" t="s">
        <v>13181</v>
      </c>
      <c r="F3472" s="8" t="s">
        <v>11036</v>
      </c>
      <c r="G3472" s="7">
        <v>19</v>
      </c>
      <c r="H3472" s="7" t="s">
        <v>10462</v>
      </c>
      <c r="I3472" s="7">
        <v>2</v>
      </c>
      <c r="J3472" s="7" t="s">
        <v>7717</v>
      </c>
      <c r="K3472" s="9" t="s">
        <v>8987</v>
      </c>
    </row>
    <row r="3473" spans="1:11">
      <c r="A3473" s="7">
        <v>3471</v>
      </c>
      <c r="B3473" s="7" t="s">
        <v>9088</v>
      </c>
      <c r="C3473" s="7" t="s">
        <v>9418</v>
      </c>
      <c r="D3473" s="7" t="s">
        <v>7548</v>
      </c>
      <c r="E3473" s="7" t="s">
        <v>13182</v>
      </c>
      <c r="F3473" s="8" t="s">
        <v>11034</v>
      </c>
      <c r="G3473" s="7">
        <v>16</v>
      </c>
      <c r="H3473" s="7" t="s">
        <v>9215</v>
      </c>
      <c r="I3473" s="7">
        <v>2</v>
      </c>
      <c r="J3473" s="7" t="s">
        <v>7715</v>
      </c>
      <c r="K3473" s="9" t="s">
        <v>8987</v>
      </c>
    </row>
    <row r="3474" spans="1:11">
      <c r="A3474" s="7">
        <v>3472</v>
      </c>
      <c r="B3474" s="7" t="s">
        <v>9088</v>
      </c>
      <c r="C3474" s="7" t="s">
        <v>9418</v>
      </c>
      <c r="D3474" s="7" t="s">
        <v>7548</v>
      </c>
      <c r="E3474" s="7" t="s">
        <v>13183</v>
      </c>
      <c r="F3474" s="8" t="s">
        <v>11034</v>
      </c>
      <c r="G3474" s="7">
        <v>18</v>
      </c>
      <c r="H3474" s="7" t="s">
        <v>9422</v>
      </c>
      <c r="I3474" s="7">
        <v>2</v>
      </c>
      <c r="J3474" s="7" t="s">
        <v>7716</v>
      </c>
      <c r="K3474" s="9" t="s">
        <v>8987</v>
      </c>
    </row>
    <row r="3475" spans="1:11">
      <c r="A3475" s="7">
        <v>3473</v>
      </c>
      <c r="B3475" s="7" t="s">
        <v>9088</v>
      </c>
      <c r="C3475" s="7" t="s">
        <v>9418</v>
      </c>
      <c r="D3475" s="7" t="s">
        <v>7548</v>
      </c>
      <c r="E3475" s="7" t="s">
        <v>13184</v>
      </c>
      <c r="F3475" s="8" t="s">
        <v>11034</v>
      </c>
      <c r="G3475" s="7">
        <v>19</v>
      </c>
      <c r="H3475" s="7" t="s">
        <v>10462</v>
      </c>
      <c r="I3475" s="7">
        <v>2</v>
      </c>
      <c r="J3475" s="7" t="s">
        <v>7717</v>
      </c>
      <c r="K3475" s="9" t="s">
        <v>8987</v>
      </c>
    </row>
    <row r="3476" spans="1:11">
      <c r="A3476" s="7">
        <v>3474</v>
      </c>
      <c r="B3476" s="7" t="s">
        <v>9174</v>
      </c>
      <c r="C3476" s="7" t="s">
        <v>9418</v>
      </c>
      <c r="D3476" s="7" t="s">
        <v>7548</v>
      </c>
      <c r="E3476" s="7" t="s">
        <v>13185</v>
      </c>
      <c r="F3476" s="8" t="s">
        <v>10281</v>
      </c>
      <c r="G3476" s="7">
        <v>10</v>
      </c>
      <c r="H3476" s="7" t="s">
        <v>9292</v>
      </c>
      <c r="I3476" s="7">
        <v>3</v>
      </c>
      <c r="J3476" s="7" t="s">
        <v>7718</v>
      </c>
      <c r="K3476" s="9" t="s">
        <v>8987</v>
      </c>
    </row>
    <row r="3477" spans="1:11">
      <c r="A3477" s="7">
        <v>3475</v>
      </c>
      <c r="B3477" s="7" t="s">
        <v>9174</v>
      </c>
      <c r="C3477" s="7" t="s">
        <v>9418</v>
      </c>
      <c r="D3477" s="7" t="s">
        <v>7548</v>
      </c>
      <c r="E3477" s="7" t="s">
        <v>13186</v>
      </c>
      <c r="F3477" s="8" t="s">
        <v>10281</v>
      </c>
      <c r="G3477" s="7">
        <v>11</v>
      </c>
      <c r="H3477" s="7" t="s">
        <v>9386</v>
      </c>
      <c r="I3477" s="7">
        <v>2</v>
      </c>
      <c r="J3477" s="7" t="s">
        <v>7719</v>
      </c>
      <c r="K3477" s="9" t="s">
        <v>8987</v>
      </c>
    </row>
    <row r="3478" spans="1:11">
      <c r="A3478" s="7">
        <v>3476</v>
      </c>
      <c r="B3478" s="7" t="s">
        <v>9174</v>
      </c>
      <c r="C3478" s="7" t="s">
        <v>9418</v>
      </c>
      <c r="D3478" s="7" t="s">
        <v>7548</v>
      </c>
      <c r="E3478" s="7" t="s">
        <v>13187</v>
      </c>
      <c r="F3478" s="8" t="s">
        <v>10281</v>
      </c>
      <c r="G3478" s="7">
        <v>12</v>
      </c>
      <c r="H3478" s="7" t="s">
        <v>9213</v>
      </c>
      <c r="I3478" s="7">
        <v>3</v>
      </c>
      <c r="J3478" s="7" t="s">
        <v>7720</v>
      </c>
      <c r="K3478" s="9" t="s">
        <v>8987</v>
      </c>
    </row>
    <row r="3479" spans="1:11">
      <c r="A3479" s="7">
        <v>3477</v>
      </c>
      <c r="B3479" s="7" t="s">
        <v>11105</v>
      </c>
      <c r="C3479" s="7" t="s">
        <v>8998</v>
      </c>
      <c r="D3479" s="7" t="s">
        <v>7553</v>
      </c>
      <c r="E3479" s="7" t="s">
        <v>13188</v>
      </c>
      <c r="F3479" s="8" t="s">
        <v>9360</v>
      </c>
      <c r="G3479" s="7">
        <v>75</v>
      </c>
      <c r="H3479" s="7" t="s">
        <v>9265</v>
      </c>
      <c r="I3479" s="7">
        <v>1</v>
      </c>
      <c r="J3479" s="7">
        <v>75</v>
      </c>
      <c r="K3479" s="9" t="s">
        <v>8987</v>
      </c>
    </row>
    <row r="3480" spans="1:11">
      <c r="A3480" s="7">
        <v>3478</v>
      </c>
      <c r="B3480" s="7" t="s">
        <v>11105</v>
      </c>
      <c r="C3480" s="7" t="s">
        <v>8998</v>
      </c>
      <c r="D3480" s="7" t="s">
        <v>7546</v>
      </c>
      <c r="E3480" s="7" t="s">
        <v>13189</v>
      </c>
      <c r="F3480" s="8" t="s">
        <v>7894</v>
      </c>
      <c r="G3480" s="7">
        <v>8</v>
      </c>
      <c r="H3480" s="7" t="s">
        <v>8991</v>
      </c>
      <c r="I3480" s="7">
        <v>1</v>
      </c>
      <c r="J3480" s="7" t="s">
        <v>7764</v>
      </c>
      <c r="K3480" s="9" t="s">
        <v>8987</v>
      </c>
    </row>
    <row r="3481" spans="1:11">
      <c r="A3481" s="7">
        <v>3479</v>
      </c>
      <c r="B3481" s="7" t="s">
        <v>11105</v>
      </c>
      <c r="C3481" s="7" t="s">
        <v>8998</v>
      </c>
      <c r="D3481" s="7" t="s">
        <v>7546</v>
      </c>
      <c r="E3481" s="7" t="s">
        <v>7195</v>
      </c>
      <c r="F3481" s="8" t="s">
        <v>9226</v>
      </c>
      <c r="G3481" s="7">
        <v>40</v>
      </c>
      <c r="H3481" s="7" t="s">
        <v>9003</v>
      </c>
      <c r="I3481" s="7">
        <v>1</v>
      </c>
      <c r="J3481" s="7" t="s">
        <v>7860</v>
      </c>
      <c r="K3481" s="9" t="s">
        <v>8987</v>
      </c>
    </row>
    <row r="3482" spans="1:11">
      <c r="A3482" s="7">
        <v>3480</v>
      </c>
      <c r="B3482" s="7" t="s">
        <v>11105</v>
      </c>
      <c r="C3482" s="7" t="s">
        <v>8998</v>
      </c>
      <c r="D3482" s="7" t="s">
        <v>7552</v>
      </c>
      <c r="E3482" s="7" t="s">
        <v>13190</v>
      </c>
      <c r="F3482" s="8" t="s">
        <v>9450</v>
      </c>
      <c r="G3482" s="7">
        <v>25</v>
      </c>
      <c r="H3482" s="7" t="s">
        <v>9011</v>
      </c>
      <c r="I3482" s="7">
        <v>1</v>
      </c>
      <c r="J3482" s="7" t="s">
        <v>7840</v>
      </c>
      <c r="K3482" s="9" t="s">
        <v>8987</v>
      </c>
    </row>
    <row r="3483" spans="1:11">
      <c r="A3483" s="7">
        <v>3481</v>
      </c>
      <c r="B3483" s="7" t="s">
        <v>11105</v>
      </c>
      <c r="C3483" s="7" t="s">
        <v>8998</v>
      </c>
      <c r="D3483" s="7" t="s">
        <v>7552</v>
      </c>
      <c r="E3483" s="7" t="s">
        <v>13191</v>
      </c>
      <c r="F3483" s="8" t="s">
        <v>10102</v>
      </c>
      <c r="G3483" s="7">
        <v>35</v>
      </c>
      <c r="H3483" s="7" t="s">
        <v>9026</v>
      </c>
      <c r="I3483" s="7">
        <v>1</v>
      </c>
      <c r="J3483" s="7" t="s">
        <v>7868</v>
      </c>
      <c r="K3483" s="9" t="s">
        <v>8987</v>
      </c>
    </row>
    <row r="3484" spans="1:11">
      <c r="A3484" s="7">
        <v>3482</v>
      </c>
      <c r="B3484" s="7" t="s">
        <v>11105</v>
      </c>
      <c r="C3484" s="7" t="s">
        <v>8998</v>
      </c>
      <c r="D3484" s="7" t="s">
        <v>7546</v>
      </c>
      <c r="E3484" s="7" t="s">
        <v>13192</v>
      </c>
      <c r="F3484" s="8" t="s">
        <v>9094</v>
      </c>
      <c r="G3484" s="7">
        <v>40</v>
      </c>
      <c r="H3484" s="7" t="s">
        <v>9003</v>
      </c>
      <c r="I3484" s="7">
        <v>1</v>
      </c>
      <c r="J3484" s="7" t="s">
        <v>7860</v>
      </c>
      <c r="K3484" s="9" t="s">
        <v>8987</v>
      </c>
    </row>
    <row r="3485" spans="1:11">
      <c r="A3485" s="7">
        <v>3483</v>
      </c>
      <c r="B3485" s="7" t="s">
        <v>11105</v>
      </c>
      <c r="C3485" s="7" t="s">
        <v>8998</v>
      </c>
      <c r="D3485" s="7" t="s">
        <v>7550</v>
      </c>
      <c r="E3485" s="7" t="s">
        <v>13193</v>
      </c>
      <c r="F3485" s="8" t="s">
        <v>10308</v>
      </c>
      <c r="G3485" s="7">
        <v>45</v>
      </c>
      <c r="H3485" s="7" t="s">
        <v>9750</v>
      </c>
      <c r="I3485" s="7">
        <v>1</v>
      </c>
      <c r="J3485" s="7" t="s">
        <v>7880</v>
      </c>
      <c r="K3485" s="9" t="s">
        <v>8987</v>
      </c>
    </row>
    <row r="3486" spans="1:11">
      <c r="A3486" s="7">
        <v>3484</v>
      </c>
      <c r="B3486" s="7" t="s">
        <v>11105</v>
      </c>
      <c r="C3486" s="7" t="s">
        <v>8998</v>
      </c>
      <c r="D3486" s="7" t="s">
        <v>7550</v>
      </c>
      <c r="E3486" s="7" t="s">
        <v>13194</v>
      </c>
      <c r="F3486" s="8" t="s">
        <v>9669</v>
      </c>
      <c r="G3486" s="7">
        <v>25</v>
      </c>
      <c r="H3486" s="7" t="s">
        <v>9011</v>
      </c>
      <c r="I3486" s="7">
        <v>1</v>
      </c>
      <c r="J3486" s="7" t="s">
        <v>7840</v>
      </c>
      <c r="K3486" s="9" t="s">
        <v>8987</v>
      </c>
    </row>
    <row r="3487" spans="1:11">
      <c r="A3487" s="7">
        <v>3485</v>
      </c>
      <c r="B3487" s="7" t="s">
        <v>11105</v>
      </c>
      <c r="C3487" s="7" t="s">
        <v>8998</v>
      </c>
      <c r="D3487" s="7" t="s">
        <v>7550</v>
      </c>
      <c r="E3487" s="7" t="s">
        <v>13195</v>
      </c>
      <c r="F3487" s="8" t="s">
        <v>9436</v>
      </c>
      <c r="G3487" s="7">
        <v>35</v>
      </c>
      <c r="H3487" s="7" t="s">
        <v>9026</v>
      </c>
      <c r="I3487" s="7">
        <v>1</v>
      </c>
      <c r="J3487" s="7" t="s">
        <v>7868</v>
      </c>
      <c r="K3487" s="9" t="s">
        <v>8987</v>
      </c>
    </row>
    <row r="3488" spans="1:11">
      <c r="A3488" s="7">
        <v>3486</v>
      </c>
      <c r="B3488" s="7" t="s">
        <v>11105</v>
      </c>
      <c r="C3488" s="7" t="s">
        <v>8998</v>
      </c>
      <c r="D3488" s="7" t="s">
        <v>7550</v>
      </c>
      <c r="E3488" s="7" t="s">
        <v>13196</v>
      </c>
      <c r="F3488" s="8" t="s">
        <v>10296</v>
      </c>
      <c r="G3488" s="7">
        <v>50</v>
      </c>
      <c r="H3488" s="7" t="s">
        <v>9021</v>
      </c>
      <c r="I3488" s="7">
        <v>1</v>
      </c>
      <c r="J3488" s="7" t="s">
        <v>7881</v>
      </c>
      <c r="K3488" s="9" t="s">
        <v>8987</v>
      </c>
    </row>
    <row r="3489" spans="1:11">
      <c r="A3489" s="7">
        <v>3487</v>
      </c>
      <c r="B3489" s="7" t="s">
        <v>11105</v>
      </c>
      <c r="C3489" s="7" t="s">
        <v>8998</v>
      </c>
      <c r="D3489" s="7" t="s">
        <v>7573</v>
      </c>
      <c r="E3489" s="7" t="s">
        <v>13197</v>
      </c>
      <c r="F3489" s="8" t="s">
        <v>10057</v>
      </c>
      <c r="G3489" s="7">
        <v>0</v>
      </c>
      <c r="H3489" s="7" t="s">
        <v>8984</v>
      </c>
      <c r="I3489" s="7">
        <v>1</v>
      </c>
      <c r="J3489" s="7" t="s">
        <v>7838</v>
      </c>
      <c r="K3489" s="9" t="s">
        <v>8987</v>
      </c>
    </row>
    <row r="3490" spans="1:11">
      <c r="A3490" s="7">
        <v>3488</v>
      </c>
      <c r="B3490" s="7" t="s">
        <v>11105</v>
      </c>
      <c r="C3490" s="7" t="s">
        <v>8998</v>
      </c>
      <c r="D3490" s="7" t="s">
        <v>7573</v>
      </c>
      <c r="E3490" s="7" t="s">
        <v>13198</v>
      </c>
      <c r="F3490" s="8" t="s">
        <v>9798</v>
      </c>
      <c r="G3490" s="7">
        <v>0</v>
      </c>
      <c r="H3490" s="7" t="s">
        <v>8984</v>
      </c>
      <c r="I3490" s="7">
        <v>1</v>
      </c>
      <c r="J3490" s="7" t="s">
        <v>7838</v>
      </c>
      <c r="K3490" s="9" t="s">
        <v>8987</v>
      </c>
    </row>
    <row r="3491" spans="1:11">
      <c r="A3491" s="7">
        <v>3489</v>
      </c>
      <c r="B3491" s="7" t="s">
        <v>11105</v>
      </c>
      <c r="C3491" s="7" t="s">
        <v>8998</v>
      </c>
      <c r="D3491" s="7" t="s">
        <v>7573</v>
      </c>
      <c r="E3491" s="7" t="s">
        <v>13199</v>
      </c>
      <c r="F3491" s="8" t="s">
        <v>9812</v>
      </c>
      <c r="G3491" s="7">
        <v>0</v>
      </c>
      <c r="H3491" s="7" t="s">
        <v>8984</v>
      </c>
      <c r="I3491" s="7">
        <v>1</v>
      </c>
      <c r="J3491" s="7" t="s">
        <v>7838</v>
      </c>
      <c r="K3491" s="9" t="s">
        <v>8987</v>
      </c>
    </row>
    <row r="3492" spans="1:11">
      <c r="A3492" s="7">
        <v>3490</v>
      </c>
      <c r="B3492" s="7" t="s">
        <v>11105</v>
      </c>
      <c r="C3492" s="7" t="s">
        <v>8998</v>
      </c>
      <c r="D3492" s="7" t="s">
        <v>7573</v>
      </c>
      <c r="E3492" s="7" t="s">
        <v>13200</v>
      </c>
      <c r="F3492" s="8" t="s">
        <v>9173</v>
      </c>
      <c r="G3492" s="7">
        <v>10</v>
      </c>
      <c r="H3492" s="7" t="s">
        <v>9292</v>
      </c>
      <c r="I3492" s="7">
        <v>1</v>
      </c>
      <c r="J3492" s="7" t="s">
        <v>7768</v>
      </c>
      <c r="K3492" s="9" t="s">
        <v>8987</v>
      </c>
    </row>
    <row r="3493" spans="1:11">
      <c r="A3493" s="7">
        <v>3491</v>
      </c>
      <c r="B3493" s="7" t="s">
        <v>11105</v>
      </c>
      <c r="C3493" s="7" t="s">
        <v>8998</v>
      </c>
      <c r="D3493" s="7" t="s">
        <v>7573</v>
      </c>
      <c r="E3493" s="7" t="s">
        <v>13201</v>
      </c>
      <c r="F3493" s="8" t="s">
        <v>9264</v>
      </c>
      <c r="G3493" s="7">
        <v>35</v>
      </c>
      <c r="H3493" s="7" t="s">
        <v>9026</v>
      </c>
      <c r="I3493" s="7">
        <v>1</v>
      </c>
      <c r="J3493" s="7" t="s">
        <v>7868</v>
      </c>
      <c r="K3493" s="9" t="s">
        <v>8987</v>
      </c>
    </row>
    <row r="3494" spans="1:11">
      <c r="A3494" s="7">
        <v>3492</v>
      </c>
      <c r="B3494" s="7" t="s">
        <v>11105</v>
      </c>
      <c r="C3494" s="7" t="s">
        <v>8998</v>
      </c>
      <c r="D3494" s="7" t="s">
        <v>7573</v>
      </c>
      <c r="E3494" s="7" t="s">
        <v>13202</v>
      </c>
      <c r="F3494" s="8" t="s">
        <v>11016</v>
      </c>
      <c r="G3494" s="7">
        <v>30</v>
      </c>
      <c r="H3494" s="7" t="s">
        <v>9015</v>
      </c>
      <c r="I3494" s="7">
        <v>1</v>
      </c>
      <c r="J3494" s="7" t="s">
        <v>7855</v>
      </c>
      <c r="K3494" s="9" t="s">
        <v>8987</v>
      </c>
    </row>
    <row r="3495" spans="1:11">
      <c r="A3495" s="7">
        <v>3493</v>
      </c>
      <c r="B3495" s="7" t="s">
        <v>11105</v>
      </c>
      <c r="C3495" s="7" t="s">
        <v>8998</v>
      </c>
      <c r="D3495" s="7" t="s">
        <v>7573</v>
      </c>
      <c r="E3495" s="7" t="s">
        <v>13203</v>
      </c>
      <c r="F3495" s="8" t="s">
        <v>10172</v>
      </c>
      <c r="G3495" s="7">
        <v>20</v>
      </c>
      <c r="H3495" s="7" t="s">
        <v>9394</v>
      </c>
      <c r="I3495" s="7">
        <v>1</v>
      </c>
      <c r="J3495" s="7" t="s">
        <v>7851</v>
      </c>
      <c r="K3495" s="9" t="s">
        <v>8987</v>
      </c>
    </row>
    <row r="3496" spans="1:11">
      <c r="A3496" s="7">
        <v>3494</v>
      </c>
      <c r="B3496" s="7" t="s">
        <v>11105</v>
      </c>
      <c r="C3496" s="7" t="s">
        <v>8998</v>
      </c>
      <c r="D3496" s="7" t="s">
        <v>7542</v>
      </c>
      <c r="E3496" s="7" t="s">
        <v>13204</v>
      </c>
      <c r="F3496" s="8" t="s">
        <v>9010</v>
      </c>
      <c r="G3496" s="7">
        <v>30</v>
      </c>
      <c r="H3496" s="7" t="s">
        <v>9015</v>
      </c>
      <c r="I3496" s="7">
        <v>1</v>
      </c>
      <c r="J3496" s="7" t="s">
        <v>7855</v>
      </c>
      <c r="K3496" s="9" t="s">
        <v>8987</v>
      </c>
    </row>
    <row r="3497" spans="1:11">
      <c r="A3497" s="7">
        <v>3495</v>
      </c>
      <c r="B3497" s="7" t="s">
        <v>11105</v>
      </c>
      <c r="C3497" s="7" t="s">
        <v>8998</v>
      </c>
      <c r="D3497" s="7" t="s">
        <v>7542</v>
      </c>
      <c r="E3497" s="7" t="s">
        <v>13205</v>
      </c>
      <c r="F3497" s="8" t="s">
        <v>9014</v>
      </c>
      <c r="G3497" s="7">
        <v>28</v>
      </c>
      <c r="H3497" s="7" t="s">
        <v>10468</v>
      </c>
      <c r="I3497" s="7">
        <v>1</v>
      </c>
      <c r="J3497" s="7" t="s">
        <v>7844</v>
      </c>
      <c r="K3497" s="9" t="s">
        <v>8987</v>
      </c>
    </row>
    <row r="3498" spans="1:11">
      <c r="A3498" s="7">
        <v>3496</v>
      </c>
      <c r="B3498" s="7" t="s">
        <v>11105</v>
      </c>
      <c r="C3498" s="7" t="s">
        <v>8998</v>
      </c>
      <c r="D3498" s="7" t="s">
        <v>7542</v>
      </c>
      <c r="E3498" s="7" t="s">
        <v>13206</v>
      </c>
      <c r="F3498" s="8" t="s">
        <v>9145</v>
      </c>
      <c r="G3498" s="7">
        <v>20</v>
      </c>
      <c r="H3498" s="7" t="s">
        <v>9394</v>
      </c>
      <c r="I3498" s="7">
        <v>1</v>
      </c>
      <c r="J3498" s="7" t="s">
        <v>7851</v>
      </c>
      <c r="K3498" s="9" t="s">
        <v>8987</v>
      </c>
    </row>
    <row r="3499" spans="1:11">
      <c r="A3499" s="7">
        <v>3497</v>
      </c>
      <c r="B3499" s="7" t="s">
        <v>11105</v>
      </c>
      <c r="C3499" s="7" t="s">
        <v>8998</v>
      </c>
      <c r="D3499" s="7" t="s">
        <v>7542</v>
      </c>
      <c r="E3499" s="7" t="s">
        <v>13207</v>
      </c>
      <c r="F3499" s="8" t="s">
        <v>9152</v>
      </c>
      <c r="G3499" s="7">
        <v>57</v>
      </c>
      <c r="H3499" s="7" t="s">
        <v>11747</v>
      </c>
      <c r="I3499" s="7">
        <v>1</v>
      </c>
      <c r="J3499" s="7" t="s">
        <v>7843</v>
      </c>
      <c r="K3499" s="9" t="s">
        <v>8987</v>
      </c>
    </row>
    <row r="3500" spans="1:11">
      <c r="A3500" s="7">
        <v>3498</v>
      </c>
      <c r="B3500" s="7" t="s">
        <v>11105</v>
      </c>
      <c r="C3500" s="7" t="s">
        <v>8998</v>
      </c>
      <c r="D3500" s="7" t="s">
        <v>7542</v>
      </c>
      <c r="E3500" s="7" t="s">
        <v>13208</v>
      </c>
      <c r="F3500" s="8" t="s">
        <v>9864</v>
      </c>
      <c r="G3500" s="7">
        <v>38</v>
      </c>
      <c r="H3500" s="7" t="s">
        <v>11229</v>
      </c>
      <c r="I3500" s="7">
        <v>1</v>
      </c>
      <c r="J3500" s="7" t="s">
        <v>7847</v>
      </c>
      <c r="K3500" s="9" t="s">
        <v>8987</v>
      </c>
    </row>
    <row r="3501" spans="1:11">
      <c r="A3501" s="7">
        <v>3499</v>
      </c>
      <c r="B3501" s="7" t="s">
        <v>11105</v>
      </c>
      <c r="C3501" s="7" t="s">
        <v>8998</v>
      </c>
      <c r="D3501" s="7" t="s">
        <v>7542</v>
      </c>
      <c r="E3501" s="7" t="s">
        <v>13209</v>
      </c>
      <c r="F3501" s="8" t="s">
        <v>10202</v>
      </c>
      <c r="G3501" s="7">
        <v>21</v>
      </c>
      <c r="H3501" s="7" t="s">
        <v>9116</v>
      </c>
      <c r="I3501" s="7">
        <v>1</v>
      </c>
      <c r="J3501" s="7" t="s">
        <v>7842</v>
      </c>
      <c r="K3501" s="9" t="s">
        <v>8987</v>
      </c>
    </row>
    <row r="3502" spans="1:11">
      <c r="A3502" s="7">
        <v>3500</v>
      </c>
      <c r="B3502" s="7" t="s">
        <v>11105</v>
      </c>
      <c r="C3502" s="7" t="s">
        <v>8998</v>
      </c>
      <c r="D3502" s="7" t="s">
        <v>7542</v>
      </c>
      <c r="E3502" s="7" t="s">
        <v>13210</v>
      </c>
      <c r="F3502" s="8" t="s">
        <v>9798</v>
      </c>
      <c r="G3502" s="7">
        <v>27</v>
      </c>
      <c r="H3502" s="7" t="s">
        <v>9130</v>
      </c>
      <c r="I3502" s="7">
        <v>1</v>
      </c>
      <c r="J3502" s="7" t="s">
        <v>7852</v>
      </c>
      <c r="K3502" s="9" t="s">
        <v>8987</v>
      </c>
    </row>
    <row r="3503" spans="1:11">
      <c r="A3503" s="7">
        <v>3501</v>
      </c>
      <c r="B3503" s="7" t="s">
        <v>11105</v>
      </c>
      <c r="C3503" s="7" t="s">
        <v>8998</v>
      </c>
      <c r="D3503" s="7" t="s">
        <v>7542</v>
      </c>
      <c r="E3503" s="7" t="s">
        <v>13211</v>
      </c>
      <c r="F3503" s="8" t="s">
        <v>10933</v>
      </c>
      <c r="G3503" s="7">
        <v>85</v>
      </c>
      <c r="H3503" s="7" t="s">
        <v>12983</v>
      </c>
      <c r="I3503" s="7">
        <v>1</v>
      </c>
      <c r="J3503" s="7" t="s">
        <v>7857</v>
      </c>
      <c r="K3503" s="9" t="s">
        <v>8987</v>
      </c>
    </row>
    <row r="3504" spans="1:11">
      <c r="A3504" s="7">
        <v>3502</v>
      </c>
      <c r="B3504" s="7" t="s">
        <v>11105</v>
      </c>
      <c r="C3504" s="7" t="s">
        <v>8998</v>
      </c>
      <c r="D3504" s="7" t="s">
        <v>7546</v>
      </c>
      <c r="E3504" s="7" t="s">
        <v>13212</v>
      </c>
      <c r="F3504" s="8" t="s">
        <v>10293</v>
      </c>
      <c r="G3504" s="7">
        <v>150</v>
      </c>
      <c r="H3504" s="7" t="s">
        <v>9253</v>
      </c>
      <c r="I3504" s="7">
        <v>1</v>
      </c>
      <c r="J3504" s="7" t="s">
        <v>7846</v>
      </c>
      <c r="K3504" s="9" t="s">
        <v>8987</v>
      </c>
    </row>
    <row r="3505" spans="1:11">
      <c r="A3505" s="7">
        <v>3503</v>
      </c>
      <c r="B3505" s="7" t="s">
        <v>11105</v>
      </c>
      <c r="C3505" s="7" t="s">
        <v>8998</v>
      </c>
      <c r="D3505" s="7" t="s">
        <v>7552</v>
      </c>
      <c r="E3505" s="7" t="s">
        <v>13213</v>
      </c>
      <c r="F3505" s="8" t="s">
        <v>10150</v>
      </c>
      <c r="G3505" s="7">
        <v>50</v>
      </c>
      <c r="H3505" s="7" t="s">
        <v>9021</v>
      </c>
      <c r="I3505" s="7">
        <v>1</v>
      </c>
      <c r="J3505" s="7" t="s">
        <v>7881</v>
      </c>
      <c r="K3505" s="9" t="s">
        <v>8987</v>
      </c>
    </row>
    <row r="3506" spans="1:11">
      <c r="A3506" s="7">
        <v>3504</v>
      </c>
      <c r="B3506" s="7" t="s">
        <v>11105</v>
      </c>
      <c r="C3506" s="7" t="s">
        <v>8998</v>
      </c>
      <c r="D3506" s="7" t="s">
        <v>7556</v>
      </c>
      <c r="E3506" s="7" t="s">
        <v>13214</v>
      </c>
      <c r="F3506" s="8" t="s">
        <v>10161</v>
      </c>
      <c r="G3506" s="7">
        <v>44</v>
      </c>
      <c r="H3506" s="7" t="s">
        <v>9658</v>
      </c>
      <c r="I3506" s="7">
        <v>1</v>
      </c>
      <c r="J3506" s="7" t="s">
        <v>7890</v>
      </c>
      <c r="K3506" s="9" t="s">
        <v>8987</v>
      </c>
    </row>
    <row r="3507" spans="1:11">
      <c r="A3507" s="7">
        <v>3505</v>
      </c>
      <c r="B3507" s="7" t="s">
        <v>11105</v>
      </c>
      <c r="C3507" s="7" t="s">
        <v>8998</v>
      </c>
      <c r="D3507" s="7" t="s">
        <v>7556</v>
      </c>
      <c r="E3507" s="7" t="s">
        <v>13215</v>
      </c>
      <c r="F3507" s="8" t="s">
        <v>9304</v>
      </c>
      <c r="G3507" s="7">
        <v>44</v>
      </c>
      <c r="H3507" s="7" t="s">
        <v>9658</v>
      </c>
      <c r="I3507" s="7">
        <v>1</v>
      </c>
      <c r="J3507" s="7" t="s">
        <v>7890</v>
      </c>
      <c r="K3507" s="9" t="s">
        <v>8987</v>
      </c>
    </row>
    <row r="3508" spans="1:11">
      <c r="A3508" s="7">
        <v>3506</v>
      </c>
      <c r="B3508" s="7" t="s">
        <v>11105</v>
      </c>
      <c r="C3508" s="7" t="s">
        <v>8998</v>
      </c>
      <c r="D3508" s="7" t="s">
        <v>7556</v>
      </c>
      <c r="E3508" s="7" t="s">
        <v>13216</v>
      </c>
      <c r="F3508" s="8" t="s">
        <v>9306</v>
      </c>
      <c r="G3508" s="7">
        <v>44</v>
      </c>
      <c r="H3508" s="7" t="s">
        <v>9658</v>
      </c>
      <c r="I3508" s="7">
        <v>1</v>
      </c>
      <c r="J3508" s="7" t="s">
        <v>7890</v>
      </c>
      <c r="K3508" s="9" t="s">
        <v>8987</v>
      </c>
    </row>
    <row r="3509" spans="1:11">
      <c r="A3509" s="7">
        <v>3507</v>
      </c>
      <c r="B3509" s="7" t="s">
        <v>11105</v>
      </c>
      <c r="C3509" s="7" t="s">
        <v>8998</v>
      </c>
      <c r="D3509" s="7" t="s">
        <v>7556</v>
      </c>
      <c r="E3509" s="7" t="s">
        <v>5969</v>
      </c>
      <c r="F3509" s="8" t="s">
        <v>9308</v>
      </c>
      <c r="G3509" s="7">
        <v>44</v>
      </c>
      <c r="H3509" s="7" t="s">
        <v>9658</v>
      </c>
      <c r="I3509" s="7">
        <v>1</v>
      </c>
      <c r="J3509" s="7" t="s">
        <v>7890</v>
      </c>
      <c r="K3509" s="9" t="s">
        <v>8987</v>
      </c>
    </row>
    <row r="3510" spans="1:11">
      <c r="A3510" s="7">
        <v>3508</v>
      </c>
      <c r="B3510" s="7" t="s">
        <v>11105</v>
      </c>
      <c r="C3510" s="7" t="s">
        <v>8998</v>
      </c>
      <c r="D3510" s="7" t="s">
        <v>7566</v>
      </c>
      <c r="E3510" s="7" t="s">
        <v>13217</v>
      </c>
      <c r="F3510" s="8" t="s">
        <v>9628</v>
      </c>
      <c r="G3510" s="7">
        <v>8</v>
      </c>
      <c r="H3510" s="7" t="s">
        <v>8991</v>
      </c>
      <c r="I3510" s="7">
        <v>1</v>
      </c>
      <c r="J3510" s="7" t="s">
        <v>7764</v>
      </c>
      <c r="K3510" s="9" t="s">
        <v>8987</v>
      </c>
    </row>
    <row r="3511" spans="1:11">
      <c r="A3511" s="7">
        <v>3509</v>
      </c>
      <c r="B3511" s="7" t="s">
        <v>11105</v>
      </c>
      <c r="C3511" s="7" t="s">
        <v>8998</v>
      </c>
      <c r="D3511" s="7" t="s">
        <v>7566</v>
      </c>
      <c r="E3511" s="7" t="s">
        <v>13218</v>
      </c>
      <c r="F3511" s="8" t="s">
        <v>9312</v>
      </c>
      <c r="G3511" s="7">
        <v>8</v>
      </c>
      <c r="H3511" s="7" t="s">
        <v>8991</v>
      </c>
      <c r="I3511" s="7">
        <v>1</v>
      </c>
      <c r="J3511" s="7" t="s">
        <v>7764</v>
      </c>
      <c r="K3511" s="9" t="s">
        <v>8987</v>
      </c>
    </row>
    <row r="3512" spans="1:11">
      <c r="A3512" s="7">
        <v>3510</v>
      </c>
      <c r="B3512" s="7" t="s">
        <v>11105</v>
      </c>
      <c r="C3512" s="7" t="s">
        <v>8998</v>
      </c>
      <c r="D3512" s="7" t="s">
        <v>7566</v>
      </c>
      <c r="E3512" s="7" t="s">
        <v>13219</v>
      </c>
      <c r="F3512" s="8" t="s">
        <v>7969</v>
      </c>
      <c r="G3512" s="7">
        <v>15</v>
      </c>
      <c r="H3512" s="7" t="s">
        <v>9053</v>
      </c>
      <c r="I3512" s="7">
        <v>1</v>
      </c>
      <c r="J3512" s="7" t="s">
        <v>7862</v>
      </c>
      <c r="K3512" s="9" t="s">
        <v>8987</v>
      </c>
    </row>
    <row r="3513" spans="1:11">
      <c r="A3513" s="7">
        <v>3511</v>
      </c>
      <c r="B3513" s="7" t="s">
        <v>11105</v>
      </c>
      <c r="C3513" s="7" t="s">
        <v>8998</v>
      </c>
      <c r="D3513" s="10" t="s">
        <v>7566</v>
      </c>
      <c r="E3513" s="7" t="s">
        <v>6659</v>
      </c>
      <c r="F3513" s="8" t="s">
        <v>9363</v>
      </c>
      <c r="G3513" s="7">
        <v>70</v>
      </c>
      <c r="H3513" s="7" t="s">
        <v>9194</v>
      </c>
      <c r="I3513" s="7">
        <v>1</v>
      </c>
      <c r="J3513" s="7" t="s">
        <v>7863</v>
      </c>
      <c r="K3513" s="9" t="s">
        <v>8987</v>
      </c>
    </row>
    <row r="3514" spans="1:11">
      <c r="A3514" s="7">
        <v>3512</v>
      </c>
      <c r="B3514" s="7" t="s">
        <v>11105</v>
      </c>
      <c r="C3514" s="7" t="s">
        <v>8998</v>
      </c>
      <c r="D3514" s="7" t="s">
        <v>7552</v>
      </c>
      <c r="E3514" s="7" t="s">
        <v>13220</v>
      </c>
      <c r="F3514" s="8" t="s">
        <v>9297</v>
      </c>
      <c r="G3514" s="7">
        <v>15</v>
      </c>
      <c r="H3514" s="7" t="s">
        <v>9053</v>
      </c>
      <c r="I3514" s="7">
        <v>1</v>
      </c>
      <c r="J3514" s="7" t="s">
        <v>7862</v>
      </c>
      <c r="K3514" s="9" t="s">
        <v>8987</v>
      </c>
    </row>
    <row r="3515" spans="1:11">
      <c r="A3515" s="7">
        <v>3513</v>
      </c>
      <c r="B3515" s="7" t="s">
        <v>11105</v>
      </c>
      <c r="C3515" s="7" t="s">
        <v>8998</v>
      </c>
      <c r="D3515" s="7" t="s">
        <v>7555</v>
      </c>
      <c r="E3515" s="7" t="s">
        <v>13221</v>
      </c>
      <c r="F3515" s="8" t="s">
        <v>9249</v>
      </c>
      <c r="G3515" s="7">
        <v>75</v>
      </c>
      <c r="H3515" s="7" t="s">
        <v>9265</v>
      </c>
      <c r="I3515" s="7">
        <v>1</v>
      </c>
      <c r="J3515" s="7" t="s">
        <v>7859</v>
      </c>
      <c r="K3515" s="9" t="s">
        <v>8987</v>
      </c>
    </row>
    <row r="3516" spans="1:11">
      <c r="A3516" s="7">
        <v>3514</v>
      </c>
      <c r="B3516" s="7" t="s">
        <v>11105</v>
      </c>
      <c r="C3516" s="7" t="s">
        <v>8998</v>
      </c>
      <c r="D3516" s="7" t="s">
        <v>7551</v>
      </c>
      <c r="E3516" s="7" t="s">
        <v>5698</v>
      </c>
      <c r="F3516" s="8" t="s">
        <v>10205</v>
      </c>
      <c r="G3516" s="7">
        <v>8</v>
      </c>
      <c r="H3516" s="7" t="s">
        <v>8991</v>
      </c>
      <c r="I3516" s="7">
        <v>3</v>
      </c>
      <c r="J3516" s="7" t="s">
        <v>7823</v>
      </c>
      <c r="K3516" s="9" t="s">
        <v>8987</v>
      </c>
    </row>
    <row r="3517" spans="1:11">
      <c r="A3517" s="7">
        <v>3515</v>
      </c>
      <c r="B3517" s="7" t="s">
        <v>11105</v>
      </c>
      <c r="C3517" s="7" t="s">
        <v>8998</v>
      </c>
      <c r="D3517" s="7" t="s">
        <v>7551</v>
      </c>
      <c r="E3517" s="7" t="s">
        <v>13222</v>
      </c>
      <c r="F3517" s="8" t="s">
        <v>10208</v>
      </c>
      <c r="G3517" s="7">
        <v>8</v>
      </c>
      <c r="H3517" s="7" t="s">
        <v>8991</v>
      </c>
      <c r="I3517" s="7">
        <v>3</v>
      </c>
      <c r="J3517" s="7" t="s">
        <v>7823</v>
      </c>
      <c r="K3517" s="9" t="s">
        <v>8987</v>
      </c>
    </row>
    <row r="3518" spans="1:11">
      <c r="A3518" s="7">
        <v>3516</v>
      </c>
      <c r="B3518" s="7" t="s">
        <v>11105</v>
      </c>
      <c r="C3518" s="7" t="s">
        <v>8998</v>
      </c>
      <c r="D3518" s="7" t="s">
        <v>7551</v>
      </c>
      <c r="E3518" s="7" t="s">
        <v>13223</v>
      </c>
      <c r="F3518" s="8" t="s">
        <v>10211</v>
      </c>
      <c r="G3518" s="7">
        <v>8</v>
      </c>
      <c r="H3518" s="7" t="s">
        <v>8991</v>
      </c>
      <c r="I3518" s="7">
        <v>3</v>
      </c>
      <c r="J3518" s="7" t="s">
        <v>7823</v>
      </c>
      <c r="K3518" s="9" t="s">
        <v>8987</v>
      </c>
    </row>
    <row r="3519" spans="1:11">
      <c r="A3519" s="7">
        <v>3517</v>
      </c>
      <c r="B3519" s="7" t="s">
        <v>11105</v>
      </c>
      <c r="C3519" s="7" t="s">
        <v>8998</v>
      </c>
      <c r="D3519" s="7" t="s">
        <v>7551</v>
      </c>
      <c r="E3519" s="7" t="s">
        <v>13224</v>
      </c>
      <c r="F3519" s="8" t="s">
        <v>10674</v>
      </c>
      <c r="G3519" s="7">
        <v>8</v>
      </c>
      <c r="H3519" s="7" t="s">
        <v>8991</v>
      </c>
      <c r="I3519" s="7">
        <v>3</v>
      </c>
      <c r="J3519" s="7" t="s">
        <v>7823</v>
      </c>
      <c r="K3519" s="9" t="s">
        <v>8987</v>
      </c>
    </row>
    <row r="3520" spans="1:11">
      <c r="A3520" s="7">
        <v>3518</v>
      </c>
      <c r="B3520" s="7" t="s">
        <v>11105</v>
      </c>
      <c r="C3520" s="7" t="s">
        <v>8998</v>
      </c>
      <c r="D3520" s="7" t="s">
        <v>7551</v>
      </c>
      <c r="E3520" s="7" t="s">
        <v>13225</v>
      </c>
      <c r="F3520" s="8" t="s">
        <v>1783</v>
      </c>
      <c r="G3520" s="7">
        <v>10</v>
      </c>
      <c r="H3520" s="7" t="s">
        <v>9292</v>
      </c>
      <c r="I3520" s="7">
        <v>3</v>
      </c>
      <c r="J3520" s="7" t="s">
        <v>7718</v>
      </c>
      <c r="K3520" s="9" t="s">
        <v>8987</v>
      </c>
    </row>
    <row r="3521" spans="1:11">
      <c r="A3521" s="7">
        <v>3519</v>
      </c>
      <c r="B3521" s="7" t="s">
        <v>11105</v>
      </c>
      <c r="C3521" s="7" t="s">
        <v>8998</v>
      </c>
      <c r="D3521" s="7" t="s">
        <v>7556</v>
      </c>
      <c r="E3521" s="7" t="s">
        <v>13226</v>
      </c>
      <c r="F3521" s="8" t="s">
        <v>9735</v>
      </c>
      <c r="G3521" s="7">
        <v>35</v>
      </c>
      <c r="H3521" s="7" t="s">
        <v>9026</v>
      </c>
      <c r="I3521" s="7">
        <v>1</v>
      </c>
      <c r="J3521" s="7" t="s">
        <v>7868</v>
      </c>
      <c r="K3521" s="9" t="s">
        <v>8987</v>
      </c>
    </row>
    <row r="3522" spans="1:11">
      <c r="A3522" s="7">
        <v>3520</v>
      </c>
      <c r="B3522" s="7" t="s">
        <v>11105</v>
      </c>
      <c r="C3522" s="7" t="s">
        <v>8998</v>
      </c>
      <c r="D3522" s="7" t="s">
        <v>7556</v>
      </c>
      <c r="E3522" s="7" t="s">
        <v>13227</v>
      </c>
      <c r="F3522" s="8" t="s">
        <v>9735</v>
      </c>
      <c r="G3522" s="7">
        <v>35</v>
      </c>
      <c r="H3522" s="7" t="s">
        <v>9026</v>
      </c>
      <c r="I3522" s="7">
        <v>1</v>
      </c>
      <c r="J3522" s="7" t="s">
        <v>7868</v>
      </c>
      <c r="K3522" s="9" t="s">
        <v>8987</v>
      </c>
    </row>
    <row r="3523" spans="1:11">
      <c r="A3523" s="7">
        <v>3521</v>
      </c>
      <c r="B3523" s="7" t="s">
        <v>11105</v>
      </c>
      <c r="C3523" s="7" t="s">
        <v>8998</v>
      </c>
      <c r="D3523" s="7" t="s">
        <v>7556</v>
      </c>
      <c r="E3523" s="7" t="s">
        <v>13228</v>
      </c>
      <c r="F3523" s="8" t="s">
        <v>9735</v>
      </c>
      <c r="G3523" s="7">
        <v>35</v>
      </c>
      <c r="H3523" s="7" t="s">
        <v>9026</v>
      </c>
      <c r="I3523" s="7">
        <v>1</v>
      </c>
      <c r="J3523" s="7" t="s">
        <v>7868</v>
      </c>
      <c r="K3523" s="9" t="s">
        <v>8987</v>
      </c>
    </row>
    <row r="3524" spans="1:11">
      <c r="A3524" s="7">
        <v>3522</v>
      </c>
      <c r="B3524" s="7" t="s">
        <v>11105</v>
      </c>
      <c r="C3524" s="7" t="s">
        <v>8998</v>
      </c>
      <c r="D3524" s="7" t="s">
        <v>7556</v>
      </c>
      <c r="E3524" s="7" t="s">
        <v>13229</v>
      </c>
      <c r="F3524" s="8" t="s">
        <v>9735</v>
      </c>
      <c r="G3524" s="7">
        <v>35</v>
      </c>
      <c r="H3524" s="7" t="s">
        <v>9026</v>
      </c>
      <c r="I3524" s="7">
        <v>1</v>
      </c>
      <c r="J3524" s="7" t="s">
        <v>7868</v>
      </c>
      <c r="K3524" s="9" t="s">
        <v>8987</v>
      </c>
    </row>
    <row r="3525" spans="1:11">
      <c r="A3525" s="7">
        <v>3523</v>
      </c>
      <c r="B3525" s="7" t="s">
        <v>11105</v>
      </c>
      <c r="C3525" s="7" t="s">
        <v>8998</v>
      </c>
      <c r="D3525" s="7" t="s">
        <v>7556</v>
      </c>
      <c r="E3525" s="7" t="s">
        <v>13230</v>
      </c>
      <c r="F3525" s="8" t="s">
        <v>9735</v>
      </c>
      <c r="G3525" s="7">
        <v>35</v>
      </c>
      <c r="H3525" s="7" t="s">
        <v>9026</v>
      </c>
      <c r="I3525" s="7">
        <v>1</v>
      </c>
      <c r="J3525" s="7" t="s">
        <v>7868</v>
      </c>
      <c r="K3525" s="9" t="s">
        <v>8987</v>
      </c>
    </row>
    <row r="3526" spans="1:11">
      <c r="A3526" s="7">
        <v>3524</v>
      </c>
      <c r="B3526" s="7" t="s">
        <v>11105</v>
      </c>
      <c r="C3526" s="7" t="s">
        <v>8998</v>
      </c>
      <c r="D3526" s="7" t="s">
        <v>7556</v>
      </c>
      <c r="E3526" s="7" t="s">
        <v>5841</v>
      </c>
      <c r="F3526" s="8" t="s">
        <v>9735</v>
      </c>
      <c r="G3526" s="7">
        <v>35</v>
      </c>
      <c r="H3526" s="7" t="s">
        <v>9026</v>
      </c>
      <c r="I3526" s="7">
        <v>1</v>
      </c>
      <c r="J3526" s="7" t="s">
        <v>7868</v>
      </c>
      <c r="K3526" s="9" t="s">
        <v>8987</v>
      </c>
    </row>
    <row r="3527" spans="1:11">
      <c r="A3527" s="7">
        <v>3525</v>
      </c>
      <c r="B3527" s="7" t="s">
        <v>11105</v>
      </c>
      <c r="C3527" s="7" t="s">
        <v>8998</v>
      </c>
      <c r="D3527" s="7" t="s">
        <v>7556</v>
      </c>
      <c r="E3527" s="7" t="s">
        <v>13231</v>
      </c>
      <c r="F3527" s="8" t="s">
        <v>9782</v>
      </c>
      <c r="G3527" s="7">
        <v>15</v>
      </c>
      <c r="H3527" s="7" t="s">
        <v>9053</v>
      </c>
      <c r="I3527" s="7">
        <v>1</v>
      </c>
      <c r="J3527" s="7" t="s">
        <v>7862</v>
      </c>
      <c r="K3527" s="9" t="s">
        <v>8987</v>
      </c>
    </row>
    <row r="3528" spans="1:11">
      <c r="A3528" s="7">
        <v>3526</v>
      </c>
      <c r="B3528" s="7" t="s">
        <v>11105</v>
      </c>
      <c r="C3528" s="7" t="s">
        <v>8998</v>
      </c>
      <c r="D3528" s="7" t="s">
        <v>7566</v>
      </c>
      <c r="E3528" s="7" t="s">
        <v>13232</v>
      </c>
      <c r="F3528" s="8" t="s">
        <v>9969</v>
      </c>
      <c r="G3528" s="7">
        <v>15</v>
      </c>
      <c r="H3528" s="7" t="s">
        <v>9053</v>
      </c>
      <c r="I3528" s="7">
        <v>1</v>
      </c>
      <c r="J3528" s="7" t="s">
        <v>7862</v>
      </c>
      <c r="K3528" s="9" t="s">
        <v>8987</v>
      </c>
    </row>
    <row r="3529" spans="1:11">
      <c r="A3529" s="7">
        <v>3527</v>
      </c>
      <c r="B3529" s="7" t="s">
        <v>11105</v>
      </c>
      <c r="C3529" s="7" t="s">
        <v>8998</v>
      </c>
      <c r="D3529" s="10" t="s">
        <v>7566</v>
      </c>
      <c r="E3529" s="7" t="s">
        <v>13233</v>
      </c>
      <c r="F3529" s="8" t="s">
        <v>7972</v>
      </c>
      <c r="G3529" s="7">
        <v>15</v>
      </c>
      <c r="H3529" s="7" t="s">
        <v>9053</v>
      </c>
      <c r="I3529" s="7">
        <v>1</v>
      </c>
      <c r="J3529" s="7" t="s">
        <v>7862</v>
      </c>
      <c r="K3529" s="9" t="s">
        <v>8987</v>
      </c>
    </row>
    <row r="3530" spans="1:11">
      <c r="A3530" s="7">
        <v>3528</v>
      </c>
      <c r="B3530" s="7" t="s">
        <v>11105</v>
      </c>
      <c r="C3530" s="7" t="s">
        <v>8998</v>
      </c>
      <c r="D3530" s="7" t="s">
        <v>7566</v>
      </c>
      <c r="E3530" s="7" t="s">
        <v>13234</v>
      </c>
      <c r="F3530" s="8" t="s">
        <v>7973</v>
      </c>
      <c r="G3530" s="7">
        <v>15</v>
      </c>
      <c r="H3530" s="7" t="s">
        <v>9053</v>
      </c>
      <c r="I3530" s="7">
        <v>1</v>
      </c>
      <c r="J3530" s="7" t="s">
        <v>7862</v>
      </c>
      <c r="K3530" s="9" t="s">
        <v>8987</v>
      </c>
    </row>
    <row r="3531" spans="1:11">
      <c r="A3531" s="7">
        <v>3529</v>
      </c>
      <c r="B3531" s="7" t="s">
        <v>11105</v>
      </c>
      <c r="C3531" s="7" t="s">
        <v>8998</v>
      </c>
      <c r="D3531" s="7" t="s">
        <v>7547</v>
      </c>
      <c r="E3531" s="7" t="s">
        <v>13235</v>
      </c>
      <c r="F3531" s="8" t="s">
        <v>10384</v>
      </c>
      <c r="G3531" s="7">
        <v>35</v>
      </c>
      <c r="H3531" s="7" t="s">
        <v>9026</v>
      </c>
      <c r="I3531" s="7">
        <v>1</v>
      </c>
      <c r="J3531" s="7" t="s">
        <v>7868</v>
      </c>
      <c r="K3531" s="9" t="s">
        <v>8987</v>
      </c>
    </row>
    <row r="3532" spans="1:11">
      <c r="A3532" s="7">
        <v>3530</v>
      </c>
      <c r="B3532" s="7" t="s">
        <v>11105</v>
      </c>
      <c r="C3532" s="7" t="s">
        <v>8998</v>
      </c>
      <c r="D3532" s="7" t="s">
        <v>7547</v>
      </c>
      <c r="E3532" s="7" t="s">
        <v>13236</v>
      </c>
      <c r="F3532" s="8" t="s">
        <v>9593</v>
      </c>
      <c r="G3532" s="7">
        <v>85</v>
      </c>
      <c r="H3532" s="7" t="s">
        <v>12983</v>
      </c>
      <c r="I3532" s="7">
        <v>1</v>
      </c>
      <c r="J3532" s="7" t="s">
        <v>7857</v>
      </c>
      <c r="K3532" s="9" t="s">
        <v>8987</v>
      </c>
    </row>
    <row r="3533" spans="1:11">
      <c r="A3533" s="7">
        <v>3531</v>
      </c>
      <c r="B3533" s="7" t="s">
        <v>11105</v>
      </c>
      <c r="C3533" s="7" t="s">
        <v>8998</v>
      </c>
      <c r="D3533" s="7" t="s">
        <v>7547</v>
      </c>
      <c r="E3533" s="7" t="s">
        <v>7255</v>
      </c>
      <c r="F3533" s="8" t="s">
        <v>9272</v>
      </c>
      <c r="G3533" s="7">
        <v>90</v>
      </c>
      <c r="H3533" s="7" t="s">
        <v>9642</v>
      </c>
      <c r="I3533" s="7">
        <v>1</v>
      </c>
      <c r="J3533" s="7" t="s">
        <v>7869</v>
      </c>
      <c r="K3533" s="9" t="s">
        <v>8987</v>
      </c>
    </row>
    <row r="3534" spans="1:11">
      <c r="A3534" s="7">
        <v>3532</v>
      </c>
      <c r="B3534" s="7" t="s">
        <v>11105</v>
      </c>
      <c r="C3534" s="7" t="s">
        <v>8998</v>
      </c>
      <c r="D3534" s="7" t="s">
        <v>7547</v>
      </c>
      <c r="E3534" s="7" t="s">
        <v>13237</v>
      </c>
      <c r="F3534" s="8" t="s">
        <v>9275</v>
      </c>
      <c r="G3534" s="7">
        <v>60</v>
      </c>
      <c r="H3534" s="7" t="s">
        <v>9289</v>
      </c>
      <c r="I3534" s="7">
        <v>1</v>
      </c>
      <c r="J3534" s="7" t="s">
        <v>7870</v>
      </c>
      <c r="K3534" s="9" t="s">
        <v>8987</v>
      </c>
    </row>
    <row r="3535" spans="1:11">
      <c r="A3535" s="7">
        <v>3533</v>
      </c>
      <c r="B3535" s="7" t="s">
        <v>11105</v>
      </c>
      <c r="C3535" s="7" t="s">
        <v>8998</v>
      </c>
      <c r="D3535" s="7" t="s">
        <v>7547</v>
      </c>
      <c r="E3535" s="7" t="s">
        <v>13238</v>
      </c>
      <c r="F3535" s="8" t="s">
        <v>11022</v>
      </c>
      <c r="G3535" s="7">
        <v>90</v>
      </c>
      <c r="H3535" s="7" t="s">
        <v>9642</v>
      </c>
      <c r="I3535" s="7">
        <v>1</v>
      </c>
      <c r="J3535" s="7" t="s">
        <v>7869</v>
      </c>
      <c r="K3535" s="9" t="s">
        <v>8987</v>
      </c>
    </row>
    <row r="3536" spans="1:11">
      <c r="A3536" s="7">
        <v>3534</v>
      </c>
      <c r="B3536" s="7" t="s">
        <v>11105</v>
      </c>
      <c r="C3536" s="7" t="s">
        <v>8998</v>
      </c>
      <c r="D3536" s="7" t="s">
        <v>7547</v>
      </c>
      <c r="E3536" s="7" t="s">
        <v>13239</v>
      </c>
      <c r="F3536" s="8" t="s">
        <v>9279</v>
      </c>
      <c r="G3536" s="7">
        <v>24</v>
      </c>
      <c r="H3536" s="7" t="s">
        <v>9418</v>
      </c>
      <c r="I3536" s="7">
        <v>1</v>
      </c>
      <c r="J3536" s="7" t="s">
        <v>7871</v>
      </c>
      <c r="K3536" s="9" t="s">
        <v>8987</v>
      </c>
    </row>
    <row r="3537" spans="1:11">
      <c r="A3537" s="7">
        <v>3535</v>
      </c>
      <c r="B3537" s="7" t="s">
        <v>11105</v>
      </c>
      <c r="C3537" s="7" t="s">
        <v>8998</v>
      </c>
      <c r="D3537" s="7" t="s">
        <v>7573</v>
      </c>
      <c r="E3537" s="7" t="s">
        <v>13240</v>
      </c>
      <c r="F3537" s="8" t="s">
        <v>9186</v>
      </c>
      <c r="G3537" s="7">
        <v>15</v>
      </c>
      <c r="H3537" s="7" t="s">
        <v>9053</v>
      </c>
      <c r="I3537" s="7">
        <v>1</v>
      </c>
      <c r="J3537" s="7" t="s">
        <v>7862</v>
      </c>
      <c r="K3537" s="9" t="s">
        <v>8987</v>
      </c>
    </row>
    <row r="3538" spans="1:11">
      <c r="A3538" s="7">
        <v>3536</v>
      </c>
      <c r="B3538" s="7" t="s">
        <v>11105</v>
      </c>
      <c r="C3538" s="7" t="s">
        <v>8998</v>
      </c>
      <c r="D3538" s="7" t="s">
        <v>7555</v>
      </c>
      <c r="E3538" s="7" t="s">
        <v>13241</v>
      </c>
      <c r="F3538" s="8" t="s">
        <v>9244</v>
      </c>
      <c r="G3538" s="7">
        <v>85</v>
      </c>
      <c r="H3538" s="7" t="s">
        <v>12983</v>
      </c>
      <c r="I3538" s="7">
        <v>1</v>
      </c>
      <c r="J3538" s="7" t="s">
        <v>7857</v>
      </c>
      <c r="K3538" s="9" t="s">
        <v>8987</v>
      </c>
    </row>
    <row r="3539" spans="1:11">
      <c r="A3539" s="7">
        <v>3537</v>
      </c>
      <c r="B3539" s="7" t="s">
        <v>11105</v>
      </c>
      <c r="C3539" s="7" t="s">
        <v>8998</v>
      </c>
      <c r="D3539" s="7" t="s">
        <v>7548</v>
      </c>
      <c r="E3539" s="7" t="s">
        <v>13242</v>
      </c>
      <c r="F3539" s="8" t="s">
        <v>10244</v>
      </c>
      <c r="G3539" s="7">
        <v>20</v>
      </c>
      <c r="H3539" s="7" t="s">
        <v>9394</v>
      </c>
      <c r="I3539" s="7">
        <v>1</v>
      </c>
      <c r="J3539" s="7" t="s">
        <v>7851</v>
      </c>
      <c r="K3539" s="9" t="s">
        <v>8987</v>
      </c>
    </row>
    <row r="3540" spans="1:11">
      <c r="A3540" s="7">
        <v>3538</v>
      </c>
      <c r="B3540" s="7" t="s">
        <v>11105</v>
      </c>
      <c r="C3540" s="7" t="s">
        <v>8998</v>
      </c>
      <c r="D3540" s="7" t="s">
        <v>7548</v>
      </c>
      <c r="E3540" s="7" t="s">
        <v>13243</v>
      </c>
      <c r="F3540" s="8" t="s">
        <v>10252</v>
      </c>
      <c r="G3540" s="7">
        <v>38</v>
      </c>
      <c r="H3540" s="7" t="s">
        <v>11229</v>
      </c>
      <c r="I3540" s="7">
        <v>1</v>
      </c>
      <c r="J3540" s="7" t="s">
        <v>7847</v>
      </c>
      <c r="K3540" s="9" t="s">
        <v>8987</v>
      </c>
    </row>
    <row r="3541" spans="1:11">
      <c r="A3541" s="7">
        <v>3539</v>
      </c>
      <c r="B3541" s="7" t="s">
        <v>11105</v>
      </c>
      <c r="C3541" s="7" t="s">
        <v>8998</v>
      </c>
      <c r="D3541" s="7" t="s">
        <v>7548</v>
      </c>
      <c r="E3541" s="7" t="s">
        <v>13244</v>
      </c>
      <c r="F3541" s="8" t="s">
        <v>10260</v>
      </c>
      <c r="G3541" s="7">
        <v>28</v>
      </c>
      <c r="H3541" s="7" t="s">
        <v>10468</v>
      </c>
      <c r="I3541" s="7">
        <v>1</v>
      </c>
      <c r="J3541" s="7" t="s">
        <v>7844</v>
      </c>
      <c r="K3541" s="9" t="s">
        <v>8987</v>
      </c>
    </row>
    <row r="3542" spans="1:11">
      <c r="A3542" s="7">
        <v>3540</v>
      </c>
      <c r="B3542" s="7" t="s">
        <v>11105</v>
      </c>
      <c r="C3542" s="7" t="s">
        <v>8998</v>
      </c>
      <c r="D3542" s="7" t="s">
        <v>7548</v>
      </c>
      <c r="E3542" s="7" t="s">
        <v>13245</v>
      </c>
      <c r="F3542" s="8" t="s">
        <v>10731</v>
      </c>
      <c r="G3542" s="7">
        <v>20</v>
      </c>
      <c r="H3542" s="7" t="s">
        <v>9394</v>
      </c>
      <c r="I3542" s="7">
        <v>7</v>
      </c>
      <c r="J3542" s="7" t="s">
        <v>7873</v>
      </c>
      <c r="K3542" s="9" t="s">
        <v>8987</v>
      </c>
    </row>
    <row r="3543" spans="1:11">
      <c r="A3543" s="7">
        <v>3541</v>
      </c>
      <c r="B3543" s="7" t="s">
        <v>11105</v>
      </c>
      <c r="C3543" s="7" t="s">
        <v>8998</v>
      </c>
      <c r="D3543" s="7" t="s">
        <v>7548</v>
      </c>
      <c r="E3543" s="7" t="s">
        <v>13246</v>
      </c>
      <c r="F3543" s="8" t="s">
        <v>10729</v>
      </c>
      <c r="G3543" s="7">
        <v>20</v>
      </c>
      <c r="H3543" s="7" t="s">
        <v>9394</v>
      </c>
      <c r="I3543" s="7">
        <v>7</v>
      </c>
      <c r="J3543" s="7" t="s">
        <v>7873</v>
      </c>
      <c r="K3543" s="9" t="s">
        <v>8987</v>
      </c>
    </row>
    <row r="3544" spans="1:11">
      <c r="A3544" s="7">
        <v>3542</v>
      </c>
      <c r="B3544" s="7" t="s">
        <v>11105</v>
      </c>
      <c r="C3544" s="7" t="s">
        <v>8998</v>
      </c>
      <c r="D3544" s="7" t="s">
        <v>7548</v>
      </c>
      <c r="E3544" s="7" t="s">
        <v>13247</v>
      </c>
      <c r="F3544" s="8" t="s">
        <v>10727</v>
      </c>
      <c r="G3544" s="7">
        <v>20</v>
      </c>
      <c r="H3544" s="7" t="s">
        <v>9394</v>
      </c>
      <c r="I3544" s="7">
        <v>7</v>
      </c>
      <c r="J3544" s="7" t="s">
        <v>7873</v>
      </c>
      <c r="K3544" s="9" t="s">
        <v>8987</v>
      </c>
    </row>
    <row r="3545" spans="1:11">
      <c r="A3545" s="7">
        <v>3543</v>
      </c>
      <c r="B3545" s="7" t="s">
        <v>11105</v>
      </c>
      <c r="C3545" s="7" t="s">
        <v>8998</v>
      </c>
      <c r="D3545" s="7" t="s">
        <v>7548</v>
      </c>
      <c r="E3545" s="7" t="s">
        <v>13248</v>
      </c>
      <c r="F3545" s="8" t="s">
        <v>10733</v>
      </c>
      <c r="G3545" s="7">
        <v>20</v>
      </c>
      <c r="H3545" s="7" t="s">
        <v>9394</v>
      </c>
      <c r="I3545" s="7">
        <v>7</v>
      </c>
      <c r="J3545" s="7" t="s">
        <v>7873</v>
      </c>
      <c r="K3545" s="9" t="s">
        <v>8987</v>
      </c>
    </row>
    <row r="3546" spans="1:11">
      <c r="A3546" s="7">
        <v>3544</v>
      </c>
      <c r="B3546" s="7" t="s">
        <v>11105</v>
      </c>
      <c r="C3546" s="7" t="s">
        <v>8998</v>
      </c>
      <c r="D3546" s="7" t="s">
        <v>7548</v>
      </c>
      <c r="E3546" s="7" t="s">
        <v>13249</v>
      </c>
      <c r="F3546" s="8" t="s">
        <v>10234</v>
      </c>
      <c r="G3546" s="7">
        <v>4</v>
      </c>
      <c r="H3546" s="7" t="s">
        <v>9579</v>
      </c>
      <c r="I3546" s="7">
        <v>1</v>
      </c>
      <c r="J3546" s="7" t="s">
        <v>7617</v>
      </c>
      <c r="K3546" s="9" t="s">
        <v>8987</v>
      </c>
    </row>
    <row r="3547" spans="1:11">
      <c r="A3547" s="7">
        <v>3545</v>
      </c>
      <c r="B3547" s="7" t="s">
        <v>11105</v>
      </c>
      <c r="C3547" s="7" t="s">
        <v>8998</v>
      </c>
      <c r="D3547" s="7" t="s">
        <v>7548</v>
      </c>
      <c r="E3547" s="7" t="s">
        <v>13250</v>
      </c>
      <c r="F3547" s="8" t="s">
        <v>10234</v>
      </c>
      <c r="G3547" s="7">
        <v>4</v>
      </c>
      <c r="H3547" s="7" t="s">
        <v>9579</v>
      </c>
      <c r="I3547" s="7">
        <v>1</v>
      </c>
      <c r="J3547" s="7" t="s">
        <v>7617</v>
      </c>
      <c r="K3547" s="9" t="s">
        <v>8987</v>
      </c>
    </row>
    <row r="3548" spans="1:11">
      <c r="A3548" s="7">
        <v>3546</v>
      </c>
      <c r="B3548" s="7" t="s">
        <v>11105</v>
      </c>
      <c r="C3548" s="7" t="s">
        <v>8998</v>
      </c>
      <c r="D3548" s="7" t="s">
        <v>7548</v>
      </c>
      <c r="E3548" s="7" t="s">
        <v>13251</v>
      </c>
      <c r="F3548" s="8" t="s">
        <v>10234</v>
      </c>
      <c r="G3548" s="7">
        <v>4</v>
      </c>
      <c r="H3548" s="7" t="s">
        <v>9579</v>
      </c>
      <c r="I3548" s="7">
        <v>1</v>
      </c>
      <c r="J3548" s="7" t="s">
        <v>7617</v>
      </c>
      <c r="K3548" s="9" t="s">
        <v>8987</v>
      </c>
    </row>
    <row r="3549" spans="1:11">
      <c r="A3549" s="7">
        <v>3547</v>
      </c>
      <c r="B3549" s="7" t="s">
        <v>11105</v>
      </c>
      <c r="C3549" s="7" t="s">
        <v>8998</v>
      </c>
      <c r="D3549" s="7" t="s">
        <v>7548</v>
      </c>
      <c r="E3549" s="7" t="s">
        <v>13252</v>
      </c>
      <c r="F3549" s="8" t="s">
        <v>10234</v>
      </c>
      <c r="G3549" s="7">
        <v>4</v>
      </c>
      <c r="H3549" s="7" t="s">
        <v>9579</v>
      </c>
      <c r="I3549" s="7">
        <v>1</v>
      </c>
      <c r="J3549" s="7" t="s">
        <v>7617</v>
      </c>
      <c r="K3549" s="9" t="s">
        <v>8987</v>
      </c>
    </row>
    <row r="3550" spans="1:11">
      <c r="A3550" s="7">
        <v>3548</v>
      </c>
      <c r="B3550" s="7" t="s">
        <v>11105</v>
      </c>
      <c r="C3550" s="7" t="s">
        <v>8998</v>
      </c>
      <c r="D3550" s="7" t="s">
        <v>7548</v>
      </c>
      <c r="E3550" s="7" t="s">
        <v>13253</v>
      </c>
      <c r="F3550" s="8" t="s">
        <v>10234</v>
      </c>
      <c r="G3550" s="7">
        <v>4</v>
      </c>
      <c r="H3550" s="7" t="s">
        <v>9579</v>
      </c>
      <c r="I3550" s="7">
        <v>1</v>
      </c>
      <c r="J3550" s="7" t="s">
        <v>7617</v>
      </c>
      <c r="K3550" s="9" t="s">
        <v>8987</v>
      </c>
    </row>
    <row r="3551" spans="1:11">
      <c r="A3551" s="7">
        <v>3549</v>
      </c>
      <c r="B3551" s="7" t="s">
        <v>11105</v>
      </c>
      <c r="C3551" s="7" t="s">
        <v>8998</v>
      </c>
      <c r="D3551" s="7" t="s">
        <v>7548</v>
      </c>
      <c r="E3551" s="7" t="s">
        <v>13254</v>
      </c>
      <c r="F3551" s="8" t="s">
        <v>10234</v>
      </c>
      <c r="G3551" s="7">
        <v>4</v>
      </c>
      <c r="H3551" s="7" t="s">
        <v>9579</v>
      </c>
      <c r="I3551" s="7">
        <v>1</v>
      </c>
      <c r="J3551" s="7" t="s">
        <v>7617</v>
      </c>
      <c r="K3551" s="9" t="s">
        <v>8987</v>
      </c>
    </row>
    <row r="3552" spans="1:11">
      <c r="A3552" s="7">
        <v>3550</v>
      </c>
      <c r="B3552" s="7" t="s">
        <v>11105</v>
      </c>
      <c r="C3552" s="7" t="s">
        <v>8998</v>
      </c>
      <c r="D3552" s="7" t="s">
        <v>7548</v>
      </c>
      <c r="E3552" s="7" t="s">
        <v>13255</v>
      </c>
      <c r="F3552" s="8" t="s">
        <v>10242</v>
      </c>
      <c r="G3552" s="7">
        <v>3</v>
      </c>
      <c r="H3552" s="7" t="s">
        <v>9187</v>
      </c>
      <c r="I3552" s="7">
        <v>1</v>
      </c>
      <c r="J3552" s="7" t="s">
        <v>7872</v>
      </c>
      <c r="K3552" s="9" t="s">
        <v>8987</v>
      </c>
    </row>
    <row r="3553" spans="1:11">
      <c r="A3553" s="7">
        <v>3551</v>
      </c>
      <c r="B3553" s="7" t="s">
        <v>11105</v>
      </c>
      <c r="C3553" s="7" t="s">
        <v>8998</v>
      </c>
      <c r="D3553" s="7" t="s">
        <v>7548</v>
      </c>
      <c r="E3553" s="7" t="s">
        <v>13256</v>
      </c>
      <c r="F3553" s="8" t="s">
        <v>7548</v>
      </c>
      <c r="G3553" s="7">
        <v>6</v>
      </c>
      <c r="H3553" s="7" t="s">
        <v>9218</v>
      </c>
      <c r="I3553" s="7">
        <v>2</v>
      </c>
      <c r="J3553" s="7" t="s">
        <v>7874</v>
      </c>
      <c r="K3553" s="9" t="s">
        <v>8987</v>
      </c>
    </row>
    <row r="3554" spans="1:11">
      <c r="A3554" s="7">
        <v>3552</v>
      </c>
      <c r="B3554" s="7" t="s">
        <v>11105</v>
      </c>
      <c r="C3554" s="7" t="s">
        <v>8998</v>
      </c>
      <c r="D3554" s="7" t="s">
        <v>7548</v>
      </c>
      <c r="E3554" s="7" t="s">
        <v>13257</v>
      </c>
      <c r="F3554" s="8" t="s">
        <v>10222</v>
      </c>
      <c r="G3554" s="7">
        <v>4</v>
      </c>
      <c r="H3554" s="7" t="s">
        <v>9579</v>
      </c>
      <c r="I3554" s="7">
        <v>1</v>
      </c>
      <c r="J3554" s="7" t="s">
        <v>7617</v>
      </c>
      <c r="K3554" s="9" t="s">
        <v>8987</v>
      </c>
    </row>
    <row r="3555" spans="1:11">
      <c r="A3555" s="7">
        <v>3553</v>
      </c>
      <c r="B3555" s="7" t="s">
        <v>11105</v>
      </c>
      <c r="C3555" s="7" t="s">
        <v>8998</v>
      </c>
      <c r="D3555" s="7" t="s">
        <v>7548</v>
      </c>
      <c r="E3555" s="7" t="s">
        <v>13258</v>
      </c>
      <c r="F3555" s="8" t="s">
        <v>10227</v>
      </c>
      <c r="G3555" s="7">
        <v>20</v>
      </c>
      <c r="H3555" s="7" t="s">
        <v>9394</v>
      </c>
      <c r="I3555" s="7">
        <v>7</v>
      </c>
      <c r="J3555" s="7" t="s">
        <v>7873</v>
      </c>
      <c r="K3555" s="9" t="s">
        <v>8987</v>
      </c>
    </row>
    <row r="3556" spans="1:11">
      <c r="A3556" s="7">
        <v>3554</v>
      </c>
      <c r="B3556" s="7" t="s">
        <v>11105</v>
      </c>
      <c r="C3556" s="7" t="s">
        <v>8998</v>
      </c>
      <c r="D3556" s="7" t="s">
        <v>7548</v>
      </c>
      <c r="E3556" s="7" t="s">
        <v>13259</v>
      </c>
      <c r="F3556" s="8" t="s">
        <v>10227</v>
      </c>
      <c r="G3556" s="7">
        <v>20</v>
      </c>
      <c r="H3556" s="7" t="s">
        <v>9394</v>
      </c>
      <c r="I3556" s="7">
        <v>7</v>
      </c>
      <c r="J3556" s="7" t="s">
        <v>7873</v>
      </c>
      <c r="K3556" s="9" t="s">
        <v>8987</v>
      </c>
    </row>
    <row r="3557" spans="1:11">
      <c r="A3557" s="7">
        <v>3555</v>
      </c>
      <c r="B3557" s="7" t="s">
        <v>11105</v>
      </c>
      <c r="C3557" s="7" t="s">
        <v>8998</v>
      </c>
      <c r="D3557" s="7" t="s">
        <v>7548</v>
      </c>
      <c r="E3557" s="7" t="s">
        <v>13260</v>
      </c>
      <c r="F3557" s="8" t="s">
        <v>10227</v>
      </c>
      <c r="G3557" s="7">
        <v>20</v>
      </c>
      <c r="H3557" s="7" t="s">
        <v>9394</v>
      </c>
      <c r="I3557" s="7">
        <v>7</v>
      </c>
      <c r="J3557" s="7" t="s">
        <v>7873</v>
      </c>
      <c r="K3557" s="9" t="s">
        <v>8987</v>
      </c>
    </row>
    <row r="3558" spans="1:11">
      <c r="A3558" s="7">
        <v>3556</v>
      </c>
      <c r="B3558" s="7" t="s">
        <v>11105</v>
      </c>
      <c r="C3558" s="7" t="s">
        <v>8998</v>
      </c>
      <c r="D3558" s="7" t="s">
        <v>7548</v>
      </c>
      <c r="E3558" s="7" t="s">
        <v>13261</v>
      </c>
      <c r="F3558" s="8" t="s">
        <v>10227</v>
      </c>
      <c r="G3558" s="7">
        <v>20</v>
      </c>
      <c r="H3558" s="7" t="s">
        <v>9394</v>
      </c>
      <c r="I3558" s="7">
        <v>7</v>
      </c>
      <c r="J3558" s="7" t="s">
        <v>7873</v>
      </c>
      <c r="K3558" s="9" t="s">
        <v>8987</v>
      </c>
    </row>
    <row r="3559" spans="1:11">
      <c r="A3559" s="7">
        <v>3557</v>
      </c>
      <c r="B3559" s="7" t="s">
        <v>11105</v>
      </c>
      <c r="C3559" s="7" t="s">
        <v>8998</v>
      </c>
      <c r="D3559" s="7" t="s">
        <v>7548</v>
      </c>
      <c r="E3559" s="7" t="s">
        <v>13262</v>
      </c>
      <c r="F3559" s="8" t="s">
        <v>10271</v>
      </c>
      <c r="G3559" s="7">
        <v>4</v>
      </c>
      <c r="H3559" s="7" t="s">
        <v>9579</v>
      </c>
      <c r="I3559" s="7">
        <v>1</v>
      </c>
      <c r="J3559" s="7" t="s">
        <v>7617</v>
      </c>
      <c r="K3559" s="9" t="s">
        <v>8987</v>
      </c>
    </row>
    <row r="3560" spans="1:11">
      <c r="A3560" s="7">
        <v>3558</v>
      </c>
      <c r="B3560" s="7" t="s">
        <v>11105</v>
      </c>
      <c r="C3560" s="7" t="s">
        <v>8998</v>
      </c>
      <c r="D3560" s="7" t="s">
        <v>7548</v>
      </c>
      <c r="E3560" s="7" t="s">
        <v>13263</v>
      </c>
      <c r="F3560" s="8" t="s">
        <v>10274</v>
      </c>
      <c r="G3560" s="7">
        <v>20</v>
      </c>
      <c r="H3560" s="7" t="s">
        <v>9394</v>
      </c>
      <c r="I3560" s="7">
        <v>1</v>
      </c>
      <c r="J3560" s="7" t="s">
        <v>7851</v>
      </c>
      <c r="K3560" s="9" t="s">
        <v>8987</v>
      </c>
    </row>
    <row r="3561" spans="1:11">
      <c r="A3561" s="7">
        <v>3559</v>
      </c>
      <c r="B3561" s="7" t="s">
        <v>11105</v>
      </c>
      <c r="C3561" s="7" t="s">
        <v>8998</v>
      </c>
      <c r="D3561" s="7" t="s">
        <v>7548</v>
      </c>
      <c r="E3561" s="7" t="s">
        <v>13264</v>
      </c>
      <c r="F3561" s="8" t="s">
        <v>10278</v>
      </c>
      <c r="G3561" s="7">
        <v>3</v>
      </c>
      <c r="H3561" s="7" t="s">
        <v>9187</v>
      </c>
      <c r="I3561" s="7">
        <v>1</v>
      </c>
      <c r="J3561" s="7" t="s">
        <v>7872</v>
      </c>
      <c r="K3561" s="9" t="s">
        <v>8987</v>
      </c>
    </row>
    <row r="3562" spans="1:11">
      <c r="A3562" s="7">
        <v>3560</v>
      </c>
      <c r="B3562" s="7" t="s">
        <v>11105</v>
      </c>
      <c r="C3562" s="7" t="s">
        <v>8998</v>
      </c>
      <c r="D3562" s="7" t="s">
        <v>7548</v>
      </c>
      <c r="E3562" s="7" t="s">
        <v>13265</v>
      </c>
      <c r="F3562" s="8" t="s">
        <v>10281</v>
      </c>
      <c r="G3562" s="7">
        <v>4</v>
      </c>
      <c r="H3562" s="7" t="s">
        <v>9579</v>
      </c>
      <c r="I3562" s="7">
        <v>1</v>
      </c>
      <c r="J3562" s="7" t="s">
        <v>7617</v>
      </c>
      <c r="K3562" s="9" t="s">
        <v>8987</v>
      </c>
    </row>
    <row r="3563" spans="1:11">
      <c r="A3563" s="7">
        <v>3561</v>
      </c>
      <c r="B3563" s="7" t="s">
        <v>11105</v>
      </c>
      <c r="C3563" s="7" t="s">
        <v>8998</v>
      </c>
      <c r="D3563" s="7" t="s">
        <v>7548</v>
      </c>
      <c r="E3563" s="7" t="s">
        <v>13266</v>
      </c>
      <c r="F3563" s="8" t="s">
        <v>10283</v>
      </c>
      <c r="G3563" s="7">
        <v>4</v>
      </c>
      <c r="H3563" s="7" t="s">
        <v>9579</v>
      </c>
      <c r="I3563" s="7">
        <v>1</v>
      </c>
      <c r="J3563" s="7" t="s">
        <v>7617</v>
      </c>
      <c r="K3563" s="9" t="s">
        <v>8987</v>
      </c>
    </row>
    <row r="3564" spans="1:11">
      <c r="A3564" s="7">
        <v>3562</v>
      </c>
      <c r="B3564" s="7" t="s">
        <v>11105</v>
      </c>
      <c r="C3564" s="7" t="s">
        <v>8998</v>
      </c>
      <c r="D3564" s="7" t="s">
        <v>7581</v>
      </c>
      <c r="E3564" s="7" t="s">
        <v>13267</v>
      </c>
      <c r="F3564" s="8" t="s">
        <v>9453</v>
      </c>
      <c r="G3564" s="7">
        <v>80</v>
      </c>
      <c r="H3564" s="7" t="s">
        <v>9153</v>
      </c>
      <c r="I3564" s="7">
        <v>1</v>
      </c>
      <c r="J3564" s="7" t="s">
        <v>7867</v>
      </c>
      <c r="K3564" s="9" t="s">
        <v>8987</v>
      </c>
    </row>
    <row r="3565" spans="1:11">
      <c r="A3565" s="7">
        <v>3563</v>
      </c>
      <c r="B3565" s="7" t="s">
        <v>11105</v>
      </c>
      <c r="C3565" s="7" t="s">
        <v>8998</v>
      </c>
      <c r="D3565" s="7" t="s">
        <v>7581</v>
      </c>
      <c r="E3565" s="7" t="s">
        <v>13268</v>
      </c>
      <c r="F3565" s="8" t="s">
        <v>10049</v>
      </c>
      <c r="G3565" s="7">
        <v>33</v>
      </c>
      <c r="H3565" s="7" t="s">
        <v>11346</v>
      </c>
      <c r="I3565" s="7">
        <v>1</v>
      </c>
      <c r="J3565" s="7" t="s">
        <v>7887</v>
      </c>
      <c r="K3565" s="9" t="s">
        <v>8987</v>
      </c>
    </row>
    <row r="3566" spans="1:11">
      <c r="A3566" s="7">
        <v>3564</v>
      </c>
      <c r="B3566" s="7" t="s">
        <v>11105</v>
      </c>
      <c r="C3566" s="7" t="s">
        <v>8998</v>
      </c>
      <c r="D3566" s="7" t="s">
        <v>7581</v>
      </c>
      <c r="E3566" s="7" t="s">
        <v>13269</v>
      </c>
      <c r="F3566" s="8" t="s">
        <v>9648</v>
      </c>
      <c r="G3566" s="7">
        <v>100</v>
      </c>
      <c r="H3566" s="7" t="s">
        <v>9046</v>
      </c>
      <c r="I3566" s="7">
        <v>1</v>
      </c>
      <c r="J3566" s="7" t="s">
        <v>7878</v>
      </c>
      <c r="K3566" s="9" t="s">
        <v>8987</v>
      </c>
    </row>
    <row r="3567" spans="1:11">
      <c r="A3567" s="7">
        <v>3565</v>
      </c>
      <c r="B3567" s="7" t="s">
        <v>11105</v>
      </c>
      <c r="C3567" s="7" t="s">
        <v>8998</v>
      </c>
      <c r="D3567" s="7" t="s">
        <v>7581</v>
      </c>
      <c r="E3567" s="7" t="s">
        <v>13270</v>
      </c>
      <c r="F3567" s="8" t="s">
        <v>9805</v>
      </c>
      <c r="G3567" s="7">
        <v>16</v>
      </c>
      <c r="H3567" s="7" t="s">
        <v>9215</v>
      </c>
      <c r="I3567" s="7">
        <v>1</v>
      </c>
      <c r="J3567" s="7" t="s">
        <v>7882</v>
      </c>
      <c r="K3567" s="9" t="s">
        <v>8987</v>
      </c>
    </row>
    <row r="3568" spans="1:11">
      <c r="A3568" s="7">
        <v>3566</v>
      </c>
      <c r="B3568" s="7" t="s">
        <v>11105</v>
      </c>
      <c r="C3568" s="7" t="s">
        <v>8998</v>
      </c>
      <c r="D3568" s="7" t="s">
        <v>7581</v>
      </c>
      <c r="E3568" s="7" t="s">
        <v>13271</v>
      </c>
      <c r="F3568" s="8" t="s">
        <v>9812</v>
      </c>
      <c r="G3568" s="7">
        <v>11</v>
      </c>
      <c r="H3568" s="7" t="s">
        <v>9386</v>
      </c>
      <c r="I3568" s="7">
        <v>1</v>
      </c>
      <c r="J3568" s="7" t="s">
        <v>7865</v>
      </c>
      <c r="K3568" s="9" t="s">
        <v>8987</v>
      </c>
    </row>
    <row r="3569" spans="1:11">
      <c r="A3569" s="7">
        <v>3567</v>
      </c>
      <c r="B3569" s="7" t="s">
        <v>11105</v>
      </c>
      <c r="C3569" s="7" t="s">
        <v>8998</v>
      </c>
      <c r="D3569" s="7" t="s">
        <v>7581</v>
      </c>
      <c r="E3569" s="7" t="s">
        <v>13272</v>
      </c>
      <c r="F3569" s="8" t="s">
        <v>10029</v>
      </c>
      <c r="G3569" s="7">
        <v>12</v>
      </c>
      <c r="H3569" s="7" t="s">
        <v>9213</v>
      </c>
      <c r="I3569" s="7">
        <v>1</v>
      </c>
      <c r="J3569" s="7" t="s">
        <v>7864</v>
      </c>
      <c r="K3569" s="9" t="s">
        <v>8987</v>
      </c>
    </row>
    <row r="3570" spans="1:11">
      <c r="A3570" s="7">
        <v>3568</v>
      </c>
      <c r="B3570" s="7" t="s">
        <v>11105</v>
      </c>
      <c r="C3570" s="7" t="s">
        <v>8998</v>
      </c>
      <c r="D3570" s="7" t="s">
        <v>7556</v>
      </c>
      <c r="E3570" s="7" t="s">
        <v>13273</v>
      </c>
      <c r="F3570" s="8" t="s">
        <v>10029</v>
      </c>
      <c r="G3570" s="7">
        <v>12</v>
      </c>
      <c r="H3570" s="7" t="s">
        <v>9213</v>
      </c>
      <c r="I3570" s="7">
        <v>1</v>
      </c>
      <c r="J3570" s="7" t="s">
        <v>7864</v>
      </c>
      <c r="K3570" s="9" t="s">
        <v>8987</v>
      </c>
    </row>
    <row r="3571" spans="1:11">
      <c r="A3571" s="7">
        <v>3569</v>
      </c>
      <c r="B3571" s="7" t="s">
        <v>11105</v>
      </c>
      <c r="C3571" s="7" t="s">
        <v>8998</v>
      </c>
      <c r="D3571" s="7" t="s">
        <v>7555</v>
      </c>
      <c r="E3571" s="7" t="s">
        <v>13274</v>
      </c>
      <c r="F3571" s="8" t="s">
        <v>9782</v>
      </c>
      <c r="G3571" s="7">
        <v>300</v>
      </c>
      <c r="H3571" s="7" t="s">
        <v>9585</v>
      </c>
      <c r="I3571" s="7">
        <v>1</v>
      </c>
      <c r="J3571" s="7" t="s">
        <v>7886</v>
      </c>
      <c r="K3571" s="9" t="s">
        <v>8987</v>
      </c>
    </row>
    <row r="3572" spans="1:11">
      <c r="A3572" s="7">
        <v>3570</v>
      </c>
      <c r="B3572" s="7" t="s">
        <v>11105</v>
      </c>
      <c r="C3572" s="7" t="s">
        <v>8998</v>
      </c>
      <c r="D3572" s="7" t="s">
        <v>7551</v>
      </c>
      <c r="E3572" s="7" t="s">
        <v>13275</v>
      </c>
      <c r="F3572" s="8" t="s">
        <v>9357</v>
      </c>
      <c r="G3572" s="7">
        <v>12</v>
      </c>
      <c r="H3572" s="7" t="s">
        <v>9213</v>
      </c>
      <c r="I3572" s="7">
        <v>1</v>
      </c>
      <c r="J3572" s="7" t="s">
        <v>7864</v>
      </c>
      <c r="K3572" s="9" t="s">
        <v>8987</v>
      </c>
    </row>
    <row r="3573" spans="1:11">
      <c r="A3573" s="7">
        <v>3571</v>
      </c>
      <c r="B3573" s="7" t="s">
        <v>11105</v>
      </c>
      <c r="C3573" s="7" t="s">
        <v>8998</v>
      </c>
      <c r="D3573" s="7" t="s">
        <v>7551</v>
      </c>
      <c r="E3573" s="7" t="s">
        <v>13276</v>
      </c>
      <c r="F3573" s="8" t="s">
        <v>9288</v>
      </c>
      <c r="G3573" s="7">
        <v>80</v>
      </c>
      <c r="H3573" s="7" t="s">
        <v>9153</v>
      </c>
      <c r="I3573" s="7">
        <v>1</v>
      </c>
      <c r="J3573" s="7" t="s">
        <v>7867</v>
      </c>
      <c r="K3573" s="9" t="s">
        <v>8987</v>
      </c>
    </row>
    <row r="3574" spans="1:11">
      <c r="A3574" s="7">
        <v>3572</v>
      </c>
      <c r="B3574" s="7" t="s">
        <v>11105</v>
      </c>
      <c r="C3574" s="7" t="s">
        <v>8998</v>
      </c>
      <c r="D3574" s="7" t="s">
        <v>7551</v>
      </c>
      <c r="E3574" s="7" t="s">
        <v>13277</v>
      </c>
      <c r="F3574" s="8" t="s">
        <v>9192</v>
      </c>
      <c r="G3574" s="7">
        <v>100</v>
      </c>
      <c r="H3574" s="7" t="s">
        <v>9046</v>
      </c>
      <c r="I3574" s="7">
        <v>1</v>
      </c>
      <c r="J3574" s="7" t="s">
        <v>7878</v>
      </c>
      <c r="K3574" s="9" t="s">
        <v>8987</v>
      </c>
    </row>
    <row r="3575" spans="1:11">
      <c r="A3575" s="7">
        <v>3573</v>
      </c>
      <c r="B3575" s="7" t="s">
        <v>11105</v>
      </c>
      <c r="C3575" s="7" t="s">
        <v>8998</v>
      </c>
      <c r="D3575" s="7" t="s">
        <v>7549</v>
      </c>
      <c r="E3575" s="7" t="s">
        <v>13278</v>
      </c>
      <c r="F3575" s="8" t="s">
        <v>10111</v>
      </c>
      <c r="G3575" s="7">
        <v>17</v>
      </c>
      <c r="H3575" s="7" t="s">
        <v>9146</v>
      </c>
      <c r="I3575" s="7">
        <v>1</v>
      </c>
      <c r="J3575" s="7" t="s">
        <v>7850</v>
      </c>
      <c r="K3575" s="9" t="s">
        <v>8987</v>
      </c>
    </row>
    <row r="3576" spans="1:11">
      <c r="A3576" s="7">
        <v>3574</v>
      </c>
      <c r="B3576" s="7" t="s">
        <v>11105</v>
      </c>
      <c r="C3576" s="7" t="s">
        <v>8998</v>
      </c>
      <c r="D3576" s="7" t="s">
        <v>7555</v>
      </c>
      <c r="E3576" s="7" t="s">
        <v>13279</v>
      </c>
      <c r="F3576" s="8" t="s">
        <v>9621</v>
      </c>
      <c r="G3576" s="7">
        <v>2</v>
      </c>
      <c r="H3576" s="7" t="s">
        <v>10476</v>
      </c>
      <c r="I3576" s="7">
        <v>1</v>
      </c>
      <c r="J3576" s="7" t="s">
        <v>7861</v>
      </c>
      <c r="K3576" s="9" t="s">
        <v>8987</v>
      </c>
    </row>
    <row r="3577" spans="1:11">
      <c r="A3577" s="7">
        <v>3575</v>
      </c>
      <c r="B3577" s="7" t="s">
        <v>11105</v>
      </c>
      <c r="C3577" s="7" t="s">
        <v>8998</v>
      </c>
      <c r="D3577" s="7" t="s">
        <v>7549</v>
      </c>
      <c r="E3577" s="7" t="s">
        <v>13280</v>
      </c>
      <c r="F3577" s="8" t="s">
        <v>9957</v>
      </c>
      <c r="G3577" s="7">
        <v>500</v>
      </c>
      <c r="H3577" s="7" t="s">
        <v>9597</v>
      </c>
      <c r="I3577" s="7">
        <v>1</v>
      </c>
      <c r="J3577" s="7" t="s">
        <v>7876</v>
      </c>
      <c r="K3577" s="9" t="s">
        <v>8987</v>
      </c>
    </row>
    <row r="3578" spans="1:11">
      <c r="A3578" s="7">
        <v>3576</v>
      </c>
      <c r="B3578" s="7" t="s">
        <v>11105</v>
      </c>
      <c r="C3578" s="7" t="s">
        <v>8998</v>
      </c>
      <c r="D3578" s="7" t="s">
        <v>7549</v>
      </c>
      <c r="E3578" s="7" t="s">
        <v>13281</v>
      </c>
      <c r="F3578" s="8" t="s">
        <v>10215</v>
      </c>
      <c r="G3578" s="7">
        <v>170</v>
      </c>
      <c r="H3578" s="7" t="s">
        <v>13282</v>
      </c>
      <c r="I3578" s="7">
        <v>1</v>
      </c>
      <c r="J3578" s="7" t="s">
        <v>7877</v>
      </c>
      <c r="K3578" s="9" t="s">
        <v>8987</v>
      </c>
    </row>
    <row r="3579" spans="1:11">
      <c r="A3579" s="7">
        <v>3577</v>
      </c>
      <c r="B3579" s="7" t="s">
        <v>11105</v>
      </c>
      <c r="C3579" s="7" t="s">
        <v>8998</v>
      </c>
      <c r="D3579" s="7" t="s">
        <v>7573</v>
      </c>
      <c r="E3579" s="7" t="s">
        <v>13283</v>
      </c>
      <c r="F3579" s="8" t="s">
        <v>10156</v>
      </c>
      <c r="G3579" s="7">
        <v>55</v>
      </c>
      <c r="H3579" s="7" t="s">
        <v>9548</v>
      </c>
      <c r="I3579" s="7">
        <v>1</v>
      </c>
      <c r="J3579" s="7" t="s">
        <v>7858</v>
      </c>
      <c r="K3579" s="9" t="s">
        <v>8987</v>
      </c>
    </row>
    <row r="3580" spans="1:11">
      <c r="A3580" s="7">
        <v>3578</v>
      </c>
      <c r="B3580" s="7" t="s">
        <v>11105</v>
      </c>
      <c r="C3580" s="7" t="s">
        <v>8998</v>
      </c>
      <c r="D3580" s="7" t="s">
        <v>7549</v>
      </c>
      <c r="E3580" s="7" t="s">
        <v>13284</v>
      </c>
      <c r="F3580" s="8" t="s">
        <v>9717</v>
      </c>
      <c r="G3580" s="7">
        <v>100</v>
      </c>
      <c r="H3580" s="7" t="s">
        <v>9046</v>
      </c>
      <c r="I3580" s="7">
        <v>1</v>
      </c>
      <c r="J3580" s="7" t="s">
        <v>7878</v>
      </c>
      <c r="K3580" s="9" t="s">
        <v>8987</v>
      </c>
    </row>
    <row r="3581" spans="1:11">
      <c r="A3581" s="7">
        <v>3579</v>
      </c>
      <c r="B3581" s="7" t="s">
        <v>11105</v>
      </c>
      <c r="C3581" s="7" t="s">
        <v>8998</v>
      </c>
      <c r="D3581" s="7" t="s">
        <v>7549</v>
      </c>
      <c r="E3581" s="7" t="s">
        <v>13285</v>
      </c>
      <c r="F3581" s="8" t="s">
        <v>9979</v>
      </c>
      <c r="G3581" s="7">
        <v>500</v>
      </c>
      <c r="H3581" s="7" t="s">
        <v>9597</v>
      </c>
      <c r="I3581" s="7">
        <v>1</v>
      </c>
      <c r="J3581" s="7" t="s">
        <v>7876</v>
      </c>
      <c r="K3581" s="9" t="s">
        <v>8987</v>
      </c>
    </row>
    <row r="3582" spans="1:11">
      <c r="A3582" s="7">
        <v>3580</v>
      </c>
      <c r="B3582" s="7" t="s">
        <v>11105</v>
      </c>
      <c r="C3582" s="7" t="s">
        <v>8998</v>
      </c>
      <c r="D3582" s="7" t="s">
        <v>7542</v>
      </c>
      <c r="E3582" s="7" t="s">
        <v>13286</v>
      </c>
      <c r="F3582" s="8" t="s">
        <v>9310</v>
      </c>
      <c r="G3582" s="7">
        <v>55</v>
      </c>
      <c r="H3582" s="7" t="s">
        <v>9548</v>
      </c>
      <c r="I3582" s="7">
        <v>1</v>
      </c>
      <c r="J3582" s="7" t="s">
        <v>7858</v>
      </c>
      <c r="K3582" s="9" t="s">
        <v>8987</v>
      </c>
    </row>
    <row r="3583" spans="1:11">
      <c r="A3583" s="7">
        <v>3581</v>
      </c>
      <c r="B3583" s="7" t="s">
        <v>11105</v>
      </c>
      <c r="C3583" s="7" t="s">
        <v>8998</v>
      </c>
      <c r="D3583" s="7" t="s">
        <v>7542</v>
      </c>
      <c r="E3583" s="7" t="s">
        <v>13287</v>
      </c>
      <c r="F3583" s="12" t="s">
        <v>9369</v>
      </c>
      <c r="G3583" s="7">
        <v>75</v>
      </c>
      <c r="H3583" s="7" t="s">
        <v>9265</v>
      </c>
      <c r="I3583" s="7">
        <v>1</v>
      </c>
      <c r="J3583" s="7" t="s">
        <v>7859</v>
      </c>
      <c r="K3583" s="9" t="s">
        <v>8987</v>
      </c>
    </row>
    <row r="3584" spans="1:11">
      <c r="A3584" s="7">
        <v>3582</v>
      </c>
      <c r="B3584" s="7" t="s">
        <v>11105</v>
      </c>
      <c r="C3584" s="7" t="s">
        <v>8998</v>
      </c>
      <c r="D3584" s="7" t="s">
        <v>7542</v>
      </c>
      <c r="E3584" s="7" t="s">
        <v>13288</v>
      </c>
      <c r="F3584" s="8" t="s">
        <v>9159</v>
      </c>
      <c r="G3584" s="7">
        <v>40</v>
      </c>
      <c r="H3584" s="7" t="s">
        <v>9003</v>
      </c>
      <c r="I3584" s="7">
        <v>1</v>
      </c>
      <c r="J3584" s="7" t="s">
        <v>7860</v>
      </c>
      <c r="K3584" s="9" t="s">
        <v>8987</v>
      </c>
    </row>
    <row r="3585" spans="1:11">
      <c r="A3585" s="7">
        <v>3583</v>
      </c>
      <c r="B3585" s="7" t="s">
        <v>11105</v>
      </c>
      <c r="C3585" s="7" t="s">
        <v>8998</v>
      </c>
      <c r="D3585" s="7" t="s">
        <v>7542</v>
      </c>
      <c r="E3585" s="7" t="s">
        <v>13289</v>
      </c>
      <c r="F3585" s="8" t="s">
        <v>9881</v>
      </c>
      <c r="G3585" s="7">
        <v>2</v>
      </c>
      <c r="H3585" s="7" t="s">
        <v>10476</v>
      </c>
      <c r="I3585" s="7">
        <v>1</v>
      </c>
      <c r="J3585" s="7" t="s">
        <v>7861</v>
      </c>
      <c r="K3585" s="9" t="s">
        <v>8987</v>
      </c>
    </row>
    <row r="3586" spans="1:11">
      <c r="A3586" s="7">
        <v>3584</v>
      </c>
      <c r="B3586" s="7" t="s">
        <v>11105</v>
      </c>
      <c r="C3586" s="7" t="s">
        <v>8998</v>
      </c>
      <c r="D3586" s="7" t="s">
        <v>7550</v>
      </c>
      <c r="E3586" s="7" t="s">
        <v>13290</v>
      </c>
      <c r="F3586" s="8" t="s">
        <v>7893</v>
      </c>
      <c r="G3586" s="7">
        <v>10</v>
      </c>
      <c r="H3586" s="7" t="s">
        <v>9292</v>
      </c>
      <c r="I3586" s="7">
        <v>1</v>
      </c>
      <c r="J3586" s="7" t="s">
        <v>7768</v>
      </c>
      <c r="K3586" s="9" t="s">
        <v>8987</v>
      </c>
    </row>
    <row r="3587" spans="1:11">
      <c r="A3587" s="7">
        <v>3585</v>
      </c>
      <c r="B3587" s="7" t="s">
        <v>11105</v>
      </c>
      <c r="C3587" s="7" t="s">
        <v>8998</v>
      </c>
      <c r="D3587" s="7" t="s">
        <v>7550</v>
      </c>
      <c r="E3587" s="7" t="s">
        <v>13291</v>
      </c>
      <c r="F3587" s="8" t="s">
        <v>9043</v>
      </c>
      <c r="G3587" s="7">
        <v>15</v>
      </c>
      <c r="H3587" s="7" t="s">
        <v>9053</v>
      </c>
      <c r="I3587" s="7">
        <v>1</v>
      </c>
      <c r="J3587" s="7" t="s">
        <v>7862</v>
      </c>
      <c r="K3587" s="9" t="s">
        <v>8987</v>
      </c>
    </row>
    <row r="3588" spans="1:11">
      <c r="A3588" s="7">
        <v>3586</v>
      </c>
      <c r="B3588" s="7" t="s">
        <v>11105</v>
      </c>
      <c r="C3588" s="7" t="s">
        <v>8998</v>
      </c>
      <c r="D3588" s="7" t="s">
        <v>7556</v>
      </c>
      <c r="E3588" s="7" t="s">
        <v>13292</v>
      </c>
      <c r="F3588" s="8" t="s">
        <v>9595</v>
      </c>
      <c r="G3588" s="7">
        <v>60</v>
      </c>
      <c r="H3588" s="7" t="s">
        <v>9289</v>
      </c>
      <c r="I3588" s="7">
        <v>1</v>
      </c>
      <c r="J3588" s="7" t="s">
        <v>7870</v>
      </c>
      <c r="K3588" s="9" t="s">
        <v>8987</v>
      </c>
    </row>
    <row r="3589" spans="1:11">
      <c r="A3589" s="7">
        <v>3587</v>
      </c>
      <c r="B3589" s="7" t="s">
        <v>11105</v>
      </c>
      <c r="C3589" s="7" t="s">
        <v>8998</v>
      </c>
      <c r="D3589" s="7" t="s">
        <v>7556</v>
      </c>
      <c r="E3589" s="7" t="s">
        <v>13293</v>
      </c>
      <c r="F3589" s="8" t="s">
        <v>9595</v>
      </c>
      <c r="G3589" s="7">
        <v>60</v>
      </c>
      <c r="H3589" s="7" t="s">
        <v>9289</v>
      </c>
      <c r="I3589" s="7">
        <v>1</v>
      </c>
      <c r="J3589" s="7" t="s">
        <v>7870</v>
      </c>
      <c r="K3589" s="9" t="s">
        <v>8987</v>
      </c>
    </row>
    <row r="3590" spans="1:11">
      <c r="A3590" s="7">
        <v>3588</v>
      </c>
      <c r="B3590" s="7" t="s">
        <v>11105</v>
      </c>
      <c r="C3590" s="7" t="s">
        <v>8998</v>
      </c>
      <c r="D3590" s="7" t="s">
        <v>7556</v>
      </c>
      <c r="E3590" s="7" t="s">
        <v>13294</v>
      </c>
      <c r="F3590" s="8" t="s">
        <v>9595</v>
      </c>
      <c r="G3590" s="7">
        <v>60</v>
      </c>
      <c r="H3590" s="7" t="s">
        <v>9289</v>
      </c>
      <c r="I3590" s="7">
        <v>1</v>
      </c>
      <c r="J3590" s="7" t="s">
        <v>7870</v>
      </c>
      <c r="K3590" s="9" t="s">
        <v>8987</v>
      </c>
    </row>
    <row r="3591" spans="1:11">
      <c r="A3591" s="7">
        <v>3589</v>
      </c>
      <c r="B3591" s="7" t="s">
        <v>11105</v>
      </c>
      <c r="C3591" s="7" t="s">
        <v>8998</v>
      </c>
      <c r="D3591" s="7" t="s">
        <v>7556</v>
      </c>
      <c r="E3591" s="7" t="s">
        <v>13295</v>
      </c>
      <c r="F3591" s="8" t="s">
        <v>9595</v>
      </c>
      <c r="G3591" s="7">
        <v>60</v>
      </c>
      <c r="H3591" s="7" t="s">
        <v>9289</v>
      </c>
      <c r="I3591" s="7">
        <v>1</v>
      </c>
      <c r="J3591" s="7" t="s">
        <v>7870</v>
      </c>
      <c r="K3591" s="9" t="s">
        <v>8987</v>
      </c>
    </row>
    <row r="3592" spans="1:11">
      <c r="A3592" s="7">
        <v>3590</v>
      </c>
      <c r="B3592" s="7" t="s">
        <v>11105</v>
      </c>
      <c r="C3592" s="7" t="s">
        <v>8998</v>
      </c>
      <c r="D3592" s="7" t="s">
        <v>7556</v>
      </c>
      <c r="E3592" s="7" t="s">
        <v>13296</v>
      </c>
      <c r="F3592" s="8" t="s">
        <v>9595</v>
      </c>
      <c r="G3592" s="7">
        <v>60</v>
      </c>
      <c r="H3592" s="7" t="s">
        <v>9289</v>
      </c>
      <c r="I3592" s="7">
        <v>1</v>
      </c>
      <c r="J3592" s="7" t="s">
        <v>7870</v>
      </c>
      <c r="K3592" s="9" t="s">
        <v>8987</v>
      </c>
    </row>
    <row r="3593" spans="1:11">
      <c r="A3593" s="7">
        <v>3591</v>
      </c>
      <c r="B3593" s="7" t="s">
        <v>11105</v>
      </c>
      <c r="C3593" s="7" t="s">
        <v>8998</v>
      </c>
      <c r="D3593" s="7" t="s">
        <v>7556</v>
      </c>
      <c r="E3593" s="7" t="s">
        <v>13297</v>
      </c>
      <c r="F3593" s="8" t="s">
        <v>10029</v>
      </c>
      <c r="G3593" s="7">
        <v>0</v>
      </c>
      <c r="H3593" s="7" t="s">
        <v>8984</v>
      </c>
      <c r="I3593" s="7">
        <v>1</v>
      </c>
      <c r="J3593" s="7" t="s">
        <v>7838</v>
      </c>
      <c r="K3593" s="9" t="s">
        <v>8987</v>
      </c>
    </row>
    <row r="3594" spans="1:11">
      <c r="A3594" s="7">
        <v>3592</v>
      </c>
      <c r="B3594" s="7" t="s">
        <v>11105</v>
      </c>
      <c r="C3594" s="7" t="s">
        <v>8998</v>
      </c>
      <c r="D3594" s="7" t="s">
        <v>7548</v>
      </c>
      <c r="E3594" s="7" t="s">
        <v>13298</v>
      </c>
      <c r="F3594" s="8" t="s">
        <v>10276</v>
      </c>
      <c r="G3594" s="7">
        <v>7</v>
      </c>
      <c r="H3594" s="7" t="s">
        <v>9182</v>
      </c>
      <c r="I3594" s="7">
        <v>3</v>
      </c>
      <c r="J3594" s="7" t="s">
        <v>7875</v>
      </c>
      <c r="K3594" s="9" t="s">
        <v>8987</v>
      </c>
    </row>
    <row r="3595" spans="1:11">
      <c r="A3595" s="7">
        <v>3593</v>
      </c>
      <c r="B3595" s="7" t="s">
        <v>11105</v>
      </c>
      <c r="C3595" s="7" t="s">
        <v>8991</v>
      </c>
      <c r="D3595" s="7" t="s">
        <v>7549</v>
      </c>
      <c r="E3595" s="7" t="s">
        <v>13299</v>
      </c>
      <c r="F3595" s="8" t="s">
        <v>13300</v>
      </c>
      <c r="G3595" s="7">
        <v>0</v>
      </c>
      <c r="H3595" s="7" t="s">
        <v>8984</v>
      </c>
      <c r="I3595" s="7">
        <v>1</v>
      </c>
      <c r="J3595" s="7" t="s">
        <v>7838</v>
      </c>
      <c r="K3595" s="9" t="s">
        <v>8987</v>
      </c>
    </row>
    <row r="3596" spans="1:11">
      <c r="A3596" s="7">
        <v>3594</v>
      </c>
      <c r="B3596" s="7" t="s">
        <v>11105</v>
      </c>
      <c r="C3596" s="7" t="s">
        <v>8984</v>
      </c>
      <c r="D3596" s="7" t="s">
        <v>7549</v>
      </c>
      <c r="E3596" s="7" t="s">
        <v>13301</v>
      </c>
      <c r="F3596" s="8" t="s">
        <v>2579</v>
      </c>
      <c r="G3596" s="7">
        <v>0</v>
      </c>
      <c r="H3596" s="7" t="s">
        <v>8984</v>
      </c>
      <c r="I3596" s="7">
        <v>1</v>
      </c>
      <c r="J3596" s="7" t="s">
        <v>7838</v>
      </c>
      <c r="K3596" s="9" t="s">
        <v>8987</v>
      </c>
    </row>
    <row r="3597" spans="1:11">
      <c r="A3597" s="7">
        <v>3595</v>
      </c>
      <c r="B3597" s="7" t="s">
        <v>11105</v>
      </c>
      <c r="C3597" s="7" t="s">
        <v>8998</v>
      </c>
      <c r="D3597" s="7" t="s">
        <v>7566</v>
      </c>
      <c r="E3597" s="7" t="s">
        <v>13302</v>
      </c>
      <c r="F3597" s="8" t="s">
        <v>10109</v>
      </c>
      <c r="G3597" s="7">
        <v>15</v>
      </c>
      <c r="H3597" s="7" t="s">
        <v>9053</v>
      </c>
      <c r="I3597" s="7">
        <v>1</v>
      </c>
      <c r="J3597" s="7" t="s">
        <v>7862</v>
      </c>
      <c r="K3597" s="9" t="s">
        <v>8987</v>
      </c>
    </row>
    <row r="3598" spans="1:11">
      <c r="A3598" s="7">
        <v>3596</v>
      </c>
      <c r="B3598" s="7" t="s">
        <v>9208</v>
      </c>
      <c r="C3598" s="7" t="s">
        <v>8984</v>
      </c>
      <c r="D3598" s="7" t="s">
        <v>7549</v>
      </c>
      <c r="E3598" s="7" t="s">
        <v>13303</v>
      </c>
      <c r="F3598" s="8" t="s">
        <v>3230</v>
      </c>
      <c r="G3598" s="7">
        <v>0</v>
      </c>
      <c r="H3598" s="7" t="s">
        <v>8984</v>
      </c>
      <c r="I3598" s="7">
        <v>1</v>
      </c>
      <c r="J3598" s="7" t="s">
        <v>7838</v>
      </c>
      <c r="K3598" s="9" t="s">
        <v>8987</v>
      </c>
    </row>
    <row r="3599" spans="1:11">
      <c r="A3599" s="7">
        <v>3597</v>
      </c>
      <c r="B3599" s="7" t="s">
        <v>9208</v>
      </c>
      <c r="C3599" s="7" t="s">
        <v>8984</v>
      </c>
      <c r="D3599" s="7" t="s">
        <v>7549</v>
      </c>
      <c r="E3599" s="7" t="s">
        <v>13304</v>
      </c>
      <c r="F3599" s="8" t="s">
        <v>3179</v>
      </c>
      <c r="G3599" s="7">
        <v>0</v>
      </c>
      <c r="H3599" s="7" t="s">
        <v>8984</v>
      </c>
      <c r="I3599" s="7">
        <v>1</v>
      </c>
      <c r="J3599" s="7" t="s">
        <v>7838</v>
      </c>
      <c r="K3599" s="9" t="s">
        <v>8987</v>
      </c>
    </row>
    <row r="3600" spans="1:11">
      <c r="A3600" s="7">
        <v>3598</v>
      </c>
      <c r="B3600" s="7" t="s">
        <v>9208</v>
      </c>
      <c r="C3600" s="7" t="s">
        <v>8984</v>
      </c>
      <c r="D3600" s="7" t="s">
        <v>7549</v>
      </c>
      <c r="E3600" s="7" t="s">
        <v>13305</v>
      </c>
      <c r="F3600" s="8" t="s">
        <v>3181</v>
      </c>
      <c r="G3600" s="7">
        <v>0</v>
      </c>
      <c r="H3600" s="7" t="s">
        <v>8984</v>
      </c>
      <c r="I3600" s="7">
        <v>1</v>
      </c>
      <c r="J3600" s="7" t="s">
        <v>7838</v>
      </c>
      <c r="K3600" s="9" t="s">
        <v>8987</v>
      </c>
    </row>
    <row r="3601" spans="1:11">
      <c r="A3601" s="7">
        <v>3599</v>
      </c>
      <c r="B3601" s="7" t="s">
        <v>9208</v>
      </c>
      <c r="C3601" s="7" t="s">
        <v>8984</v>
      </c>
      <c r="D3601" s="7" t="s">
        <v>7549</v>
      </c>
      <c r="E3601" s="7" t="s">
        <v>13306</v>
      </c>
      <c r="F3601" s="8" t="s">
        <v>3183</v>
      </c>
      <c r="G3601" s="7">
        <v>0</v>
      </c>
      <c r="H3601" s="7" t="s">
        <v>8984</v>
      </c>
      <c r="I3601" s="7">
        <v>1</v>
      </c>
      <c r="J3601" s="7" t="s">
        <v>7838</v>
      </c>
      <c r="K3601" s="9" t="s">
        <v>8987</v>
      </c>
    </row>
    <row r="3602" spans="1:11">
      <c r="A3602" s="7">
        <v>3600</v>
      </c>
      <c r="B3602" s="7" t="s">
        <v>9208</v>
      </c>
      <c r="C3602" s="7" t="s">
        <v>8984</v>
      </c>
      <c r="D3602" s="7" t="s">
        <v>7549</v>
      </c>
      <c r="E3602" s="7" t="s">
        <v>13307</v>
      </c>
      <c r="F3602" s="8" t="s">
        <v>3185</v>
      </c>
      <c r="G3602" s="7">
        <v>0</v>
      </c>
      <c r="H3602" s="7" t="s">
        <v>8984</v>
      </c>
      <c r="I3602" s="7">
        <v>1</v>
      </c>
      <c r="J3602" s="7" t="s">
        <v>7838</v>
      </c>
      <c r="K3602" s="9" t="s">
        <v>8987</v>
      </c>
    </row>
    <row r="3603" spans="1:11">
      <c r="A3603" s="7">
        <v>3601</v>
      </c>
      <c r="B3603" s="7" t="s">
        <v>9208</v>
      </c>
      <c r="C3603" s="7" t="s">
        <v>8984</v>
      </c>
      <c r="D3603" s="7" t="s">
        <v>7549</v>
      </c>
      <c r="E3603" s="7" t="s">
        <v>13308</v>
      </c>
      <c r="F3603" s="8" t="s">
        <v>3187</v>
      </c>
      <c r="G3603" s="7">
        <v>0</v>
      </c>
      <c r="H3603" s="7" t="s">
        <v>8984</v>
      </c>
      <c r="I3603" s="7">
        <v>1</v>
      </c>
      <c r="J3603" s="7" t="s">
        <v>7838</v>
      </c>
      <c r="K3603" s="9" t="s">
        <v>8987</v>
      </c>
    </row>
    <row r="3604" spans="1:11">
      <c r="A3604" s="7">
        <v>3602</v>
      </c>
      <c r="B3604" s="7" t="s">
        <v>9208</v>
      </c>
      <c r="C3604" s="7" t="s">
        <v>8984</v>
      </c>
      <c r="D3604" s="7" t="s">
        <v>7549</v>
      </c>
      <c r="E3604" s="7" t="s">
        <v>13309</v>
      </c>
      <c r="F3604" s="8" t="s">
        <v>3232</v>
      </c>
      <c r="G3604" s="7">
        <v>0</v>
      </c>
      <c r="H3604" s="7" t="s">
        <v>8984</v>
      </c>
      <c r="I3604" s="7">
        <v>1</v>
      </c>
      <c r="J3604" s="7" t="s">
        <v>7838</v>
      </c>
      <c r="K3604" s="9" t="s">
        <v>8987</v>
      </c>
    </row>
    <row r="3605" spans="1:11">
      <c r="A3605" s="7">
        <v>3603</v>
      </c>
      <c r="B3605" s="7" t="s">
        <v>9208</v>
      </c>
      <c r="C3605" s="7" t="s">
        <v>8984</v>
      </c>
      <c r="D3605" s="7" t="s">
        <v>7549</v>
      </c>
      <c r="E3605" s="7" t="s">
        <v>13310</v>
      </c>
      <c r="F3605" s="8" t="s">
        <v>3189</v>
      </c>
      <c r="G3605" s="7">
        <v>0</v>
      </c>
      <c r="H3605" s="7" t="s">
        <v>8984</v>
      </c>
      <c r="I3605" s="7">
        <v>1</v>
      </c>
      <c r="J3605" s="7" t="s">
        <v>7838</v>
      </c>
      <c r="K3605" s="9" t="s">
        <v>8987</v>
      </c>
    </row>
    <row r="3606" spans="1:11">
      <c r="A3606" s="7">
        <v>3604</v>
      </c>
      <c r="B3606" s="7" t="s">
        <v>9208</v>
      </c>
      <c r="C3606" s="7" t="s">
        <v>8984</v>
      </c>
      <c r="D3606" s="7" t="s">
        <v>7549</v>
      </c>
      <c r="E3606" s="7" t="s">
        <v>13311</v>
      </c>
      <c r="F3606" s="8" t="s">
        <v>3234</v>
      </c>
      <c r="G3606" s="7">
        <v>0</v>
      </c>
      <c r="H3606" s="7" t="s">
        <v>8984</v>
      </c>
      <c r="I3606" s="7">
        <v>1</v>
      </c>
      <c r="J3606" s="7" t="s">
        <v>7838</v>
      </c>
      <c r="K3606" s="9" t="s">
        <v>8987</v>
      </c>
    </row>
    <row r="3607" spans="1:11">
      <c r="A3607" s="7">
        <v>3605</v>
      </c>
      <c r="B3607" s="7" t="s">
        <v>9174</v>
      </c>
      <c r="C3607" s="7" t="s">
        <v>8991</v>
      </c>
      <c r="D3607" s="7" t="s">
        <v>7834</v>
      </c>
      <c r="E3607" s="7" t="s">
        <v>13312</v>
      </c>
      <c r="F3607" s="8" t="s">
        <v>13313</v>
      </c>
      <c r="G3607" s="7">
        <v>0</v>
      </c>
      <c r="H3607" s="7" t="s">
        <v>8984</v>
      </c>
      <c r="I3607" s="7">
        <v>1</v>
      </c>
      <c r="J3607" s="7" t="s">
        <v>7838</v>
      </c>
      <c r="K3607" s="9" t="s">
        <v>10611</v>
      </c>
    </row>
    <row r="3608" spans="1:11">
      <c r="A3608" s="7">
        <v>3606</v>
      </c>
      <c r="B3608" s="7" t="s">
        <v>9174</v>
      </c>
      <c r="C3608" s="7" t="s">
        <v>8991</v>
      </c>
      <c r="D3608" s="7" t="s">
        <v>7834</v>
      </c>
      <c r="E3608" s="7" t="s">
        <v>13314</v>
      </c>
      <c r="F3608" s="8" t="s">
        <v>13315</v>
      </c>
      <c r="G3608" s="7">
        <v>0</v>
      </c>
      <c r="H3608" s="7" t="s">
        <v>8984</v>
      </c>
      <c r="I3608" s="7">
        <v>1</v>
      </c>
      <c r="J3608" s="7" t="s">
        <v>7838</v>
      </c>
      <c r="K3608" s="9" t="s">
        <v>10611</v>
      </c>
    </row>
    <row r="3609" spans="1:11">
      <c r="A3609" s="7">
        <v>3607</v>
      </c>
      <c r="B3609" s="7" t="s">
        <v>9174</v>
      </c>
      <c r="C3609" s="7" t="s">
        <v>8991</v>
      </c>
      <c r="D3609" s="7" t="s">
        <v>7834</v>
      </c>
      <c r="E3609" s="7" t="s">
        <v>13316</v>
      </c>
      <c r="F3609" s="8" t="s">
        <v>13317</v>
      </c>
      <c r="G3609" s="7">
        <v>0</v>
      </c>
      <c r="H3609" s="7" t="s">
        <v>8984</v>
      </c>
      <c r="I3609" s="7">
        <v>1</v>
      </c>
      <c r="J3609" s="7" t="s">
        <v>7838</v>
      </c>
      <c r="K3609" s="9" t="s">
        <v>10611</v>
      </c>
    </row>
    <row r="3610" spans="1:11">
      <c r="A3610" s="7">
        <v>3608</v>
      </c>
      <c r="B3610" s="7" t="s">
        <v>8983</v>
      </c>
      <c r="C3610" s="7" t="s">
        <v>8984</v>
      </c>
      <c r="D3610" s="7" t="s">
        <v>7549</v>
      </c>
      <c r="E3610" s="7" t="s">
        <v>13318</v>
      </c>
      <c r="F3610" s="8" t="s">
        <v>9330</v>
      </c>
      <c r="G3610" s="11">
        <v>200</v>
      </c>
      <c r="H3610" s="11" t="s">
        <v>9447</v>
      </c>
      <c r="I3610" s="11">
        <v>1</v>
      </c>
      <c r="J3610" s="11" t="s">
        <v>9448</v>
      </c>
      <c r="K3610" s="9" t="s">
        <v>10611</v>
      </c>
    </row>
  </sheetData>
  <autoFilter xmlns:etc="http://www.wps.cn/officeDocument/2017/etCustomData" ref="A1:K3610" etc:filterBottomFollowUsedRange="0">
    <sortState ref="A2:K3610">
      <sortCondition ref="A1"/>
    </sortState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WWO_wpscloud_20260819174756-ed9259823c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说明</vt:lpstr>
      <vt:lpstr>词条总目录</vt:lpstr>
      <vt:lpstr>物品总目录</vt:lpstr>
      <vt:lpstr>近战词条</vt:lpstr>
      <vt:lpstr>远程词条</vt:lpstr>
      <vt:lpstr>防具词条</vt:lpstr>
      <vt:lpstr>饰品词条</vt:lpstr>
      <vt:lpstr>绿色星号词条</vt:lpstr>
      <vt:lpstr>绘卷-魂核词条</vt:lpstr>
      <vt:lpstr>武器</vt:lpstr>
      <vt:lpstr>防具</vt:lpstr>
      <vt:lpstr>魂核</vt:lpstr>
      <vt:lpstr>套装</vt:lpstr>
      <vt:lpstr>杂项</vt:lpstr>
      <vt:lpstr>全词条数值(3稀有度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MysteryBlakc神烦</dc:creator>
  <cp:lastModifiedBy>神烦~</cp:lastModifiedBy>
  <dcterms:created xsi:type="dcterms:W3CDTF">2026-07-28T18:23:00Z</dcterms:created>
  <dcterms:modified xsi:type="dcterms:W3CDTF">2026-09-07T08:03:47Z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A5D8E2B849C44C9EAC41E1EE3FDBE843_13</vt:lpwstr>
  </property>
  <property fmtid="{D5CDD505-2E9C-101B-9397-08002B2CF9AE}" pid="4" name="CalculationRule">
    <vt:i4>0</vt:i4>
  </property>
</Properties>
</file>